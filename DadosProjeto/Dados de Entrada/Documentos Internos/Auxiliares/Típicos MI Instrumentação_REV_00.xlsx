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Records2.xml" ContentType="application/vnd.openxmlformats-officedocument.spreadsheetml.pivotCacheRecords+xml"/>
  <Override PartName="/docProps/app.xml" ContentType="application/vnd.openxmlformats-officedocument.extended-properties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5B81036A-2402-4087-BCC1-C0FF2EA14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_MI_Device" sheetId="1" r:id="rId1"/>
    <sheet name="Insumos_Device" sheetId="2" r:id="rId2"/>
    <sheet name="Custo_MI_Infra" sheetId="4" r:id="rId3"/>
    <sheet name="Insumos_Infra" sheetId="3" r:id="rId4"/>
    <sheet name="Lista explodida" sheetId="5" state="hidden" r:id="rId5"/>
    <sheet name="Tab Din Device" sheetId="6" state="hidden" r:id="rId6"/>
    <sheet name="Tab Din Infra" sheetId="7" state="hidden" r:id="rId7"/>
    <sheet name="Geral" sheetId="8" state="hidden" r:id="rId8"/>
    <sheet name="Tab Din Geral" sheetId="9" state="hidden" r:id="rId9"/>
    <sheet name="Cotação" sheetId="10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_123Graph_A" localSheetId="0" hidden="1">'[1]Cron Bas 2.10'!#REF!</definedName>
    <definedName name="__123Graph_A" hidden="1">'[1]Cron Bas 2.10'!#REF!</definedName>
    <definedName name="__123Graph_X" hidden="1">'[2]Cron Bas 2.10'!$F$12:$N$12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ill" localSheetId="0" hidden="1">#REF!</definedName>
    <definedName name="_Fill" hidden="1">#REF!</definedName>
    <definedName name="_xlnm._FilterDatabase" localSheetId="0" hidden="1">Custo_MI_Device!$A$2:$P$103</definedName>
    <definedName name="_xlnm._FilterDatabase" localSheetId="2" hidden="1">Custo_MI_Infra!$A$1:$B$1</definedName>
    <definedName name="_xlnm._FilterDatabase" localSheetId="1" hidden="1">Insumos_Device!$A$2:$O$1854</definedName>
    <definedName name="_xlnm._FilterDatabase" localSheetId="3" hidden="1">Insumos_Infra!$A$2:$P$295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I_REDE" comment="Total de pontos, Nós Redes Asi ou Device Net">'[3]Calc Eng'!$H$27</definedName>
    <definedName name="Atendentes_Instr_Campo_QT" comment="Total de Atendentes especialistas em Comissionamento de instrumentos em campo. Parte integrante do time de Startup ">'[3]Calc Eng'!$B$53</definedName>
    <definedName name="Atendentes_Senior_QT" comment="Porcentagem estimada de atendentes especialistas, diretoria, gerente Enegenharia definida para Obra">'[3]Calc Eng'!$B$51</definedName>
    <definedName name="Atendentes_Sistema_Processo_QT" comment="Total de atendente de sistema, de desenvolvimento de Software e sistema">'[3]Calc Eng'!$B$52</definedName>
    <definedName name="Atendentes_Total" comment="Total de Atendentes previsto Comissionamento, Startup e Operação Assistida">'[3]Calc Eng'!$B$28</definedName>
    <definedName name="ATK_LOG">'[3]Resumo_Custos ATK '!$B$10</definedName>
    <definedName name="ATK_MOA">'[3]Resumo_Custos ATK '!$B$3</definedName>
    <definedName name="ATK_MOB">'[3]Resumo_Custos ATK '!$B$9</definedName>
    <definedName name="ATK_MOD">'[3]Resumo_Custos ATK '!$B$5</definedName>
    <definedName name="ATK_MOI">'[3]Resumo_Custos ATK '!$B$4</definedName>
    <definedName name="ATK_SSMA">'[3]Resumo_Custos ATK '!$B$8</definedName>
    <definedName name="ATK_ST">'[3]Resumo_Custos ATK '!$B$6</definedName>
    <definedName name="ATK_TURNOVER">'[3]Resumo_Custos ATK '!$B$7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DM_Geral" comment="Custo administrativo geral. Para emissão de notas , para trabalho interno etc..">0.1</definedName>
    <definedName name="Cidade" comment="Cidade que será realizada a OBRA">'[3]Calc Eng'!$H$79</definedName>
    <definedName name="CODENOME1" hidden="1">#N/A</definedName>
    <definedName name="Conteiner_Aluguel_Mes" comment="Custo Médio de Locação de Conteiner. Não considerado Transporte">'[3]Calc Eng'!$B$44</definedName>
    <definedName name="CSLL" comment="CSLL Lucro Presumido ou Real">[3]Impostos_Taxas!$H$28</definedName>
    <definedName name="CTNER" comment="Numero de Contineres Previsto na Obra">'[3]Calc Eng'!$H$21</definedName>
    <definedName name="Custo_Impostos_Credito__Débito" comment="Resumo dos impostos a serem Pagos diretos">[3]Retorno!$K$31</definedName>
    <definedName name="Custo_Total" comment="Custo total plnilha de retorno">[3]Retorno!$C$43</definedName>
    <definedName name="dfSFD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ária_Casa_Custo_Atendente" comment="Custo por profissional da  Diária considerando ficar  em casa , base  Alugada. Considerado: Aluguel, Roupa Lavada, Luz, Agua e empregada. Não considerado Refeição. (Nota: cada Casa estima-se 6 profissionais)">'[3]Calc Eng'!$B$3</definedName>
    <definedName name="Diária_Casa_Geral" comment="Custo Diária casa estimada para no média de 6 atendentes">'[3]Calc Eng'!$B$4</definedName>
    <definedName name="Diária_Completa_Sem_Transporte" comment="Custo de uma diária Completa de um Atendente. Considerado:  Diaria de estadia (Hotel avulso), HH (10h) e Refeições. Sem Translado, sem km">'[3]Calc Eng'!$B$42</definedName>
    <definedName name="Diárias_Hotel_Avulsas_Custo" comment="Custo médio de diárias de hoteis avulsas, temporários.">'[3]Calc Eng'!$B$5</definedName>
    <definedName name="Diárias_Hotel_Negociada_Custo" comment="Custo Diária Hotel negociado em locais de Obras, de startup.">'[3]Calc Eng'!$B$6</definedName>
    <definedName name="Dias_Campo" comment="Padrão de dias fora de STZ. Dias na OBRA Considerado na Proposta">'[3]Calc Eng'!$B$33</definedName>
    <definedName name="Distância_Base_PLANTA" comment="Distancia, em KM, da Planta até a cidade, ou local de hospedagem">'[3]Calc Eng'!$B$38</definedName>
    <definedName name="Distância_STZ_BASE" comment="Distancia da Base da ATK , na Cidade até STZ, Matriz">'[3]Calc Eng'!$B$37</definedName>
    <definedName name="Domingo_H" comment="Horas Domingo">'[3]Calc Eng'!$B$61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uração_Comissionamento__Startup" comment="Tempo considerado para Comissionamento, Startup e operação Assistida">'[3]Calc Eng'!$B$43</definedName>
    <definedName name="Duração_da_Obra_Efetiva_Em_Meses">'[3]Calc Eng'!$I$101</definedName>
    <definedName name="Duração_Obra_Mês" comment="Tempo considerado para duração efetiva da Obra.">'[3]Calc Eng'!$B$32</definedName>
    <definedName name="EA_E_PA" comment="Numero de entradas Analogicas e ou de entradas de instrumentos PA">'[3]Calc Eng'!$H$24</definedName>
    <definedName name="ED_SD" comment="Total de entradas e Saidas Digitais">'[3]Calc Eng'!$H$26</definedName>
    <definedName name="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uipe_Numero" comment="Equipe estiamda para Comissionamento, Startup e Operação Assistida. ">'[3]Calc Eng'!$B$34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ado" comment="Estado em que será realizada a OBRA">'[3]Calc Eng'!$J$79</definedName>
    <definedName name="Fator_Venda" comment="Fator Multiplicador Venda Final">[3]Retorno!$C$34</definedName>
    <definedName name="fill" localSheetId="0" hidden="1">'[4]MOB 2.8'!#REF!</definedName>
    <definedName name="fill" hidden="1">'[4]MOB 2.8'!#REF!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rete_KM" comment="Custo básico de frete por KM. Multiplicar sempre quantidade estimada de viagem de transporte.">'[3]Calc Eng'!$B$18</definedName>
    <definedName name="HH_Extra_DIA" comment="Horas extras estimadas Dia">'[3]Calc Eng'!$B$63</definedName>
    <definedName name="HH_Total_Eng_Interna" comment="Total Geral de HH Engenharia interna Prevista">'[3]Calc Eng'!$O$56</definedName>
    <definedName name="HH_Total_Startup" comment="Total Geral de HH Startup, Comissionamento e operação Assistida">'[3]Calc Eng'!$M$61</definedName>
    <definedName name="Horas_Comissionamento_Startup" comment="Total de Horas previstas para Comissionamento, Startup e Operação Assistida">'[3]Calc Eng'!$B$48</definedName>
    <definedName name="Horas_extras" comment="Total de horas extras consideradas">'[3]Calc Eng'!$L$90</definedName>
    <definedName name="Horas_Instr_Startup" comment="Total de Horas previstas para equipe de Instrumentistas de campo em comissionamento e Startup">'[3]Calc Eng'!$B$50</definedName>
    <definedName name="Horas_Normais_Mês" comment="Horas normais Trabalhadas Mês">'[3]Calc Eng'!$B$62</definedName>
    <definedName name="Horas_Preposto" comment="Total de HH prevista para Todos Prepostos somados na Obra">'[3]Calc Eng'!$L$52</definedName>
    <definedName name="Horas_Senior_Startup" comment="Horas previstas dee Seniores, Diretoria e Auditoria">'[3]Calc Eng'!$B$49</definedName>
    <definedName name="Horas_Sistema_Proj_Startup" comment="Horas Previstas para equipe de Startup Equipe direcionada a Sistema">'[3]Calc Eng'!$B$54</definedName>
    <definedName name="Horas_Trabalho_Média" comment="Quantidade prevista média máxima de Horas diária de Trabalho.">'[3]Calc Eng'!$B$29</definedName>
    <definedName name="IHM" comment="Total de IHMs">'[3]Calc Eng'!$H$31</definedName>
    <definedName name="IRPJ" comment="Imposto renda Lucro Presumido ou Real">[3]Impostos_Taxas!$H$27</definedName>
    <definedName name="JBs_Total" comment="Custo Total de JBs- Hart, e ou 4 a 20 ma">'[3]Calc Eng'!$B$25</definedName>
    <definedName name="KM" comment="Custo do quilômetro rodado puro.">'[3]Calc Eng'!$B$8</definedName>
    <definedName name="KM_HH_D_REF" comment="Custo do Quilometro rodado, considerando, Refeição no percurso, horas de (1) UM Atendente, e Estadia necessária.">'[3]Calc Eng'!$B$9</definedName>
    <definedName name="LOG" comment="Custo estimado de Logistica para o projeto">'[3]Calc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'[3]Calc Eng'!$DA$128</definedName>
    <definedName name="Log_In_MOI_Custo_HH" comment="Custo de Logistica e para  ajudantes e montadores. Calculo rápido. Tem de se estudar caso a caso.">'[3]Custos de HH_LOG'!$K$20</definedName>
    <definedName name="LOG_Mão_Obra_Indireta" comment="Custo de logistica equipe de mão obra indireta da obra. Se a Obra For ATM, considere novamente um Histograma e os custod calculados">'[3]Calc Eng'!$Q$44</definedName>
    <definedName name="lOG_MOB_COFINS_LP" comment="Logistica ou Mob Lucro Presumido COFINS">[3]Impostos_Taxas!$K$25</definedName>
    <definedName name="lOG_MOB_ISSQN_LR_LP" comment="Logistica e Mobilização ISS Presumido Ou real">[3]Impostos_Taxas!$H$26</definedName>
    <definedName name="LOG_MOB_PIS_LR" comment="Pis Logistica Real">[3]Impostos_Taxas!$H$24</definedName>
    <definedName name="Logistica_Preposto" comment="Custo estimado de Logistica para o Preposto. Tudo considerado">'[3]Calc Eng'!$B$47</definedName>
    <definedName name="Lucro" comment="Lucro Presumido =0 e Lucro Real = 1">[3]Retorno!$GP$6</definedName>
    <definedName name="Markup_Bruto__Contribuição" comment="Markup bruto da negociação">[3]Retorno!$C$54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" comment="Custo  Mão Obra de Preposto">'[3]Calc Eng'!$H$6</definedName>
    <definedName name="MOA_C" comment="Mão Obra de Admnsitração, Segurança e serviços básicos">'[3]Calc Eng'!$B$66</definedName>
    <definedName name="MOB" comment="Custo Mobilização Campo. Cerca, Conteiner, Pedras . Enfermeiros, Segurança e Logistica do Preposto">'[3]Calc Eng'!$H$10</definedName>
    <definedName name="Mob_Canteiro" comment="Mobilização do Canteiro. Tudo, inclusive enfermeiros, Segurança.">'[3]Calc Eng'!$O$52</definedName>
    <definedName name="MOC_Atendente_Custo" comment="Custo Médio HH  Atendente Campo">'[3]Calc Eng'!$ER$165</definedName>
    <definedName name="MOC_C_ST" comment="Custo estimado de Mão de Obra de campo destinado a Startup, comissionamento e operação Assistida.">'[3]Calc Eng'!$H$5</definedName>
    <definedName name="MOE" comment="Custo Total HH Engenharia para o Projeto">'[3]Calc Eng'!$H$4</definedName>
    <definedName name="MOE_COFINS_LR" comment="COFINA MOE lucro Real">[3]Impostos_Taxas!$H$12</definedName>
    <definedName name="MOE_H" comment="Custo HH Engenharia Senior">'[3]Calc Eng'!$ER$164</definedName>
    <definedName name="MOE_IRRF_LR" comment="IRRF MOE Lucro Real">[3]Impostos_Taxas!$H$13</definedName>
    <definedName name="MOE_ISSQN_LR_LP" comment="ISS MOE Lucro Reala ou Presumido">[3]Impostos_Taxas!$H$14</definedName>
    <definedName name="MOE_M" comment="Custo HH Engenharia Média">'[3]Calc Eng'!$ER$162</definedName>
    <definedName name="MOE_P" comment="Custo de Mão de obra de Projeto interno, elétrico, paineis e documentação">'[3]Calc Eng'!$ER$163</definedName>
    <definedName name="MOE_PIS_LR" comment="PIS Engenhraia Lucro Real">[3]Impostos_Taxas!$H$11</definedName>
    <definedName name="MOF" comment="Custo estimado para HH Fabrica no Campo">'[3]Calc Eng'!$H$11</definedName>
    <definedName name="MOF_Custo" comment="Custo do HH Fábrica Paineis">'[3]Calc Eng'!$ER$167</definedName>
    <definedName name="MOF_Total_Campo" comment="Total de Mão de Obra da Fábrica que será utilizada em campo. Prevista">'[3]Calc Eng'!$B$57</definedName>
    <definedName name="MOFC_Fabrica_Campo_Custo" comment="Custo da HH da Fábrica em Campo">'[3]Calc Eng'!$ER$166</definedName>
    <definedName name="MOI_ISSQN_LR_LP" comment="ISS MOI lucro Real e Presumido">[3]Impostos_Taxas!$H$20</definedName>
    <definedName name="MOL_Custo_Instr" comment="Custo Médio HH da equipe de Instrumentação de Campo, para equipamentos, comissionamento, ajustes.">'[3]Calc Eng'!$ER$168</definedName>
    <definedName name="MOM_MO_Média_Custo">'[3]Calc Eng'!$ER$172</definedName>
    <definedName name="MOS" comment="Custo HH de Enfermeiro, Segurança na Obra, secretária.">'[3]Calc Eng'!$B$45</definedName>
    <definedName name="MOSV__Services_Custo_MO" comment="Custo da Mão Obra Services">'[3]Calc Eng'!$ER$170</definedName>
    <definedName name="MOTK_Adm_Custo" comment="Custo HH Preposto Turnkey em campo">'[3]Calc Eng'!$ER$169</definedName>
    <definedName name="Não" comment="Indicador">'[3]Calc Eng'!$A$79</definedName>
    <definedName name="Necesssidade_preposto" comment="Necessidade de Preposto na OBRA">'[3]Calc Eng'!$K$100</definedName>
    <definedName name="Nome_Cliente" comment="Nome Cliente">'[3]Calc Eng'!$H$78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bra_Adm_Profissionais" comment="Numero de profissionais na Obra, Enfermeiro, Segurança. Não considera o Preposto">'[3]Calc Eng'!$B$46</definedName>
    <definedName name="Operação_Assistida" comment="Total de Horas prevista Para Operação Assistida">'[3]Calc Eng'!$B$55</definedName>
    <definedName name="PAINEL" comment="Custo Mão OBRA PAINEL">'[3]Calc Eng'!$H$13</definedName>
    <definedName name="Passagens_Ida_Volta" comment="Custo de Passagen de ida e volta. Avião, Onibus ou trem">'[3]Calc Eng'!$B$26</definedName>
    <definedName name="Pontos_EXX" comment="Total de pontos a Prova de explosão">'[3]Calc Eng'!$H$29</definedName>
    <definedName name="Pontos_Pneumáticos" comment="Tpotal de pontos Pneumáticos">'[3]Calc Eng'!$H$30</definedName>
    <definedName name="Pontos_Ponderado" comment="Numero de Pontos Ponderados">'[3]Calc Eng'!$B$30</definedName>
    <definedName name="Pontos_Totais" comment="Total de Pontos">'[3]Calc Eng'!$B$58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posto_total" comment="Total e Preposto estimado para Obra">'[3]Calc Eng'!$B$31</definedName>
    <definedName name="Preposto_Viagens_Base_Planta" comment="Numero de  Idas e vindas entre Base e Planta, do Preposto">'[3]Calc Eng'!$B$41</definedName>
    <definedName name="Preposto_Viagens_STZ_Base" comment="Numero de viagens estimadas do Preposto entre Base e Sertãozinho">'[3]Calc Eng'!$B$40</definedName>
    <definedName name="Prod_MI_COFINS_LR" comment="COFINS venda MI Lucro Real">[3]Impostos_Taxas!$H$10</definedName>
    <definedName name="Prod_MI_ICMS_LR_LP" comment="ICMS Para Produto e MI Lucro Presumido ou Real.">[3]Impostos_Taxas!$K$8</definedName>
    <definedName name="Prod_MI_PIS_LR" comment="PIS venda MI Lucro real">[3]Impostos_Taxas!$H$9</definedName>
    <definedName name="QDTC_Total" comment="Custo Total de QDTC para o projeto">'[3]Calc Eng'!$B$24</definedName>
    <definedName name="Refeição_Cliente_Custo" comment="Custo estimado do valor da Refeição no cliente. Na Obra">'[3]Calc Eng'!$B$23</definedName>
    <definedName name="Refeições_Custo" comment="Custo Médio por refeição, somado ao Lanche diário.">'[3]Calc Eng'!$B$7</definedName>
    <definedName name="SA__S_PA" comment="Total de Saidas Analógicas ou PA">'[3]Calc Eng'!$H$25</definedName>
    <definedName name="Sábado_H" comment="Horas Sabado">'[3]Calc Eng'!$B$60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m" comment="Indicador">'[3]Calc Eng'!$A$78</definedName>
    <definedName name="Sist_ICMS_LR_LP" comment="ICMS  Sistema Venda Débito LR=Lucro REAL">[3]Impostos_Taxas!$H$4</definedName>
    <definedName name="Telas_HD" comment="Total Telas de Alta densidade">'[3]Calc Eng'!$H$32</definedName>
    <definedName name="Telas_LD" comment="Total Telas de Baixa densidade">'[3]Calc Eng'!$H$34</definedName>
    <definedName name="Telas_MD" comment="Total Telas de Média densidade">'[3]Calc Eng'!$H$33</definedName>
    <definedName name="Tempo_Preposto__Obra" comment="Estimativa do período que o Preposto deve permanecer na Obra. Desde Mobilização,obra e Desmobilização.">'[3]Calc Eng'!$B$56</definedName>
    <definedName name="Tempo_Total_Paineis" comment="Tempo estimado para montagem dos Paineis">'[3]Calc Eng'!$AB$136</definedName>
    <definedName name="Total_Funcionários">'[3]Calc Eng'!$R$14</definedName>
    <definedName name="Total_HH_Mês" comment="Total HH Mês Externo, Considerando Horas Extras e Duas HH extra Dia">'[3]Calc Eng'!$B$59</definedName>
    <definedName name="Total_JBs" comment="Quantidade total de JBs 4 a 20 mA com Bornes Completa">'[3]Calc Eng'!$P$80</definedName>
    <definedName name="Total_Painéis_HD" comment="Total de Painéis com Muitos Pontos">'[3]Calc Eng'!$P$81</definedName>
    <definedName name="Total_Painéis_MD" comment="Total de Painéis de média e baixa Densidade">'[3]Calc Eng'!$P$82</definedName>
    <definedName name="Total_pequenas_caixas" comment="Pequenas (Caixas) apenas Montagem">'[3]Calc Eng'!$P$83</definedName>
    <definedName name="Total_QDTC" comment="Número de QDTCs completos">'[3]Calc Eng'!$P$79</definedName>
    <definedName name="Valor_Liquido_a_Receber" comment="Valor Liquido da Operação - Sem IPI, PIS COFINS, ISSQN e IRPF">[3]Retorno!$C$51</definedName>
    <definedName name="Valor_Venda_sem_IPI" comment="Valor total Proposta Sem IPI">[3]Retorno!$C$49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agens_Atendentes__Base_Planta" comment="Total de estimativa de Idas e Vindas entre a BAse e a Planta, dos Atendentes de Comissionamento, Startup e Operação assistida">'[3]Calc Eng'!$B$35</definedName>
    <definedName name="Viagens_Atendentes__Base_STZ" comment="Numero Total de viagens estimadas para equipe de Startup entre, STZ e BASE">'[3]Calc Eng'!$B$36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9"/>
  <pivotCaches>
    <pivotCache cacheId="158" r:id="rId15"/>
    <pivotCache cacheId="159" r:id="rId16"/>
    <pivotCache cacheId="16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D82" i="1" l="1"/>
  <c r="J1598" i="2"/>
  <c r="J1574" i="2"/>
  <c r="J1492" i="2"/>
  <c r="J1446" i="2"/>
  <c r="J1421" i="2"/>
  <c r="J1398" i="2"/>
  <c r="J1374" i="2"/>
  <c r="J1347" i="2"/>
  <c r="J1324" i="2"/>
  <c r="J1303" i="2"/>
  <c r="J1281" i="2"/>
  <c r="J1260" i="2"/>
  <c r="J1236" i="2"/>
  <c r="J1212" i="2"/>
  <c r="J1189" i="2"/>
  <c r="J1165" i="2"/>
  <c r="J1058" i="2"/>
  <c r="J1033" i="2"/>
  <c r="J1007" i="2"/>
  <c r="J982" i="2"/>
  <c r="J958" i="2"/>
  <c r="J939" i="2"/>
  <c r="J918" i="2"/>
  <c r="J897" i="2"/>
  <c r="J875" i="2"/>
  <c r="J851" i="2"/>
  <c r="J829" i="2"/>
  <c r="J759" i="2"/>
  <c r="J737" i="2"/>
  <c r="J714" i="2"/>
  <c r="J686" i="2"/>
  <c r="J660" i="2"/>
  <c r="J634" i="2"/>
  <c r="J608" i="2"/>
  <c r="J582" i="2"/>
  <c r="J504" i="2"/>
  <c r="J480" i="2"/>
  <c r="J456" i="2"/>
  <c r="J286" i="2"/>
  <c r="J263" i="2"/>
  <c r="J242" i="2"/>
  <c r="J221" i="2"/>
  <c r="J104" i="2"/>
  <c r="J34" i="2"/>
  <c r="F244" i="3" l="1"/>
  <c r="F218" i="3"/>
  <c r="F193" i="3"/>
  <c r="F171" i="3"/>
  <c r="F155" i="3"/>
  <c r="F141" i="3"/>
  <c r="F126" i="3"/>
  <c r="F113" i="3"/>
  <c r="F98" i="3"/>
  <c r="F85" i="3"/>
  <c r="F68" i="3"/>
  <c r="F6" i="3"/>
  <c r="F51" i="3"/>
  <c r="F33" i="3"/>
  <c r="F19" i="3"/>
  <c r="L239" i="3" l="1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38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11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187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65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51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37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22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08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93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77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61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43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15" i="3"/>
  <c r="L16" i="3"/>
  <c r="L17" i="3"/>
  <c r="L18" i="3"/>
  <c r="L19" i="3"/>
  <c r="L20" i="3"/>
  <c r="L21" i="3"/>
  <c r="L22" i="3"/>
  <c r="L23" i="3"/>
  <c r="L24" i="3"/>
  <c r="L25" i="3"/>
  <c r="L4" i="3"/>
  <c r="L5" i="3"/>
  <c r="L6" i="3"/>
  <c r="L7" i="3"/>
  <c r="L8" i="3"/>
  <c r="L9" i="3"/>
  <c r="L10" i="3"/>
  <c r="L11" i="3"/>
  <c r="L12" i="3"/>
  <c r="L13" i="3"/>
  <c r="C17" i="4"/>
  <c r="E190" i="5" l="1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189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16" i="5"/>
  <c r="D103" i="1" l="1"/>
  <c r="L270" i="3" l="1"/>
  <c r="L271" i="3" s="1"/>
  <c r="E17" i="4" l="1"/>
  <c r="N262" i="3"/>
  <c r="M262" i="3"/>
  <c r="J262" i="3"/>
  <c r="N261" i="3"/>
  <c r="M261" i="3"/>
  <c r="J261" i="3"/>
  <c r="N260" i="3"/>
  <c r="M260" i="3"/>
  <c r="J260" i="3"/>
  <c r="N259" i="3"/>
  <c r="M259" i="3"/>
  <c r="J259" i="3"/>
  <c r="N258" i="3"/>
  <c r="M258" i="3"/>
  <c r="J258" i="3"/>
  <c r="N257" i="3"/>
  <c r="M257" i="3"/>
  <c r="J257" i="3"/>
  <c r="N256" i="3"/>
  <c r="M256" i="3"/>
  <c r="J256" i="3"/>
  <c r="N255" i="3"/>
  <c r="J255" i="3"/>
  <c r="N254" i="3"/>
  <c r="M254" i="3"/>
  <c r="J254" i="3"/>
  <c r="N253" i="3"/>
  <c r="M253" i="3"/>
  <c r="J253" i="3"/>
  <c r="N252" i="3"/>
  <c r="M252" i="3"/>
  <c r="J252" i="3"/>
  <c r="N251" i="3"/>
  <c r="M251" i="3"/>
  <c r="J251" i="3"/>
  <c r="N250" i="3"/>
  <c r="M250" i="3"/>
  <c r="J250" i="3"/>
  <c r="N249" i="3"/>
  <c r="M249" i="3"/>
  <c r="J249" i="3"/>
  <c r="N248" i="3"/>
  <c r="M248" i="3"/>
  <c r="J248" i="3"/>
  <c r="N247" i="3"/>
  <c r="J247" i="3"/>
  <c r="N246" i="3"/>
  <c r="M246" i="3"/>
  <c r="J246" i="3"/>
  <c r="N245" i="3"/>
  <c r="M245" i="3"/>
  <c r="J245" i="3"/>
  <c r="N244" i="3"/>
  <c r="M244" i="3"/>
  <c r="J244" i="3"/>
  <c r="N243" i="3"/>
  <c r="M243" i="3"/>
  <c r="J243" i="3"/>
  <c r="N242" i="3"/>
  <c r="M242" i="3"/>
  <c r="J242" i="3"/>
  <c r="N241" i="3"/>
  <c r="M241" i="3"/>
  <c r="J241" i="3"/>
  <c r="N240" i="3"/>
  <c r="M240" i="3"/>
  <c r="J240" i="3"/>
  <c r="N239" i="3"/>
  <c r="J239" i="3"/>
  <c r="N238" i="3"/>
  <c r="M238" i="3"/>
  <c r="J238" i="3"/>
  <c r="N237" i="3"/>
  <c r="M237" i="3"/>
  <c r="J237" i="3"/>
  <c r="N236" i="3"/>
  <c r="M236" i="3"/>
  <c r="J236" i="3"/>
  <c r="N235" i="3"/>
  <c r="M235" i="3"/>
  <c r="J235" i="3"/>
  <c r="N234" i="3"/>
  <c r="M234" i="3"/>
  <c r="J234" i="3"/>
  <c r="N233" i="3"/>
  <c r="M233" i="3"/>
  <c r="J233" i="3"/>
  <c r="N232" i="3"/>
  <c r="M232" i="3"/>
  <c r="J232" i="3"/>
  <c r="N231" i="3"/>
  <c r="J231" i="3"/>
  <c r="N230" i="3"/>
  <c r="M230" i="3"/>
  <c r="J230" i="3"/>
  <c r="N229" i="3"/>
  <c r="M229" i="3"/>
  <c r="J229" i="3"/>
  <c r="N228" i="3"/>
  <c r="M228" i="3"/>
  <c r="J228" i="3"/>
  <c r="N227" i="3"/>
  <c r="M227" i="3"/>
  <c r="J227" i="3"/>
  <c r="N226" i="3"/>
  <c r="M226" i="3"/>
  <c r="J226" i="3"/>
  <c r="N225" i="3"/>
  <c r="M225" i="3"/>
  <c r="J225" i="3"/>
  <c r="N224" i="3"/>
  <c r="M224" i="3"/>
  <c r="J224" i="3"/>
  <c r="N223" i="3"/>
  <c r="J223" i="3"/>
  <c r="N222" i="3"/>
  <c r="M222" i="3"/>
  <c r="J222" i="3"/>
  <c r="N221" i="3"/>
  <c r="M221" i="3"/>
  <c r="J221" i="3"/>
  <c r="N220" i="3"/>
  <c r="M220" i="3"/>
  <c r="J220" i="3"/>
  <c r="N219" i="3"/>
  <c r="M219" i="3"/>
  <c r="J219" i="3"/>
  <c r="N218" i="3"/>
  <c r="O218" i="3" s="1"/>
  <c r="M218" i="3"/>
  <c r="J218" i="3"/>
  <c r="N217" i="3"/>
  <c r="M217" i="3"/>
  <c r="J217" i="3"/>
  <c r="N216" i="3"/>
  <c r="M216" i="3"/>
  <c r="J216" i="3"/>
  <c r="N215" i="3"/>
  <c r="J215" i="3"/>
  <c r="N214" i="3"/>
  <c r="M214" i="3"/>
  <c r="J214" i="3"/>
  <c r="N213" i="3"/>
  <c r="M213" i="3"/>
  <c r="J213" i="3"/>
  <c r="N212" i="3"/>
  <c r="M212" i="3"/>
  <c r="J212" i="3"/>
  <c r="N211" i="3"/>
  <c r="M211" i="3"/>
  <c r="J211" i="3"/>
  <c r="N210" i="3"/>
  <c r="M210" i="3"/>
  <c r="J210" i="3"/>
  <c r="N209" i="3"/>
  <c r="M209" i="3"/>
  <c r="J209" i="3"/>
  <c r="N208" i="3"/>
  <c r="M208" i="3"/>
  <c r="J208" i="3"/>
  <c r="N207" i="3"/>
  <c r="M207" i="3"/>
  <c r="J207" i="3"/>
  <c r="N206" i="3"/>
  <c r="M206" i="3"/>
  <c r="J206" i="3"/>
  <c r="N205" i="3"/>
  <c r="M205" i="3"/>
  <c r="J205" i="3"/>
  <c r="N204" i="3"/>
  <c r="M204" i="3"/>
  <c r="J204" i="3"/>
  <c r="N203" i="3"/>
  <c r="M203" i="3"/>
  <c r="J203" i="3"/>
  <c r="N202" i="3"/>
  <c r="M202" i="3"/>
  <c r="J202" i="3"/>
  <c r="N201" i="3"/>
  <c r="M201" i="3"/>
  <c r="J201" i="3"/>
  <c r="N200" i="3"/>
  <c r="M200" i="3"/>
  <c r="J200" i="3"/>
  <c r="N199" i="3"/>
  <c r="J199" i="3"/>
  <c r="N198" i="3"/>
  <c r="M198" i="3"/>
  <c r="J198" i="3"/>
  <c r="N197" i="3"/>
  <c r="J197" i="3"/>
  <c r="N196" i="3"/>
  <c r="M196" i="3"/>
  <c r="J196" i="3"/>
  <c r="N195" i="3"/>
  <c r="M195" i="3"/>
  <c r="J195" i="3"/>
  <c r="N194" i="3"/>
  <c r="M194" i="3"/>
  <c r="J194" i="3"/>
  <c r="N193" i="3"/>
  <c r="O193" i="3" s="1"/>
  <c r="M193" i="3"/>
  <c r="J193" i="3"/>
  <c r="N192" i="3"/>
  <c r="M192" i="3"/>
  <c r="J192" i="3"/>
  <c r="N191" i="3"/>
  <c r="J191" i="3"/>
  <c r="N190" i="3"/>
  <c r="M190" i="3"/>
  <c r="J190" i="3"/>
  <c r="N189" i="3"/>
  <c r="J189" i="3"/>
  <c r="N188" i="3"/>
  <c r="M188" i="3"/>
  <c r="J188" i="3"/>
  <c r="N187" i="3"/>
  <c r="M187" i="3"/>
  <c r="J187" i="3"/>
  <c r="N186" i="3"/>
  <c r="M186" i="3"/>
  <c r="J186" i="3"/>
  <c r="N185" i="3"/>
  <c r="M185" i="3"/>
  <c r="J185" i="3"/>
  <c r="N184" i="3"/>
  <c r="M184" i="3"/>
  <c r="J184" i="3"/>
  <c r="N183" i="3"/>
  <c r="M183" i="3"/>
  <c r="J183" i="3"/>
  <c r="N182" i="3"/>
  <c r="M182" i="3"/>
  <c r="J182" i="3"/>
  <c r="N181" i="3"/>
  <c r="M181" i="3"/>
  <c r="J181" i="3"/>
  <c r="N180" i="3"/>
  <c r="M180" i="3"/>
  <c r="J180" i="3"/>
  <c r="N179" i="3"/>
  <c r="M179" i="3"/>
  <c r="J179" i="3"/>
  <c r="N178" i="3"/>
  <c r="M178" i="3"/>
  <c r="J178" i="3"/>
  <c r="N177" i="3"/>
  <c r="M177" i="3"/>
  <c r="J177" i="3"/>
  <c r="N176" i="3"/>
  <c r="M176" i="3"/>
  <c r="J176" i="3"/>
  <c r="N175" i="3"/>
  <c r="M175" i="3"/>
  <c r="J175" i="3"/>
  <c r="N174" i="3"/>
  <c r="M174" i="3"/>
  <c r="J174" i="3"/>
  <c r="N173" i="3"/>
  <c r="M173" i="3"/>
  <c r="J173" i="3"/>
  <c r="N172" i="3"/>
  <c r="M172" i="3"/>
  <c r="J172" i="3"/>
  <c r="N171" i="3"/>
  <c r="M171" i="3"/>
  <c r="J171" i="3"/>
  <c r="N170" i="3"/>
  <c r="M170" i="3"/>
  <c r="J170" i="3"/>
  <c r="N169" i="3"/>
  <c r="M169" i="3"/>
  <c r="J169" i="3"/>
  <c r="N168" i="3"/>
  <c r="M168" i="3"/>
  <c r="J168" i="3"/>
  <c r="N167" i="3"/>
  <c r="M167" i="3"/>
  <c r="J167" i="3"/>
  <c r="N166" i="3"/>
  <c r="M166" i="3"/>
  <c r="J166" i="3"/>
  <c r="N165" i="3"/>
  <c r="M165" i="3"/>
  <c r="J165" i="3"/>
  <c r="N164" i="3"/>
  <c r="M164" i="3"/>
  <c r="J164" i="3"/>
  <c r="N163" i="3"/>
  <c r="M163" i="3"/>
  <c r="J163" i="3"/>
  <c r="N162" i="3"/>
  <c r="M162" i="3"/>
  <c r="J162" i="3"/>
  <c r="N161" i="3"/>
  <c r="M161" i="3"/>
  <c r="J161" i="3"/>
  <c r="N160" i="3"/>
  <c r="M160" i="3"/>
  <c r="J160" i="3"/>
  <c r="N159" i="3"/>
  <c r="M159" i="3"/>
  <c r="J159" i="3"/>
  <c r="N158" i="3"/>
  <c r="M158" i="3"/>
  <c r="J158" i="3"/>
  <c r="N157" i="3"/>
  <c r="M157" i="3"/>
  <c r="J157" i="3"/>
  <c r="N156" i="3"/>
  <c r="M156" i="3"/>
  <c r="J156" i="3"/>
  <c r="N155" i="3"/>
  <c r="O155" i="3" s="1"/>
  <c r="M155" i="3"/>
  <c r="J155" i="3"/>
  <c r="N154" i="3"/>
  <c r="M154" i="3"/>
  <c r="J154" i="3"/>
  <c r="N153" i="3"/>
  <c r="M153" i="3"/>
  <c r="J153" i="3"/>
  <c r="N152" i="3"/>
  <c r="M152" i="3"/>
  <c r="J152" i="3"/>
  <c r="N151" i="3"/>
  <c r="M151" i="3"/>
  <c r="J151" i="3"/>
  <c r="N150" i="3"/>
  <c r="M150" i="3"/>
  <c r="J150" i="3"/>
  <c r="N149" i="3"/>
  <c r="M149" i="3"/>
  <c r="J149" i="3"/>
  <c r="N148" i="3"/>
  <c r="M148" i="3"/>
  <c r="J148" i="3"/>
  <c r="N147" i="3"/>
  <c r="M147" i="3"/>
  <c r="J147" i="3"/>
  <c r="N146" i="3"/>
  <c r="M146" i="3"/>
  <c r="J146" i="3"/>
  <c r="N145" i="3"/>
  <c r="M145" i="3"/>
  <c r="J145" i="3"/>
  <c r="N144" i="3"/>
  <c r="M144" i="3"/>
  <c r="J144" i="3"/>
  <c r="N143" i="3"/>
  <c r="M143" i="3"/>
  <c r="J143" i="3"/>
  <c r="N142" i="3"/>
  <c r="M142" i="3"/>
  <c r="J142" i="3"/>
  <c r="N141" i="3"/>
  <c r="O141" i="3" s="1"/>
  <c r="M141" i="3"/>
  <c r="J141" i="3"/>
  <c r="N140" i="3"/>
  <c r="M140" i="3"/>
  <c r="J140" i="3"/>
  <c r="N139" i="3"/>
  <c r="M139" i="3"/>
  <c r="J139" i="3"/>
  <c r="N138" i="3"/>
  <c r="M138" i="3"/>
  <c r="J138" i="3"/>
  <c r="N137" i="3"/>
  <c r="M137" i="3"/>
  <c r="J137" i="3"/>
  <c r="N136" i="3"/>
  <c r="J136" i="3"/>
  <c r="N135" i="3"/>
  <c r="M135" i="3"/>
  <c r="J135" i="3"/>
  <c r="N134" i="3"/>
  <c r="M134" i="3"/>
  <c r="J134" i="3"/>
  <c r="N133" i="3"/>
  <c r="M133" i="3"/>
  <c r="J133" i="3"/>
  <c r="N132" i="3"/>
  <c r="M132" i="3"/>
  <c r="J132" i="3"/>
  <c r="N131" i="3"/>
  <c r="M131" i="3"/>
  <c r="J131" i="3"/>
  <c r="N130" i="3"/>
  <c r="M130" i="3"/>
  <c r="J130" i="3"/>
  <c r="N129" i="3"/>
  <c r="M129" i="3"/>
  <c r="J129" i="3"/>
  <c r="N128" i="3"/>
  <c r="M128" i="3"/>
  <c r="J128" i="3"/>
  <c r="N127" i="3"/>
  <c r="M127" i="3"/>
  <c r="J127" i="3"/>
  <c r="N126" i="3"/>
  <c r="O126" i="3" s="1"/>
  <c r="M126" i="3"/>
  <c r="J126" i="3"/>
  <c r="N125" i="3"/>
  <c r="M125" i="3"/>
  <c r="J125" i="3"/>
  <c r="N124" i="3"/>
  <c r="J124" i="3"/>
  <c r="N123" i="3"/>
  <c r="M123" i="3"/>
  <c r="J123" i="3"/>
  <c r="N122" i="3"/>
  <c r="J122" i="3"/>
  <c r="N121" i="3"/>
  <c r="M121" i="3"/>
  <c r="J121" i="3"/>
  <c r="N120" i="3"/>
  <c r="J120" i="3"/>
  <c r="N119" i="3"/>
  <c r="M119" i="3"/>
  <c r="J119" i="3"/>
  <c r="N118" i="3"/>
  <c r="J118" i="3"/>
  <c r="N117" i="3"/>
  <c r="M117" i="3"/>
  <c r="J117" i="3"/>
  <c r="N116" i="3"/>
  <c r="J116" i="3"/>
  <c r="N115" i="3"/>
  <c r="M115" i="3"/>
  <c r="J115" i="3"/>
  <c r="N114" i="3"/>
  <c r="J114" i="3"/>
  <c r="N113" i="3"/>
  <c r="O113" i="3" s="1"/>
  <c r="M113" i="3"/>
  <c r="J113" i="3"/>
  <c r="N112" i="3"/>
  <c r="J112" i="3"/>
  <c r="N111" i="3"/>
  <c r="M111" i="3"/>
  <c r="J111" i="3"/>
  <c r="N110" i="3"/>
  <c r="J110" i="3"/>
  <c r="N109" i="3"/>
  <c r="M109" i="3"/>
  <c r="J109" i="3"/>
  <c r="N108" i="3"/>
  <c r="J108" i="3"/>
  <c r="N107" i="3"/>
  <c r="M107" i="3"/>
  <c r="J107" i="3"/>
  <c r="N106" i="3"/>
  <c r="J106" i="3"/>
  <c r="N105" i="3"/>
  <c r="M105" i="3"/>
  <c r="J105" i="3"/>
  <c r="N104" i="3"/>
  <c r="J104" i="3"/>
  <c r="N103" i="3"/>
  <c r="M103" i="3"/>
  <c r="J103" i="3"/>
  <c r="N102" i="3"/>
  <c r="J102" i="3"/>
  <c r="N101" i="3"/>
  <c r="M101" i="3"/>
  <c r="J101" i="3"/>
  <c r="N100" i="3"/>
  <c r="J100" i="3"/>
  <c r="N99" i="3"/>
  <c r="M99" i="3"/>
  <c r="J99" i="3"/>
  <c r="N98" i="3"/>
  <c r="O98" i="3" s="1"/>
  <c r="M98" i="3"/>
  <c r="J98" i="3"/>
  <c r="N97" i="3"/>
  <c r="M97" i="3"/>
  <c r="J97" i="3"/>
  <c r="N96" i="3"/>
  <c r="J96" i="3"/>
  <c r="N95" i="3"/>
  <c r="M95" i="3"/>
  <c r="J95" i="3"/>
  <c r="N94" i="3"/>
  <c r="J94" i="3"/>
  <c r="N93" i="3"/>
  <c r="M93" i="3"/>
  <c r="J93" i="3"/>
  <c r="N92" i="3"/>
  <c r="M92" i="3"/>
  <c r="J92" i="3"/>
  <c r="N91" i="3"/>
  <c r="M91" i="3"/>
  <c r="J91" i="3"/>
  <c r="N90" i="3"/>
  <c r="J90" i="3"/>
  <c r="N89" i="3"/>
  <c r="M89" i="3"/>
  <c r="J89" i="3"/>
  <c r="N88" i="3"/>
  <c r="M88" i="3"/>
  <c r="J88" i="3"/>
  <c r="N87" i="3"/>
  <c r="M87" i="3"/>
  <c r="J87" i="3"/>
  <c r="N86" i="3"/>
  <c r="J86" i="3"/>
  <c r="N85" i="3"/>
  <c r="O85" i="3" s="1"/>
  <c r="M85" i="3"/>
  <c r="J85" i="3"/>
  <c r="N84" i="3"/>
  <c r="M84" i="3"/>
  <c r="J84" i="3"/>
  <c r="N83" i="3"/>
  <c r="M83" i="3"/>
  <c r="J83" i="3"/>
  <c r="N82" i="3"/>
  <c r="J82" i="3"/>
  <c r="N81" i="3"/>
  <c r="M81" i="3"/>
  <c r="J81" i="3"/>
  <c r="N80" i="3"/>
  <c r="M80" i="3"/>
  <c r="J80" i="3"/>
  <c r="N79" i="3"/>
  <c r="M79" i="3"/>
  <c r="J79" i="3"/>
  <c r="N78" i="3"/>
  <c r="J78" i="3"/>
  <c r="N77" i="3"/>
  <c r="M77" i="3"/>
  <c r="J77" i="3"/>
  <c r="N76" i="3"/>
  <c r="M76" i="3"/>
  <c r="J76" i="3"/>
  <c r="N75" i="3"/>
  <c r="M75" i="3"/>
  <c r="J75" i="3"/>
  <c r="N74" i="3"/>
  <c r="M74" i="3"/>
  <c r="J74" i="3"/>
  <c r="N73" i="3"/>
  <c r="M73" i="3"/>
  <c r="J73" i="3"/>
  <c r="N72" i="3"/>
  <c r="M72" i="3"/>
  <c r="J72" i="3"/>
  <c r="N71" i="3"/>
  <c r="M71" i="3"/>
  <c r="J71" i="3"/>
  <c r="N70" i="3"/>
  <c r="M70" i="3"/>
  <c r="J70" i="3"/>
  <c r="N69" i="3"/>
  <c r="M69" i="3"/>
  <c r="J69" i="3"/>
  <c r="N68" i="3"/>
  <c r="M68" i="3"/>
  <c r="J68" i="3"/>
  <c r="N67" i="3"/>
  <c r="M67" i="3"/>
  <c r="J67" i="3"/>
  <c r="N66" i="3"/>
  <c r="M66" i="3"/>
  <c r="J66" i="3"/>
  <c r="N65" i="3"/>
  <c r="M65" i="3"/>
  <c r="J65" i="3"/>
  <c r="N64" i="3"/>
  <c r="M64" i="3"/>
  <c r="J64" i="3"/>
  <c r="N63" i="3"/>
  <c r="M63" i="3"/>
  <c r="J63" i="3"/>
  <c r="N62" i="3"/>
  <c r="M62" i="3"/>
  <c r="J62" i="3"/>
  <c r="N61" i="3"/>
  <c r="M61" i="3"/>
  <c r="J61" i="3"/>
  <c r="N60" i="3"/>
  <c r="O60" i="3" s="1"/>
  <c r="M60" i="3"/>
  <c r="J60" i="3"/>
  <c r="N59" i="3"/>
  <c r="J59" i="3"/>
  <c r="N58" i="3"/>
  <c r="M58" i="3"/>
  <c r="J58" i="3"/>
  <c r="N57" i="3"/>
  <c r="M57" i="3"/>
  <c r="J57" i="3"/>
  <c r="N56" i="3"/>
  <c r="M56" i="3"/>
  <c r="J56" i="3"/>
  <c r="N55" i="3"/>
  <c r="M55" i="3"/>
  <c r="J55" i="3"/>
  <c r="N54" i="3"/>
  <c r="M54" i="3"/>
  <c r="J54" i="3"/>
  <c r="N53" i="3"/>
  <c r="M53" i="3"/>
  <c r="J53" i="3"/>
  <c r="N52" i="3"/>
  <c r="M52" i="3"/>
  <c r="J52" i="3"/>
  <c r="N51" i="3"/>
  <c r="O51" i="3" s="1"/>
  <c r="M51" i="3"/>
  <c r="J51" i="3"/>
  <c r="N50" i="3"/>
  <c r="M50" i="3"/>
  <c r="J50" i="3"/>
  <c r="N49" i="3"/>
  <c r="M49" i="3"/>
  <c r="J49" i="3"/>
  <c r="N48" i="3"/>
  <c r="M48" i="3"/>
  <c r="J48" i="3"/>
  <c r="N47" i="3"/>
  <c r="M47" i="3"/>
  <c r="J47" i="3"/>
  <c r="N46" i="3"/>
  <c r="M46" i="3"/>
  <c r="J46" i="3"/>
  <c r="N45" i="3"/>
  <c r="M45" i="3"/>
  <c r="J45" i="3"/>
  <c r="N44" i="3"/>
  <c r="M44" i="3"/>
  <c r="J44" i="3"/>
  <c r="N43" i="3"/>
  <c r="J43" i="3"/>
  <c r="N42" i="3"/>
  <c r="M42" i="3"/>
  <c r="J42" i="3"/>
  <c r="N41" i="3"/>
  <c r="M41" i="3"/>
  <c r="J41" i="3"/>
  <c r="N40" i="3"/>
  <c r="M40" i="3"/>
  <c r="J40" i="3"/>
  <c r="N39" i="3"/>
  <c r="M39" i="3"/>
  <c r="J39" i="3"/>
  <c r="N38" i="3"/>
  <c r="M38" i="3"/>
  <c r="J38" i="3"/>
  <c r="N37" i="3"/>
  <c r="M37" i="3"/>
  <c r="J37" i="3"/>
  <c r="N36" i="3"/>
  <c r="M36" i="3"/>
  <c r="J36" i="3"/>
  <c r="N35" i="3"/>
  <c r="J35" i="3"/>
  <c r="N34" i="3"/>
  <c r="M34" i="3"/>
  <c r="J34" i="3"/>
  <c r="N33" i="3"/>
  <c r="O33" i="3" s="1"/>
  <c r="M33" i="3"/>
  <c r="J33" i="3"/>
  <c r="N32" i="3"/>
  <c r="M32" i="3"/>
  <c r="J32" i="3"/>
  <c r="N31" i="3"/>
  <c r="M31" i="3"/>
  <c r="J31" i="3"/>
  <c r="N30" i="3"/>
  <c r="M30" i="3"/>
  <c r="J30" i="3"/>
  <c r="N29" i="3"/>
  <c r="M29" i="3"/>
  <c r="J29" i="3"/>
  <c r="N28" i="3"/>
  <c r="M28" i="3"/>
  <c r="J28" i="3"/>
  <c r="N27" i="3"/>
  <c r="J27" i="3"/>
  <c r="N26" i="3"/>
  <c r="L26" i="3"/>
  <c r="M26" i="3" s="1"/>
  <c r="J26" i="3"/>
  <c r="N25" i="3"/>
  <c r="O25" i="3" s="1"/>
  <c r="J25" i="3"/>
  <c r="N24" i="3"/>
  <c r="M24" i="3"/>
  <c r="J24" i="3"/>
  <c r="N23" i="3"/>
  <c r="J23" i="3"/>
  <c r="N22" i="3"/>
  <c r="M22" i="3"/>
  <c r="J22" i="3"/>
  <c r="N21" i="3"/>
  <c r="M21" i="3"/>
  <c r="J21" i="3"/>
  <c r="N20" i="3"/>
  <c r="M20" i="3"/>
  <c r="J20" i="3"/>
  <c r="N19" i="3"/>
  <c r="O19" i="3" s="1"/>
  <c r="M19" i="3"/>
  <c r="J19" i="3"/>
  <c r="N18" i="3"/>
  <c r="M18" i="3"/>
  <c r="J18" i="3"/>
  <c r="N17" i="3"/>
  <c r="M17" i="3"/>
  <c r="J17" i="3"/>
  <c r="N16" i="3"/>
  <c r="M16" i="3"/>
  <c r="J16" i="3"/>
  <c r="N15" i="3"/>
  <c r="M15" i="3"/>
  <c r="J15" i="3"/>
  <c r="N14" i="3"/>
  <c r="L14" i="3"/>
  <c r="M14" i="3" s="1"/>
  <c r="J14" i="3"/>
  <c r="N13" i="3"/>
  <c r="O13" i="3" s="1"/>
  <c r="J13" i="3"/>
  <c r="N12" i="3"/>
  <c r="J12" i="3"/>
  <c r="N11" i="3"/>
  <c r="M11" i="3"/>
  <c r="J11" i="3"/>
  <c r="N10" i="3"/>
  <c r="J10" i="3"/>
  <c r="N9" i="3"/>
  <c r="O9" i="3" s="1"/>
  <c r="M9" i="3"/>
  <c r="J9" i="3"/>
  <c r="N8" i="3"/>
  <c r="O8" i="3" s="1"/>
  <c r="M8" i="3"/>
  <c r="J8" i="3"/>
  <c r="N7" i="3"/>
  <c r="M7" i="3"/>
  <c r="J7" i="3"/>
  <c r="N6" i="3"/>
  <c r="M6" i="3"/>
  <c r="J6" i="3"/>
  <c r="N5" i="3"/>
  <c r="M5" i="3"/>
  <c r="J5" i="3"/>
  <c r="N4" i="3"/>
  <c r="M4" i="3"/>
  <c r="J4" i="3"/>
  <c r="N3" i="3"/>
  <c r="L3" i="3"/>
  <c r="M3" i="3" s="1"/>
  <c r="J3" i="3"/>
  <c r="M1638" i="2"/>
  <c r="N1638" i="2" s="1"/>
  <c r="O1638" i="2" s="1"/>
  <c r="K1638" i="2"/>
  <c r="M1654" i="2"/>
  <c r="N1654" i="2" s="1"/>
  <c r="O1654" i="2" s="1"/>
  <c r="K1654" i="2"/>
  <c r="M1764" i="2"/>
  <c r="N1764" i="2" s="1"/>
  <c r="O1764" i="2" s="1"/>
  <c r="K1764" i="2"/>
  <c r="M1780" i="2"/>
  <c r="N1780" i="2" s="1"/>
  <c r="O1780" i="2" s="1"/>
  <c r="K1780" i="2"/>
  <c r="M106" i="2"/>
  <c r="N106" i="2" s="1"/>
  <c r="K106" i="2"/>
  <c r="C81" i="1" s="1"/>
  <c r="E81" i="1" s="1"/>
  <c r="M510" i="2"/>
  <c r="N510" i="2" s="1"/>
  <c r="O510" i="2" s="1"/>
  <c r="K510" i="2"/>
  <c r="M526" i="2"/>
  <c r="N526" i="2" s="1"/>
  <c r="O526" i="2" s="1"/>
  <c r="K526" i="2"/>
  <c r="M1147" i="2"/>
  <c r="N1147" i="2" s="1"/>
  <c r="O1147" i="2" s="1"/>
  <c r="K1147" i="2"/>
  <c r="M1605" i="2"/>
  <c r="N1605" i="2" s="1"/>
  <c r="O1605" i="2" s="1"/>
  <c r="K1605" i="2"/>
  <c r="M1621" i="2"/>
  <c r="N1621" i="2" s="1"/>
  <c r="O1621" i="2" s="1"/>
  <c r="K1621" i="2"/>
  <c r="M1131" i="2"/>
  <c r="N1131" i="2" s="1"/>
  <c r="K1131" i="2"/>
  <c r="C80" i="1" s="1"/>
  <c r="E80" i="1" s="1"/>
  <c r="M1832" i="2"/>
  <c r="N1832" i="2" s="1"/>
  <c r="O1832" i="2" s="1"/>
  <c r="K1832" i="2"/>
  <c r="M1844" i="2"/>
  <c r="N1844" i="2" s="1"/>
  <c r="O1844" i="2" s="1"/>
  <c r="K1844" i="2"/>
  <c r="M1600" i="2"/>
  <c r="N1600" i="2" s="1"/>
  <c r="O1600" i="2" s="1"/>
  <c r="K1600" i="2"/>
  <c r="C79" i="1" s="1"/>
  <c r="E79" i="1" s="1"/>
  <c r="M1606" i="2"/>
  <c r="N1606" i="2" s="1"/>
  <c r="O1606" i="2" s="1"/>
  <c r="K1606" i="2"/>
  <c r="M1637" i="2"/>
  <c r="N1637" i="2" s="1"/>
  <c r="O1637" i="2" s="1"/>
  <c r="K1637" i="2"/>
  <c r="M1669" i="2"/>
  <c r="N1669" i="2" s="1"/>
  <c r="O1669" i="2" s="1"/>
  <c r="K1669" i="2"/>
  <c r="M1697" i="2"/>
  <c r="N1697" i="2" s="1"/>
  <c r="O1697" i="2" s="1"/>
  <c r="K1697" i="2"/>
  <c r="M138" i="2"/>
  <c r="N138" i="2" s="1"/>
  <c r="O138" i="2" s="1"/>
  <c r="K138" i="2"/>
  <c r="M174" i="2"/>
  <c r="N174" i="2" s="1"/>
  <c r="O174" i="2" s="1"/>
  <c r="K174" i="2"/>
  <c r="M1136" i="2"/>
  <c r="N1136" i="2" s="1"/>
  <c r="O1136" i="2" s="1"/>
  <c r="K1136" i="2"/>
  <c r="M8" i="2"/>
  <c r="N8" i="2" s="1"/>
  <c r="O8" i="2" s="1"/>
  <c r="K8" i="2"/>
  <c r="M23" i="2"/>
  <c r="N23" i="2" s="1"/>
  <c r="O23" i="2" s="1"/>
  <c r="K23" i="2"/>
  <c r="M42" i="2"/>
  <c r="N42" i="2" s="1"/>
  <c r="O42" i="2" s="1"/>
  <c r="K42" i="2"/>
  <c r="M58" i="2"/>
  <c r="N58" i="2" s="1"/>
  <c r="O58" i="2" s="1"/>
  <c r="K58" i="2"/>
  <c r="M1726" i="2"/>
  <c r="N1726" i="2" s="1"/>
  <c r="O1726" i="2" s="1"/>
  <c r="K1726" i="2"/>
  <c r="M1745" i="2"/>
  <c r="N1745" i="2" s="1"/>
  <c r="O1745" i="2" s="1"/>
  <c r="K1745" i="2"/>
  <c r="M1119" i="2"/>
  <c r="N1119" i="2" s="1"/>
  <c r="O1119" i="2" s="1"/>
  <c r="K1119" i="2"/>
  <c r="M207" i="2"/>
  <c r="N207" i="2" s="1"/>
  <c r="O207" i="2" s="1"/>
  <c r="K207" i="2"/>
  <c r="M249" i="2"/>
  <c r="N249" i="2" s="1"/>
  <c r="O249" i="2" s="1"/>
  <c r="K249" i="2"/>
  <c r="M295" i="2"/>
  <c r="N295" i="2" s="1"/>
  <c r="O295" i="2" s="1"/>
  <c r="K295" i="2"/>
  <c r="M321" i="2"/>
  <c r="N321" i="2" s="1"/>
  <c r="O321" i="2" s="1"/>
  <c r="K321" i="2"/>
  <c r="M354" i="2"/>
  <c r="N354" i="2" s="1"/>
  <c r="O354" i="2" s="1"/>
  <c r="K354" i="2"/>
  <c r="M382" i="2"/>
  <c r="N382" i="2" s="1"/>
  <c r="O382" i="2" s="1"/>
  <c r="K382" i="2"/>
  <c r="M417" i="2"/>
  <c r="N417" i="2" s="1"/>
  <c r="O417" i="2" s="1"/>
  <c r="K417" i="2"/>
  <c r="M465" i="2"/>
  <c r="N465" i="2" s="1"/>
  <c r="O465" i="2" s="1"/>
  <c r="K465" i="2"/>
  <c r="M565" i="2"/>
  <c r="N565" i="2" s="1"/>
  <c r="O565" i="2" s="1"/>
  <c r="K565" i="2"/>
  <c r="M617" i="2"/>
  <c r="N617" i="2" s="1"/>
  <c r="O617" i="2" s="1"/>
  <c r="K617" i="2"/>
  <c r="M669" i="2"/>
  <c r="N669" i="2" s="1"/>
  <c r="O669" i="2" s="1"/>
  <c r="K669" i="2"/>
  <c r="M723" i="2"/>
  <c r="N723" i="2" s="1"/>
  <c r="O723" i="2" s="1"/>
  <c r="K723" i="2"/>
  <c r="M767" i="2"/>
  <c r="N767" i="2" s="1"/>
  <c r="O767" i="2" s="1"/>
  <c r="K767" i="2"/>
  <c r="M793" i="2"/>
  <c r="N793" i="2" s="1"/>
  <c r="O793" i="2" s="1"/>
  <c r="K793" i="2"/>
  <c r="M837" i="2"/>
  <c r="N837" i="2" s="1"/>
  <c r="O837" i="2" s="1"/>
  <c r="K837" i="2"/>
  <c r="M885" i="2"/>
  <c r="N885" i="2" s="1"/>
  <c r="O885" i="2" s="1"/>
  <c r="K885" i="2"/>
  <c r="M927" i="2"/>
  <c r="N927" i="2" s="1"/>
  <c r="O927" i="2" s="1"/>
  <c r="K927" i="2"/>
  <c r="M967" i="2"/>
  <c r="N967" i="2" s="1"/>
  <c r="O967" i="2" s="1"/>
  <c r="K967" i="2"/>
  <c r="M1017" i="2"/>
  <c r="N1017" i="2" s="1"/>
  <c r="O1017" i="2" s="1"/>
  <c r="K1017" i="2"/>
  <c r="M1064" i="2"/>
  <c r="N1064" i="2" s="1"/>
  <c r="O1064" i="2" s="1"/>
  <c r="K1064" i="2"/>
  <c r="M1088" i="2"/>
  <c r="N1088" i="2" s="1"/>
  <c r="O1088" i="2" s="1"/>
  <c r="K1088" i="2"/>
  <c r="M1103" i="2"/>
  <c r="N1103" i="2" s="1"/>
  <c r="O1103" i="2" s="1"/>
  <c r="K1103" i="2"/>
  <c r="M1174" i="2"/>
  <c r="N1174" i="2" s="1"/>
  <c r="O1174" i="2" s="1"/>
  <c r="K1174" i="2"/>
  <c r="M1221" i="2"/>
  <c r="N1221" i="2" s="1"/>
  <c r="O1221" i="2" s="1"/>
  <c r="K1221" i="2"/>
  <c r="M1268" i="2"/>
  <c r="N1268" i="2" s="1"/>
  <c r="O1268" i="2" s="1"/>
  <c r="K1268" i="2"/>
  <c r="M1311" i="2"/>
  <c r="N1311" i="2" s="1"/>
  <c r="O1311" i="2" s="1"/>
  <c r="K1311" i="2"/>
  <c r="M1359" i="2"/>
  <c r="N1359" i="2" s="1"/>
  <c r="O1359" i="2" s="1"/>
  <c r="K1359" i="2"/>
  <c r="M1405" i="2"/>
  <c r="N1405" i="2" s="1"/>
  <c r="O1405" i="2" s="1"/>
  <c r="K1405" i="2"/>
  <c r="M1456" i="2"/>
  <c r="N1456" i="2" s="1"/>
  <c r="O1456" i="2" s="1"/>
  <c r="K1456" i="2"/>
  <c r="M1499" i="2"/>
  <c r="N1499" i="2" s="1"/>
  <c r="O1499" i="2" s="1"/>
  <c r="K1499" i="2"/>
  <c r="M1525" i="2"/>
  <c r="N1525" i="2" s="1"/>
  <c r="O1525" i="2" s="1"/>
  <c r="K1525" i="2"/>
  <c r="M1559" i="2"/>
  <c r="N1559" i="2" s="1"/>
  <c r="O1559" i="2" s="1"/>
  <c r="K1559" i="2"/>
  <c r="M110" i="2"/>
  <c r="N110" i="2" s="1"/>
  <c r="O110" i="2" s="1"/>
  <c r="K110" i="2"/>
  <c r="M1157" i="2"/>
  <c r="N1157" i="2" s="1"/>
  <c r="O1157" i="2" s="1"/>
  <c r="K1157" i="2"/>
  <c r="M6" i="2"/>
  <c r="N6" i="2" s="1"/>
  <c r="O6" i="2" s="1"/>
  <c r="K6" i="2"/>
  <c r="M21" i="2"/>
  <c r="N21" i="2" s="1"/>
  <c r="O21" i="2" s="1"/>
  <c r="K21" i="2"/>
  <c r="M39" i="2"/>
  <c r="N39" i="2" s="1"/>
  <c r="O39" i="2" s="1"/>
  <c r="K39" i="2"/>
  <c r="M55" i="2"/>
  <c r="N55" i="2" s="1"/>
  <c r="O55" i="2" s="1"/>
  <c r="K55" i="2"/>
  <c r="M74" i="2"/>
  <c r="N74" i="2" s="1"/>
  <c r="O74" i="2" s="1"/>
  <c r="K74" i="2"/>
  <c r="M90" i="2"/>
  <c r="N90" i="2" s="1"/>
  <c r="O90" i="2" s="1"/>
  <c r="K90" i="2"/>
  <c r="M1724" i="2"/>
  <c r="N1724" i="2" s="1"/>
  <c r="O1724" i="2" s="1"/>
  <c r="K1724" i="2"/>
  <c r="M1743" i="2"/>
  <c r="N1743" i="2" s="1"/>
  <c r="O1743" i="2" s="1"/>
  <c r="K1743" i="2"/>
  <c r="M109" i="2"/>
  <c r="N109" i="2" s="1"/>
  <c r="O109" i="2" s="1"/>
  <c r="K109" i="2"/>
  <c r="M1116" i="2"/>
  <c r="N1116" i="2" s="1"/>
  <c r="O1116" i="2" s="1"/>
  <c r="K1116" i="2"/>
  <c r="M204" i="2"/>
  <c r="N204" i="2" s="1"/>
  <c r="O204" i="2" s="1"/>
  <c r="K204" i="2"/>
  <c r="M225" i="2"/>
  <c r="N225" i="2" s="1"/>
  <c r="O225" i="2" s="1"/>
  <c r="K225" i="2"/>
  <c r="M246" i="2"/>
  <c r="N246" i="2" s="1"/>
  <c r="O246" i="2" s="1"/>
  <c r="K246" i="2"/>
  <c r="M269" i="2"/>
  <c r="N269" i="2" s="1"/>
  <c r="O269" i="2" s="1"/>
  <c r="K269" i="2"/>
  <c r="M292" i="2"/>
  <c r="N292" i="2" s="1"/>
  <c r="O292" i="2" s="1"/>
  <c r="K292" i="2"/>
  <c r="M305" i="2"/>
  <c r="N305" i="2" s="1"/>
  <c r="O305" i="2" s="1"/>
  <c r="K305" i="2"/>
  <c r="M318" i="2"/>
  <c r="N318" i="2" s="1"/>
  <c r="O318" i="2" s="1"/>
  <c r="K318" i="2"/>
  <c r="M334" i="2"/>
  <c r="N334" i="2" s="1"/>
  <c r="O334" i="2" s="1"/>
  <c r="K334" i="2"/>
  <c r="M350" i="2"/>
  <c r="N350" i="2" s="1"/>
  <c r="O350" i="2" s="1"/>
  <c r="K350" i="2"/>
  <c r="M364" i="2"/>
  <c r="N364" i="2" s="1"/>
  <c r="O364" i="2" s="1"/>
  <c r="K364" i="2"/>
  <c r="M378" i="2"/>
  <c r="N378" i="2" s="1"/>
  <c r="O378" i="2" s="1"/>
  <c r="K378" i="2"/>
  <c r="M395" i="2"/>
  <c r="N395" i="2" s="1"/>
  <c r="O395" i="2" s="1"/>
  <c r="K395" i="2"/>
  <c r="M414" i="2"/>
  <c r="N414" i="2" s="1"/>
  <c r="O414" i="2" s="1"/>
  <c r="K414" i="2"/>
  <c r="M413" i="2"/>
  <c r="N413" i="2" s="1"/>
  <c r="O413" i="2" s="1"/>
  <c r="K413" i="2"/>
  <c r="M438" i="2"/>
  <c r="N438" i="2" s="1"/>
  <c r="O438" i="2" s="1"/>
  <c r="K438" i="2"/>
  <c r="M437" i="2"/>
  <c r="N437" i="2" s="1"/>
  <c r="O437" i="2" s="1"/>
  <c r="K437" i="2"/>
  <c r="M462" i="2"/>
  <c r="N462" i="2" s="1"/>
  <c r="O462" i="2" s="1"/>
  <c r="K462" i="2"/>
  <c r="M461" i="2"/>
  <c r="N461" i="2" s="1"/>
  <c r="O461" i="2" s="1"/>
  <c r="K461" i="2"/>
  <c r="M486" i="2"/>
  <c r="N486" i="2" s="1"/>
  <c r="O486" i="2" s="1"/>
  <c r="K486" i="2"/>
  <c r="M485" i="2"/>
  <c r="N485" i="2" s="1"/>
  <c r="O485" i="2" s="1"/>
  <c r="K485" i="2"/>
  <c r="M507" i="2"/>
  <c r="N507" i="2" s="1"/>
  <c r="O507" i="2" s="1"/>
  <c r="K507" i="2"/>
  <c r="M523" i="2"/>
  <c r="N523" i="2" s="1"/>
  <c r="O523" i="2" s="1"/>
  <c r="K523" i="2"/>
  <c r="M540" i="2"/>
  <c r="N540" i="2" s="1"/>
  <c r="O540" i="2" s="1"/>
  <c r="K540" i="2"/>
  <c r="M550" i="2"/>
  <c r="N550" i="2" s="1"/>
  <c r="O550" i="2" s="1"/>
  <c r="K550" i="2"/>
  <c r="M562" i="2"/>
  <c r="N562" i="2" s="1"/>
  <c r="O562" i="2" s="1"/>
  <c r="K562" i="2"/>
  <c r="M561" i="2"/>
  <c r="N561" i="2" s="1"/>
  <c r="O561" i="2" s="1"/>
  <c r="K561" i="2"/>
  <c r="M588" i="2"/>
  <c r="N588" i="2" s="1"/>
  <c r="O588" i="2" s="1"/>
  <c r="K588" i="2"/>
  <c r="M587" i="2"/>
  <c r="N587" i="2" s="1"/>
  <c r="O587" i="2" s="1"/>
  <c r="K587" i="2"/>
  <c r="M614" i="2"/>
  <c r="N614" i="2" s="1"/>
  <c r="O614" i="2" s="1"/>
  <c r="K614" i="2"/>
  <c r="M613" i="2"/>
  <c r="N613" i="2" s="1"/>
  <c r="O613" i="2" s="1"/>
  <c r="K613" i="2"/>
  <c r="M640" i="2"/>
  <c r="N640" i="2" s="1"/>
  <c r="O640" i="2" s="1"/>
  <c r="K640" i="2"/>
  <c r="M639" i="2"/>
  <c r="N639" i="2" s="1"/>
  <c r="O639" i="2" s="1"/>
  <c r="K639" i="2"/>
  <c r="M666" i="2"/>
  <c r="N666" i="2" s="1"/>
  <c r="O666" i="2" s="1"/>
  <c r="K666" i="2"/>
  <c r="M665" i="2"/>
  <c r="N665" i="2" s="1"/>
  <c r="O665" i="2" s="1"/>
  <c r="K665" i="2"/>
  <c r="M694" i="2"/>
  <c r="N694" i="2" s="1"/>
  <c r="O694" i="2" s="1"/>
  <c r="K694" i="2"/>
  <c r="M693" i="2"/>
  <c r="N693" i="2" s="1"/>
  <c r="O693" i="2" s="1"/>
  <c r="K693" i="2"/>
  <c r="M720" i="2"/>
  <c r="N720" i="2" s="1"/>
  <c r="O720" i="2" s="1"/>
  <c r="K720" i="2"/>
  <c r="M742" i="2"/>
  <c r="N742" i="2" s="1"/>
  <c r="O742" i="2" s="1"/>
  <c r="K742" i="2"/>
  <c r="M764" i="2"/>
  <c r="N764" i="2" s="1"/>
  <c r="O764" i="2" s="1"/>
  <c r="K764" i="2"/>
  <c r="M777" i="2"/>
  <c r="N777" i="2" s="1"/>
  <c r="O777" i="2" s="1"/>
  <c r="K777" i="2"/>
  <c r="M790" i="2"/>
  <c r="N790" i="2" s="1"/>
  <c r="O790" i="2" s="1"/>
  <c r="K790" i="2"/>
  <c r="M812" i="2"/>
  <c r="N812" i="2" s="1"/>
  <c r="O812" i="2" s="1"/>
  <c r="K812" i="2"/>
  <c r="M834" i="2"/>
  <c r="N834" i="2" s="1"/>
  <c r="O834" i="2" s="1"/>
  <c r="K834" i="2"/>
  <c r="M858" i="2"/>
  <c r="N858" i="2" s="1"/>
  <c r="O858" i="2" s="1"/>
  <c r="K858" i="2"/>
  <c r="M882" i="2"/>
  <c r="N882" i="2" s="1"/>
  <c r="O882" i="2" s="1"/>
  <c r="K882" i="2"/>
  <c r="M903" i="2"/>
  <c r="N903" i="2" s="1"/>
  <c r="O903" i="2" s="1"/>
  <c r="K903" i="2"/>
  <c r="M924" i="2"/>
  <c r="N924" i="2" s="1"/>
  <c r="O924" i="2" s="1"/>
  <c r="K924" i="2"/>
  <c r="M943" i="2"/>
  <c r="N943" i="2" s="1"/>
  <c r="O943" i="2" s="1"/>
  <c r="K943" i="2"/>
  <c r="M964" i="2"/>
  <c r="N964" i="2" s="1"/>
  <c r="O964" i="2" s="1"/>
  <c r="K964" i="2"/>
  <c r="M963" i="2"/>
  <c r="N963" i="2" s="1"/>
  <c r="O963" i="2" s="1"/>
  <c r="K963" i="2"/>
  <c r="M989" i="2"/>
  <c r="N989" i="2" s="1"/>
  <c r="O989" i="2" s="1"/>
  <c r="K989" i="2"/>
  <c r="M988" i="2"/>
  <c r="N988" i="2" s="1"/>
  <c r="O988" i="2" s="1"/>
  <c r="K988" i="2"/>
  <c r="M1014" i="2"/>
  <c r="N1014" i="2" s="1"/>
  <c r="O1014" i="2" s="1"/>
  <c r="K1014" i="2"/>
  <c r="M1013" i="2"/>
  <c r="N1013" i="2" s="1"/>
  <c r="O1013" i="2" s="1"/>
  <c r="K1013" i="2"/>
  <c r="M1039" i="2"/>
  <c r="N1039" i="2" s="1"/>
  <c r="O1039" i="2" s="1"/>
  <c r="K1039" i="2"/>
  <c r="M1038" i="2"/>
  <c r="N1038" i="2" s="1"/>
  <c r="O1038" i="2" s="1"/>
  <c r="K1038" i="2"/>
  <c r="M1062" i="2"/>
  <c r="N1062" i="2" s="1"/>
  <c r="O1062" i="2" s="1"/>
  <c r="K1062" i="2"/>
  <c r="M1074" i="2"/>
  <c r="N1074" i="2" s="1"/>
  <c r="O1074" i="2" s="1"/>
  <c r="K1074" i="2"/>
  <c r="M1086" i="2"/>
  <c r="N1086" i="2" s="1"/>
  <c r="O1086" i="2" s="1"/>
  <c r="K1086" i="2"/>
  <c r="M1101" i="2"/>
  <c r="N1101" i="2" s="1"/>
  <c r="O1101" i="2" s="1"/>
  <c r="K1101" i="2"/>
  <c r="M1156" i="2"/>
  <c r="N1156" i="2" s="1"/>
  <c r="O1156" i="2" s="1"/>
  <c r="K1156" i="2"/>
  <c r="M1171" i="2"/>
  <c r="N1171" i="2" s="1"/>
  <c r="O1171" i="2" s="1"/>
  <c r="K1171" i="2"/>
  <c r="M1194" i="2"/>
  <c r="N1194" i="2" s="1"/>
  <c r="O1194" i="2" s="1"/>
  <c r="K1194" i="2"/>
  <c r="M1216" i="2"/>
  <c r="N1216" i="2" s="1"/>
  <c r="O1216" i="2" s="1"/>
  <c r="K1216" i="2"/>
  <c r="M1240" i="2"/>
  <c r="N1240" i="2" s="1"/>
  <c r="O1240" i="2" s="1"/>
  <c r="K1240" i="2"/>
  <c r="M1265" i="2"/>
  <c r="N1265" i="2" s="1"/>
  <c r="O1265" i="2" s="1"/>
  <c r="K1265" i="2"/>
  <c r="M1287" i="2"/>
  <c r="N1287" i="2" s="1"/>
  <c r="O1287" i="2" s="1"/>
  <c r="K1287" i="2"/>
  <c r="M1308" i="2"/>
  <c r="N1308" i="2" s="1"/>
  <c r="O1308" i="2" s="1"/>
  <c r="K1308" i="2"/>
  <c r="M1331" i="2"/>
  <c r="N1331" i="2" s="1"/>
  <c r="O1331" i="2" s="1"/>
  <c r="K1331" i="2"/>
  <c r="M1354" i="2"/>
  <c r="N1354" i="2" s="1"/>
  <c r="O1354" i="2" s="1"/>
  <c r="K1354" i="2"/>
  <c r="M1378" i="2"/>
  <c r="N1378" i="2" s="1"/>
  <c r="O1378" i="2" s="1"/>
  <c r="K1378" i="2"/>
  <c r="M1402" i="2"/>
  <c r="N1402" i="2" s="1"/>
  <c r="O1402" i="2" s="1"/>
  <c r="K1402" i="2"/>
  <c r="M1427" i="2"/>
  <c r="N1427" i="2" s="1"/>
  <c r="O1427" i="2" s="1"/>
  <c r="K1427" i="2"/>
  <c r="M1453" i="2"/>
  <c r="N1453" i="2" s="1"/>
  <c r="O1453" i="2" s="1"/>
  <c r="K1453" i="2"/>
  <c r="M1475" i="2"/>
  <c r="N1475" i="2" s="1"/>
  <c r="O1475" i="2" s="1"/>
  <c r="K1475" i="2"/>
  <c r="M1496" i="2"/>
  <c r="N1496" i="2" s="1"/>
  <c r="O1496" i="2" s="1"/>
  <c r="K1496" i="2"/>
  <c r="M1509" i="2"/>
  <c r="N1509" i="2" s="1"/>
  <c r="O1509" i="2" s="1"/>
  <c r="K1509" i="2"/>
  <c r="M1522" i="2"/>
  <c r="N1522" i="2" s="1"/>
  <c r="O1522" i="2" s="1"/>
  <c r="K1522" i="2"/>
  <c r="M1538" i="2"/>
  <c r="N1538" i="2" s="1"/>
  <c r="O1538" i="2" s="1"/>
  <c r="K1538" i="2"/>
  <c r="M1556" i="2"/>
  <c r="N1556" i="2" s="1"/>
  <c r="O1556" i="2" s="1"/>
  <c r="K1556" i="2"/>
  <c r="M1555" i="2"/>
  <c r="N1555" i="2" s="1"/>
  <c r="O1555" i="2" s="1"/>
  <c r="K1555" i="2"/>
  <c r="M1580" i="2"/>
  <c r="N1580" i="2" s="1"/>
  <c r="O1580" i="2" s="1"/>
  <c r="K1580" i="2"/>
  <c r="M1579" i="2"/>
  <c r="N1579" i="2" s="1"/>
  <c r="O1579" i="2" s="1"/>
  <c r="K1579" i="2"/>
  <c r="M1830" i="2"/>
  <c r="N1830" i="2" s="1"/>
  <c r="O1830" i="2" s="1"/>
  <c r="K1830" i="2"/>
  <c r="M1842" i="2"/>
  <c r="N1842" i="2" s="1"/>
  <c r="O1842" i="2" s="1"/>
  <c r="K1842" i="2"/>
  <c r="M1603" i="2"/>
  <c r="N1603" i="2" s="1"/>
  <c r="O1603" i="2" s="1"/>
  <c r="K1603" i="2"/>
  <c r="M1619" i="2"/>
  <c r="N1619" i="2" s="1"/>
  <c r="O1619" i="2" s="1"/>
  <c r="K1619" i="2"/>
  <c r="M1635" i="2"/>
  <c r="N1635" i="2" s="1"/>
  <c r="O1635" i="2" s="1"/>
  <c r="K1635" i="2"/>
  <c r="M1651" i="2"/>
  <c r="N1651" i="2" s="1"/>
  <c r="O1651" i="2" s="1"/>
  <c r="K1651" i="2"/>
  <c r="M1667" i="2"/>
  <c r="N1667" i="2" s="1"/>
  <c r="O1667" i="2" s="1"/>
  <c r="K1667" i="2"/>
  <c r="M1681" i="2"/>
  <c r="N1681" i="2" s="1"/>
  <c r="O1681" i="2" s="1"/>
  <c r="K1681" i="2"/>
  <c r="M1695" i="2"/>
  <c r="N1695" i="2" s="1"/>
  <c r="O1695" i="2" s="1"/>
  <c r="K1695" i="2"/>
  <c r="M1709" i="2"/>
  <c r="N1709" i="2" s="1"/>
  <c r="O1709" i="2" s="1"/>
  <c r="K1709" i="2"/>
  <c r="M136" i="2"/>
  <c r="N136" i="2" s="1"/>
  <c r="O136" i="2" s="1"/>
  <c r="K136" i="2"/>
  <c r="M154" i="2"/>
  <c r="N154" i="2" s="1"/>
  <c r="O154" i="2" s="1"/>
  <c r="K154" i="2"/>
  <c r="M172" i="2"/>
  <c r="N172" i="2" s="1"/>
  <c r="O172" i="2" s="1"/>
  <c r="K172" i="2"/>
  <c r="M188" i="2"/>
  <c r="N188" i="2" s="1"/>
  <c r="O188" i="2" s="1"/>
  <c r="K188" i="2"/>
  <c r="M1133" i="2"/>
  <c r="N1133" i="2" s="1"/>
  <c r="O1133" i="2" s="1"/>
  <c r="K1133" i="2"/>
  <c r="M1145" i="2"/>
  <c r="N1145" i="2" s="1"/>
  <c r="O1145" i="2" s="1"/>
  <c r="K1145" i="2"/>
  <c r="M1762" i="2"/>
  <c r="N1762" i="2" s="1"/>
  <c r="O1762" i="2" s="1"/>
  <c r="K1762" i="2"/>
  <c r="M1778" i="2"/>
  <c r="N1778" i="2" s="1"/>
  <c r="O1778" i="2" s="1"/>
  <c r="K1778" i="2"/>
  <c r="M1796" i="2"/>
  <c r="N1796" i="2" s="1"/>
  <c r="O1796" i="2" s="1"/>
  <c r="K1796" i="2"/>
  <c r="M1812" i="2"/>
  <c r="N1812" i="2" s="1"/>
  <c r="O1812" i="2" s="1"/>
  <c r="K1812" i="2"/>
  <c r="M539" i="2"/>
  <c r="N539" i="2" s="1"/>
  <c r="O539" i="2" s="1"/>
  <c r="K539" i="2"/>
  <c r="M549" i="2"/>
  <c r="N549" i="2" s="1"/>
  <c r="O549" i="2" s="1"/>
  <c r="K549" i="2"/>
  <c r="M108" i="2"/>
  <c r="N108" i="2" s="1"/>
  <c r="O108" i="2" s="1"/>
  <c r="K108" i="2"/>
  <c r="M5" i="2"/>
  <c r="N5" i="2" s="1"/>
  <c r="O5" i="2" s="1"/>
  <c r="K5" i="2"/>
  <c r="M20" i="2"/>
  <c r="N20" i="2" s="1"/>
  <c r="O20" i="2" s="1"/>
  <c r="K20" i="2"/>
  <c r="M38" i="2"/>
  <c r="N38" i="2" s="1"/>
  <c r="O38" i="2" s="1"/>
  <c r="K38" i="2"/>
  <c r="M54" i="2"/>
  <c r="N54" i="2" s="1"/>
  <c r="O54" i="2" s="1"/>
  <c r="K54" i="2"/>
  <c r="M73" i="2"/>
  <c r="N73" i="2" s="1"/>
  <c r="O73" i="2" s="1"/>
  <c r="K73" i="2"/>
  <c r="M89" i="2"/>
  <c r="N89" i="2" s="1"/>
  <c r="O89" i="2" s="1"/>
  <c r="K89" i="2"/>
  <c r="M1723" i="2"/>
  <c r="N1723" i="2" s="1"/>
  <c r="O1723" i="2" s="1"/>
  <c r="K1723" i="2"/>
  <c r="M1742" i="2"/>
  <c r="N1742" i="2" s="1"/>
  <c r="O1742" i="2" s="1"/>
  <c r="K1742" i="2"/>
  <c r="M1115" i="2"/>
  <c r="N1115" i="2" s="1"/>
  <c r="O1115" i="2" s="1"/>
  <c r="K1115" i="2"/>
  <c r="M203" i="2"/>
  <c r="N203" i="2" s="1"/>
  <c r="O203" i="2" s="1"/>
  <c r="K203" i="2"/>
  <c r="M224" i="2"/>
  <c r="N224" i="2" s="1"/>
  <c r="O224" i="2" s="1"/>
  <c r="K224" i="2"/>
  <c r="M245" i="2"/>
  <c r="N245" i="2" s="1"/>
  <c r="O245" i="2" s="1"/>
  <c r="K245" i="2"/>
  <c r="M268" i="2"/>
  <c r="N268" i="2" s="1"/>
  <c r="O268" i="2" s="1"/>
  <c r="K268" i="2"/>
  <c r="M291" i="2"/>
  <c r="N291" i="2" s="1"/>
  <c r="O291" i="2" s="1"/>
  <c r="K291" i="2"/>
  <c r="M304" i="2"/>
  <c r="N304" i="2" s="1"/>
  <c r="O304" i="2" s="1"/>
  <c r="K304" i="2"/>
  <c r="M317" i="2"/>
  <c r="N317" i="2" s="1"/>
  <c r="O317" i="2" s="1"/>
  <c r="K317" i="2"/>
  <c r="M333" i="2"/>
  <c r="N333" i="2" s="1"/>
  <c r="O333" i="2" s="1"/>
  <c r="K333" i="2"/>
  <c r="M349" i="2"/>
  <c r="N349" i="2" s="1"/>
  <c r="O349" i="2" s="1"/>
  <c r="K349" i="2"/>
  <c r="M363" i="2"/>
  <c r="N363" i="2" s="1"/>
  <c r="O363" i="2" s="1"/>
  <c r="K363" i="2"/>
  <c r="M377" i="2"/>
  <c r="N377" i="2" s="1"/>
  <c r="O377" i="2" s="1"/>
  <c r="K377" i="2"/>
  <c r="M394" i="2"/>
  <c r="N394" i="2" s="1"/>
  <c r="O394" i="2" s="1"/>
  <c r="K394" i="2"/>
  <c r="M412" i="2"/>
  <c r="N412" i="2" s="1"/>
  <c r="O412" i="2" s="1"/>
  <c r="K412" i="2"/>
  <c r="M436" i="2"/>
  <c r="N436" i="2" s="1"/>
  <c r="O436" i="2" s="1"/>
  <c r="K436" i="2"/>
  <c r="M460" i="2"/>
  <c r="N460" i="2" s="1"/>
  <c r="O460" i="2" s="1"/>
  <c r="K460" i="2"/>
  <c r="M484" i="2"/>
  <c r="N484" i="2" s="1"/>
  <c r="O484" i="2" s="1"/>
  <c r="K484" i="2"/>
  <c r="M560" i="2"/>
  <c r="N560" i="2" s="1"/>
  <c r="O560" i="2" s="1"/>
  <c r="K560" i="2"/>
  <c r="M586" i="2"/>
  <c r="N586" i="2" s="1"/>
  <c r="O586" i="2" s="1"/>
  <c r="K586" i="2"/>
  <c r="M612" i="2"/>
  <c r="N612" i="2" s="1"/>
  <c r="O612" i="2" s="1"/>
  <c r="K612" i="2"/>
  <c r="M638" i="2"/>
  <c r="N638" i="2" s="1"/>
  <c r="O638" i="2" s="1"/>
  <c r="K638" i="2"/>
  <c r="M664" i="2"/>
  <c r="N664" i="2" s="1"/>
  <c r="O664" i="2" s="1"/>
  <c r="K664" i="2"/>
  <c r="M692" i="2"/>
  <c r="N692" i="2" s="1"/>
  <c r="O692" i="2" s="1"/>
  <c r="K692" i="2"/>
  <c r="M719" i="2"/>
  <c r="N719" i="2" s="1"/>
  <c r="O719" i="2" s="1"/>
  <c r="K719" i="2"/>
  <c r="M741" i="2"/>
  <c r="N741" i="2" s="1"/>
  <c r="O741" i="2" s="1"/>
  <c r="K741" i="2"/>
  <c r="M763" i="2"/>
  <c r="N763" i="2" s="1"/>
  <c r="O763" i="2" s="1"/>
  <c r="K763" i="2"/>
  <c r="M776" i="2"/>
  <c r="N776" i="2" s="1"/>
  <c r="O776" i="2" s="1"/>
  <c r="K776" i="2"/>
  <c r="M789" i="2"/>
  <c r="N789" i="2" s="1"/>
  <c r="O789" i="2" s="1"/>
  <c r="K789" i="2"/>
  <c r="M811" i="2"/>
  <c r="N811" i="2" s="1"/>
  <c r="O811" i="2" s="1"/>
  <c r="K811" i="2"/>
  <c r="M833" i="2"/>
  <c r="N833" i="2" s="1"/>
  <c r="O833" i="2" s="1"/>
  <c r="K833" i="2"/>
  <c r="M857" i="2"/>
  <c r="N857" i="2" s="1"/>
  <c r="O857" i="2" s="1"/>
  <c r="K857" i="2"/>
  <c r="M881" i="2"/>
  <c r="N881" i="2" s="1"/>
  <c r="O881" i="2" s="1"/>
  <c r="K881" i="2"/>
  <c r="M902" i="2"/>
  <c r="N902" i="2" s="1"/>
  <c r="O902" i="2" s="1"/>
  <c r="K902" i="2"/>
  <c r="M923" i="2"/>
  <c r="N923" i="2" s="1"/>
  <c r="O923" i="2" s="1"/>
  <c r="K923" i="2"/>
  <c r="M942" i="2"/>
  <c r="N942" i="2" s="1"/>
  <c r="O942" i="2" s="1"/>
  <c r="K942" i="2"/>
  <c r="M962" i="2"/>
  <c r="N962" i="2" s="1"/>
  <c r="O962" i="2" s="1"/>
  <c r="K962" i="2"/>
  <c r="M987" i="2"/>
  <c r="N987" i="2" s="1"/>
  <c r="O987" i="2" s="1"/>
  <c r="K987" i="2"/>
  <c r="M1012" i="2"/>
  <c r="N1012" i="2" s="1"/>
  <c r="O1012" i="2" s="1"/>
  <c r="K1012" i="2"/>
  <c r="M1037" i="2"/>
  <c r="N1037" i="2" s="1"/>
  <c r="O1037" i="2" s="1"/>
  <c r="K1037" i="2"/>
  <c r="M1061" i="2"/>
  <c r="N1061" i="2" s="1"/>
  <c r="O1061" i="2" s="1"/>
  <c r="K1061" i="2"/>
  <c r="M1073" i="2"/>
  <c r="N1073" i="2" s="1"/>
  <c r="O1073" i="2" s="1"/>
  <c r="K1073" i="2"/>
  <c r="M1085" i="2"/>
  <c r="N1085" i="2" s="1"/>
  <c r="O1085" i="2" s="1"/>
  <c r="K1085" i="2"/>
  <c r="M1100" i="2"/>
  <c r="N1100" i="2" s="1"/>
  <c r="O1100" i="2" s="1"/>
  <c r="K1100" i="2"/>
  <c r="M1170" i="2"/>
  <c r="N1170" i="2" s="1"/>
  <c r="O1170" i="2" s="1"/>
  <c r="K1170" i="2"/>
  <c r="M1193" i="2"/>
  <c r="N1193" i="2" s="1"/>
  <c r="O1193" i="2" s="1"/>
  <c r="K1193" i="2"/>
  <c r="M1215" i="2"/>
  <c r="N1215" i="2" s="1"/>
  <c r="O1215" i="2" s="1"/>
  <c r="K1215" i="2"/>
  <c r="M1239" i="2"/>
  <c r="N1239" i="2" s="1"/>
  <c r="O1239" i="2" s="1"/>
  <c r="K1239" i="2"/>
  <c r="M1264" i="2"/>
  <c r="N1264" i="2" s="1"/>
  <c r="O1264" i="2" s="1"/>
  <c r="K1264" i="2"/>
  <c r="M1286" i="2"/>
  <c r="N1286" i="2" s="1"/>
  <c r="O1286" i="2" s="1"/>
  <c r="K1286" i="2"/>
  <c r="M1307" i="2"/>
  <c r="N1307" i="2" s="1"/>
  <c r="O1307" i="2" s="1"/>
  <c r="K1307" i="2"/>
  <c r="M1330" i="2"/>
  <c r="N1330" i="2" s="1"/>
  <c r="O1330" i="2" s="1"/>
  <c r="K1330" i="2"/>
  <c r="M1353" i="2"/>
  <c r="N1353" i="2" s="1"/>
  <c r="O1353" i="2" s="1"/>
  <c r="K1353" i="2"/>
  <c r="M1377" i="2"/>
  <c r="N1377" i="2" s="1"/>
  <c r="O1377" i="2" s="1"/>
  <c r="K1377" i="2"/>
  <c r="M1401" i="2"/>
  <c r="N1401" i="2" s="1"/>
  <c r="O1401" i="2" s="1"/>
  <c r="K1401" i="2"/>
  <c r="M1426" i="2"/>
  <c r="N1426" i="2" s="1"/>
  <c r="O1426" i="2" s="1"/>
  <c r="K1426" i="2"/>
  <c r="M1452" i="2"/>
  <c r="N1452" i="2" s="1"/>
  <c r="O1452" i="2" s="1"/>
  <c r="K1452" i="2"/>
  <c r="M1474" i="2"/>
  <c r="N1474" i="2" s="1"/>
  <c r="O1474" i="2" s="1"/>
  <c r="K1474" i="2"/>
  <c r="M1495" i="2"/>
  <c r="N1495" i="2" s="1"/>
  <c r="O1495" i="2" s="1"/>
  <c r="K1495" i="2"/>
  <c r="M1508" i="2"/>
  <c r="N1508" i="2" s="1"/>
  <c r="O1508" i="2" s="1"/>
  <c r="K1508" i="2"/>
  <c r="M1521" i="2"/>
  <c r="N1521" i="2" s="1"/>
  <c r="O1521" i="2" s="1"/>
  <c r="K1521" i="2"/>
  <c r="M1537" i="2"/>
  <c r="N1537" i="2" s="1"/>
  <c r="O1537" i="2" s="1"/>
  <c r="K1537" i="2"/>
  <c r="M1554" i="2"/>
  <c r="N1554" i="2" s="1"/>
  <c r="O1554" i="2" s="1"/>
  <c r="K1554" i="2"/>
  <c r="M1578" i="2"/>
  <c r="N1578" i="2" s="1"/>
  <c r="O1578" i="2" s="1"/>
  <c r="K1578" i="2"/>
  <c r="M1829" i="2"/>
  <c r="N1829" i="2" s="1"/>
  <c r="O1829" i="2" s="1"/>
  <c r="K1829" i="2"/>
  <c r="M1841" i="2"/>
  <c r="N1841" i="2" s="1"/>
  <c r="O1841" i="2" s="1"/>
  <c r="K1841" i="2"/>
  <c r="M1602" i="2"/>
  <c r="N1602" i="2" s="1"/>
  <c r="O1602" i="2" s="1"/>
  <c r="K1602" i="2"/>
  <c r="M1618" i="2"/>
  <c r="N1618" i="2" s="1"/>
  <c r="O1618" i="2" s="1"/>
  <c r="K1618" i="2"/>
  <c r="M1634" i="2"/>
  <c r="N1634" i="2" s="1"/>
  <c r="O1634" i="2" s="1"/>
  <c r="K1634" i="2"/>
  <c r="M1650" i="2"/>
  <c r="N1650" i="2" s="1"/>
  <c r="O1650" i="2" s="1"/>
  <c r="K1650" i="2"/>
  <c r="M1666" i="2"/>
  <c r="N1666" i="2" s="1"/>
  <c r="O1666" i="2" s="1"/>
  <c r="K1666" i="2"/>
  <c r="M1680" i="2"/>
  <c r="N1680" i="2" s="1"/>
  <c r="O1680" i="2" s="1"/>
  <c r="K1680" i="2"/>
  <c r="M1694" i="2"/>
  <c r="N1694" i="2" s="1"/>
  <c r="O1694" i="2" s="1"/>
  <c r="K1694" i="2"/>
  <c r="M1708" i="2"/>
  <c r="N1708" i="2" s="1"/>
  <c r="O1708" i="2" s="1"/>
  <c r="K1708" i="2"/>
  <c r="M135" i="2"/>
  <c r="N135" i="2" s="1"/>
  <c r="O135" i="2" s="1"/>
  <c r="K135" i="2"/>
  <c r="M153" i="2"/>
  <c r="N153" i="2" s="1"/>
  <c r="O153" i="2" s="1"/>
  <c r="K153" i="2"/>
  <c r="M171" i="2"/>
  <c r="N171" i="2" s="1"/>
  <c r="O171" i="2" s="1"/>
  <c r="K171" i="2"/>
  <c r="M187" i="2"/>
  <c r="N187" i="2" s="1"/>
  <c r="O187" i="2" s="1"/>
  <c r="K187" i="2"/>
  <c r="M1761" i="2"/>
  <c r="N1761" i="2" s="1"/>
  <c r="O1761" i="2" s="1"/>
  <c r="K1761" i="2"/>
  <c r="M1777" i="2"/>
  <c r="N1777" i="2" s="1"/>
  <c r="O1777" i="2" s="1"/>
  <c r="K1777" i="2"/>
  <c r="M1795" i="2"/>
  <c r="N1795" i="2" s="1"/>
  <c r="O1795" i="2" s="1"/>
  <c r="K1795" i="2"/>
  <c r="M1811" i="2"/>
  <c r="N1811" i="2" s="1"/>
  <c r="O1811" i="2" s="1"/>
  <c r="K1811" i="2"/>
  <c r="M4" i="2"/>
  <c r="N4" i="2" s="1"/>
  <c r="O4" i="2" s="1"/>
  <c r="K4" i="2"/>
  <c r="M19" i="2"/>
  <c r="N19" i="2" s="1"/>
  <c r="O19" i="2" s="1"/>
  <c r="K19" i="2"/>
  <c r="M37" i="2"/>
  <c r="N37" i="2" s="1"/>
  <c r="O37" i="2" s="1"/>
  <c r="K37" i="2"/>
  <c r="M53" i="2"/>
  <c r="N53" i="2" s="1"/>
  <c r="O53" i="2" s="1"/>
  <c r="K53" i="2"/>
  <c r="M72" i="2"/>
  <c r="N72" i="2" s="1"/>
  <c r="O72" i="2" s="1"/>
  <c r="K72" i="2"/>
  <c r="M88" i="2"/>
  <c r="N88" i="2" s="1"/>
  <c r="O88" i="2" s="1"/>
  <c r="K88" i="2"/>
  <c r="M1722" i="2"/>
  <c r="N1722" i="2" s="1"/>
  <c r="O1722" i="2" s="1"/>
  <c r="K1722" i="2"/>
  <c r="M1741" i="2"/>
  <c r="N1741" i="2" s="1"/>
  <c r="O1741" i="2" s="1"/>
  <c r="K1741" i="2"/>
  <c r="M107" i="2"/>
  <c r="N107" i="2" s="1"/>
  <c r="O107" i="2" s="1"/>
  <c r="K107" i="2"/>
  <c r="M1114" i="2"/>
  <c r="N1114" i="2" s="1"/>
  <c r="O1114" i="2" s="1"/>
  <c r="K1114" i="2"/>
  <c r="M202" i="2"/>
  <c r="N202" i="2" s="1"/>
  <c r="O202" i="2" s="1"/>
  <c r="K202" i="2"/>
  <c r="M223" i="2"/>
  <c r="N223" i="2" s="1"/>
  <c r="O223" i="2" s="1"/>
  <c r="K223" i="2"/>
  <c r="M244" i="2"/>
  <c r="N244" i="2" s="1"/>
  <c r="O244" i="2" s="1"/>
  <c r="K244" i="2"/>
  <c r="M267" i="2"/>
  <c r="N267" i="2" s="1"/>
  <c r="O267" i="2" s="1"/>
  <c r="K267" i="2"/>
  <c r="M290" i="2"/>
  <c r="N290" i="2" s="1"/>
  <c r="O290" i="2" s="1"/>
  <c r="K290" i="2"/>
  <c r="M303" i="2"/>
  <c r="N303" i="2" s="1"/>
  <c r="O303" i="2" s="1"/>
  <c r="K303" i="2"/>
  <c r="M316" i="2"/>
  <c r="N316" i="2" s="1"/>
  <c r="O316" i="2" s="1"/>
  <c r="K316" i="2"/>
  <c r="M332" i="2"/>
  <c r="N332" i="2" s="1"/>
  <c r="O332" i="2" s="1"/>
  <c r="K332" i="2"/>
  <c r="M348" i="2"/>
  <c r="N348" i="2" s="1"/>
  <c r="O348" i="2" s="1"/>
  <c r="K348" i="2"/>
  <c r="M362" i="2"/>
  <c r="N362" i="2" s="1"/>
  <c r="O362" i="2" s="1"/>
  <c r="K362" i="2"/>
  <c r="M376" i="2"/>
  <c r="N376" i="2" s="1"/>
  <c r="O376" i="2" s="1"/>
  <c r="K376" i="2"/>
  <c r="M393" i="2"/>
  <c r="N393" i="2" s="1"/>
  <c r="O393" i="2" s="1"/>
  <c r="K393" i="2"/>
  <c r="M411" i="2"/>
  <c r="N411" i="2" s="1"/>
  <c r="O411" i="2" s="1"/>
  <c r="K411" i="2"/>
  <c r="M435" i="2"/>
  <c r="N435" i="2" s="1"/>
  <c r="O435" i="2" s="1"/>
  <c r="K435" i="2"/>
  <c r="M459" i="2"/>
  <c r="N459" i="2" s="1"/>
  <c r="O459" i="2" s="1"/>
  <c r="K459" i="2"/>
  <c r="M483" i="2"/>
  <c r="N483" i="2" s="1"/>
  <c r="O483" i="2" s="1"/>
  <c r="K483" i="2"/>
  <c r="M506" i="2"/>
  <c r="N506" i="2" s="1"/>
  <c r="O506" i="2" s="1"/>
  <c r="K506" i="2"/>
  <c r="M522" i="2"/>
  <c r="N522" i="2" s="1"/>
  <c r="O522" i="2" s="1"/>
  <c r="K522" i="2"/>
  <c r="M559" i="2"/>
  <c r="N559" i="2" s="1"/>
  <c r="O559" i="2" s="1"/>
  <c r="K559" i="2"/>
  <c r="M585" i="2"/>
  <c r="N585" i="2" s="1"/>
  <c r="O585" i="2" s="1"/>
  <c r="K585" i="2"/>
  <c r="M611" i="2"/>
  <c r="N611" i="2" s="1"/>
  <c r="O611" i="2" s="1"/>
  <c r="K611" i="2"/>
  <c r="M637" i="2"/>
  <c r="N637" i="2" s="1"/>
  <c r="O637" i="2" s="1"/>
  <c r="K637" i="2"/>
  <c r="M663" i="2"/>
  <c r="N663" i="2" s="1"/>
  <c r="O663" i="2" s="1"/>
  <c r="K663" i="2"/>
  <c r="M691" i="2"/>
  <c r="N691" i="2" s="1"/>
  <c r="O691" i="2" s="1"/>
  <c r="K691" i="2"/>
  <c r="M718" i="2"/>
  <c r="N718" i="2" s="1"/>
  <c r="O718" i="2" s="1"/>
  <c r="K718" i="2"/>
  <c r="M740" i="2"/>
  <c r="N740" i="2" s="1"/>
  <c r="O740" i="2" s="1"/>
  <c r="K740" i="2"/>
  <c r="M762" i="2"/>
  <c r="N762" i="2" s="1"/>
  <c r="O762" i="2" s="1"/>
  <c r="K762" i="2"/>
  <c r="M775" i="2"/>
  <c r="N775" i="2" s="1"/>
  <c r="O775" i="2" s="1"/>
  <c r="K775" i="2"/>
  <c r="M788" i="2"/>
  <c r="N788" i="2" s="1"/>
  <c r="O788" i="2" s="1"/>
  <c r="K788" i="2"/>
  <c r="M810" i="2"/>
  <c r="N810" i="2" s="1"/>
  <c r="O810" i="2" s="1"/>
  <c r="K810" i="2"/>
  <c r="M832" i="2"/>
  <c r="N832" i="2" s="1"/>
  <c r="O832" i="2" s="1"/>
  <c r="K832" i="2"/>
  <c r="M856" i="2"/>
  <c r="N856" i="2" s="1"/>
  <c r="O856" i="2" s="1"/>
  <c r="K856" i="2"/>
  <c r="M880" i="2"/>
  <c r="N880" i="2" s="1"/>
  <c r="O880" i="2" s="1"/>
  <c r="K880" i="2"/>
  <c r="M901" i="2"/>
  <c r="N901" i="2" s="1"/>
  <c r="O901" i="2" s="1"/>
  <c r="K901" i="2"/>
  <c r="M922" i="2"/>
  <c r="N922" i="2" s="1"/>
  <c r="O922" i="2" s="1"/>
  <c r="K922" i="2"/>
  <c r="M941" i="2"/>
  <c r="N941" i="2" s="1"/>
  <c r="O941" i="2" s="1"/>
  <c r="K941" i="2"/>
  <c r="M961" i="2"/>
  <c r="N961" i="2" s="1"/>
  <c r="O961" i="2" s="1"/>
  <c r="K961" i="2"/>
  <c r="M986" i="2"/>
  <c r="N986" i="2" s="1"/>
  <c r="O986" i="2" s="1"/>
  <c r="K986" i="2"/>
  <c r="M1011" i="2"/>
  <c r="N1011" i="2" s="1"/>
  <c r="O1011" i="2" s="1"/>
  <c r="K1011" i="2"/>
  <c r="M1036" i="2"/>
  <c r="N1036" i="2" s="1"/>
  <c r="O1036" i="2" s="1"/>
  <c r="K1036" i="2"/>
  <c r="M1060" i="2"/>
  <c r="N1060" i="2" s="1"/>
  <c r="O1060" i="2" s="1"/>
  <c r="K1060" i="2"/>
  <c r="M1072" i="2"/>
  <c r="N1072" i="2" s="1"/>
  <c r="O1072" i="2" s="1"/>
  <c r="K1072" i="2"/>
  <c r="M1084" i="2"/>
  <c r="N1084" i="2" s="1"/>
  <c r="O1084" i="2" s="1"/>
  <c r="K1084" i="2"/>
  <c r="M1099" i="2"/>
  <c r="N1099" i="2" s="1"/>
  <c r="O1099" i="2" s="1"/>
  <c r="K1099" i="2"/>
  <c r="M1169" i="2"/>
  <c r="N1169" i="2" s="1"/>
  <c r="O1169" i="2" s="1"/>
  <c r="K1169" i="2"/>
  <c r="M1192" i="2"/>
  <c r="N1192" i="2" s="1"/>
  <c r="O1192" i="2" s="1"/>
  <c r="K1192" i="2"/>
  <c r="M1214" i="2"/>
  <c r="N1214" i="2" s="1"/>
  <c r="O1214" i="2" s="1"/>
  <c r="K1214" i="2"/>
  <c r="M1238" i="2"/>
  <c r="N1238" i="2" s="1"/>
  <c r="O1238" i="2" s="1"/>
  <c r="K1238" i="2"/>
  <c r="M1263" i="2"/>
  <c r="N1263" i="2" s="1"/>
  <c r="O1263" i="2" s="1"/>
  <c r="K1263" i="2"/>
  <c r="M1285" i="2"/>
  <c r="N1285" i="2" s="1"/>
  <c r="O1285" i="2" s="1"/>
  <c r="K1285" i="2"/>
  <c r="M1306" i="2"/>
  <c r="N1306" i="2" s="1"/>
  <c r="O1306" i="2" s="1"/>
  <c r="K1306" i="2"/>
  <c r="M1329" i="2"/>
  <c r="N1329" i="2" s="1"/>
  <c r="O1329" i="2" s="1"/>
  <c r="K1329" i="2"/>
  <c r="M1352" i="2"/>
  <c r="N1352" i="2" s="1"/>
  <c r="O1352" i="2" s="1"/>
  <c r="K1352" i="2"/>
  <c r="M1376" i="2"/>
  <c r="N1376" i="2" s="1"/>
  <c r="O1376" i="2" s="1"/>
  <c r="K1376" i="2"/>
  <c r="M1400" i="2"/>
  <c r="N1400" i="2" s="1"/>
  <c r="O1400" i="2" s="1"/>
  <c r="K1400" i="2"/>
  <c r="M1425" i="2"/>
  <c r="N1425" i="2" s="1"/>
  <c r="O1425" i="2" s="1"/>
  <c r="K1425" i="2"/>
  <c r="M1451" i="2"/>
  <c r="N1451" i="2" s="1"/>
  <c r="O1451" i="2" s="1"/>
  <c r="K1451" i="2"/>
  <c r="M1473" i="2"/>
  <c r="N1473" i="2" s="1"/>
  <c r="O1473" i="2" s="1"/>
  <c r="K1473" i="2"/>
  <c r="M1494" i="2"/>
  <c r="N1494" i="2" s="1"/>
  <c r="O1494" i="2" s="1"/>
  <c r="K1494" i="2"/>
  <c r="M1507" i="2"/>
  <c r="N1507" i="2" s="1"/>
  <c r="O1507" i="2" s="1"/>
  <c r="K1507" i="2"/>
  <c r="M1520" i="2"/>
  <c r="N1520" i="2" s="1"/>
  <c r="O1520" i="2" s="1"/>
  <c r="K1520" i="2"/>
  <c r="M1536" i="2"/>
  <c r="N1536" i="2" s="1"/>
  <c r="O1536" i="2" s="1"/>
  <c r="K1536" i="2"/>
  <c r="M1553" i="2"/>
  <c r="N1553" i="2" s="1"/>
  <c r="O1553" i="2" s="1"/>
  <c r="K1553" i="2"/>
  <c r="M1577" i="2"/>
  <c r="N1577" i="2" s="1"/>
  <c r="O1577" i="2" s="1"/>
  <c r="K1577" i="2"/>
  <c r="M1828" i="2"/>
  <c r="N1828" i="2" s="1"/>
  <c r="O1828" i="2" s="1"/>
  <c r="K1828" i="2"/>
  <c r="M1840" i="2"/>
  <c r="N1840" i="2" s="1"/>
  <c r="O1840" i="2" s="1"/>
  <c r="K1840" i="2"/>
  <c r="M1601" i="2"/>
  <c r="N1601" i="2" s="1"/>
  <c r="O1601" i="2" s="1"/>
  <c r="K1601" i="2"/>
  <c r="M1617" i="2"/>
  <c r="N1617" i="2" s="1"/>
  <c r="O1617" i="2" s="1"/>
  <c r="K1617" i="2"/>
  <c r="M1633" i="2"/>
  <c r="N1633" i="2" s="1"/>
  <c r="O1633" i="2" s="1"/>
  <c r="K1633" i="2"/>
  <c r="M1649" i="2"/>
  <c r="N1649" i="2" s="1"/>
  <c r="O1649" i="2" s="1"/>
  <c r="K1649" i="2"/>
  <c r="M1665" i="2"/>
  <c r="N1665" i="2" s="1"/>
  <c r="O1665" i="2" s="1"/>
  <c r="K1665" i="2"/>
  <c r="M1679" i="2"/>
  <c r="N1679" i="2" s="1"/>
  <c r="O1679" i="2" s="1"/>
  <c r="K1679" i="2"/>
  <c r="M1693" i="2"/>
  <c r="N1693" i="2" s="1"/>
  <c r="O1693" i="2" s="1"/>
  <c r="K1693" i="2"/>
  <c r="M1707" i="2"/>
  <c r="N1707" i="2" s="1"/>
  <c r="O1707" i="2" s="1"/>
  <c r="K1707" i="2"/>
  <c r="M134" i="2"/>
  <c r="N134" i="2" s="1"/>
  <c r="O134" i="2" s="1"/>
  <c r="K134" i="2"/>
  <c r="M152" i="2"/>
  <c r="N152" i="2" s="1"/>
  <c r="O152" i="2" s="1"/>
  <c r="K152" i="2"/>
  <c r="M170" i="2"/>
  <c r="N170" i="2" s="1"/>
  <c r="O170" i="2" s="1"/>
  <c r="K170" i="2"/>
  <c r="M186" i="2"/>
  <c r="N186" i="2" s="1"/>
  <c r="O186" i="2" s="1"/>
  <c r="K186" i="2"/>
  <c r="M1132" i="2"/>
  <c r="N1132" i="2" s="1"/>
  <c r="O1132" i="2" s="1"/>
  <c r="K1132" i="2"/>
  <c r="M1144" i="2"/>
  <c r="N1144" i="2" s="1"/>
  <c r="O1144" i="2" s="1"/>
  <c r="K1144" i="2"/>
  <c r="M1760" i="2"/>
  <c r="N1760" i="2" s="1"/>
  <c r="O1760" i="2" s="1"/>
  <c r="K1760" i="2"/>
  <c r="M1776" i="2"/>
  <c r="N1776" i="2" s="1"/>
  <c r="O1776" i="2" s="1"/>
  <c r="K1776" i="2"/>
  <c r="M1794" i="2"/>
  <c r="N1794" i="2" s="1"/>
  <c r="O1794" i="2" s="1"/>
  <c r="K1794" i="2"/>
  <c r="M1810" i="2"/>
  <c r="N1810" i="2" s="1"/>
  <c r="O1810" i="2" s="1"/>
  <c r="K1810" i="2"/>
  <c r="M3" i="2"/>
  <c r="N3" i="2" s="1"/>
  <c r="O3" i="2" s="1"/>
  <c r="K3" i="2"/>
  <c r="M36" i="2"/>
  <c r="N36" i="2" s="1"/>
  <c r="O36" i="2" s="1"/>
  <c r="K36" i="2"/>
  <c r="M71" i="2"/>
  <c r="N71" i="2" s="1"/>
  <c r="O71" i="2" s="1"/>
  <c r="K71" i="2"/>
  <c r="M538" i="2"/>
  <c r="N538" i="2" s="1"/>
  <c r="O538" i="2" s="1"/>
  <c r="K538" i="2"/>
  <c r="M548" i="2"/>
  <c r="N548" i="2" s="1"/>
  <c r="O548" i="2" s="1"/>
  <c r="K548" i="2"/>
  <c r="M410" i="2"/>
  <c r="N410" i="2" s="1"/>
  <c r="O410" i="2" s="1"/>
  <c r="K410" i="2"/>
  <c r="M434" i="2"/>
  <c r="N434" i="2" s="1"/>
  <c r="O434" i="2" s="1"/>
  <c r="K434" i="2"/>
  <c r="M458" i="2"/>
  <c r="N458" i="2" s="1"/>
  <c r="O458" i="2" s="1"/>
  <c r="K458" i="2"/>
  <c r="M482" i="2"/>
  <c r="N482" i="2" s="1"/>
  <c r="O482" i="2" s="1"/>
  <c r="K482" i="2"/>
  <c r="M558" i="2"/>
  <c r="N558" i="2" s="1"/>
  <c r="O558" i="2" s="1"/>
  <c r="K558" i="2"/>
  <c r="M584" i="2"/>
  <c r="N584" i="2" s="1"/>
  <c r="O584" i="2" s="1"/>
  <c r="K584" i="2"/>
  <c r="M610" i="2"/>
  <c r="N610" i="2" s="1"/>
  <c r="O610" i="2" s="1"/>
  <c r="K610" i="2"/>
  <c r="M636" i="2"/>
  <c r="N636" i="2" s="1"/>
  <c r="O636" i="2" s="1"/>
  <c r="K636" i="2"/>
  <c r="M662" i="2"/>
  <c r="N662" i="2" s="1"/>
  <c r="O662" i="2" s="1"/>
  <c r="K662" i="2"/>
  <c r="M690" i="2"/>
  <c r="N690" i="2" s="1"/>
  <c r="O690" i="2" s="1"/>
  <c r="K690" i="2"/>
  <c r="M960" i="2"/>
  <c r="N960" i="2" s="1"/>
  <c r="O960" i="2" s="1"/>
  <c r="K960" i="2"/>
  <c r="M985" i="2"/>
  <c r="N985" i="2" s="1"/>
  <c r="O985" i="2" s="1"/>
  <c r="K985" i="2"/>
  <c r="M1010" i="2"/>
  <c r="N1010" i="2" s="1"/>
  <c r="O1010" i="2" s="1"/>
  <c r="K1010" i="2"/>
  <c r="M1035" i="2"/>
  <c r="N1035" i="2" s="1"/>
  <c r="O1035" i="2" s="1"/>
  <c r="K1035" i="2"/>
  <c r="M1155" i="2"/>
  <c r="N1155" i="2" s="1"/>
  <c r="O1155" i="2" s="1"/>
  <c r="K1155" i="2"/>
  <c r="M1168" i="2"/>
  <c r="N1168" i="2" s="1"/>
  <c r="O1168" i="2" s="1"/>
  <c r="K1168" i="2"/>
  <c r="M1191" i="2"/>
  <c r="N1191" i="2" s="1"/>
  <c r="O1191" i="2" s="1"/>
  <c r="K1191" i="2"/>
  <c r="M1262" i="2"/>
  <c r="N1262" i="2" s="1"/>
  <c r="O1262" i="2" s="1"/>
  <c r="K1262" i="2"/>
  <c r="M1284" i="2"/>
  <c r="N1284" i="2" s="1"/>
  <c r="O1284" i="2" s="1"/>
  <c r="K1284" i="2"/>
  <c r="M1450" i="2"/>
  <c r="N1450" i="2" s="1"/>
  <c r="O1450" i="2" s="1"/>
  <c r="K1450" i="2"/>
  <c r="M1472" i="2"/>
  <c r="N1472" i="2" s="1"/>
  <c r="O1472" i="2" s="1"/>
  <c r="K1472" i="2"/>
  <c r="M1552" i="2"/>
  <c r="N1552" i="2" s="1"/>
  <c r="O1552" i="2" s="1"/>
  <c r="K1552" i="2"/>
  <c r="M1576" i="2"/>
  <c r="N1576" i="2" s="1"/>
  <c r="O1576" i="2" s="1"/>
  <c r="K1576" i="2"/>
  <c r="M1721" i="2"/>
  <c r="N1721" i="2" s="1"/>
  <c r="O1721" i="2" s="1"/>
  <c r="K1721" i="2"/>
  <c r="M1740" i="2"/>
  <c r="N1740" i="2" s="1"/>
  <c r="O1740" i="2" s="1"/>
  <c r="K1740" i="2"/>
  <c r="M1167" i="2"/>
  <c r="N1167" i="2" s="1"/>
  <c r="O1167" i="2" s="1"/>
  <c r="K1167" i="2"/>
  <c r="M35" i="2"/>
  <c r="N35" i="2" s="1"/>
  <c r="O35" i="2" s="1"/>
  <c r="K35" i="2"/>
  <c r="M70" i="2"/>
  <c r="N70" i="2" s="1"/>
  <c r="K70" i="2"/>
  <c r="M105" i="2"/>
  <c r="N105" i="2" s="1"/>
  <c r="O105" i="2" s="1"/>
  <c r="K105" i="2"/>
  <c r="M1739" i="2"/>
  <c r="N1739" i="2" s="1"/>
  <c r="O1739" i="2" s="1"/>
  <c r="K1739" i="2"/>
  <c r="M1759" i="2"/>
  <c r="N1759" i="2" s="1"/>
  <c r="O1759" i="2" s="1"/>
  <c r="K1759" i="2"/>
  <c r="M739" i="2"/>
  <c r="N739" i="2" s="1"/>
  <c r="O739" i="2" s="1"/>
  <c r="K739" i="2"/>
  <c r="M761" i="2"/>
  <c r="N761" i="2" s="1"/>
  <c r="O761" i="2" s="1"/>
  <c r="K761" i="2"/>
  <c r="M809" i="2"/>
  <c r="N809" i="2" s="1"/>
  <c r="O809" i="2" s="1"/>
  <c r="K809" i="2"/>
  <c r="M831" i="2"/>
  <c r="N831" i="2" s="1"/>
  <c r="O831" i="2" s="1"/>
  <c r="K831" i="2"/>
  <c r="M855" i="2"/>
  <c r="N855" i="2" s="1"/>
  <c r="O855" i="2" s="1"/>
  <c r="K855" i="2"/>
  <c r="M879" i="2"/>
  <c r="N879" i="2" s="1"/>
  <c r="O879" i="2" s="1"/>
  <c r="K879" i="2"/>
  <c r="M940" i="2"/>
  <c r="N940" i="2" s="1"/>
  <c r="O940" i="2" s="1"/>
  <c r="K940" i="2"/>
  <c r="M959" i="2"/>
  <c r="N959" i="2" s="1"/>
  <c r="O959" i="2" s="1"/>
  <c r="K959" i="2"/>
  <c r="M984" i="2"/>
  <c r="N984" i="2" s="1"/>
  <c r="O984" i="2" s="1"/>
  <c r="K984" i="2"/>
  <c r="M1009" i="2"/>
  <c r="N1009" i="2" s="1"/>
  <c r="O1009" i="2" s="1"/>
  <c r="K1009" i="2"/>
  <c r="M1237" i="2"/>
  <c r="N1237" i="2" s="1"/>
  <c r="O1237" i="2" s="1"/>
  <c r="K1237" i="2"/>
  <c r="M1261" i="2"/>
  <c r="N1261" i="2" s="1"/>
  <c r="O1261" i="2" s="1"/>
  <c r="K1261" i="2"/>
  <c r="M1283" i="2"/>
  <c r="N1283" i="2" s="1"/>
  <c r="O1283" i="2" s="1"/>
  <c r="K1283" i="2"/>
  <c r="M1305" i="2"/>
  <c r="N1305" i="2" s="1"/>
  <c r="O1305" i="2" s="1"/>
  <c r="K1305" i="2"/>
  <c r="M1328" i="2"/>
  <c r="N1328" i="2" s="1"/>
  <c r="O1328" i="2" s="1"/>
  <c r="K1328" i="2"/>
  <c r="M1351" i="2"/>
  <c r="N1351" i="2" s="1"/>
  <c r="O1351" i="2" s="1"/>
  <c r="K1351" i="2"/>
  <c r="M1375" i="2"/>
  <c r="N1375" i="2" s="1"/>
  <c r="O1375" i="2" s="1"/>
  <c r="K1375" i="2"/>
  <c r="M1399" i="2"/>
  <c r="N1399" i="2" s="1"/>
  <c r="O1399" i="2" s="1"/>
  <c r="K1399" i="2"/>
  <c r="M151" i="2"/>
  <c r="N151" i="2" s="1"/>
  <c r="O151" i="2" s="1"/>
  <c r="K151" i="2"/>
  <c r="M169" i="2"/>
  <c r="N169" i="2" s="1"/>
  <c r="O169" i="2" s="1"/>
  <c r="K169" i="2"/>
  <c r="M185" i="2"/>
  <c r="N185" i="2" s="1"/>
  <c r="K185" i="2"/>
  <c r="M201" i="2"/>
  <c r="N201" i="2" s="1"/>
  <c r="O201" i="2" s="1"/>
  <c r="K201" i="2"/>
  <c r="M1775" i="2"/>
  <c r="N1775" i="2" s="1"/>
  <c r="O1775" i="2" s="1"/>
  <c r="K1775" i="2"/>
  <c r="M1793" i="2"/>
  <c r="N1793" i="2" s="1"/>
  <c r="O1793" i="2" s="1"/>
  <c r="K1793" i="2"/>
  <c r="M1809" i="2"/>
  <c r="N1809" i="2" s="1"/>
  <c r="K1809" i="2"/>
  <c r="M1827" i="2"/>
  <c r="N1827" i="2" s="1"/>
  <c r="O1827" i="2" s="1"/>
  <c r="K1827" i="2"/>
  <c r="M222" i="2"/>
  <c r="N222" i="2" s="1"/>
  <c r="O222" i="2" s="1"/>
  <c r="K222" i="2"/>
  <c r="M243" i="2"/>
  <c r="N243" i="2" s="1"/>
  <c r="O243" i="2" s="1"/>
  <c r="K243" i="2"/>
  <c r="M266" i="2"/>
  <c r="N266" i="2" s="1"/>
  <c r="O266" i="2" s="1"/>
  <c r="K266" i="2"/>
  <c r="M289" i="2"/>
  <c r="N289" i="2" s="1"/>
  <c r="O289" i="2" s="1"/>
  <c r="K289" i="2"/>
  <c r="M433" i="2"/>
  <c r="N433" i="2" s="1"/>
  <c r="O433" i="2" s="1"/>
  <c r="K433" i="2"/>
  <c r="M457" i="2"/>
  <c r="N457" i="2" s="1"/>
  <c r="O457" i="2" s="1"/>
  <c r="K457" i="2"/>
  <c r="M481" i="2"/>
  <c r="N481" i="2" s="1"/>
  <c r="O481" i="2" s="1"/>
  <c r="K481" i="2"/>
  <c r="M505" i="2"/>
  <c r="N505" i="2" s="1"/>
  <c r="O505" i="2" s="1"/>
  <c r="K505" i="2"/>
  <c r="M583" i="2"/>
  <c r="N583" i="2" s="1"/>
  <c r="O583" i="2" s="1"/>
  <c r="K583" i="2"/>
  <c r="M609" i="2"/>
  <c r="N609" i="2" s="1"/>
  <c r="O609" i="2" s="1"/>
  <c r="K609" i="2"/>
  <c r="M635" i="2"/>
  <c r="N635" i="2" s="1"/>
  <c r="O635" i="2" s="1"/>
  <c r="K635" i="2"/>
  <c r="M661" i="2"/>
  <c r="N661" i="2" s="1"/>
  <c r="O661" i="2" s="1"/>
  <c r="K661" i="2"/>
  <c r="M689" i="2"/>
  <c r="N689" i="2" s="1"/>
  <c r="O689" i="2" s="1"/>
  <c r="K689" i="2"/>
  <c r="M717" i="2"/>
  <c r="N717" i="2" s="1"/>
  <c r="O717" i="2" s="1"/>
  <c r="K717" i="2"/>
  <c r="M808" i="2"/>
  <c r="N808" i="2" s="1"/>
  <c r="O808" i="2" s="1"/>
  <c r="K808" i="2"/>
  <c r="M830" i="2"/>
  <c r="N830" i="2" s="1"/>
  <c r="O830" i="2" s="1"/>
  <c r="K830" i="2"/>
  <c r="M854" i="2"/>
  <c r="N854" i="2" s="1"/>
  <c r="O854" i="2" s="1"/>
  <c r="K854" i="2"/>
  <c r="M878" i="2"/>
  <c r="N878" i="2" s="1"/>
  <c r="O878" i="2" s="1"/>
  <c r="K878" i="2"/>
  <c r="M900" i="2"/>
  <c r="N900" i="2" s="1"/>
  <c r="O900" i="2" s="1"/>
  <c r="K900" i="2"/>
  <c r="M921" i="2"/>
  <c r="N921" i="2" s="1"/>
  <c r="O921" i="2" s="1"/>
  <c r="K921" i="2"/>
  <c r="M983" i="2"/>
  <c r="N983" i="2" s="1"/>
  <c r="O983" i="2" s="1"/>
  <c r="K983" i="2"/>
  <c r="M1008" i="2"/>
  <c r="N1008" i="2" s="1"/>
  <c r="O1008" i="2" s="1"/>
  <c r="K1008" i="2"/>
  <c r="M1034" i="2"/>
  <c r="N1034" i="2" s="1"/>
  <c r="O1034" i="2" s="1"/>
  <c r="K1034" i="2"/>
  <c r="M1059" i="2"/>
  <c r="N1059" i="2" s="1"/>
  <c r="O1059" i="2" s="1"/>
  <c r="K1059" i="2"/>
  <c r="M1190" i="2"/>
  <c r="N1190" i="2" s="1"/>
  <c r="O1190" i="2" s="1"/>
  <c r="K1190" i="2"/>
  <c r="M1213" i="2"/>
  <c r="N1213" i="2" s="1"/>
  <c r="O1213" i="2" s="1"/>
  <c r="K1213" i="2"/>
  <c r="M1282" i="2"/>
  <c r="N1282" i="2" s="1"/>
  <c r="O1282" i="2" s="1"/>
  <c r="K1282" i="2"/>
  <c r="M1304" i="2"/>
  <c r="N1304" i="2" s="1"/>
  <c r="O1304" i="2" s="1"/>
  <c r="K1304" i="2"/>
  <c r="M1327" i="2"/>
  <c r="N1327" i="2" s="1"/>
  <c r="O1327" i="2" s="1"/>
  <c r="K1327" i="2"/>
  <c r="M1350" i="2"/>
  <c r="N1350" i="2" s="1"/>
  <c r="O1350" i="2" s="1"/>
  <c r="K1350" i="2"/>
  <c r="M1424" i="2"/>
  <c r="N1424" i="2" s="1"/>
  <c r="O1424" i="2" s="1"/>
  <c r="K1424" i="2"/>
  <c r="M1449" i="2"/>
  <c r="N1449" i="2" s="1"/>
  <c r="O1449" i="2" s="1"/>
  <c r="K1449" i="2"/>
  <c r="M1471" i="2"/>
  <c r="N1471" i="2" s="1"/>
  <c r="K1471" i="2"/>
  <c r="M1493" i="2"/>
  <c r="N1493" i="2" s="1"/>
  <c r="O1493" i="2" s="1"/>
  <c r="K1493" i="2"/>
  <c r="M1575" i="2"/>
  <c r="N1575" i="2" s="1"/>
  <c r="O1575" i="2" s="1"/>
  <c r="K1575" i="2"/>
  <c r="M1599" i="2"/>
  <c r="N1599" i="2" s="1"/>
  <c r="O1599" i="2" s="1"/>
  <c r="K1599" i="2"/>
  <c r="M265" i="2"/>
  <c r="N265" i="2" s="1"/>
  <c r="O265" i="2" s="1"/>
  <c r="K265" i="2"/>
  <c r="M288" i="2"/>
  <c r="N288" i="2" s="1"/>
  <c r="O288" i="2" s="1"/>
  <c r="K288" i="2"/>
  <c r="M331" i="2"/>
  <c r="N331" i="2" s="1"/>
  <c r="O331" i="2" s="1"/>
  <c r="K331" i="2"/>
  <c r="M347" i="2"/>
  <c r="N347" i="2" s="1"/>
  <c r="O347" i="2" s="1"/>
  <c r="K347" i="2"/>
  <c r="M392" i="2"/>
  <c r="N392" i="2" s="1"/>
  <c r="O392" i="2" s="1"/>
  <c r="K392" i="2"/>
  <c r="M409" i="2"/>
  <c r="N409" i="2" s="1"/>
  <c r="O409" i="2" s="1"/>
  <c r="K409" i="2"/>
  <c r="M688" i="2"/>
  <c r="N688" i="2" s="1"/>
  <c r="O688" i="2" s="1"/>
  <c r="K688" i="2"/>
  <c r="M716" i="2"/>
  <c r="N716" i="2" s="1"/>
  <c r="O716" i="2" s="1"/>
  <c r="K716" i="2"/>
  <c r="M853" i="2"/>
  <c r="N853" i="2" s="1"/>
  <c r="O853" i="2" s="1"/>
  <c r="K853" i="2"/>
  <c r="M877" i="2"/>
  <c r="N877" i="2" s="1"/>
  <c r="O877" i="2" s="1"/>
  <c r="K877" i="2"/>
  <c r="M899" i="2"/>
  <c r="N899" i="2" s="1"/>
  <c r="O899" i="2" s="1"/>
  <c r="K899" i="2"/>
  <c r="M920" i="2"/>
  <c r="N920" i="2" s="1"/>
  <c r="O920" i="2" s="1"/>
  <c r="K920" i="2"/>
  <c r="M1098" i="2"/>
  <c r="N1098" i="2" s="1"/>
  <c r="O1098" i="2" s="1"/>
  <c r="K1098" i="2"/>
  <c r="M1113" i="2"/>
  <c r="N1113" i="2" s="1"/>
  <c r="O1113" i="2" s="1"/>
  <c r="K1113" i="2"/>
  <c r="M1326" i="2"/>
  <c r="N1326" i="2" s="1"/>
  <c r="O1326" i="2" s="1"/>
  <c r="K1326" i="2"/>
  <c r="M1349" i="2"/>
  <c r="N1349" i="2" s="1"/>
  <c r="O1349" i="2" s="1"/>
  <c r="K1349" i="2"/>
  <c r="M1423" i="2"/>
  <c r="N1423" i="2" s="1"/>
  <c r="O1423" i="2" s="1"/>
  <c r="K1423" i="2"/>
  <c r="M1448" i="2"/>
  <c r="N1448" i="2" s="1"/>
  <c r="O1448" i="2" s="1"/>
  <c r="K1448" i="2"/>
  <c r="M1535" i="2"/>
  <c r="N1535" i="2" s="1"/>
  <c r="O1535" i="2" s="1"/>
  <c r="K1535" i="2"/>
  <c r="M1551" i="2"/>
  <c r="N1551" i="2" s="1"/>
  <c r="O1551" i="2" s="1"/>
  <c r="K1551" i="2"/>
  <c r="M1854" i="2"/>
  <c r="N1854" i="2" s="1"/>
  <c r="O1854" i="2" s="1"/>
  <c r="K1854" i="2"/>
  <c r="M1678" i="2"/>
  <c r="N1678" i="2" s="1"/>
  <c r="O1678" i="2" s="1"/>
  <c r="K1678" i="2"/>
  <c r="M1692" i="2"/>
  <c r="N1692" i="2" s="1"/>
  <c r="O1692" i="2" s="1"/>
  <c r="K1692" i="2"/>
  <c r="M150" i="2"/>
  <c r="N150" i="2" s="1"/>
  <c r="O150" i="2" s="1"/>
  <c r="K150" i="2"/>
  <c r="M168" i="2"/>
  <c r="N168" i="2" s="1"/>
  <c r="O168" i="2" s="1"/>
  <c r="K168" i="2"/>
  <c r="M1792" i="2"/>
  <c r="N1792" i="2" s="1"/>
  <c r="O1792" i="2" s="1"/>
  <c r="K1792" i="2"/>
  <c r="M1826" i="2"/>
  <c r="N1826" i="2" s="1"/>
  <c r="O1826" i="2" s="1"/>
  <c r="K1826" i="2"/>
  <c r="M738" i="2"/>
  <c r="N738" i="2" s="1"/>
  <c r="O738" i="2" s="1"/>
  <c r="K738" i="2"/>
  <c r="M760" i="2"/>
  <c r="N760" i="2" s="1"/>
  <c r="O760" i="2" s="1"/>
  <c r="K760" i="2"/>
  <c r="M1166" i="2"/>
  <c r="N1166" i="2" s="1"/>
  <c r="O1166" i="2" s="1"/>
  <c r="K1166" i="2"/>
  <c r="M264" i="2"/>
  <c r="N264" i="2" s="1"/>
  <c r="O264" i="2" s="1"/>
  <c r="K264" i="2"/>
  <c r="M287" i="2"/>
  <c r="N287" i="2" s="1"/>
  <c r="O287" i="2" s="1"/>
  <c r="K287" i="2"/>
  <c r="M330" i="2"/>
  <c r="N330" i="2" s="1"/>
  <c r="O330" i="2" s="1"/>
  <c r="K330" i="2"/>
  <c r="M346" i="2"/>
  <c r="N346" i="2" s="1"/>
  <c r="O346" i="2" s="1"/>
  <c r="K346" i="2"/>
  <c r="M391" i="2"/>
  <c r="N391" i="2" s="1"/>
  <c r="O391" i="2" s="1"/>
  <c r="K391" i="2"/>
  <c r="M408" i="2"/>
  <c r="N408" i="2" s="1"/>
  <c r="O408" i="2" s="1"/>
  <c r="K408" i="2"/>
  <c r="M687" i="2"/>
  <c r="N687" i="2" s="1"/>
  <c r="O687" i="2" s="1"/>
  <c r="K687" i="2"/>
  <c r="M715" i="2"/>
  <c r="N715" i="2" s="1"/>
  <c r="O715" i="2" s="1"/>
  <c r="K715" i="2"/>
  <c r="M852" i="2"/>
  <c r="N852" i="2" s="1"/>
  <c r="O852" i="2" s="1"/>
  <c r="K852" i="2"/>
  <c r="M876" i="2"/>
  <c r="N876" i="2" s="1"/>
  <c r="O876" i="2" s="1"/>
  <c r="K876" i="2"/>
  <c r="M898" i="2"/>
  <c r="N898" i="2" s="1"/>
  <c r="O898" i="2" s="1"/>
  <c r="K898" i="2"/>
  <c r="M919" i="2"/>
  <c r="N919" i="2" s="1"/>
  <c r="O919" i="2" s="1"/>
  <c r="K919" i="2"/>
  <c r="M1097" i="2"/>
  <c r="N1097" i="2" s="1"/>
  <c r="O1097" i="2" s="1"/>
  <c r="K1097" i="2"/>
  <c r="M1112" i="2"/>
  <c r="N1112" i="2" s="1"/>
  <c r="O1112" i="2" s="1"/>
  <c r="K1112" i="2"/>
  <c r="M1325" i="2"/>
  <c r="N1325" i="2" s="1"/>
  <c r="O1325" i="2" s="1"/>
  <c r="K1325" i="2"/>
  <c r="M1348" i="2"/>
  <c r="N1348" i="2" s="1"/>
  <c r="O1348" i="2" s="1"/>
  <c r="K1348" i="2"/>
  <c r="M1422" i="2"/>
  <c r="N1422" i="2" s="1"/>
  <c r="O1422" i="2" s="1"/>
  <c r="K1422" i="2"/>
  <c r="M1447" i="2"/>
  <c r="N1447" i="2" s="1"/>
  <c r="O1447" i="2" s="1"/>
  <c r="K1447" i="2"/>
  <c r="M1534" i="2"/>
  <c r="N1534" i="2" s="1"/>
  <c r="O1534" i="2" s="1"/>
  <c r="K1534" i="2"/>
  <c r="M1550" i="2"/>
  <c r="N1550" i="2" s="1"/>
  <c r="O1550" i="2" s="1"/>
  <c r="K1550" i="2"/>
  <c r="M1853" i="2"/>
  <c r="N1853" i="2" s="1"/>
  <c r="O1853" i="2" s="1"/>
  <c r="K1853" i="2"/>
  <c r="M1677" i="2"/>
  <c r="N1677" i="2" s="1"/>
  <c r="O1677" i="2" s="1"/>
  <c r="K1677" i="2"/>
  <c r="M1691" i="2"/>
  <c r="N1691" i="2" s="1"/>
  <c r="O1691" i="2" s="1"/>
  <c r="K1691" i="2"/>
  <c r="M149" i="2"/>
  <c r="N149" i="2" s="1"/>
  <c r="O149" i="2" s="1"/>
  <c r="K149" i="2"/>
  <c r="M167" i="2"/>
  <c r="N167" i="2" s="1"/>
  <c r="O167" i="2" s="1"/>
  <c r="K167" i="2"/>
  <c r="M1791" i="2"/>
  <c r="N1791" i="2" s="1"/>
  <c r="O1791" i="2" s="1"/>
  <c r="K1791" i="2"/>
  <c r="M1825" i="2"/>
  <c r="N1825" i="2" s="1"/>
  <c r="O1825" i="2" s="1"/>
  <c r="K1825" i="2"/>
  <c r="M1738" i="2"/>
  <c r="N1738" i="2" s="1"/>
  <c r="O1738" i="2" s="1"/>
  <c r="K1738" i="2"/>
  <c r="M1758" i="2"/>
  <c r="N1758" i="2" s="1"/>
  <c r="O1758" i="2" s="1"/>
  <c r="K1758" i="2"/>
  <c r="M148" i="2"/>
  <c r="N148" i="2" s="1"/>
  <c r="O148" i="2" s="1"/>
  <c r="K148" i="2"/>
  <c r="M166" i="2"/>
  <c r="N166" i="2" s="1"/>
  <c r="O166" i="2" s="1"/>
  <c r="K166" i="2"/>
  <c r="M184" i="2"/>
  <c r="N184" i="2" s="1"/>
  <c r="K184" i="2"/>
  <c r="M200" i="2"/>
  <c r="N200" i="2" s="1"/>
  <c r="O200" i="2" s="1"/>
  <c r="K200" i="2"/>
  <c r="M1774" i="2"/>
  <c r="N1774" i="2" s="1"/>
  <c r="O1774" i="2" s="1"/>
  <c r="K1774" i="2"/>
  <c r="M1790" i="2"/>
  <c r="N1790" i="2" s="1"/>
  <c r="O1790" i="2" s="1"/>
  <c r="K1790" i="2"/>
  <c r="M1808" i="2"/>
  <c r="N1808" i="2" s="1"/>
  <c r="K1808" i="2"/>
  <c r="M1824" i="2"/>
  <c r="N1824" i="2" s="1"/>
  <c r="O1824" i="2" s="1"/>
  <c r="K1824" i="2"/>
  <c r="M104" i="2"/>
  <c r="N104" i="2" s="1"/>
  <c r="O104" i="2" s="1"/>
  <c r="K104" i="2"/>
  <c r="M221" i="2"/>
  <c r="N221" i="2" s="1"/>
  <c r="O221" i="2" s="1"/>
  <c r="K221" i="2"/>
  <c r="M242" i="2"/>
  <c r="N242" i="2" s="1"/>
  <c r="O242" i="2" s="1"/>
  <c r="K242" i="2"/>
  <c r="M263" i="2"/>
  <c r="N263" i="2" s="1"/>
  <c r="O263" i="2" s="1"/>
  <c r="K263" i="2"/>
  <c r="M286" i="2"/>
  <c r="N286" i="2" s="1"/>
  <c r="O286" i="2" s="1"/>
  <c r="K286" i="2"/>
  <c r="M432" i="2"/>
  <c r="N432" i="2" s="1"/>
  <c r="O432" i="2" s="1"/>
  <c r="K432" i="2"/>
  <c r="M456" i="2"/>
  <c r="N456" i="2" s="1"/>
  <c r="O456" i="2" s="1"/>
  <c r="K456" i="2"/>
  <c r="M480" i="2"/>
  <c r="N480" i="2" s="1"/>
  <c r="O480" i="2" s="1"/>
  <c r="K480" i="2"/>
  <c r="M504" i="2"/>
  <c r="N504" i="2" s="1"/>
  <c r="O504" i="2" s="1"/>
  <c r="K504" i="2"/>
  <c r="M582" i="2"/>
  <c r="N582" i="2" s="1"/>
  <c r="O582" i="2" s="1"/>
  <c r="K582" i="2"/>
  <c r="M608" i="2"/>
  <c r="N608" i="2" s="1"/>
  <c r="O608" i="2" s="1"/>
  <c r="K608" i="2"/>
  <c r="M634" i="2"/>
  <c r="N634" i="2" s="1"/>
  <c r="O634" i="2" s="1"/>
  <c r="K634" i="2"/>
  <c r="M660" i="2"/>
  <c r="N660" i="2" s="1"/>
  <c r="O660" i="2" s="1"/>
  <c r="K660" i="2"/>
  <c r="M686" i="2"/>
  <c r="N686" i="2" s="1"/>
  <c r="O686" i="2" s="1"/>
  <c r="K686" i="2"/>
  <c r="M714" i="2"/>
  <c r="N714" i="2" s="1"/>
  <c r="O714" i="2" s="1"/>
  <c r="K714" i="2"/>
  <c r="M737" i="2"/>
  <c r="N737" i="2" s="1"/>
  <c r="O737" i="2" s="1"/>
  <c r="K737" i="2"/>
  <c r="M759" i="2"/>
  <c r="N759" i="2" s="1"/>
  <c r="O759" i="2" s="1"/>
  <c r="K759" i="2"/>
  <c r="M807" i="2"/>
  <c r="N807" i="2" s="1"/>
  <c r="O807" i="2" s="1"/>
  <c r="K807" i="2"/>
  <c r="M829" i="2"/>
  <c r="N829" i="2" s="1"/>
  <c r="O829" i="2" s="1"/>
  <c r="K829" i="2"/>
  <c r="M851" i="2"/>
  <c r="N851" i="2" s="1"/>
  <c r="O851" i="2" s="1"/>
  <c r="K851" i="2"/>
  <c r="M875" i="2"/>
  <c r="N875" i="2" s="1"/>
  <c r="O875" i="2" s="1"/>
  <c r="K875" i="2"/>
  <c r="M897" i="2"/>
  <c r="N897" i="2" s="1"/>
  <c r="O897" i="2" s="1"/>
  <c r="K897" i="2"/>
  <c r="M918" i="2"/>
  <c r="N918" i="2" s="1"/>
  <c r="O918" i="2" s="1"/>
  <c r="K918" i="2"/>
  <c r="M939" i="2"/>
  <c r="N939" i="2" s="1"/>
  <c r="O939" i="2" s="1"/>
  <c r="K939" i="2"/>
  <c r="M958" i="2"/>
  <c r="N958" i="2" s="1"/>
  <c r="O958" i="2" s="1"/>
  <c r="K958" i="2"/>
  <c r="M982" i="2"/>
  <c r="N982" i="2" s="1"/>
  <c r="O982" i="2" s="1"/>
  <c r="K982" i="2"/>
  <c r="M1007" i="2"/>
  <c r="N1007" i="2" s="1"/>
  <c r="O1007" i="2" s="1"/>
  <c r="K1007" i="2"/>
  <c r="M1033" i="2"/>
  <c r="N1033" i="2" s="1"/>
  <c r="O1033" i="2" s="1"/>
  <c r="K1033" i="2"/>
  <c r="M1058" i="2"/>
  <c r="N1058" i="2" s="1"/>
  <c r="O1058" i="2" s="1"/>
  <c r="K1058" i="2"/>
  <c r="M1165" i="2"/>
  <c r="N1165" i="2" s="1"/>
  <c r="O1165" i="2" s="1"/>
  <c r="K1165" i="2"/>
  <c r="M1189" i="2"/>
  <c r="N1189" i="2" s="1"/>
  <c r="O1189" i="2" s="1"/>
  <c r="K1189" i="2"/>
  <c r="M1212" i="2"/>
  <c r="N1212" i="2" s="1"/>
  <c r="O1212" i="2" s="1"/>
  <c r="K1212" i="2"/>
  <c r="M1236" i="2"/>
  <c r="N1236" i="2" s="1"/>
  <c r="O1236" i="2" s="1"/>
  <c r="K1236" i="2"/>
  <c r="M1260" i="2"/>
  <c r="N1260" i="2" s="1"/>
  <c r="O1260" i="2" s="1"/>
  <c r="K1260" i="2"/>
  <c r="M1281" i="2"/>
  <c r="N1281" i="2" s="1"/>
  <c r="O1281" i="2" s="1"/>
  <c r="K1281" i="2"/>
  <c r="M1303" i="2"/>
  <c r="N1303" i="2" s="1"/>
  <c r="O1303" i="2" s="1"/>
  <c r="K1303" i="2"/>
  <c r="M1324" i="2"/>
  <c r="N1324" i="2" s="1"/>
  <c r="O1324" i="2" s="1"/>
  <c r="K1324" i="2"/>
  <c r="M1347" i="2"/>
  <c r="N1347" i="2" s="1"/>
  <c r="O1347" i="2" s="1"/>
  <c r="K1347" i="2"/>
  <c r="M1374" i="2"/>
  <c r="N1374" i="2" s="1"/>
  <c r="O1374" i="2" s="1"/>
  <c r="K1374" i="2"/>
  <c r="M1398" i="2"/>
  <c r="N1398" i="2" s="1"/>
  <c r="O1398" i="2" s="1"/>
  <c r="K1398" i="2"/>
  <c r="M1421" i="2"/>
  <c r="N1421" i="2" s="1"/>
  <c r="O1421" i="2" s="1"/>
  <c r="K1421" i="2"/>
  <c r="M1446" i="2"/>
  <c r="N1446" i="2" s="1"/>
  <c r="O1446" i="2" s="1"/>
  <c r="K1446" i="2"/>
  <c r="M1470" i="2"/>
  <c r="N1470" i="2" s="1"/>
  <c r="K1470" i="2"/>
  <c r="M1492" i="2"/>
  <c r="N1492" i="2" s="1"/>
  <c r="O1492" i="2" s="1"/>
  <c r="K1492" i="2"/>
  <c r="M1574" i="2"/>
  <c r="N1574" i="2" s="1"/>
  <c r="O1574" i="2" s="1"/>
  <c r="K1574" i="2"/>
  <c r="M1598" i="2"/>
  <c r="N1598" i="2" s="1"/>
  <c r="O1598" i="2" s="1"/>
  <c r="K1598" i="2"/>
  <c r="M34" i="2"/>
  <c r="N34" i="2" s="1"/>
  <c r="O34" i="2" s="1"/>
  <c r="K34" i="2"/>
  <c r="M69" i="2"/>
  <c r="N69" i="2" s="1"/>
  <c r="K69" i="2"/>
  <c r="M1737" i="2"/>
  <c r="N1737" i="2" s="1"/>
  <c r="O1737" i="2" s="1"/>
  <c r="K1737" i="2"/>
  <c r="M1757" i="2"/>
  <c r="N1757" i="2" s="1"/>
  <c r="O1757" i="2" s="1"/>
  <c r="K1757" i="2"/>
  <c r="M736" i="2"/>
  <c r="N736" i="2" s="1"/>
  <c r="O736" i="2" s="1"/>
  <c r="K736" i="2"/>
  <c r="M758" i="2"/>
  <c r="N758" i="2" s="1"/>
  <c r="O758" i="2" s="1"/>
  <c r="K758" i="2"/>
  <c r="M1235" i="2"/>
  <c r="N1235" i="2" s="1"/>
  <c r="O1235" i="2" s="1"/>
  <c r="K1235" i="2"/>
  <c r="M1259" i="2"/>
  <c r="N1259" i="2" s="1"/>
  <c r="O1259" i="2" s="1"/>
  <c r="K1259" i="2"/>
  <c r="M1373" i="2"/>
  <c r="N1373" i="2" s="1"/>
  <c r="O1373" i="2" s="1"/>
  <c r="K1373" i="2"/>
  <c r="M1397" i="2"/>
  <c r="N1397" i="2" s="1"/>
  <c r="O1397" i="2" s="1"/>
  <c r="K1397" i="2"/>
  <c r="M1234" i="2"/>
  <c r="N1234" i="2" s="1"/>
  <c r="O1234" i="2" s="1"/>
  <c r="K1234" i="2"/>
  <c r="M1258" i="2"/>
  <c r="N1258" i="2" s="1"/>
  <c r="O1258" i="2" s="1"/>
  <c r="K1258" i="2"/>
  <c r="M1372" i="2"/>
  <c r="N1372" i="2" s="1"/>
  <c r="O1372" i="2" s="1"/>
  <c r="K1372" i="2"/>
  <c r="M1396" i="2"/>
  <c r="N1396" i="2" s="1"/>
  <c r="O1396" i="2" s="1"/>
  <c r="K1396" i="2"/>
  <c r="M220" i="2"/>
  <c r="N220" i="2" s="1"/>
  <c r="O220" i="2" s="1"/>
  <c r="K220" i="2"/>
  <c r="M241" i="2"/>
  <c r="N241" i="2" s="1"/>
  <c r="O241" i="2" s="1"/>
  <c r="K241" i="2"/>
  <c r="M262" i="2"/>
  <c r="N262" i="2" s="1"/>
  <c r="O262" i="2" s="1"/>
  <c r="K262" i="2"/>
  <c r="M285" i="2"/>
  <c r="N285" i="2" s="1"/>
  <c r="O285" i="2" s="1"/>
  <c r="K285" i="2"/>
  <c r="M431" i="2"/>
  <c r="N431" i="2" s="1"/>
  <c r="O431" i="2" s="1"/>
  <c r="K431" i="2"/>
  <c r="M455" i="2"/>
  <c r="N455" i="2" s="1"/>
  <c r="O455" i="2" s="1"/>
  <c r="K455" i="2"/>
  <c r="M479" i="2"/>
  <c r="N479" i="2" s="1"/>
  <c r="O479" i="2" s="1"/>
  <c r="K479" i="2"/>
  <c r="M503" i="2"/>
  <c r="N503" i="2" s="1"/>
  <c r="O503" i="2" s="1"/>
  <c r="K503" i="2"/>
  <c r="M581" i="2"/>
  <c r="N581" i="2" s="1"/>
  <c r="O581" i="2" s="1"/>
  <c r="K581" i="2"/>
  <c r="M607" i="2"/>
  <c r="N607" i="2" s="1"/>
  <c r="O607" i="2" s="1"/>
  <c r="K607" i="2"/>
  <c r="M633" i="2"/>
  <c r="N633" i="2" s="1"/>
  <c r="O633" i="2" s="1"/>
  <c r="K633" i="2"/>
  <c r="M659" i="2"/>
  <c r="N659" i="2" s="1"/>
  <c r="O659" i="2" s="1"/>
  <c r="K659" i="2"/>
  <c r="M685" i="2"/>
  <c r="N685" i="2" s="1"/>
  <c r="O685" i="2" s="1"/>
  <c r="K685" i="2"/>
  <c r="M713" i="2"/>
  <c r="N713" i="2" s="1"/>
  <c r="O713" i="2" s="1"/>
  <c r="K713" i="2"/>
  <c r="M806" i="2"/>
  <c r="N806" i="2" s="1"/>
  <c r="O806" i="2" s="1"/>
  <c r="K806" i="2"/>
  <c r="M828" i="2"/>
  <c r="N828" i="2" s="1"/>
  <c r="O828" i="2" s="1"/>
  <c r="K828" i="2"/>
  <c r="M850" i="2"/>
  <c r="N850" i="2" s="1"/>
  <c r="O850" i="2" s="1"/>
  <c r="K850" i="2"/>
  <c r="M874" i="2"/>
  <c r="N874" i="2" s="1"/>
  <c r="O874" i="2" s="1"/>
  <c r="K874" i="2"/>
  <c r="M981" i="2"/>
  <c r="N981" i="2" s="1"/>
  <c r="O981" i="2" s="1"/>
  <c r="K981" i="2"/>
  <c r="M1006" i="2"/>
  <c r="N1006" i="2" s="1"/>
  <c r="O1006" i="2" s="1"/>
  <c r="K1006" i="2"/>
  <c r="M1032" i="2"/>
  <c r="N1032" i="2" s="1"/>
  <c r="O1032" i="2" s="1"/>
  <c r="K1032" i="2"/>
  <c r="M1057" i="2"/>
  <c r="N1057" i="2" s="1"/>
  <c r="O1057" i="2" s="1"/>
  <c r="K1057" i="2"/>
  <c r="M1188" i="2"/>
  <c r="N1188" i="2" s="1"/>
  <c r="O1188" i="2" s="1"/>
  <c r="K1188" i="2"/>
  <c r="M1211" i="2"/>
  <c r="N1211" i="2" s="1"/>
  <c r="O1211" i="2" s="1"/>
  <c r="K1211" i="2"/>
  <c r="M1233" i="2"/>
  <c r="N1233" i="2" s="1"/>
  <c r="O1233" i="2" s="1"/>
  <c r="K1233" i="2"/>
  <c r="M1257" i="2"/>
  <c r="N1257" i="2" s="1"/>
  <c r="O1257" i="2" s="1"/>
  <c r="K1257" i="2"/>
  <c r="M1280" i="2"/>
  <c r="N1280" i="2" s="1"/>
  <c r="O1280" i="2" s="1"/>
  <c r="K1280" i="2"/>
  <c r="M1302" i="2"/>
  <c r="N1302" i="2" s="1"/>
  <c r="O1302" i="2" s="1"/>
  <c r="K1302" i="2"/>
  <c r="M1323" i="2"/>
  <c r="N1323" i="2" s="1"/>
  <c r="O1323" i="2" s="1"/>
  <c r="K1323" i="2"/>
  <c r="M1346" i="2"/>
  <c r="N1346" i="2" s="1"/>
  <c r="O1346" i="2" s="1"/>
  <c r="K1346" i="2"/>
  <c r="M1371" i="2"/>
  <c r="N1371" i="2" s="1"/>
  <c r="O1371" i="2" s="1"/>
  <c r="K1371" i="2"/>
  <c r="M1395" i="2"/>
  <c r="N1395" i="2" s="1"/>
  <c r="O1395" i="2" s="1"/>
  <c r="K1395" i="2"/>
  <c r="M1420" i="2"/>
  <c r="N1420" i="2" s="1"/>
  <c r="O1420" i="2" s="1"/>
  <c r="K1420" i="2"/>
  <c r="M1445" i="2"/>
  <c r="N1445" i="2" s="1"/>
  <c r="O1445" i="2" s="1"/>
  <c r="K1445" i="2"/>
  <c r="M1469" i="2"/>
  <c r="N1469" i="2" s="1"/>
  <c r="O1469" i="2" s="1"/>
  <c r="K1469" i="2"/>
  <c r="M1491" i="2"/>
  <c r="N1491" i="2" s="1"/>
  <c r="O1491" i="2" s="1"/>
  <c r="K1491" i="2"/>
  <c r="M1573" i="2"/>
  <c r="N1573" i="2" s="1"/>
  <c r="O1573" i="2" s="1"/>
  <c r="K1573" i="2"/>
  <c r="M1597" i="2"/>
  <c r="N1597" i="2" s="1"/>
  <c r="O1597" i="2" s="1"/>
  <c r="K1597" i="2"/>
  <c r="M18" i="2"/>
  <c r="N18" i="2" s="1"/>
  <c r="O18" i="2" s="1"/>
  <c r="K18" i="2"/>
  <c r="M33" i="2"/>
  <c r="N33" i="2" s="1"/>
  <c r="O33" i="2" s="1"/>
  <c r="K33" i="2"/>
  <c r="M52" i="2"/>
  <c r="N52" i="2" s="1"/>
  <c r="O52" i="2" s="1"/>
  <c r="K52" i="2"/>
  <c r="M68" i="2"/>
  <c r="N68" i="2" s="1"/>
  <c r="K68" i="2"/>
  <c r="M87" i="2"/>
  <c r="N87" i="2" s="1"/>
  <c r="O87" i="2" s="1"/>
  <c r="K87" i="2"/>
  <c r="M103" i="2"/>
  <c r="N103" i="2" s="1"/>
  <c r="O103" i="2" s="1"/>
  <c r="K103" i="2"/>
  <c r="M1130" i="2"/>
  <c r="N1130" i="2" s="1"/>
  <c r="O1130" i="2" s="1"/>
  <c r="K1130" i="2"/>
  <c r="M219" i="2"/>
  <c r="N219" i="2" s="1"/>
  <c r="O219" i="2" s="1"/>
  <c r="K219" i="2"/>
  <c r="M240" i="2"/>
  <c r="N240" i="2" s="1"/>
  <c r="O240" i="2" s="1"/>
  <c r="K240" i="2"/>
  <c r="M261" i="2"/>
  <c r="N261" i="2" s="1"/>
  <c r="O261" i="2" s="1"/>
  <c r="K261" i="2"/>
  <c r="M284" i="2"/>
  <c r="N284" i="2" s="1"/>
  <c r="O284" i="2" s="1"/>
  <c r="K284" i="2"/>
  <c r="M329" i="2"/>
  <c r="N329" i="2" s="1"/>
  <c r="O329" i="2" s="1"/>
  <c r="K329" i="2"/>
  <c r="M345" i="2"/>
  <c r="N345" i="2" s="1"/>
  <c r="O345" i="2" s="1"/>
  <c r="K345" i="2"/>
  <c r="M390" i="2"/>
  <c r="N390" i="2" s="1"/>
  <c r="O390" i="2" s="1"/>
  <c r="K390" i="2"/>
  <c r="M407" i="2"/>
  <c r="N407" i="2" s="1"/>
  <c r="O407" i="2" s="1"/>
  <c r="K407" i="2"/>
  <c r="M430" i="2"/>
  <c r="N430" i="2" s="1"/>
  <c r="O430" i="2" s="1"/>
  <c r="K430" i="2"/>
  <c r="M454" i="2"/>
  <c r="N454" i="2" s="1"/>
  <c r="O454" i="2" s="1"/>
  <c r="K454" i="2"/>
  <c r="M478" i="2"/>
  <c r="N478" i="2" s="1"/>
  <c r="O478" i="2" s="1"/>
  <c r="K478" i="2"/>
  <c r="M502" i="2"/>
  <c r="N502" i="2" s="1"/>
  <c r="O502" i="2" s="1"/>
  <c r="K502" i="2"/>
  <c r="M580" i="2"/>
  <c r="N580" i="2" s="1"/>
  <c r="O580" i="2" s="1"/>
  <c r="K580" i="2"/>
  <c r="M606" i="2"/>
  <c r="N606" i="2" s="1"/>
  <c r="O606" i="2" s="1"/>
  <c r="K606" i="2"/>
  <c r="M632" i="2"/>
  <c r="N632" i="2" s="1"/>
  <c r="O632" i="2" s="1"/>
  <c r="K632" i="2"/>
  <c r="M658" i="2"/>
  <c r="N658" i="2" s="1"/>
  <c r="O658" i="2" s="1"/>
  <c r="K658" i="2"/>
  <c r="M684" i="2"/>
  <c r="N684" i="2" s="1"/>
  <c r="O684" i="2" s="1"/>
  <c r="K684" i="2"/>
  <c r="M712" i="2"/>
  <c r="N712" i="2" s="1"/>
  <c r="O712" i="2" s="1"/>
  <c r="K712" i="2"/>
  <c r="M896" i="2"/>
  <c r="N896" i="2" s="1"/>
  <c r="O896" i="2" s="1"/>
  <c r="K896" i="2"/>
  <c r="M917" i="2"/>
  <c r="N917" i="2" s="1"/>
  <c r="O917" i="2" s="1"/>
  <c r="K917" i="2"/>
  <c r="M938" i="2"/>
  <c r="N938" i="2" s="1"/>
  <c r="O938" i="2" s="1"/>
  <c r="K938" i="2"/>
  <c r="M957" i="2"/>
  <c r="N957" i="2" s="1"/>
  <c r="O957" i="2" s="1"/>
  <c r="K957" i="2"/>
  <c r="M980" i="2"/>
  <c r="N980" i="2" s="1"/>
  <c r="O980" i="2" s="1"/>
  <c r="K980" i="2"/>
  <c r="M1005" i="2"/>
  <c r="N1005" i="2" s="1"/>
  <c r="O1005" i="2" s="1"/>
  <c r="K1005" i="2"/>
  <c r="M1031" i="2"/>
  <c r="N1031" i="2" s="1"/>
  <c r="O1031" i="2" s="1"/>
  <c r="K1031" i="2"/>
  <c r="M1056" i="2"/>
  <c r="N1056" i="2" s="1"/>
  <c r="O1056" i="2" s="1"/>
  <c r="K1056" i="2"/>
  <c r="M1096" i="2"/>
  <c r="N1096" i="2" s="1"/>
  <c r="O1096" i="2" s="1"/>
  <c r="K1096" i="2"/>
  <c r="M1111" i="2"/>
  <c r="N1111" i="2" s="1"/>
  <c r="O1111" i="2" s="1"/>
  <c r="K1111" i="2"/>
  <c r="M1187" i="2"/>
  <c r="N1187" i="2" s="1"/>
  <c r="O1187" i="2" s="1"/>
  <c r="K1187" i="2"/>
  <c r="M1210" i="2"/>
  <c r="N1210" i="2" s="1"/>
  <c r="O1210" i="2" s="1"/>
  <c r="K1210" i="2"/>
  <c r="M1232" i="2"/>
  <c r="N1232" i="2" s="1"/>
  <c r="O1232" i="2" s="1"/>
  <c r="K1232" i="2"/>
  <c r="M1256" i="2"/>
  <c r="N1256" i="2" s="1"/>
  <c r="O1256" i="2" s="1"/>
  <c r="K1256" i="2"/>
  <c r="M1279" i="2"/>
  <c r="N1279" i="2" s="1"/>
  <c r="O1279" i="2" s="1"/>
  <c r="K1279" i="2"/>
  <c r="M1301" i="2"/>
  <c r="N1301" i="2" s="1"/>
  <c r="O1301" i="2" s="1"/>
  <c r="K1301" i="2"/>
  <c r="M1322" i="2"/>
  <c r="N1322" i="2" s="1"/>
  <c r="O1322" i="2" s="1"/>
  <c r="K1322" i="2"/>
  <c r="M1345" i="2"/>
  <c r="N1345" i="2" s="1"/>
  <c r="O1345" i="2" s="1"/>
  <c r="K1345" i="2"/>
  <c r="M1370" i="2"/>
  <c r="N1370" i="2" s="1"/>
  <c r="O1370" i="2" s="1"/>
  <c r="K1370" i="2"/>
  <c r="M1394" i="2"/>
  <c r="N1394" i="2" s="1"/>
  <c r="O1394" i="2" s="1"/>
  <c r="K1394" i="2"/>
  <c r="M1419" i="2"/>
  <c r="N1419" i="2" s="1"/>
  <c r="O1419" i="2" s="1"/>
  <c r="K1419" i="2"/>
  <c r="M1444" i="2"/>
  <c r="N1444" i="2" s="1"/>
  <c r="O1444" i="2" s="1"/>
  <c r="K1444" i="2"/>
  <c r="M1468" i="2"/>
  <c r="N1468" i="2" s="1"/>
  <c r="K1468" i="2"/>
  <c r="M1490" i="2"/>
  <c r="N1490" i="2" s="1"/>
  <c r="O1490" i="2" s="1"/>
  <c r="K1490" i="2"/>
  <c r="M1533" i="2"/>
  <c r="N1533" i="2" s="1"/>
  <c r="O1533" i="2" s="1"/>
  <c r="K1533" i="2"/>
  <c r="M1549" i="2"/>
  <c r="N1549" i="2" s="1"/>
  <c r="O1549" i="2" s="1"/>
  <c r="K1549" i="2"/>
  <c r="M1572" i="2"/>
  <c r="N1572" i="2" s="1"/>
  <c r="O1572" i="2" s="1"/>
  <c r="K1572" i="2"/>
  <c r="M1596" i="2"/>
  <c r="N1596" i="2" s="1"/>
  <c r="O1596" i="2" s="1"/>
  <c r="K1596" i="2"/>
  <c r="M1852" i="2"/>
  <c r="N1852" i="2" s="1"/>
  <c r="O1852" i="2" s="1"/>
  <c r="K1852" i="2"/>
  <c r="M1616" i="2"/>
  <c r="N1616" i="2" s="1"/>
  <c r="O1616" i="2" s="1"/>
  <c r="K1616" i="2"/>
  <c r="M1632" i="2"/>
  <c r="N1632" i="2" s="1"/>
  <c r="O1632" i="2" s="1"/>
  <c r="K1632" i="2"/>
  <c r="M1648" i="2"/>
  <c r="N1648" i="2" s="1"/>
  <c r="O1648" i="2" s="1"/>
  <c r="K1648" i="2"/>
  <c r="M1664" i="2"/>
  <c r="N1664" i="2" s="1"/>
  <c r="O1664" i="2" s="1"/>
  <c r="K1664" i="2"/>
  <c r="M17" i="2"/>
  <c r="N17" i="2" s="1"/>
  <c r="O17" i="2" s="1"/>
  <c r="K17" i="2"/>
  <c r="M32" i="2"/>
  <c r="N32" i="2" s="1"/>
  <c r="O32" i="2" s="1"/>
  <c r="K32" i="2"/>
  <c r="M51" i="2"/>
  <c r="N51" i="2" s="1"/>
  <c r="O51" i="2" s="1"/>
  <c r="K51" i="2"/>
  <c r="M67" i="2"/>
  <c r="N67" i="2" s="1"/>
  <c r="O67" i="2" s="1"/>
  <c r="K67" i="2"/>
  <c r="M86" i="2"/>
  <c r="N86" i="2" s="1"/>
  <c r="O86" i="2" s="1"/>
  <c r="K86" i="2"/>
  <c r="M102" i="2"/>
  <c r="N102" i="2" s="1"/>
  <c r="O102" i="2" s="1"/>
  <c r="K102" i="2"/>
  <c r="M1736" i="2"/>
  <c r="N1736" i="2" s="1"/>
  <c r="O1736" i="2" s="1"/>
  <c r="K1736" i="2"/>
  <c r="M1735" i="2"/>
  <c r="N1735" i="2" s="1"/>
  <c r="O1735" i="2" s="1"/>
  <c r="K1735" i="2"/>
  <c r="M1756" i="2"/>
  <c r="N1756" i="2" s="1"/>
  <c r="O1756" i="2" s="1"/>
  <c r="K1756" i="2"/>
  <c r="M1755" i="2"/>
  <c r="N1755" i="2" s="1"/>
  <c r="O1755" i="2" s="1"/>
  <c r="K1755" i="2"/>
  <c r="M133" i="2"/>
  <c r="N133" i="2" s="1"/>
  <c r="O133" i="2" s="1"/>
  <c r="K133" i="2"/>
  <c r="M1129" i="2"/>
  <c r="N1129" i="2" s="1"/>
  <c r="O1129" i="2" s="1"/>
  <c r="K1129" i="2"/>
  <c r="M218" i="2"/>
  <c r="N218" i="2" s="1"/>
  <c r="O218" i="2" s="1"/>
  <c r="K218" i="2"/>
  <c r="M239" i="2"/>
  <c r="N239" i="2" s="1"/>
  <c r="O239" i="2" s="1"/>
  <c r="K239" i="2"/>
  <c r="M302" i="2"/>
  <c r="N302" i="2" s="1"/>
  <c r="O302" i="2" s="1"/>
  <c r="K302" i="2"/>
  <c r="M315" i="2"/>
  <c r="N315" i="2" s="1"/>
  <c r="O315" i="2" s="1"/>
  <c r="K315" i="2"/>
  <c r="M361" i="2"/>
  <c r="N361" i="2" s="1"/>
  <c r="O361" i="2" s="1"/>
  <c r="K361" i="2"/>
  <c r="M375" i="2"/>
  <c r="N375" i="2" s="1"/>
  <c r="O375" i="2" s="1"/>
  <c r="K375" i="2"/>
  <c r="M429" i="2"/>
  <c r="N429" i="2" s="1"/>
  <c r="O429" i="2" s="1"/>
  <c r="K429" i="2"/>
  <c r="M453" i="2"/>
  <c r="N453" i="2" s="1"/>
  <c r="O453" i="2" s="1"/>
  <c r="K453" i="2"/>
  <c r="M477" i="2"/>
  <c r="N477" i="2" s="1"/>
  <c r="O477" i="2" s="1"/>
  <c r="K477" i="2"/>
  <c r="M501" i="2"/>
  <c r="N501" i="2" s="1"/>
  <c r="O501" i="2" s="1"/>
  <c r="K501" i="2"/>
  <c r="M521" i="2"/>
  <c r="N521" i="2" s="1"/>
  <c r="O521" i="2" s="1"/>
  <c r="K521" i="2"/>
  <c r="M537" i="2"/>
  <c r="N537" i="2" s="1"/>
  <c r="O537" i="2" s="1"/>
  <c r="K537" i="2"/>
  <c r="M579" i="2"/>
  <c r="N579" i="2" s="1"/>
  <c r="O579" i="2" s="1"/>
  <c r="K579" i="2"/>
  <c r="M605" i="2"/>
  <c r="N605" i="2" s="1"/>
  <c r="O605" i="2" s="1"/>
  <c r="K605" i="2"/>
  <c r="M631" i="2"/>
  <c r="N631" i="2" s="1"/>
  <c r="O631" i="2" s="1"/>
  <c r="K631" i="2"/>
  <c r="M657" i="2"/>
  <c r="N657" i="2" s="1"/>
  <c r="O657" i="2" s="1"/>
  <c r="K657" i="2"/>
  <c r="M735" i="2"/>
  <c r="N735" i="2" s="1"/>
  <c r="O735" i="2" s="1"/>
  <c r="K735" i="2"/>
  <c r="M757" i="2"/>
  <c r="N757" i="2" s="1"/>
  <c r="O757" i="2" s="1"/>
  <c r="K757" i="2"/>
  <c r="M774" i="2"/>
  <c r="N774" i="2" s="1"/>
  <c r="O774" i="2" s="1"/>
  <c r="K774" i="2"/>
  <c r="M787" i="2"/>
  <c r="N787" i="2" s="1"/>
  <c r="O787" i="2" s="1"/>
  <c r="K787" i="2"/>
  <c r="M805" i="2"/>
  <c r="N805" i="2" s="1"/>
  <c r="O805" i="2" s="1"/>
  <c r="K805" i="2"/>
  <c r="M827" i="2"/>
  <c r="N827" i="2" s="1"/>
  <c r="O827" i="2" s="1"/>
  <c r="K827" i="2"/>
  <c r="M937" i="2"/>
  <c r="N937" i="2" s="1"/>
  <c r="O937" i="2" s="1"/>
  <c r="K937" i="2"/>
  <c r="M956" i="2"/>
  <c r="N956" i="2" s="1"/>
  <c r="O956" i="2" s="1"/>
  <c r="K956" i="2"/>
  <c r="M979" i="2"/>
  <c r="N979" i="2" s="1"/>
  <c r="O979" i="2" s="1"/>
  <c r="K979" i="2"/>
  <c r="M1004" i="2"/>
  <c r="N1004" i="2" s="1"/>
  <c r="O1004" i="2" s="1"/>
  <c r="K1004" i="2"/>
  <c r="M1030" i="2"/>
  <c r="N1030" i="2" s="1"/>
  <c r="O1030" i="2" s="1"/>
  <c r="K1030" i="2"/>
  <c r="M1055" i="2"/>
  <c r="N1055" i="2" s="1"/>
  <c r="O1055" i="2" s="1"/>
  <c r="K1055" i="2"/>
  <c r="M1071" i="2"/>
  <c r="N1071" i="2" s="1"/>
  <c r="O1071" i="2" s="1"/>
  <c r="K1071" i="2"/>
  <c r="M1083" i="2"/>
  <c r="N1083" i="2" s="1"/>
  <c r="O1083" i="2" s="1"/>
  <c r="K1083" i="2"/>
  <c r="M1186" i="2"/>
  <c r="N1186" i="2" s="1"/>
  <c r="O1186" i="2" s="1"/>
  <c r="K1186" i="2"/>
  <c r="M1209" i="2"/>
  <c r="N1209" i="2" s="1"/>
  <c r="O1209" i="2" s="1"/>
  <c r="K1209" i="2"/>
  <c r="M1231" i="2"/>
  <c r="N1231" i="2" s="1"/>
  <c r="O1231" i="2" s="1"/>
  <c r="K1231" i="2"/>
  <c r="M1255" i="2"/>
  <c r="N1255" i="2" s="1"/>
  <c r="O1255" i="2" s="1"/>
  <c r="K1255" i="2"/>
  <c r="M1278" i="2"/>
  <c r="N1278" i="2" s="1"/>
  <c r="O1278" i="2" s="1"/>
  <c r="K1278" i="2"/>
  <c r="M1300" i="2"/>
  <c r="N1300" i="2" s="1"/>
  <c r="O1300" i="2" s="1"/>
  <c r="K1300" i="2"/>
  <c r="M1369" i="2"/>
  <c r="N1369" i="2" s="1"/>
  <c r="O1369" i="2" s="1"/>
  <c r="K1369" i="2"/>
  <c r="M1393" i="2"/>
  <c r="N1393" i="2" s="1"/>
  <c r="O1393" i="2" s="1"/>
  <c r="K1393" i="2"/>
  <c r="M1467" i="2"/>
  <c r="N1467" i="2" s="1"/>
  <c r="O1467" i="2" s="1"/>
  <c r="K1467" i="2"/>
  <c r="M1489" i="2"/>
  <c r="N1489" i="2" s="1"/>
  <c r="O1489" i="2" s="1"/>
  <c r="K1489" i="2"/>
  <c r="M1506" i="2"/>
  <c r="N1506" i="2" s="1"/>
  <c r="O1506" i="2" s="1"/>
  <c r="K1506" i="2"/>
  <c r="M1519" i="2"/>
  <c r="N1519" i="2" s="1"/>
  <c r="O1519" i="2" s="1"/>
  <c r="K1519" i="2"/>
  <c r="M1571" i="2"/>
  <c r="N1571" i="2" s="1"/>
  <c r="O1571" i="2" s="1"/>
  <c r="K1571" i="2"/>
  <c r="M1595" i="2"/>
  <c r="N1595" i="2" s="1"/>
  <c r="O1595" i="2" s="1"/>
  <c r="K1595" i="2"/>
  <c r="M1839" i="2"/>
  <c r="N1839" i="2" s="1"/>
  <c r="O1839" i="2" s="1"/>
  <c r="K1839" i="2"/>
  <c r="M1615" i="2"/>
  <c r="N1615" i="2" s="1"/>
  <c r="O1615" i="2" s="1"/>
  <c r="K1615" i="2"/>
  <c r="M1631" i="2"/>
  <c r="N1631" i="2" s="1"/>
  <c r="O1631" i="2" s="1"/>
  <c r="K1631" i="2"/>
  <c r="M1647" i="2"/>
  <c r="N1647" i="2" s="1"/>
  <c r="O1647" i="2" s="1"/>
  <c r="K1647" i="2"/>
  <c r="M1663" i="2"/>
  <c r="N1663" i="2" s="1"/>
  <c r="O1663" i="2" s="1"/>
  <c r="K1663" i="2"/>
  <c r="M1706" i="2"/>
  <c r="N1706" i="2" s="1"/>
  <c r="O1706" i="2" s="1"/>
  <c r="K1706" i="2"/>
  <c r="M1720" i="2"/>
  <c r="N1720" i="2" s="1"/>
  <c r="O1720" i="2" s="1"/>
  <c r="K1720" i="2"/>
  <c r="M183" i="2"/>
  <c r="N183" i="2" s="1"/>
  <c r="O183" i="2" s="1"/>
  <c r="K183" i="2"/>
  <c r="M199" i="2"/>
  <c r="N199" i="2" s="1"/>
  <c r="O199" i="2" s="1"/>
  <c r="K199" i="2"/>
  <c r="M1773" i="2"/>
  <c r="N1773" i="2" s="1"/>
  <c r="O1773" i="2" s="1"/>
  <c r="K1773" i="2"/>
  <c r="M1807" i="2"/>
  <c r="N1807" i="2" s="1"/>
  <c r="O1807" i="2" s="1"/>
  <c r="K1807" i="2"/>
  <c r="M476" i="2"/>
  <c r="N476" i="2" s="1"/>
  <c r="O476" i="2" s="1"/>
  <c r="K476" i="2"/>
  <c r="M500" i="2"/>
  <c r="N500" i="2" s="1"/>
  <c r="O500" i="2" s="1"/>
  <c r="K500" i="2"/>
  <c r="M1029" i="2"/>
  <c r="N1029" i="2" s="1"/>
  <c r="O1029" i="2" s="1"/>
  <c r="K1029" i="2"/>
  <c r="M1054" i="2"/>
  <c r="N1054" i="2" s="1"/>
  <c r="O1054" i="2" s="1"/>
  <c r="K1054" i="2"/>
  <c r="M1570" i="2"/>
  <c r="N1570" i="2" s="1"/>
  <c r="O1570" i="2" s="1"/>
  <c r="K1570" i="2"/>
  <c r="M1594" i="2"/>
  <c r="N1594" i="2" s="1"/>
  <c r="O1594" i="2" s="1"/>
  <c r="K1594" i="2"/>
  <c r="M428" i="2"/>
  <c r="N428" i="2" s="1"/>
  <c r="O428" i="2" s="1"/>
  <c r="K428" i="2"/>
  <c r="M452" i="2"/>
  <c r="N452" i="2" s="1"/>
  <c r="O452" i="2" s="1"/>
  <c r="K452" i="2"/>
  <c r="M578" i="2"/>
  <c r="N578" i="2" s="1"/>
  <c r="O578" i="2" s="1"/>
  <c r="K578" i="2"/>
  <c r="M604" i="2"/>
  <c r="N604" i="2" s="1"/>
  <c r="O604" i="2" s="1"/>
  <c r="K604" i="2"/>
  <c r="M630" i="2"/>
  <c r="N630" i="2" s="1"/>
  <c r="O630" i="2" s="1"/>
  <c r="K630" i="2"/>
  <c r="M656" i="2"/>
  <c r="N656" i="2" s="1"/>
  <c r="O656" i="2" s="1"/>
  <c r="K656" i="2"/>
  <c r="M683" i="2"/>
  <c r="N683" i="2" s="1"/>
  <c r="O683" i="2" s="1"/>
  <c r="K683" i="2"/>
  <c r="M711" i="2"/>
  <c r="N711" i="2" s="1"/>
  <c r="O711" i="2" s="1"/>
  <c r="K711" i="2"/>
  <c r="M1418" i="2"/>
  <c r="N1418" i="2" s="1"/>
  <c r="O1418" i="2" s="1"/>
  <c r="K1418" i="2"/>
  <c r="M1443" i="2"/>
  <c r="N1443" i="2" s="1"/>
  <c r="O1443" i="2" s="1"/>
  <c r="K1443" i="2"/>
  <c r="M1466" i="2"/>
  <c r="N1466" i="2" s="1"/>
  <c r="O1466" i="2" s="1"/>
  <c r="K1466" i="2"/>
  <c r="M1488" i="2"/>
  <c r="N1488" i="2" s="1"/>
  <c r="O1488" i="2" s="1"/>
  <c r="K1488" i="2"/>
  <c r="M1164" i="2"/>
  <c r="N1164" i="2" s="1"/>
  <c r="O1164" i="2" s="1"/>
  <c r="K1164" i="2"/>
  <c r="M16" i="2"/>
  <c r="N16" i="2" s="1"/>
  <c r="O16" i="2" s="1"/>
  <c r="K16" i="2"/>
  <c r="M31" i="2"/>
  <c r="N31" i="2" s="1"/>
  <c r="O31" i="2" s="1"/>
  <c r="K31" i="2"/>
  <c r="M50" i="2"/>
  <c r="N50" i="2" s="1"/>
  <c r="O50" i="2" s="1"/>
  <c r="K50" i="2"/>
  <c r="M66" i="2"/>
  <c r="N66" i="2" s="1"/>
  <c r="O66" i="2" s="1"/>
  <c r="K66" i="2"/>
  <c r="M85" i="2"/>
  <c r="N85" i="2" s="1"/>
  <c r="O85" i="2" s="1"/>
  <c r="K85" i="2"/>
  <c r="M101" i="2"/>
  <c r="N101" i="2" s="1"/>
  <c r="O101" i="2" s="1"/>
  <c r="K101" i="2"/>
  <c r="M1734" i="2"/>
  <c r="N1734" i="2" s="1"/>
  <c r="O1734" i="2" s="1"/>
  <c r="K1734" i="2"/>
  <c r="M1754" i="2"/>
  <c r="N1754" i="2" s="1"/>
  <c r="O1754" i="2" s="1"/>
  <c r="K1754" i="2"/>
  <c r="M132" i="2"/>
  <c r="N132" i="2" s="1"/>
  <c r="O132" i="2" s="1"/>
  <c r="K132" i="2"/>
  <c r="M1128" i="2"/>
  <c r="N1128" i="2" s="1"/>
  <c r="O1128" i="2" s="1"/>
  <c r="K1128" i="2"/>
  <c r="M217" i="2"/>
  <c r="N217" i="2" s="1"/>
  <c r="O217" i="2" s="1"/>
  <c r="K217" i="2"/>
  <c r="M238" i="2"/>
  <c r="N238" i="2" s="1"/>
  <c r="O238" i="2" s="1"/>
  <c r="K238" i="2"/>
  <c r="M260" i="2"/>
  <c r="N260" i="2" s="1"/>
  <c r="O260" i="2" s="1"/>
  <c r="K260" i="2"/>
  <c r="M283" i="2"/>
  <c r="N283" i="2" s="1"/>
  <c r="O283" i="2" s="1"/>
  <c r="K283" i="2"/>
  <c r="M301" i="2"/>
  <c r="N301" i="2" s="1"/>
  <c r="O301" i="2" s="1"/>
  <c r="K301" i="2"/>
  <c r="M314" i="2"/>
  <c r="N314" i="2" s="1"/>
  <c r="O314" i="2" s="1"/>
  <c r="K314" i="2"/>
  <c r="M328" i="2"/>
  <c r="N328" i="2" s="1"/>
  <c r="O328" i="2" s="1"/>
  <c r="K328" i="2"/>
  <c r="M344" i="2"/>
  <c r="N344" i="2" s="1"/>
  <c r="O344" i="2" s="1"/>
  <c r="K344" i="2"/>
  <c r="M360" i="2"/>
  <c r="N360" i="2" s="1"/>
  <c r="O360" i="2" s="1"/>
  <c r="K360" i="2"/>
  <c r="M374" i="2"/>
  <c r="N374" i="2" s="1"/>
  <c r="O374" i="2" s="1"/>
  <c r="K374" i="2"/>
  <c r="M389" i="2"/>
  <c r="N389" i="2" s="1"/>
  <c r="O389" i="2" s="1"/>
  <c r="K389" i="2"/>
  <c r="M406" i="2"/>
  <c r="N406" i="2" s="1"/>
  <c r="O406" i="2" s="1"/>
  <c r="K406" i="2"/>
  <c r="M427" i="2"/>
  <c r="N427" i="2" s="1"/>
  <c r="O427" i="2" s="1"/>
  <c r="K427" i="2"/>
  <c r="M426" i="2"/>
  <c r="N426" i="2" s="1"/>
  <c r="O426" i="2" s="1"/>
  <c r="K426" i="2"/>
  <c r="M451" i="2"/>
  <c r="N451" i="2" s="1"/>
  <c r="O451" i="2" s="1"/>
  <c r="K451" i="2"/>
  <c r="M450" i="2"/>
  <c r="N450" i="2" s="1"/>
  <c r="O450" i="2" s="1"/>
  <c r="K450" i="2"/>
  <c r="M475" i="2"/>
  <c r="N475" i="2" s="1"/>
  <c r="O475" i="2" s="1"/>
  <c r="K475" i="2"/>
  <c r="M474" i="2"/>
  <c r="N474" i="2" s="1"/>
  <c r="O474" i="2" s="1"/>
  <c r="K474" i="2"/>
  <c r="M499" i="2"/>
  <c r="N499" i="2" s="1"/>
  <c r="O499" i="2" s="1"/>
  <c r="K499" i="2"/>
  <c r="M498" i="2"/>
  <c r="N498" i="2" s="1"/>
  <c r="O498" i="2" s="1"/>
  <c r="K498" i="2"/>
  <c r="M520" i="2"/>
  <c r="N520" i="2" s="1"/>
  <c r="O520" i="2" s="1"/>
  <c r="K520" i="2"/>
  <c r="M536" i="2"/>
  <c r="N536" i="2" s="1"/>
  <c r="O536" i="2" s="1"/>
  <c r="K536" i="2"/>
  <c r="M547" i="2"/>
  <c r="N547" i="2" s="1"/>
  <c r="O547" i="2" s="1"/>
  <c r="K547" i="2"/>
  <c r="M557" i="2"/>
  <c r="N557" i="2" s="1"/>
  <c r="O557" i="2" s="1"/>
  <c r="K557" i="2"/>
  <c r="M577" i="2"/>
  <c r="N577" i="2" s="1"/>
  <c r="O577" i="2" s="1"/>
  <c r="K577" i="2"/>
  <c r="M576" i="2"/>
  <c r="N576" i="2" s="1"/>
  <c r="O576" i="2" s="1"/>
  <c r="K576" i="2"/>
  <c r="M603" i="2"/>
  <c r="N603" i="2" s="1"/>
  <c r="O603" i="2" s="1"/>
  <c r="K603" i="2"/>
  <c r="M602" i="2"/>
  <c r="N602" i="2" s="1"/>
  <c r="O602" i="2" s="1"/>
  <c r="K602" i="2"/>
  <c r="M629" i="2"/>
  <c r="N629" i="2" s="1"/>
  <c r="O629" i="2" s="1"/>
  <c r="K629" i="2"/>
  <c r="M628" i="2"/>
  <c r="N628" i="2" s="1"/>
  <c r="O628" i="2" s="1"/>
  <c r="K628" i="2"/>
  <c r="M655" i="2"/>
  <c r="N655" i="2" s="1"/>
  <c r="O655" i="2" s="1"/>
  <c r="K655" i="2"/>
  <c r="M654" i="2"/>
  <c r="N654" i="2" s="1"/>
  <c r="O654" i="2" s="1"/>
  <c r="K654" i="2"/>
  <c r="M682" i="2"/>
  <c r="N682" i="2" s="1"/>
  <c r="O682" i="2" s="1"/>
  <c r="K682" i="2"/>
  <c r="M681" i="2"/>
  <c r="N681" i="2" s="1"/>
  <c r="O681" i="2" s="1"/>
  <c r="K681" i="2"/>
  <c r="M710" i="2"/>
  <c r="N710" i="2" s="1"/>
  <c r="O710" i="2" s="1"/>
  <c r="K710" i="2"/>
  <c r="M709" i="2"/>
  <c r="N709" i="2" s="1"/>
  <c r="O709" i="2" s="1"/>
  <c r="K709" i="2"/>
  <c r="M734" i="2"/>
  <c r="N734" i="2" s="1"/>
  <c r="O734" i="2" s="1"/>
  <c r="K734" i="2"/>
  <c r="M756" i="2"/>
  <c r="N756" i="2" s="1"/>
  <c r="O756" i="2" s="1"/>
  <c r="K756" i="2"/>
  <c r="M773" i="2"/>
  <c r="N773" i="2" s="1"/>
  <c r="O773" i="2" s="1"/>
  <c r="K773" i="2"/>
  <c r="M786" i="2"/>
  <c r="N786" i="2" s="1"/>
  <c r="O786" i="2" s="1"/>
  <c r="K786" i="2"/>
  <c r="M804" i="2"/>
  <c r="N804" i="2" s="1"/>
  <c r="O804" i="2" s="1"/>
  <c r="K804" i="2"/>
  <c r="M826" i="2"/>
  <c r="N826" i="2" s="1"/>
  <c r="O826" i="2" s="1"/>
  <c r="K826" i="2"/>
  <c r="M849" i="2"/>
  <c r="N849" i="2" s="1"/>
  <c r="O849" i="2" s="1"/>
  <c r="K849" i="2"/>
  <c r="M873" i="2"/>
  <c r="N873" i="2" s="1"/>
  <c r="O873" i="2" s="1"/>
  <c r="K873" i="2"/>
  <c r="M895" i="2"/>
  <c r="N895" i="2" s="1"/>
  <c r="O895" i="2" s="1"/>
  <c r="K895" i="2"/>
  <c r="M916" i="2"/>
  <c r="N916" i="2" s="1"/>
  <c r="O916" i="2" s="1"/>
  <c r="K916" i="2"/>
  <c r="M936" i="2"/>
  <c r="N936" i="2" s="1"/>
  <c r="O936" i="2" s="1"/>
  <c r="K936" i="2"/>
  <c r="M955" i="2"/>
  <c r="N955" i="2" s="1"/>
  <c r="O955" i="2" s="1"/>
  <c r="K955" i="2"/>
  <c r="M978" i="2"/>
  <c r="N978" i="2" s="1"/>
  <c r="O978" i="2" s="1"/>
  <c r="K978" i="2"/>
  <c r="M977" i="2"/>
  <c r="N977" i="2" s="1"/>
  <c r="O977" i="2" s="1"/>
  <c r="K977" i="2"/>
  <c r="M1003" i="2"/>
  <c r="N1003" i="2" s="1"/>
  <c r="O1003" i="2" s="1"/>
  <c r="K1003" i="2"/>
  <c r="M1002" i="2"/>
  <c r="N1002" i="2" s="1"/>
  <c r="O1002" i="2" s="1"/>
  <c r="K1002" i="2"/>
  <c r="M1028" i="2"/>
  <c r="N1028" i="2" s="1"/>
  <c r="O1028" i="2" s="1"/>
  <c r="K1028" i="2"/>
  <c r="M1027" i="2"/>
  <c r="N1027" i="2" s="1"/>
  <c r="O1027" i="2" s="1"/>
  <c r="K1027" i="2"/>
  <c r="M1053" i="2"/>
  <c r="N1053" i="2" s="1"/>
  <c r="O1053" i="2" s="1"/>
  <c r="K1053" i="2"/>
  <c r="M1052" i="2"/>
  <c r="N1052" i="2" s="1"/>
  <c r="O1052" i="2" s="1"/>
  <c r="K1052" i="2"/>
  <c r="M1070" i="2"/>
  <c r="N1070" i="2" s="1"/>
  <c r="O1070" i="2" s="1"/>
  <c r="K1070" i="2"/>
  <c r="M1082" i="2"/>
  <c r="N1082" i="2" s="1"/>
  <c r="O1082" i="2" s="1"/>
  <c r="K1082" i="2"/>
  <c r="M1095" i="2"/>
  <c r="N1095" i="2" s="1"/>
  <c r="O1095" i="2" s="1"/>
  <c r="K1095" i="2"/>
  <c r="M1110" i="2"/>
  <c r="N1110" i="2" s="1"/>
  <c r="O1110" i="2" s="1"/>
  <c r="K1110" i="2"/>
  <c r="M1163" i="2"/>
  <c r="N1163" i="2" s="1"/>
  <c r="O1163" i="2" s="1"/>
  <c r="K1163" i="2"/>
  <c r="M1185" i="2"/>
  <c r="N1185" i="2" s="1"/>
  <c r="O1185" i="2" s="1"/>
  <c r="K1185" i="2"/>
  <c r="M1208" i="2"/>
  <c r="N1208" i="2" s="1"/>
  <c r="O1208" i="2" s="1"/>
  <c r="K1208" i="2"/>
  <c r="M1230" i="2"/>
  <c r="N1230" i="2" s="1"/>
  <c r="O1230" i="2" s="1"/>
  <c r="K1230" i="2"/>
  <c r="M1254" i="2"/>
  <c r="N1254" i="2" s="1"/>
  <c r="O1254" i="2" s="1"/>
  <c r="K1254" i="2"/>
  <c r="M1277" i="2"/>
  <c r="N1277" i="2" s="1"/>
  <c r="O1277" i="2" s="1"/>
  <c r="K1277" i="2"/>
  <c r="M1299" i="2"/>
  <c r="N1299" i="2" s="1"/>
  <c r="O1299" i="2" s="1"/>
  <c r="K1299" i="2"/>
  <c r="M1321" i="2"/>
  <c r="N1321" i="2" s="1"/>
  <c r="O1321" i="2" s="1"/>
  <c r="K1321" i="2"/>
  <c r="M1344" i="2"/>
  <c r="N1344" i="2" s="1"/>
  <c r="O1344" i="2" s="1"/>
  <c r="K1344" i="2"/>
  <c r="M1368" i="2"/>
  <c r="N1368" i="2" s="1"/>
  <c r="O1368" i="2" s="1"/>
  <c r="K1368" i="2"/>
  <c r="M1392" i="2"/>
  <c r="N1392" i="2" s="1"/>
  <c r="O1392" i="2" s="1"/>
  <c r="K1392" i="2"/>
  <c r="M1417" i="2"/>
  <c r="N1417" i="2" s="1"/>
  <c r="O1417" i="2" s="1"/>
  <c r="K1417" i="2"/>
  <c r="M1442" i="2"/>
  <c r="N1442" i="2" s="1"/>
  <c r="O1442" i="2" s="1"/>
  <c r="K1442" i="2"/>
  <c r="M1465" i="2"/>
  <c r="N1465" i="2" s="1"/>
  <c r="O1465" i="2" s="1"/>
  <c r="K1465" i="2"/>
  <c r="M1487" i="2"/>
  <c r="N1487" i="2" s="1"/>
  <c r="O1487" i="2" s="1"/>
  <c r="K1487" i="2"/>
  <c r="M1505" i="2"/>
  <c r="N1505" i="2" s="1"/>
  <c r="O1505" i="2" s="1"/>
  <c r="K1505" i="2"/>
  <c r="M1518" i="2"/>
  <c r="N1518" i="2" s="1"/>
  <c r="O1518" i="2" s="1"/>
  <c r="K1518" i="2"/>
  <c r="M1532" i="2"/>
  <c r="N1532" i="2" s="1"/>
  <c r="O1532" i="2" s="1"/>
  <c r="K1532" i="2"/>
  <c r="M1548" i="2"/>
  <c r="N1548" i="2" s="1"/>
  <c r="O1548" i="2" s="1"/>
  <c r="K1548" i="2"/>
  <c r="M1569" i="2"/>
  <c r="N1569" i="2" s="1"/>
  <c r="O1569" i="2" s="1"/>
  <c r="K1569" i="2"/>
  <c r="M1568" i="2"/>
  <c r="N1568" i="2" s="1"/>
  <c r="O1568" i="2" s="1"/>
  <c r="K1568" i="2"/>
  <c r="M1593" i="2"/>
  <c r="N1593" i="2" s="1"/>
  <c r="O1593" i="2" s="1"/>
  <c r="K1593" i="2"/>
  <c r="M1592" i="2"/>
  <c r="N1592" i="2" s="1"/>
  <c r="O1592" i="2" s="1"/>
  <c r="K1592" i="2"/>
  <c r="M1838" i="2"/>
  <c r="N1838" i="2" s="1"/>
  <c r="O1838" i="2" s="1"/>
  <c r="K1838" i="2"/>
  <c r="M1851" i="2"/>
  <c r="N1851" i="2" s="1"/>
  <c r="O1851" i="2" s="1"/>
  <c r="K1851" i="2"/>
  <c r="M1614" i="2"/>
  <c r="N1614" i="2" s="1"/>
  <c r="O1614" i="2" s="1"/>
  <c r="K1614" i="2"/>
  <c r="M1630" i="2"/>
  <c r="N1630" i="2" s="1"/>
  <c r="O1630" i="2" s="1"/>
  <c r="K1630" i="2"/>
  <c r="M1646" i="2"/>
  <c r="N1646" i="2" s="1"/>
  <c r="O1646" i="2" s="1"/>
  <c r="K1646" i="2"/>
  <c r="M1662" i="2"/>
  <c r="N1662" i="2" s="1"/>
  <c r="O1662" i="2" s="1"/>
  <c r="K1662" i="2"/>
  <c r="M1676" i="2"/>
  <c r="N1676" i="2" s="1"/>
  <c r="O1676" i="2" s="1"/>
  <c r="K1676" i="2"/>
  <c r="M1690" i="2"/>
  <c r="N1690" i="2" s="1"/>
  <c r="O1690" i="2" s="1"/>
  <c r="K1690" i="2"/>
  <c r="M1705" i="2"/>
  <c r="N1705" i="2" s="1"/>
  <c r="O1705" i="2" s="1"/>
  <c r="K1705" i="2"/>
  <c r="M1719" i="2"/>
  <c r="N1719" i="2" s="1"/>
  <c r="O1719" i="2" s="1"/>
  <c r="K1719" i="2"/>
  <c r="M147" i="2"/>
  <c r="N147" i="2" s="1"/>
  <c r="O147" i="2" s="1"/>
  <c r="K147" i="2"/>
  <c r="M165" i="2"/>
  <c r="N165" i="2" s="1"/>
  <c r="O165" i="2" s="1"/>
  <c r="K165" i="2"/>
  <c r="M182" i="2"/>
  <c r="N182" i="2" s="1"/>
  <c r="O182" i="2" s="1"/>
  <c r="K182" i="2"/>
  <c r="M198" i="2"/>
  <c r="N198" i="2" s="1"/>
  <c r="O198" i="2" s="1"/>
  <c r="K198" i="2"/>
  <c r="M1143" i="2"/>
  <c r="N1143" i="2" s="1"/>
  <c r="O1143" i="2" s="1"/>
  <c r="K1143" i="2"/>
  <c r="M1154" i="2"/>
  <c r="N1154" i="2" s="1"/>
  <c r="O1154" i="2" s="1"/>
  <c r="K1154" i="2"/>
  <c r="M1772" i="2"/>
  <c r="N1772" i="2" s="1"/>
  <c r="O1772" i="2" s="1"/>
  <c r="K1772" i="2"/>
  <c r="M1789" i="2"/>
  <c r="N1789" i="2" s="1"/>
  <c r="O1789" i="2" s="1"/>
  <c r="K1789" i="2"/>
  <c r="M1806" i="2"/>
  <c r="N1806" i="2" s="1"/>
  <c r="O1806" i="2" s="1"/>
  <c r="K1806" i="2"/>
  <c r="M1823" i="2"/>
  <c r="N1823" i="2" s="1"/>
  <c r="O1823" i="2" s="1"/>
  <c r="K1823" i="2"/>
  <c r="M1127" i="2"/>
  <c r="N1127" i="2" s="1"/>
  <c r="O1127" i="2" s="1"/>
  <c r="K1127" i="2"/>
  <c r="M546" i="2"/>
  <c r="N546" i="2" s="1"/>
  <c r="O546" i="2" s="1"/>
  <c r="K546" i="2"/>
  <c r="M556" i="2"/>
  <c r="N556" i="2" s="1"/>
  <c r="O556" i="2" s="1"/>
  <c r="K556" i="2"/>
  <c r="M131" i="2"/>
  <c r="N131" i="2" s="1"/>
  <c r="O131" i="2" s="1"/>
  <c r="K131" i="2"/>
  <c r="M15" i="2"/>
  <c r="N15" i="2" s="1"/>
  <c r="O15" i="2" s="1"/>
  <c r="K15" i="2"/>
  <c r="M49" i="2"/>
  <c r="N49" i="2" s="1"/>
  <c r="O49" i="2" s="1"/>
  <c r="K49" i="2"/>
  <c r="M84" i="2"/>
  <c r="N84" i="2" s="1"/>
  <c r="O84" i="2" s="1"/>
  <c r="K84" i="2"/>
  <c r="M1162" i="2"/>
  <c r="N1162" i="2" s="1"/>
  <c r="O1162" i="2" s="1"/>
  <c r="K1162" i="2"/>
  <c r="M259" i="2"/>
  <c r="N259" i="2" s="1"/>
  <c r="O259" i="2" s="1"/>
  <c r="K259" i="2"/>
  <c r="M282" i="2"/>
  <c r="N282" i="2" s="1"/>
  <c r="O282" i="2" s="1"/>
  <c r="K282" i="2"/>
  <c r="M327" i="2"/>
  <c r="N327" i="2" s="1"/>
  <c r="O327" i="2" s="1"/>
  <c r="K327" i="2"/>
  <c r="M343" i="2"/>
  <c r="N343" i="2" s="1"/>
  <c r="O343" i="2" s="1"/>
  <c r="K343" i="2"/>
  <c r="M388" i="2"/>
  <c r="N388" i="2" s="1"/>
  <c r="O388" i="2" s="1"/>
  <c r="K388" i="2"/>
  <c r="M405" i="2"/>
  <c r="N405" i="2" s="1"/>
  <c r="O405" i="2" s="1"/>
  <c r="K405" i="2"/>
  <c r="M680" i="2"/>
  <c r="N680" i="2" s="1"/>
  <c r="O680" i="2" s="1"/>
  <c r="K680" i="2"/>
  <c r="M708" i="2"/>
  <c r="N708" i="2" s="1"/>
  <c r="O708" i="2" s="1"/>
  <c r="K708" i="2"/>
  <c r="M848" i="2"/>
  <c r="N848" i="2" s="1"/>
  <c r="O848" i="2" s="1"/>
  <c r="K848" i="2"/>
  <c r="M872" i="2"/>
  <c r="N872" i="2" s="1"/>
  <c r="O872" i="2" s="1"/>
  <c r="K872" i="2"/>
  <c r="M894" i="2"/>
  <c r="N894" i="2" s="1"/>
  <c r="O894" i="2" s="1"/>
  <c r="K894" i="2"/>
  <c r="M915" i="2"/>
  <c r="N915" i="2" s="1"/>
  <c r="O915" i="2" s="1"/>
  <c r="K915" i="2"/>
  <c r="M1094" i="2"/>
  <c r="N1094" i="2" s="1"/>
  <c r="O1094" i="2" s="1"/>
  <c r="K1094" i="2"/>
  <c r="M1109" i="2"/>
  <c r="N1109" i="2" s="1"/>
  <c r="O1109" i="2" s="1"/>
  <c r="K1109" i="2"/>
  <c r="M1320" i="2"/>
  <c r="N1320" i="2" s="1"/>
  <c r="O1320" i="2" s="1"/>
  <c r="K1320" i="2"/>
  <c r="M1343" i="2"/>
  <c r="N1343" i="2" s="1"/>
  <c r="O1343" i="2" s="1"/>
  <c r="K1343" i="2"/>
  <c r="M1416" i="2"/>
  <c r="N1416" i="2" s="1"/>
  <c r="O1416" i="2" s="1"/>
  <c r="K1416" i="2"/>
  <c r="M1441" i="2"/>
  <c r="N1441" i="2" s="1"/>
  <c r="O1441" i="2" s="1"/>
  <c r="K1441" i="2"/>
  <c r="M1531" i="2"/>
  <c r="N1531" i="2" s="1"/>
  <c r="O1531" i="2" s="1"/>
  <c r="K1531" i="2"/>
  <c r="M1547" i="2"/>
  <c r="N1547" i="2" s="1"/>
  <c r="O1547" i="2" s="1"/>
  <c r="K1547" i="2"/>
  <c r="M1850" i="2"/>
  <c r="N1850" i="2" s="1"/>
  <c r="O1850" i="2" s="1"/>
  <c r="K1850" i="2"/>
  <c r="M1675" i="2"/>
  <c r="N1675" i="2" s="1"/>
  <c r="O1675" i="2" s="1"/>
  <c r="K1675" i="2"/>
  <c r="M1689" i="2"/>
  <c r="N1689" i="2" s="1"/>
  <c r="O1689" i="2" s="1"/>
  <c r="K1689" i="2"/>
  <c r="M146" i="2"/>
  <c r="N146" i="2" s="1"/>
  <c r="O146" i="2" s="1"/>
  <c r="K146" i="2"/>
  <c r="M164" i="2"/>
  <c r="N164" i="2" s="1"/>
  <c r="O164" i="2" s="1"/>
  <c r="K164" i="2"/>
  <c r="M1788" i="2"/>
  <c r="N1788" i="2" s="1"/>
  <c r="O1788" i="2" s="1"/>
  <c r="K1788" i="2"/>
  <c r="M1822" i="2"/>
  <c r="N1822" i="2" s="1"/>
  <c r="O1822" i="2" s="1"/>
  <c r="K1822" i="2"/>
  <c r="M30" i="2"/>
  <c r="N30" i="2" s="1"/>
  <c r="O30" i="2" s="1"/>
  <c r="K30" i="2"/>
  <c r="M65" i="2"/>
  <c r="N65" i="2" s="1"/>
  <c r="O65" i="2" s="1"/>
  <c r="K65" i="2"/>
  <c r="M100" i="2"/>
  <c r="N100" i="2" s="1"/>
  <c r="O100" i="2" s="1"/>
  <c r="K100" i="2"/>
  <c r="M627" i="2"/>
  <c r="N627" i="2" s="1"/>
  <c r="O627" i="2" s="1"/>
  <c r="K627" i="2"/>
  <c r="M653" i="2"/>
  <c r="N653" i="2" s="1"/>
  <c r="O653" i="2" s="1"/>
  <c r="K653" i="2"/>
  <c r="M679" i="2"/>
  <c r="N679" i="2" s="1"/>
  <c r="O679" i="2" s="1"/>
  <c r="K679" i="2"/>
  <c r="M707" i="2"/>
  <c r="N707" i="2" s="1"/>
  <c r="O707" i="2" s="1"/>
  <c r="K707" i="2"/>
  <c r="M803" i="2"/>
  <c r="N803" i="2" s="1"/>
  <c r="O803" i="2" s="1"/>
  <c r="K803" i="2"/>
  <c r="M825" i="2"/>
  <c r="N825" i="2" s="1"/>
  <c r="O825" i="2" s="1"/>
  <c r="K825" i="2"/>
  <c r="M847" i="2"/>
  <c r="N847" i="2" s="1"/>
  <c r="O847" i="2" s="1"/>
  <c r="K847" i="2"/>
  <c r="M871" i="2"/>
  <c r="N871" i="2" s="1"/>
  <c r="O871" i="2" s="1"/>
  <c r="K871" i="2"/>
  <c r="M893" i="2"/>
  <c r="N893" i="2" s="1"/>
  <c r="O893" i="2" s="1"/>
  <c r="K893" i="2"/>
  <c r="M914" i="2"/>
  <c r="N914" i="2" s="1"/>
  <c r="O914" i="2" s="1"/>
  <c r="K914" i="2"/>
  <c r="M935" i="2"/>
  <c r="N935" i="2" s="1"/>
  <c r="O935" i="2" s="1"/>
  <c r="K935" i="2"/>
  <c r="M954" i="2"/>
  <c r="N954" i="2" s="1"/>
  <c r="O954" i="2" s="1"/>
  <c r="K954" i="2"/>
  <c r="M1184" i="2"/>
  <c r="N1184" i="2" s="1"/>
  <c r="O1184" i="2" s="1"/>
  <c r="K1184" i="2"/>
  <c r="M1207" i="2"/>
  <c r="N1207" i="2" s="1"/>
  <c r="O1207" i="2" s="1"/>
  <c r="K1207" i="2"/>
  <c r="M1276" i="2"/>
  <c r="N1276" i="2" s="1"/>
  <c r="O1276" i="2" s="1"/>
  <c r="K1276" i="2"/>
  <c r="M1298" i="2"/>
  <c r="N1298" i="2" s="1"/>
  <c r="O1298" i="2" s="1"/>
  <c r="K1298" i="2"/>
  <c r="M1319" i="2"/>
  <c r="N1319" i="2" s="1"/>
  <c r="O1319" i="2" s="1"/>
  <c r="K1319" i="2"/>
  <c r="M1342" i="2"/>
  <c r="N1342" i="2" s="1"/>
  <c r="O1342" i="2" s="1"/>
  <c r="K1342" i="2"/>
  <c r="M1415" i="2"/>
  <c r="N1415" i="2" s="1"/>
  <c r="O1415" i="2" s="1"/>
  <c r="K1415" i="2"/>
  <c r="M1440" i="2"/>
  <c r="N1440" i="2" s="1"/>
  <c r="O1440" i="2" s="1"/>
  <c r="K1440" i="2"/>
  <c r="M1464" i="2"/>
  <c r="N1464" i="2" s="1"/>
  <c r="O1464" i="2" s="1"/>
  <c r="K1464" i="2"/>
  <c r="M1486" i="2"/>
  <c r="N1486" i="2" s="1"/>
  <c r="O1486" i="2" s="1"/>
  <c r="K1486" i="2"/>
  <c r="M1567" i="2"/>
  <c r="N1567" i="2" s="1"/>
  <c r="O1567" i="2" s="1"/>
  <c r="K1567" i="2"/>
  <c r="M1591" i="2"/>
  <c r="N1591" i="2" s="1"/>
  <c r="O1591" i="2" s="1"/>
  <c r="K1591" i="2"/>
  <c r="M626" i="2"/>
  <c r="N626" i="2" s="1"/>
  <c r="O626" i="2" s="1"/>
  <c r="K626" i="2"/>
  <c r="M652" i="2"/>
  <c r="N652" i="2" s="1"/>
  <c r="O652" i="2" s="1"/>
  <c r="K652" i="2"/>
  <c r="M678" i="2"/>
  <c r="N678" i="2" s="1"/>
  <c r="O678" i="2" s="1"/>
  <c r="K678" i="2"/>
  <c r="M706" i="2"/>
  <c r="N706" i="2" s="1"/>
  <c r="O706" i="2" s="1"/>
  <c r="K706" i="2"/>
  <c r="M733" i="2"/>
  <c r="N733" i="2" s="1"/>
  <c r="O733" i="2" s="1"/>
  <c r="K733" i="2"/>
  <c r="M755" i="2"/>
  <c r="N755" i="2" s="1"/>
  <c r="O755" i="2" s="1"/>
  <c r="K755" i="2"/>
  <c r="M802" i="2"/>
  <c r="N802" i="2" s="1"/>
  <c r="O802" i="2" s="1"/>
  <c r="K802" i="2"/>
  <c r="M824" i="2"/>
  <c r="N824" i="2" s="1"/>
  <c r="O824" i="2" s="1"/>
  <c r="K824" i="2"/>
  <c r="M846" i="2"/>
  <c r="N846" i="2" s="1"/>
  <c r="O846" i="2" s="1"/>
  <c r="K846" i="2"/>
  <c r="M870" i="2"/>
  <c r="N870" i="2" s="1"/>
  <c r="O870" i="2" s="1"/>
  <c r="K870" i="2"/>
  <c r="M892" i="2"/>
  <c r="N892" i="2" s="1"/>
  <c r="O892" i="2" s="1"/>
  <c r="K892" i="2"/>
  <c r="M913" i="2"/>
  <c r="N913" i="2" s="1"/>
  <c r="O913" i="2" s="1"/>
  <c r="K913" i="2"/>
  <c r="M934" i="2"/>
  <c r="N934" i="2" s="1"/>
  <c r="O934" i="2" s="1"/>
  <c r="K934" i="2"/>
  <c r="M953" i="2"/>
  <c r="N953" i="2" s="1"/>
  <c r="O953" i="2" s="1"/>
  <c r="K953" i="2"/>
  <c r="M976" i="2"/>
  <c r="N976" i="2" s="1"/>
  <c r="O976" i="2" s="1"/>
  <c r="K976" i="2"/>
  <c r="M1001" i="2"/>
  <c r="N1001" i="2" s="1"/>
  <c r="O1001" i="2" s="1"/>
  <c r="K1001" i="2"/>
  <c r="M1183" i="2"/>
  <c r="N1183" i="2" s="1"/>
  <c r="O1183" i="2" s="1"/>
  <c r="K1183" i="2"/>
  <c r="M1206" i="2"/>
  <c r="N1206" i="2" s="1"/>
  <c r="O1206" i="2" s="1"/>
  <c r="K1206" i="2"/>
  <c r="M1414" i="2"/>
  <c r="N1414" i="2" s="1"/>
  <c r="O1414" i="2" s="1"/>
  <c r="K1414" i="2"/>
  <c r="M1439" i="2"/>
  <c r="N1439" i="2" s="1"/>
  <c r="O1439" i="2" s="1"/>
  <c r="K1439" i="2"/>
  <c r="M1613" i="2"/>
  <c r="N1613" i="2" s="1"/>
  <c r="O1613" i="2" s="1"/>
  <c r="K1613" i="2"/>
  <c r="M1629" i="2"/>
  <c r="N1629" i="2" s="1"/>
  <c r="O1629" i="2" s="1"/>
  <c r="K1629" i="2"/>
  <c r="M1645" i="2"/>
  <c r="N1645" i="2" s="1"/>
  <c r="O1645" i="2" s="1"/>
  <c r="K1645" i="2"/>
  <c r="M1661" i="2"/>
  <c r="N1661" i="2" s="1"/>
  <c r="O1661" i="2" s="1"/>
  <c r="K1661" i="2"/>
  <c r="M1704" i="2"/>
  <c r="N1704" i="2" s="1"/>
  <c r="O1704" i="2" s="1"/>
  <c r="K1704" i="2"/>
  <c r="M1718" i="2"/>
  <c r="N1718" i="2" s="1"/>
  <c r="O1718" i="2" s="1"/>
  <c r="K1718" i="2"/>
  <c r="M130" i="2"/>
  <c r="N130" i="2" s="1"/>
  <c r="O130" i="2" s="1"/>
  <c r="K130" i="2"/>
  <c r="M519" i="2"/>
  <c r="N519" i="2" s="1"/>
  <c r="O519" i="2" s="1"/>
  <c r="K519" i="2"/>
  <c r="M535" i="2"/>
  <c r="N535" i="2" s="1"/>
  <c r="O535" i="2" s="1"/>
  <c r="K535" i="2"/>
  <c r="M1612" i="2"/>
  <c r="N1612" i="2" s="1"/>
  <c r="O1612" i="2" s="1"/>
  <c r="K1612" i="2"/>
  <c r="M1628" i="2"/>
  <c r="N1628" i="2" s="1"/>
  <c r="O1628" i="2" s="1"/>
  <c r="K1628" i="2"/>
  <c r="M1644" i="2"/>
  <c r="N1644" i="2" s="1"/>
  <c r="O1644" i="2" s="1"/>
  <c r="K1644" i="2"/>
  <c r="M1660" i="2"/>
  <c r="N1660" i="2" s="1"/>
  <c r="O1660" i="2" s="1"/>
  <c r="K1660" i="2"/>
  <c r="M1703" i="2"/>
  <c r="N1703" i="2" s="1"/>
  <c r="O1703" i="2" s="1"/>
  <c r="K1703" i="2"/>
  <c r="M1717" i="2"/>
  <c r="N1717" i="2" s="1"/>
  <c r="O1717" i="2" s="1"/>
  <c r="K1717" i="2"/>
  <c r="M129" i="2"/>
  <c r="N129" i="2" s="1"/>
  <c r="O129" i="2" s="1"/>
  <c r="K129" i="2"/>
  <c r="M732" i="2"/>
  <c r="N732" i="2" s="1"/>
  <c r="O732" i="2" s="1"/>
  <c r="K732" i="2"/>
  <c r="M754" i="2"/>
  <c r="N754" i="2" s="1"/>
  <c r="O754" i="2" s="1"/>
  <c r="K754" i="2"/>
  <c r="M14" i="2"/>
  <c r="N14" i="2" s="1"/>
  <c r="O14" i="2" s="1"/>
  <c r="K14" i="2"/>
  <c r="M29" i="2"/>
  <c r="N29" i="2" s="1"/>
  <c r="O29" i="2" s="1"/>
  <c r="K29" i="2"/>
  <c r="M48" i="2"/>
  <c r="N48" i="2" s="1"/>
  <c r="O48" i="2" s="1"/>
  <c r="K48" i="2"/>
  <c r="M64" i="2"/>
  <c r="N64" i="2" s="1"/>
  <c r="K64" i="2"/>
  <c r="M83" i="2"/>
  <c r="N83" i="2" s="1"/>
  <c r="O83" i="2" s="1"/>
  <c r="K83" i="2"/>
  <c r="M99" i="2"/>
  <c r="N99" i="2" s="1"/>
  <c r="O99" i="2" s="1"/>
  <c r="K99" i="2"/>
  <c r="M1733" i="2"/>
  <c r="N1733" i="2" s="1"/>
  <c r="O1733" i="2" s="1"/>
  <c r="K1733" i="2"/>
  <c r="M1753" i="2"/>
  <c r="N1753" i="2" s="1"/>
  <c r="O1753" i="2" s="1"/>
  <c r="K1753" i="2"/>
  <c r="M128" i="2"/>
  <c r="N128" i="2" s="1"/>
  <c r="O128" i="2" s="1"/>
  <c r="K128" i="2"/>
  <c r="M1126" i="2"/>
  <c r="N1126" i="2" s="1"/>
  <c r="O1126" i="2" s="1"/>
  <c r="K1126" i="2"/>
  <c r="M216" i="2"/>
  <c r="N216" i="2" s="1"/>
  <c r="O216" i="2" s="1"/>
  <c r="K216" i="2"/>
  <c r="M237" i="2"/>
  <c r="N237" i="2" s="1"/>
  <c r="O237" i="2" s="1"/>
  <c r="K237" i="2"/>
  <c r="M300" i="2"/>
  <c r="N300" i="2" s="1"/>
  <c r="O300" i="2" s="1"/>
  <c r="K300" i="2"/>
  <c r="M313" i="2"/>
  <c r="N313" i="2" s="1"/>
  <c r="O313" i="2" s="1"/>
  <c r="K313" i="2"/>
  <c r="M359" i="2"/>
  <c r="N359" i="2" s="1"/>
  <c r="K359" i="2"/>
  <c r="M373" i="2"/>
  <c r="N373" i="2" s="1"/>
  <c r="O373" i="2" s="1"/>
  <c r="K373" i="2"/>
  <c r="M425" i="2"/>
  <c r="N425" i="2" s="1"/>
  <c r="O425" i="2" s="1"/>
  <c r="K425" i="2"/>
  <c r="M449" i="2"/>
  <c r="N449" i="2" s="1"/>
  <c r="O449" i="2" s="1"/>
  <c r="K449" i="2"/>
  <c r="M473" i="2"/>
  <c r="N473" i="2" s="1"/>
  <c r="O473" i="2" s="1"/>
  <c r="K473" i="2"/>
  <c r="M497" i="2"/>
  <c r="N497" i="2" s="1"/>
  <c r="O497" i="2" s="1"/>
  <c r="K497" i="2"/>
  <c r="M518" i="2"/>
  <c r="N518" i="2" s="1"/>
  <c r="O518" i="2" s="1"/>
  <c r="K518" i="2"/>
  <c r="M534" i="2"/>
  <c r="N534" i="2" s="1"/>
  <c r="O534" i="2" s="1"/>
  <c r="K534" i="2"/>
  <c r="M575" i="2"/>
  <c r="N575" i="2" s="1"/>
  <c r="O575" i="2" s="1"/>
  <c r="K575" i="2"/>
  <c r="M601" i="2"/>
  <c r="N601" i="2" s="1"/>
  <c r="O601" i="2" s="1"/>
  <c r="K601" i="2"/>
  <c r="M625" i="2"/>
  <c r="N625" i="2" s="1"/>
  <c r="O625" i="2" s="1"/>
  <c r="K625" i="2"/>
  <c r="M651" i="2"/>
  <c r="N651" i="2" s="1"/>
  <c r="O651" i="2" s="1"/>
  <c r="K651" i="2"/>
  <c r="M731" i="2"/>
  <c r="N731" i="2" s="1"/>
  <c r="O731" i="2" s="1"/>
  <c r="K731" i="2"/>
  <c r="M753" i="2"/>
  <c r="N753" i="2" s="1"/>
  <c r="O753" i="2" s="1"/>
  <c r="K753" i="2"/>
  <c r="M772" i="2"/>
  <c r="N772" i="2" s="1"/>
  <c r="O772" i="2" s="1"/>
  <c r="K772" i="2"/>
  <c r="M785" i="2"/>
  <c r="N785" i="2" s="1"/>
  <c r="O785" i="2" s="1"/>
  <c r="K785" i="2"/>
  <c r="M801" i="2"/>
  <c r="N801" i="2" s="1"/>
  <c r="O801" i="2" s="1"/>
  <c r="K801" i="2"/>
  <c r="M823" i="2"/>
  <c r="N823" i="2" s="1"/>
  <c r="O823" i="2" s="1"/>
  <c r="K823" i="2"/>
  <c r="M933" i="2"/>
  <c r="N933" i="2" s="1"/>
  <c r="O933" i="2" s="1"/>
  <c r="K933" i="2"/>
  <c r="M952" i="2"/>
  <c r="N952" i="2" s="1"/>
  <c r="O952" i="2" s="1"/>
  <c r="K952" i="2"/>
  <c r="M975" i="2"/>
  <c r="N975" i="2" s="1"/>
  <c r="O975" i="2" s="1"/>
  <c r="K975" i="2"/>
  <c r="M1000" i="2"/>
  <c r="N1000" i="2" s="1"/>
  <c r="O1000" i="2" s="1"/>
  <c r="K1000" i="2"/>
  <c r="M1026" i="2"/>
  <c r="N1026" i="2" s="1"/>
  <c r="O1026" i="2" s="1"/>
  <c r="K1026" i="2"/>
  <c r="M1051" i="2"/>
  <c r="N1051" i="2" s="1"/>
  <c r="O1051" i="2" s="1"/>
  <c r="K1051" i="2"/>
  <c r="M1069" i="2"/>
  <c r="N1069" i="2" s="1"/>
  <c r="O1069" i="2" s="1"/>
  <c r="K1069" i="2"/>
  <c r="M1081" i="2"/>
  <c r="N1081" i="2" s="1"/>
  <c r="O1081" i="2" s="1"/>
  <c r="K1081" i="2"/>
  <c r="M1182" i="2"/>
  <c r="N1182" i="2" s="1"/>
  <c r="O1182" i="2" s="1"/>
  <c r="K1182" i="2"/>
  <c r="M1205" i="2"/>
  <c r="N1205" i="2" s="1"/>
  <c r="O1205" i="2" s="1"/>
  <c r="K1205" i="2"/>
  <c r="M1229" i="2"/>
  <c r="N1229" i="2" s="1"/>
  <c r="O1229" i="2" s="1"/>
  <c r="K1229" i="2"/>
  <c r="M1253" i="2"/>
  <c r="N1253" i="2" s="1"/>
  <c r="O1253" i="2" s="1"/>
  <c r="K1253" i="2"/>
  <c r="M1275" i="2"/>
  <c r="N1275" i="2" s="1"/>
  <c r="O1275" i="2" s="1"/>
  <c r="K1275" i="2"/>
  <c r="M1297" i="2"/>
  <c r="N1297" i="2" s="1"/>
  <c r="O1297" i="2" s="1"/>
  <c r="K1297" i="2"/>
  <c r="M1367" i="2"/>
  <c r="N1367" i="2" s="1"/>
  <c r="O1367" i="2" s="1"/>
  <c r="K1367" i="2"/>
  <c r="M1391" i="2"/>
  <c r="N1391" i="2" s="1"/>
  <c r="O1391" i="2" s="1"/>
  <c r="K1391" i="2"/>
  <c r="M1463" i="2"/>
  <c r="N1463" i="2" s="1"/>
  <c r="K1463" i="2"/>
  <c r="M1485" i="2"/>
  <c r="N1485" i="2" s="1"/>
  <c r="O1485" i="2" s="1"/>
  <c r="K1485" i="2"/>
  <c r="M1504" i="2"/>
  <c r="N1504" i="2" s="1"/>
  <c r="O1504" i="2" s="1"/>
  <c r="K1504" i="2"/>
  <c r="M1517" i="2"/>
  <c r="N1517" i="2" s="1"/>
  <c r="O1517" i="2" s="1"/>
  <c r="K1517" i="2"/>
  <c r="M1566" i="2"/>
  <c r="N1566" i="2" s="1"/>
  <c r="O1566" i="2" s="1"/>
  <c r="K1566" i="2"/>
  <c r="M1590" i="2"/>
  <c r="N1590" i="2" s="1"/>
  <c r="O1590" i="2" s="1"/>
  <c r="K1590" i="2"/>
  <c r="M1837" i="2"/>
  <c r="N1837" i="2" s="1"/>
  <c r="K1837" i="2"/>
  <c r="M1611" i="2"/>
  <c r="N1611" i="2" s="1"/>
  <c r="O1611" i="2" s="1"/>
  <c r="K1611" i="2"/>
  <c r="M1627" i="2"/>
  <c r="N1627" i="2" s="1"/>
  <c r="O1627" i="2" s="1"/>
  <c r="K1627" i="2"/>
  <c r="M1643" i="2"/>
  <c r="N1643" i="2" s="1"/>
  <c r="O1643" i="2" s="1"/>
  <c r="K1643" i="2"/>
  <c r="M1659" i="2"/>
  <c r="N1659" i="2" s="1"/>
  <c r="O1659" i="2" s="1"/>
  <c r="K1659" i="2"/>
  <c r="M1702" i="2"/>
  <c r="N1702" i="2" s="1"/>
  <c r="K1702" i="2"/>
  <c r="M1716" i="2"/>
  <c r="N1716" i="2" s="1"/>
  <c r="O1716" i="2" s="1"/>
  <c r="K1716" i="2"/>
  <c r="M181" i="2"/>
  <c r="N181" i="2" s="1"/>
  <c r="K181" i="2"/>
  <c r="M197" i="2"/>
  <c r="N197" i="2" s="1"/>
  <c r="O197" i="2" s="1"/>
  <c r="K197" i="2"/>
  <c r="M1142" i="2"/>
  <c r="N1142" i="2" s="1"/>
  <c r="K1142" i="2"/>
  <c r="M1153" i="2"/>
  <c r="N1153" i="2" s="1"/>
  <c r="O1153" i="2" s="1"/>
  <c r="K1153" i="2"/>
  <c r="M1771" i="2"/>
  <c r="N1771" i="2" s="1"/>
  <c r="O1771" i="2" s="1"/>
  <c r="K1771" i="2"/>
  <c r="M1805" i="2"/>
  <c r="N1805" i="2" s="1"/>
  <c r="O1805" i="2" s="1"/>
  <c r="K1805" i="2"/>
  <c r="M13" i="2"/>
  <c r="N13" i="2" s="1"/>
  <c r="O13" i="2" s="1"/>
  <c r="K13" i="2"/>
  <c r="M47" i="2"/>
  <c r="N47" i="2" s="1"/>
  <c r="O47" i="2" s="1"/>
  <c r="K47" i="2"/>
  <c r="M82" i="2"/>
  <c r="N82" i="2" s="1"/>
  <c r="O82" i="2" s="1"/>
  <c r="K82" i="2"/>
  <c r="M545" i="2"/>
  <c r="N545" i="2" s="1"/>
  <c r="O545" i="2" s="1"/>
  <c r="K545" i="2"/>
  <c r="M555" i="2"/>
  <c r="N555" i="2" s="1"/>
  <c r="O555" i="2" s="1"/>
  <c r="K555" i="2"/>
  <c r="M127" i="2"/>
  <c r="N127" i="2" s="1"/>
  <c r="K127" i="2"/>
  <c r="M258" i="2"/>
  <c r="N258" i="2" s="1"/>
  <c r="O258" i="2" s="1"/>
  <c r="K258" i="2"/>
  <c r="M281" i="2"/>
  <c r="N281" i="2" s="1"/>
  <c r="O281" i="2" s="1"/>
  <c r="K281" i="2"/>
  <c r="M326" i="2"/>
  <c r="N326" i="2" s="1"/>
  <c r="O326" i="2" s="1"/>
  <c r="K326" i="2"/>
  <c r="M342" i="2"/>
  <c r="N342" i="2" s="1"/>
  <c r="O342" i="2" s="1"/>
  <c r="K342" i="2"/>
  <c r="M387" i="2"/>
  <c r="N387" i="2" s="1"/>
  <c r="O387" i="2" s="1"/>
  <c r="K387" i="2"/>
  <c r="M404" i="2"/>
  <c r="N404" i="2" s="1"/>
  <c r="O404" i="2" s="1"/>
  <c r="K404" i="2"/>
  <c r="M677" i="2"/>
  <c r="N677" i="2" s="1"/>
  <c r="O677" i="2" s="1"/>
  <c r="K677" i="2"/>
  <c r="M705" i="2"/>
  <c r="N705" i="2" s="1"/>
  <c r="O705" i="2" s="1"/>
  <c r="K705" i="2"/>
  <c r="M845" i="2"/>
  <c r="N845" i="2" s="1"/>
  <c r="O845" i="2" s="1"/>
  <c r="K845" i="2"/>
  <c r="M869" i="2"/>
  <c r="N869" i="2" s="1"/>
  <c r="O869" i="2" s="1"/>
  <c r="K869" i="2"/>
  <c r="M891" i="2"/>
  <c r="N891" i="2" s="1"/>
  <c r="O891" i="2" s="1"/>
  <c r="K891" i="2"/>
  <c r="M912" i="2"/>
  <c r="N912" i="2" s="1"/>
  <c r="O912" i="2" s="1"/>
  <c r="K912" i="2"/>
  <c r="M1093" i="2"/>
  <c r="N1093" i="2" s="1"/>
  <c r="O1093" i="2" s="1"/>
  <c r="K1093" i="2"/>
  <c r="M1108" i="2"/>
  <c r="N1108" i="2" s="1"/>
  <c r="O1108" i="2" s="1"/>
  <c r="K1108" i="2"/>
  <c r="M1318" i="2"/>
  <c r="N1318" i="2" s="1"/>
  <c r="O1318" i="2" s="1"/>
  <c r="K1318" i="2"/>
  <c r="M1341" i="2"/>
  <c r="N1341" i="2" s="1"/>
  <c r="O1341" i="2" s="1"/>
  <c r="K1341" i="2"/>
  <c r="M1413" i="2"/>
  <c r="N1413" i="2" s="1"/>
  <c r="O1413" i="2" s="1"/>
  <c r="K1413" i="2"/>
  <c r="M1438" i="2"/>
  <c r="N1438" i="2" s="1"/>
  <c r="O1438" i="2" s="1"/>
  <c r="K1438" i="2"/>
  <c r="M1530" i="2"/>
  <c r="N1530" i="2" s="1"/>
  <c r="O1530" i="2" s="1"/>
  <c r="K1530" i="2"/>
  <c r="M1546" i="2"/>
  <c r="N1546" i="2" s="1"/>
  <c r="O1546" i="2" s="1"/>
  <c r="K1546" i="2"/>
  <c r="M1849" i="2"/>
  <c r="N1849" i="2" s="1"/>
  <c r="O1849" i="2" s="1"/>
  <c r="K1849" i="2"/>
  <c r="M1674" i="2"/>
  <c r="N1674" i="2" s="1"/>
  <c r="O1674" i="2" s="1"/>
  <c r="K1674" i="2"/>
  <c r="M1688" i="2"/>
  <c r="N1688" i="2" s="1"/>
  <c r="O1688" i="2" s="1"/>
  <c r="K1688" i="2"/>
  <c r="M145" i="2"/>
  <c r="N145" i="2" s="1"/>
  <c r="O145" i="2" s="1"/>
  <c r="K145" i="2"/>
  <c r="M163" i="2"/>
  <c r="N163" i="2" s="1"/>
  <c r="O163" i="2" s="1"/>
  <c r="K163" i="2"/>
  <c r="M1787" i="2"/>
  <c r="N1787" i="2" s="1"/>
  <c r="O1787" i="2" s="1"/>
  <c r="K1787" i="2"/>
  <c r="M1821" i="2"/>
  <c r="N1821" i="2" s="1"/>
  <c r="O1821" i="2" s="1"/>
  <c r="K1821" i="2"/>
  <c r="M730" i="2"/>
  <c r="N730" i="2" s="1"/>
  <c r="O730" i="2" s="1"/>
  <c r="K730" i="2"/>
  <c r="M752" i="2"/>
  <c r="N752" i="2" s="1"/>
  <c r="O752" i="2" s="1"/>
  <c r="K752" i="2"/>
  <c r="M729" i="2"/>
  <c r="N729" i="2" s="1"/>
  <c r="O729" i="2" s="1"/>
  <c r="K729" i="2"/>
  <c r="M751" i="2"/>
  <c r="N751" i="2" s="1"/>
  <c r="O751" i="2" s="1"/>
  <c r="K751" i="2"/>
  <c r="M424" i="2"/>
  <c r="N424" i="2" s="1"/>
  <c r="O424" i="2" s="1"/>
  <c r="K424" i="2"/>
  <c r="M448" i="2"/>
  <c r="N448" i="2" s="1"/>
  <c r="O448" i="2" s="1"/>
  <c r="K448" i="2"/>
  <c r="M472" i="2"/>
  <c r="N472" i="2" s="1"/>
  <c r="O472" i="2" s="1"/>
  <c r="K472" i="2"/>
  <c r="M496" i="2"/>
  <c r="N496" i="2" s="1"/>
  <c r="O496" i="2" s="1"/>
  <c r="K496" i="2"/>
  <c r="M624" i="2"/>
  <c r="N624" i="2" s="1"/>
  <c r="O624" i="2" s="1"/>
  <c r="K624" i="2"/>
  <c r="M650" i="2"/>
  <c r="N650" i="2" s="1"/>
  <c r="O650" i="2" s="1"/>
  <c r="K650" i="2"/>
  <c r="M676" i="2"/>
  <c r="N676" i="2" s="1"/>
  <c r="O676" i="2" s="1"/>
  <c r="K676" i="2"/>
  <c r="M704" i="2"/>
  <c r="N704" i="2" s="1"/>
  <c r="O704" i="2" s="1"/>
  <c r="K704" i="2"/>
  <c r="M974" i="2"/>
  <c r="N974" i="2" s="1"/>
  <c r="O974" i="2" s="1"/>
  <c r="K974" i="2"/>
  <c r="M999" i="2"/>
  <c r="N999" i="2" s="1"/>
  <c r="O999" i="2" s="1"/>
  <c r="K999" i="2"/>
  <c r="M215" i="2"/>
  <c r="N215" i="2" s="1"/>
  <c r="O215" i="2" s="1"/>
  <c r="K215" i="2"/>
  <c r="M236" i="2"/>
  <c r="N236" i="2" s="1"/>
  <c r="O236" i="2" s="1"/>
  <c r="K236" i="2"/>
  <c r="M257" i="2"/>
  <c r="N257" i="2" s="1"/>
  <c r="O257" i="2" s="1"/>
  <c r="K257" i="2"/>
  <c r="M280" i="2"/>
  <c r="N280" i="2" s="1"/>
  <c r="O280" i="2" s="1"/>
  <c r="K280" i="2"/>
  <c r="M574" i="2"/>
  <c r="N574" i="2" s="1"/>
  <c r="O574" i="2" s="1"/>
  <c r="K574" i="2"/>
  <c r="M600" i="2"/>
  <c r="N600" i="2" s="1"/>
  <c r="O600" i="2" s="1"/>
  <c r="K600" i="2"/>
  <c r="M800" i="2"/>
  <c r="N800" i="2" s="1"/>
  <c r="O800" i="2" s="1"/>
  <c r="K800" i="2"/>
  <c r="M822" i="2"/>
  <c r="N822" i="2" s="1"/>
  <c r="O822" i="2" s="1"/>
  <c r="K822" i="2"/>
  <c r="M844" i="2"/>
  <c r="N844" i="2" s="1"/>
  <c r="O844" i="2" s="1"/>
  <c r="K844" i="2"/>
  <c r="M868" i="2"/>
  <c r="N868" i="2" s="1"/>
  <c r="O868" i="2" s="1"/>
  <c r="K868" i="2"/>
  <c r="M1025" i="2"/>
  <c r="N1025" i="2" s="1"/>
  <c r="O1025" i="2" s="1"/>
  <c r="K1025" i="2"/>
  <c r="M1050" i="2"/>
  <c r="N1050" i="2" s="1"/>
  <c r="O1050" i="2" s="1"/>
  <c r="K1050" i="2"/>
  <c r="M1181" i="2"/>
  <c r="N1181" i="2" s="1"/>
  <c r="O1181" i="2" s="1"/>
  <c r="K1181" i="2"/>
  <c r="M1204" i="2"/>
  <c r="N1204" i="2" s="1"/>
  <c r="O1204" i="2" s="1"/>
  <c r="K1204" i="2"/>
  <c r="M1228" i="2"/>
  <c r="N1228" i="2" s="1"/>
  <c r="O1228" i="2" s="1"/>
  <c r="K1228" i="2"/>
  <c r="M1252" i="2"/>
  <c r="N1252" i="2" s="1"/>
  <c r="O1252" i="2" s="1"/>
  <c r="K1252" i="2"/>
  <c r="M1274" i="2"/>
  <c r="N1274" i="2" s="1"/>
  <c r="O1274" i="2" s="1"/>
  <c r="K1274" i="2"/>
  <c r="M1296" i="2"/>
  <c r="N1296" i="2" s="1"/>
  <c r="O1296" i="2" s="1"/>
  <c r="K1296" i="2"/>
  <c r="M1317" i="2"/>
  <c r="N1317" i="2" s="1"/>
  <c r="O1317" i="2" s="1"/>
  <c r="K1317" i="2"/>
  <c r="M1340" i="2"/>
  <c r="N1340" i="2" s="1"/>
  <c r="O1340" i="2" s="1"/>
  <c r="K1340" i="2"/>
  <c r="M1366" i="2"/>
  <c r="N1366" i="2" s="1"/>
  <c r="O1366" i="2" s="1"/>
  <c r="K1366" i="2"/>
  <c r="M1390" i="2"/>
  <c r="N1390" i="2" s="1"/>
  <c r="O1390" i="2" s="1"/>
  <c r="K1390" i="2"/>
  <c r="M1412" i="2"/>
  <c r="N1412" i="2" s="1"/>
  <c r="O1412" i="2" s="1"/>
  <c r="K1412" i="2"/>
  <c r="M1437" i="2"/>
  <c r="N1437" i="2" s="1"/>
  <c r="O1437" i="2" s="1"/>
  <c r="K1437" i="2"/>
  <c r="M1462" i="2"/>
  <c r="N1462" i="2" s="1"/>
  <c r="O1462" i="2" s="1"/>
  <c r="K1462" i="2"/>
  <c r="M1484" i="2"/>
  <c r="N1484" i="2" s="1"/>
  <c r="O1484" i="2" s="1"/>
  <c r="K1484" i="2"/>
  <c r="M214" i="2"/>
  <c r="N214" i="2" s="1"/>
  <c r="O214" i="2" s="1"/>
  <c r="K214" i="2"/>
  <c r="M235" i="2"/>
  <c r="N235" i="2" s="1"/>
  <c r="O235" i="2" s="1"/>
  <c r="K235" i="2"/>
  <c r="M256" i="2"/>
  <c r="N256" i="2" s="1"/>
  <c r="O256" i="2" s="1"/>
  <c r="K256" i="2"/>
  <c r="M279" i="2"/>
  <c r="N279" i="2" s="1"/>
  <c r="O279" i="2" s="1"/>
  <c r="K279" i="2"/>
  <c r="M423" i="2"/>
  <c r="N423" i="2" s="1"/>
  <c r="O423" i="2" s="1"/>
  <c r="K423" i="2"/>
  <c r="M447" i="2"/>
  <c r="N447" i="2" s="1"/>
  <c r="O447" i="2" s="1"/>
  <c r="K447" i="2"/>
  <c r="M471" i="2"/>
  <c r="N471" i="2" s="1"/>
  <c r="O471" i="2" s="1"/>
  <c r="K471" i="2"/>
  <c r="M495" i="2"/>
  <c r="N495" i="2" s="1"/>
  <c r="O495" i="2" s="1"/>
  <c r="K495" i="2"/>
  <c r="M573" i="2"/>
  <c r="N573" i="2" s="1"/>
  <c r="O573" i="2" s="1"/>
  <c r="K573" i="2"/>
  <c r="M599" i="2"/>
  <c r="N599" i="2" s="1"/>
  <c r="O599" i="2" s="1"/>
  <c r="K599" i="2"/>
  <c r="M623" i="2"/>
  <c r="N623" i="2" s="1"/>
  <c r="O623" i="2" s="1"/>
  <c r="K623" i="2"/>
  <c r="M649" i="2"/>
  <c r="N649" i="2" s="1"/>
  <c r="O649" i="2" s="1"/>
  <c r="K649" i="2"/>
  <c r="M675" i="2"/>
  <c r="N675" i="2" s="1"/>
  <c r="O675" i="2" s="1"/>
  <c r="K675" i="2"/>
  <c r="M703" i="2"/>
  <c r="N703" i="2" s="1"/>
  <c r="O703" i="2" s="1"/>
  <c r="K703" i="2"/>
  <c r="M799" i="2"/>
  <c r="N799" i="2" s="1"/>
  <c r="O799" i="2" s="1"/>
  <c r="K799" i="2"/>
  <c r="M821" i="2"/>
  <c r="N821" i="2" s="1"/>
  <c r="O821" i="2" s="1"/>
  <c r="K821" i="2"/>
  <c r="M843" i="2"/>
  <c r="N843" i="2" s="1"/>
  <c r="O843" i="2" s="1"/>
  <c r="K843" i="2"/>
  <c r="M867" i="2"/>
  <c r="N867" i="2" s="1"/>
  <c r="O867" i="2" s="1"/>
  <c r="K867" i="2"/>
  <c r="M973" i="2"/>
  <c r="N973" i="2" s="1"/>
  <c r="O973" i="2" s="1"/>
  <c r="K973" i="2"/>
  <c r="M998" i="2"/>
  <c r="N998" i="2" s="1"/>
  <c r="O998" i="2" s="1"/>
  <c r="K998" i="2"/>
  <c r="M1024" i="2"/>
  <c r="N1024" i="2" s="1"/>
  <c r="O1024" i="2" s="1"/>
  <c r="K1024" i="2"/>
  <c r="M1049" i="2"/>
  <c r="N1049" i="2" s="1"/>
  <c r="O1049" i="2" s="1"/>
  <c r="K1049" i="2"/>
  <c r="M1161" i="2"/>
  <c r="N1161" i="2" s="1"/>
  <c r="O1161" i="2" s="1"/>
  <c r="K1161" i="2"/>
  <c r="M1227" i="2"/>
  <c r="N1227" i="2" s="1"/>
  <c r="O1227" i="2" s="1"/>
  <c r="K1227" i="2"/>
  <c r="M1251" i="2"/>
  <c r="N1251" i="2" s="1"/>
  <c r="O1251" i="2" s="1"/>
  <c r="K1251" i="2"/>
  <c r="M1365" i="2"/>
  <c r="N1365" i="2" s="1"/>
  <c r="O1365" i="2" s="1"/>
  <c r="K1365" i="2"/>
  <c r="M1389" i="2"/>
  <c r="N1389" i="2" s="1"/>
  <c r="O1389" i="2" s="1"/>
  <c r="K1389" i="2"/>
  <c r="M1411" i="2"/>
  <c r="N1411" i="2" s="1"/>
  <c r="O1411" i="2" s="1"/>
  <c r="K1411" i="2"/>
  <c r="M1436" i="2"/>
  <c r="N1436" i="2" s="1"/>
  <c r="O1436" i="2" s="1"/>
  <c r="K1436" i="2"/>
  <c r="M1565" i="2"/>
  <c r="N1565" i="2" s="1"/>
  <c r="O1565" i="2" s="1"/>
  <c r="K1565" i="2"/>
  <c r="M1589" i="2"/>
  <c r="N1589" i="2" s="1"/>
  <c r="O1589" i="2" s="1"/>
  <c r="K1589" i="2"/>
  <c r="M213" i="2"/>
  <c r="N213" i="2" s="1"/>
  <c r="O213" i="2" s="1"/>
  <c r="K213" i="2"/>
  <c r="M234" i="2"/>
  <c r="N234" i="2" s="1"/>
  <c r="O234" i="2" s="1"/>
  <c r="K234" i="2"/>
  <c r="M255" i="2"/>
  <c r="N255" i="2" s="1"/>
  <c r="O255" i="2" s="1"/>
  <c r="K255" i="2"/>
  <c r="M278" i="2"/>
  <c r="N278" i="2" s="1"/>
  <c r="O278" i="2" s="1"/>
  <c r="K278" i="2"/>
  <c r="M572" i="2"/>
  <c r="N572" i="2" s="1"/>
  <c r="O572" i="2" s="1"/>
  <c r="K572" i="2"/>
  <c r="M571" i="2"/>
  <c r="N571" i="2" s="1"/>
  <c r="O571" i="2" s="1"/>
  <c r="K571" i="2"/>
  <c r="M598" i="2"/>
  <c r="N598" i="2" s="1"/>
  <c r="O598" i="2" s="1"/>
  <c r="K598" i="2"/>
  <c r="M597" i="2"/>
  <c r="N597" i="2" s="1"/>
  <c r="O597" i="2" s="1"/>
  <c r="K597" i="2"/>
  <c r="M1023" i="2"/>
  <c r="N1023" i="2" s="1"/>
  <c r="O1023" i="2" s="1"/>
  <c r="K1023" i="2"/>
  <c r="M1048" i="2"/>
  <c r="N1048" i="2" s="1"/>
  <c r="O1048" i="2" s="1"/>
  <c r="K1048" i="2"/>
  <c r="M1180" i="2"/>
  <c r="N1180" i="2" s="1"/>
  <c r="O1180" i="2" s="1"/>
  <c r="K1180" i="2"/>
  <c r="M1203" i="2"/>
  <c r="N1203" i="2" s="1"/>
  <c r="O1203" i="2" s="1"/>
  <c r="K1203" i="2"/>
  <c r="M1461" i="2"/>
  <c r="N1461" i="2" s="1"/>
  <c r="O1461" i="2" s="1"/>
  <c r="K1461" i="2"/>
  <c r="M1483" i="2"/>
  <c r="N1483" i="2" s="1"/>
  <c r="O1483" i="2" s="1"/>
  <c r="K1483" i="2"/>
  <c r="M28" i="2"/>
  <c r="N28" i="2" s="1"/>
  <c r="O28" i="2" s="1"/>
  <c r="K28" i="2"/>
  <c r="M63" i="2"/>
  <c r="N63" i="2" s="1"/>
  <c r="O63" i="2" s="1"/>
  <c r="K63" i="2"/>
  <c r="M98" i="2"/>
  <c r="N98" i="2" s="1"/>
  <c r="O98" i="2" s="1"/>
  <c r="K98" i="2"/>
  <c r="M212" i="2"/>
  <c r="N212" i="2" s="1"/>
  <c r="O212" i="2" s="1"/>
  <c r="K212" i="2"/>
  <c r="M233" i="2"/>
  <c r="N233" i="2" s="1"/>
  <c r="O233" i="2" s="1"/>
  <c r="K233" i="2"/>
  <c r="M254" i="2"/>
  <c r="N254" i="2" s="1"/>
  <c r="O254" i="2" s="1"/>
  <c r="K254" i="2"/>
  <c r="M277" i="2"/>
  <c r="N277" i="2" s="1"/>
  <c r="O277" i="2" s="1"/>
  <c r="K277" i="2"/>
  <c r="M422" i="2"/>
  <c r="N422" i="2" s="1"/>
  <c r="O422" i="2" s="1"/>
  <c r="K422" i="2"/>
  <c r="M446" i="2"/>
  <c r="N446" i="2" s="1"/>
  <c r="O446" i="2" s="1"/>
  <c r="K446" i="2"/>
  <c r="M470" i="2"/>
  <c r="N470" i="2" s="1"/>
  <c r="O470" i="2" s="1"/>
  <c r="K470" i="2"/>
  <c r="M494" i="2"/>
  <c r="N494" i="2" s="1"/>
  <c r="O494" i="2" s="1"/>
  <c r="K494" i="2"/>
  <c r="M570" i="2"/>
  <c r="N570" i="2" s="1"/>
  <c r="O570" i="2" s="1"/>
  <c r="K570" i="2"/>
  <c r="M596" i="2"/>
  <c r="N596" i="2" s="1"/>
  <c r="O596" i="2" s="1"/>
  <c r="K596" i="2"/>
  <c r="M622" i="2"/>
  <c r="N622" i="2" s="1"/>
  <c r="O622" i="2" s="1"/>
  <c r="K622" i="2"/>
  <c r="M648" i="2"/>
  <c r="N648" i="2" s="1"/>
  <c r="O648" i="2" s="1"/>
  <c r="K648" i="2"/>
  <c r="M674" i="2"/>
  <c r="N674" i="2" s="1"/>
  <c r="O674" i="2" s="1"/>
  <c r="K674" i="2"/>
  <c r="M702" i="2"/>
  <c r="N702" i="2" s="1"/>
  <c r="O702" i="2" s="1"/>
  <c r="K702" i="2"/>
  <c r="M728" i="2"/>
  <c r="N728" i="2" s="1"/>
  <c r="O728" i="2" s="1"/>
  <c r="K728" i="2"/>
  <c r="M750" i="2"/>
  <c r="N750" i="2" s="1"/>
  <c r="O750" i="2" s="1"/>
  <c r="K750" i="2"/>
  <c r="M798" i="2"/>
  <c r="N798" i="2" s="1"/>
  <c r="O798" i="2" s="1"/>
  <c r="K798" i="2"/>
  <c r="M820" i="2"/>
  <c r="N820" i="2" s="1"/>
  <c r="O820" i="2" s="1"/>
  <c r="K820" i="2"/>
  <c r="M842" i="2"/>
  <c r="N842" i="2" s="1"/>
  <c r="O842" i="2" s="1"/>
  <c r="K842" i="2"/>
  <c r="M866" i="2"/>
  <c r="N866" i="2" s="1"/>
  <c r="O866" i="2" s="1"/>
  <c r="K866" i="2"/>
  <c r="M890" i="2"/>
  <c r="N890" i="2" s="1"/>
  <c r="O890" i="2" s="1"/>
  <c r="K890" i="2"/>
  <c r="M911" i="2"/>
  <c r="N911" i="2" s="1"/>
  <c r="O911" i="2" s="1"/>
  <c r="K911" i="2"/>
  <c r="M932" i="2"/>
  <c r="N932" i="2" s="1"/>
  <c r="O932" i="2" s="1"/>
  <c r="K932" i="2"/>
  <c r="M951" i="2"/>
  <c r="N951" i="2" s="1"/>
  <c r="O951" i="2" s="1"/>
  <c r="K951" i="2"/>
  <c r="M972" i="2"/>
  <c r="N972" i="2" s="1"/>
  <c r="O972" i="2" s="1"/>
  <c r="K972" i="2"/>
  <c r="M997" i="2"/>
  <c r="N997" i="2" s="1"/>
  <c r="O997" i="2" s="1"/>
  <c r="K997" i="2"/>
  <c r="M1022" i="2"/>
  <c r="N1022" i="2" s="1"/>
  <c r="O1022" i="2" s="1"/>
  <c r="K1022" i="2"/>
  <c r="M1047" i="2"/>
  <c r="N1047" i="2" s="1"/>
  <c r="O1047" i="2" s="1"/>
  <c r="K1047" i="2"/>
  <c r="M1160" i="2"/>
  <c r="N1160" i="2" s="1"/>
  <c r="O1160" i="2" s="1"/>
  <c r="K1160" i="2"/>
  <c r="M1179" i="2"/>
  <c r="N1179" i="2" s="1"/>
  <c r="O1179" i="2" s="1"/>
  <c r="K1179" i="2"/>
  <c r="M1202" i="2"/>
  <c r="N1202" i="2" s="1"/>
  <c r="O1202" i="2" s="1"/>
  <c r="K1202" i="2"/>
  <c r="M1226" i="2"/>
  <c r="N1226" i="2" s="1"/>
  <c r="O1226" i="2" s="1"/>
  <c r="K1226" i="2"/>
  <c r="M1250" i="2"/>
  <c r="N1250" i="2" s="1"/>
  <c r="O1250" i="2" s="1"/>
  <c r="K1250" i="2"/>
  <c r="M1273" i="2"/>
  <c r="N1273" i="2" s="1"/>
  <c r="O1273" i="2" s="1"/>
  <c r="K1273" i="2"/>
  <c r="M1295" i="2"/>
  <c r="N1295" i="2" s="1"/>
  <c r="O1295" i="2" s="1"/>
  <c r="K1295" i="2"/>
  <c r="M1316" i="2"/>
  <c r="N1316" i="2" s="1"/>
  <c r="O1316" i="2" s="1"/>
  <c r="K1316" i="2"/>
  <c r="M1339" i="2"/>
  <c r="N1339" i="2" s="1"/>
  <c r="O1339" i="2" s="1"/>
  <c r="K1339" i="2"/>
  <c r="M1364" i="2"/>
  <c r="N1364" i="2" s="1"/>
  <c r="O1364" i="2" s="1"/>
  <c r="K1364" i="2"/>
  <c r="M1388" i="2"/>
  <c r="N1388" i="2" s="1"/>
  <c r="O1388" i="2" s="1"/>
  <c r="K1388" i="2"/>
  <c r="M1410" i="2"/>
  <c r="N1410" i="2" s="1"/>
  <c r="O1410" i="2" s="1"/>
  <c r="K1410" i="2"/>
  <c r="M1435" i="2"/>
  <c r="N1435" i="2" s="1"/>
  <c r="O1435" i="2" s="1"/>
  <c r="K1435" i="2"/>
  <c r="M1564" i="2"/>
  <c r="N1564" i="2" s="1"/>
  <c r="O1564" i="2" s="1"/>
  <c r="K1564" i="2"/>
  <c r="M1588" i="2"/>
  <c r="N1588" i="2" s="1"/>
  <c r="O1588" i="2" s="1"/>
  <c r="K1588" i="2"/>
  <c r="M1141" i="2"/>
  <c r="N1141" i="2" s="1"/>
  <c r="O1141" i="2" s="1"/>
  <c r="K1141" i="2"/>
  <c r="M1152" i="2"/>
  <c r="N1152" i="2" s="1"/>
  <c r="O1152" i="2" s="1"/>
  <c r="K1152" i="2"/>
  <c r="M1732" i="2"/>
  <c r="N1732" i="2" s="1"/>
  <c r="O1732" i="2" s="1"/>
  <c r="K1732" i="2"/>
  <c r="M1752" i="2"/>
  <c r="N1752" i="2" s="1"/>
  <c r="O1752" i="2" s="1"/>
  <c r="K1752" i="2"/>
  <c r="M144" i="2"/>
  <c r="N144" i="2" s="1"/>
  <c r="O144" i="2" s="1"/>
  <c r="K144" i="2"/>
  <c r="M162" i="2"/>
  <c r="N162" i="2" s="1"/>
  <c r="O162" i="2" s="1"/>
  <c r="K162" i="2"/>
  <c r="M180" i="2"/>
  <c r="N180" i="2" s="1"/>
  <c r="O180" i="2" s="1"/>
  <c r="K180" i="2"/>
  <c r="M196" i="2"/>
  <c r="N196" i="2" s="1"/>
  <c r="O196" i="2" s="1"/>
  <c r="K196" i="2"/>
  <c r="M1770" i="2"/>
  <c r="N1770" i="2" s="1"/>
  <c r="O1770" i="2" s="1"/>
  <c r="K1770" i="2"/>
  <c r="M1786" i="2"/>
  <c r="N1786" i="2" s="1"/>
  <c r="O1786" i="2" s="1"/>
  <c r="K1786" i="2"/>
  <c r="M1804" i="2"/>
  <c r="N1804" i="2" s="1"/>
  <c r="O1804" i="2" s="1"/>
  <c r="K1804" i="2"/>
  <c r="M1820" i="2"/>
  <c r="N1820" i="2" s="1"/>
  <c r="O1820" i="2" s="1"/>
  <c r="K1820" i="2"/>
  <c r="M1731" i="2"/>
  <c r="N1731" i="2" s="1"/>
  <c r="O1731" i="2" s="1"/>
  <c r="K1731" i="2"/>
  <c r="M1751" i="2"/>
  <c r="N1751" i="2" s="1"/>
  <c r="O1751" i="2" s="1"/>
  <c r="K1751" i="2"/>
  <c r="M143" i="2"/>
  <c r="N143" i="2" s="1"/>
  <c r="O143" i="2" s="1"/>
  <c r="K143" i="2"/>
  <c r="M161" i="2"/>
  <c r="N161" i="2" s="1"/>
  <c r="O161" i="2" s="1"/>
  <c r="K161" i="2"/>
  <c r="M179" i="2"/>
  <c r="N179" i="2" s="1"/>
  <c r="O179" i="2" s="1"/>
  <c r="K179" i="2"/>
  <c r="M195" i="2"/>
  <c r="N195" i="2" s="1"/>
  <c r="O195" i="2" s="1"/>
  <c r="K195" i="2"/>
  <c r="M1769" i="2"/>
  <c r="N1769" i="2" s="1"/>
  <c r="O1769" i="2" s="1"/>
  <c r="K1769" i="2"/>
  <c r="M1785" i="2"/>
  <c r="N1785" i="2" s="1"/>
  <c r="O1785" i="2" s="1"/>
  <c r="K1785" i="2"/>
  <c r="M1803" i="2"/>
  <c r="N1803" i="2" s="1"/>
  <c r="O1803" i="2" s="1"/>
  <c r="K1803" i="2"/>
  <c r="M1819" i="2"/>
  <c r="N1819" i="2" s="1"/>
  <c r="O1819" i="2" s="1"/>
  <c r="K1819" i="2"/>
  <c r="M253" i="2"/>
  <c r="N253" i="2" s="1"/>
  <c r="O253" i="2" s="1"/>
  <c r="K253" i="2"/>
  <c r="M276" i="2"/>
  <c r="N276" i="2" s="1"/>
  <c r="O276" i="2" s="1"/>
  <c r="K276" i="2"/>
  <c r="M325" i="2"/>
  <c r="N325" i="2" s="1"/>
  <c r="O325" i="2" s="1"/>
  <c r="K325" i="2"/>
  <c r="M341" i="2"/>
  <c r="N341" i="2" s="1"/>
  <c r="O341" i="2" s="1"/>
  <c r="K341" i="2"/>
  <c r="M386" i="2"/>
  <c r="N386" i="2" s="1"/>
  <c r="O386" i="2" s="1"/>
  <c r="K386" i="2"/>
  <c r="M403" i="2"/>
  <c r="N403" i="2" s="1"/>
  <c r="O403" i="2" s="1"/>
  <c r="K403" i="2"/>
  <c r="M673" i="2"/>
  <c r="N673" i="2" s="1"/>
  <c r="O673" i="2" s="1"/>
  <c r="K673" i="2"/>
  <c r="M701" i="2"/>
  <c r="N701" i="2" s="1"/>
  <c r="O701" i="2" s="1"/>
  <c r="K701" i="2"/>
  <c r="M841" i="2"/>
  <c r="N841" i="2" s="1"/>
  <c r="O841" i="2" s="1"/>
  <c r="K841" i="2"/>
  <c r="M865" i="2"/>
  <c r="N865" i="2" s="1"/>
  <c r="O865" i="2" s="1"/>
  <c r="K865" i="2"/>
  <c r="M889" i="2"/>
  <c r="N889" i="2" s="1"/>
  <c r="O889" i="2" s="1"/>
  <c r="K889" i="2"/>
  <c r="M910" i="2"/>
  <c r="N910" i="2" s="1"/>
  <c r="O910" i="2" s="1"/>
  <c r="K910" i="2"/>
  <c r="M1092" i="2"/>
  <c r="N1092" i="2" s="1"/>
  <c r="O1092" i="2" s="1"/>
  <c r="K1092" i="2"/>
  <c r="M1107" i="2"/>
  <c r="N1107" i="2" s="1"/>
  <c r="O1107" i="2" s="1"/>
  <c r="K1107" i="2"/>
  <c r="M1315" i="2"/>
  <c r="N1315" i="2" s="1"/>
  <c r="O1315" i="2" s="1"/>
  <c r="K1315" i="2"/>
  <c r="M1338" i="2"/>
  <c r="N1338" i="2" s="1"/>
  <c r="O1338" i="2" s="1"/>
  <c r="K1338" i="2"/>
  <c r="M1409" i="2"/>
  <c r="N1409" i="2" s="1"/>
  <c r="O1409" i="2" s="1"/>
  <c r="K1409" i="2"/>
  <c r="M1434" i="2"/>
  <c r="N1434" i="2" s="1"/>
  <c r="O1434" i="2" s="1"/>
  <c r="K1434" i="2"/>
  <c r="M1529" i="2"/>
  <c r="N1529" i="2" s="1"/>
  <c r="O1529" i="2" s="1"/>
  <c r="K1529" i="2"/>
  <c r="M1545" i="2"/>
  <c r="N1545" i="2" s="1"/>
  <c r="O1545" i="2" s="1"/>
  <c r="K1545" i="2"/>
  <c r="M1848" i="2"/>
  <c r="N1848" i="2" s="1"/>
  <c r="O1848" i="2" s="1"/>
  <c r="K1848" i="2"/>
  <c r="M1673" i="2"/>
  <c r="N1673" i="2" s="1"/>
  <c r="O1673" i="2" s="1"/>
  <c r="K1673" i="2"/>
  <c r="M1687" i="2"/>
  <c r="N1687" i="2" s="1"/>
  <c r="O1687" i="2" s="1"/>
  <c r="K1687" i="2"/>
  <c r="M142" i="2"/>
  <c r="N142" i="2" s="1"/>
  <c r="O142" i="2" s="1"/>
  <c r="K142" i="2"/>
  <c r="M160" i="2"/>
  <c r="N160" i="2" s="1"/>
  <c r="O160" i="2" s="1"/>
  <c r="K160" i="2"/>
  <c r="M1784" i="2"/>
  <c r="N1784" i="2" s="1"/>
  <c r="O1784" i="2" s="1"/>
  <c r="K1784" i="2"/>
  <c r="M1818" i="2"/>
  <c r="N1818" i="2" s="1"/>
  <c r="O1818" i="2" s="1"/>
  <c r="K1818" i="2"/>
  <c r="M252" i="2"/>
  <c r="N252" i="2" s="1"/>
  <c r="O252" i="2" s="1"/>
  <c r="K252" i="2"/>
  <c r="M275" i="2"/>
  <c r="N275" i="2" s="1"/>
  <c r="O275" i="2" s="1"/>
  <c r="K275" i="2"/>
  <c r="M324" i="2"/>
  <c r="N324" i="2" s="1"/>
  <c r="O324" i="2" s="1"/>
  <c r="K324" i="2"/>
  <c r="M340" i="2"/>
  <c r="N340" i="2" s="1"/>
  <c r="O340" i="2" s="1"/>
  <c r="K340" i="2"/>
  <c r="M385" i="2"/>
  <c r="N385" i="2" s="1"/>
  <c r="O385" i="2" s="1"/>
  <c r="K385" i="2"/>
  <c r="M402" i="2"/>
  <c r="N402" i="2" s="1"/>
  <c r="O402" i="2" s="1"/>
  <c r="K402" i="2"/>
  <c r="M672" i="2"/>
  <c r="N672" i="2" s="1"/>
  <c r="O672" i="2" s="1"/>
  <c r="K672" i="2"/>
  <c r="M700" i="2"/>
  <c r="N700" i="2" s="1"/>
  <c r="O700" i="2" s="1"/>
  <c r="K700" i="2"/>
  <c r="M840" i="2"/>
  <c r="N840" i="2" s="1"/>
  <c r="O840" i="2" s="1"/>
  <c r="K840" i="2"/>
  <c r="M864" i="2"/>
  <c r="N864" i="2" s="1"/>
  <c r="O864" i="2" s="1"/>
  <c r="K864" i="2"/>
  <c r="M888" i="2"/>
  <c r="N888" i="2" s="1"/>
  <c r="O888" i="2" s="1"/>
  <c r="K888" i="2"/>
  <c r="M909" i="2"/>
  <c r="N909" i="2" s="1"/>
  <c r="O909" i="2" s="1"/>
  <c r="K909" i="2"/>
  <c r="M1091" i="2"/>
  <c r="N1091" i="2" s="1"/>
  <c r="O1091" i="2" s="1"/>
  <c r="K1091" i="2"/>
  <c r="M1106" i="2"/>
  <c r="N1106" i="2" s="1"/>
  <c r="O1106" i="2" s="1"/>
  <c r="K1106" i="2"/>
  <c r="M1314" i="2"/>
  <c r="N1314" i="2" s="1"/>
  <c r="O1314" i="2" s="1"/>
  <c r="K1314" i="2"/>
  <c r="M1337" i="2"/>
  <c r="N1337" i="2" s="1"/>
  <c r="O1337" i="2" s="1"/>
  <c r="K1337" i="2"/>
  <c r="M1408" i="2"/>
  <c r="N1408" i="2" s="1"/>
  <c r="O1408" i="2" s="1"/>
  <c r="K1408" i="2"/>
  <c r="M1433" i="2"/>
  <c r="N1433" i="2" s="1"/>
  <c r="O1433" i="2" s="1"/>
  <c r="K1433" i="2"/>
  <c r="M1528" i="2"/>
  <c r="N1528" i="2" s="1"/>
  <c r="O1528" i="2" s="1"/>
  <c r="K1528" i="2"/>
  <c r="M1544" i="2"/>
  <c r="N1544" i="2" s="1"/>
  <c r="O1544" i="2" s="1"/>
  <c r="K1544" i="2"/>
  <c r="M1847" i="2"/>
  <c r="N1847" i="2" s="1"/>
  <c r="O1847" i="2" s="1"/>
  <c r="K1847" i="2"/>
  <c r="M1672" i="2"/>
  <c r="N1672" i="2" s="1"/>
  <c r="O1672" i="2" s="1"/>
  <c r="K1672" i="2"/>
  <c r="M1686" i="2"/>
  <c r="N1686" i="2" s="1"/>
  <c r="O1686" i="2" s="1"/>
  <c r="K1686" i="2"/>
  <c r="M141" i="2"/>
  <c r="N141" i="2" s="1"/>
  <c r="O141" i="2" s="1"/>
  <c r="K141" i="2"/>
  <c r="M159" i="2"/>
  <c r="N159" i="2" s="1"/>
  <c r="O159" i="2" s="1"/>
  <c r="K159" i="2"/>
  <c r="M1783" i="2"/>
  <c r="N1783" i="2" s="1"/>
  <c r="O1783" i="2" s="1"/>
  <c r="K1783" i="2"/>
  <c r="M1817" i="2"/>
  <c r="N1817" i="2" s="1"/>
  <c r="O1817" i="2" s="1"/>
  <c r="K1817" i="2"/>
  <c r="M251" i="2"/>
  <c r="N251" i="2" s="1"/>
  <c r="O251" i="2" s="1"/>
  <c r="K251" i="2"/>
  <c r="M274" i="2"/>
  <c r="N274" i="2" s="1"/>
  <c r="O274" i="2" s="1"/>
  <c r="K274" i="2"/>
  <c r="M323" i="2"/>
  <c r="N323" i="2" s="1"/>
  <c r="O323" i="2" s="1"/>
  <c r="K323" i="2"/>
  <c r="M339" i="2"/>
  <c r="N339" i="2" s="1"/>
  <c r="O339" i="2" s="1"/>
  <c r="K339" i="2"/>
  <c r="M384" i="2"/>
  <c r="N384" i="2" s="1"/>
  <c r="O384" i="2" s="1"/>
  <c r="K384" i="2"/>
  <c r="M401" i="2"/>
  <c r="N401" i="2" s="1"/>
  <c r="O401" i="2" s="1"/>
  <c r="K401" i="2"/>
  <c r="M671" i="2"/>
  <c r="N671" i="2" s="1"/>
  <c r="O671" i="2" s="1"/>
  <c r="K671" i="2"/>
  <c r="M699" i="2"/>
  <c r="N699" i="2" s="1"/>
  <c r="O699" i="2" s="1"/>
  <c r="K699" i="2"/>
  <c r="M839" i="2"/>
  <c r="N839" i="2" s="1"/>
  <c r="O839" i="2" s="1"/>
  <c r="K839" i="2"/>
  <c r="M863" i="2"/>
  <c r="N863" i="2" s="1"/>
  <c r="O863" i="2" s="1"/>
  <c r="K863" i="2"/>
  <c r="M887" i="2"/>
  <c r="N887" i="2" s="1"/>
  <c r="O887" i="2" s="1"/>
  <c r="K887" i="2"/>
  <c r="M908" i="2"/>
  <c r="N908" i="2" s="1"/>
  <c r="O908" i="2" s="1"/>
  <c r="K908" i="2"/>
  <c r="M1090" i="2"/>
  <c r="N1090" i="2" s="1"/>
  <c r="O1090" i="2" s="1"/>
  <c r="K1090" i="2"/>
  <c r="M1105" i="2"/>
  <c r="N1105" i="2" s="1"/>
  <c r="O1105" i="2" s="1"/>
  <c r="K1105" i="2"/>
  <c r="M1313" i="2"/>
  <c r="N1313" i="2" s="1"/>
  <c r="O1313" i="2" s="1"/>
  <c r="K1313" i="2"/>
  <c r="M1336" i="2"/>
  <c r="N1336" i="2" s="1"/>
  <c r="O1336" i="2" s="1"/>
  <c r="K1336" i="2"/>
  <c r="M1407" i="2"/>
  <c r="N1407" i="2" s="1"/>
  <c r="O1407" i="2" s="1"/>
  <c r="K1407" i="2"/>
  <c r="M1432" i="2"/>
  <c r="N1432" i="2" s="1"/>
  <c r="O1432" i="2" s="1"/>
  <c r="K1432" i="2"/>
  <c r="M1527" i="2"/>
  <c r="N1527" i="2" s="1"/>
  <c r="O1527" i="2" s="1"/>
  <c r="K1527" i="2"/>
  <c r="M1543" i="2"/>
  <c r="N1543" i="2" s="1"/>
  <c r="O1543" i="2" s="1"/>
  <c r="K1543" i="2"/>
  <c r="M1846" i="2"/>
  <c r="N1846" i="2" s="1"/>
  <c r="O1846" i="2" s="1"/>
  <c r="K1846" i="2"/>
  <c r="M1671" i="2"/>
  <c r="N1671" i="2" s="1"/>
  <c r="O1671" i="2" s="1"/>
  <c r="K1671" i="2"/>
  <c r="M1685" i="2"/>
  <c r="N1685" i="2" s="1"/>
  <c r="O1685" i="2" s="1"/>
  <c r="K1685" i="2"/>
  <c r="M140" i="2"/>
  <c r="N140" i="2" s="1"/>
  <c r="O140" i="2" s="1"/>
  <c r="K140" i="2"/>
  <c r="M158" i="2"/>
  <c r="N158" i="2" s="1"/>
  <c r="O158" i="2" s="1"/>
  <c r="K158" i="2"/>
  <c r="M1782" i="2"/>
  <c r="N1782" i="2" s="1"/>
  <c r="O1782" i="2" s="1"/>
  <c r="K1782" i="2"/>
  <c r="M1816" i="2"/>
  <c r="N1816" i="2" s="1"/>
  <c r="O1816" i="2" s="1"/>
  <c r="K1816" i="2"/>
  <c r="M1125" i="2"/>
  <c r="N1125" i="2" s="1"/>
  <c r="O1125" i="2" s="1"/>
  <c r="K1125" i="2"/>
  <c r="M11" i="2"/>
  <c r="N11" i="2" s="1"/>
  <c r="O11" i="2" s="1"/>
  <c r="K11" i="2"/>
  <c r="M26" i="2"/>
  <c r="N26" i="2" s="1"/>
  <c r="O26" i="2" s="1"/>
  <c r="K26" i="2"/>
  <c r="M45" i="2"/>
  <c r="N45" i="2" s="1"/>
  <c r="O45" i="2" s="1"/>
  <c r="K45" i="2"/>
  <c r="M61" i="2"/>
  <c r="N61" i="2" s="1"/>
  <c r="O61" i="2" s="1"/>
  <c r="K61" i="2"/>
  <c r="M80" i="2"/>
  <c r="N80" i="2" s="1"/>
  <c r="O80" i="2" s="1"/>
  <c r="K80" i="2"/>
  <c r="M96" i="2"/>
  <c r="N96" i="2" s="1"/>
  <c r="O96" i="2" s="1"/>
  <c r="K96" i="2"/>
  <c r="M1729" i="2"/>
  <c r="N1729" i="2" s="1"/>
  <c r="O1729" i="2" s="1"/>
  <c r="K1729" i="2"/>
  <c r="M1749" i="2"/>
  <c r="N1749" i="2" s="1"/>
  <c r="O1749" i="2" s="1"/>
  <c r="K1749" i="2"/>
  <c r="M125" i="2"/>
  <c r="N125" i="2" s="1"/>
  <c r="O125" i="2" s="1"/>
  <c r="K125" i="2"/>
  <c r="M1124" i="2"/>
  <c r="N1124" i="2" s="1"/>
  <c r="O1124" i="2" s="1"/>
  <c r="K1124" i="2"/>
  <c r="M516" i="2"/>
  <c r="N516" i="2" s="1"/>
  <c r="O516" i="2" s="1"/>
  <c r="K516" i="2"/>
  <c r="M532" i="2"/>
  <c r="N532" i="2" s="1"/>
  <c r="O532" i="2" s="1"/>
  <c r="K532" i="2"/>
  <c r="M1609" i="2"/>
  <c r="N1609" i="2" s="1"/>
  <c r="O1609" i="2" s="1"/>
  <c r="K1609" i="2"/>
  <c r="M1625" i="2"/>
  <c r="N1625" i="2" s="1"/>
  <c r="O1625" i="2" s="1"/>
  <c r="K1625" i="2"/>
  <c r="M1641" i="2"/>
  <c r="N1641" i="2" s="1"/>
  <c r="O1641" i="2" s="1"/>
  <c r="K1641" i="2"/>
  <c r="M1657" i="2"/>
  <c r="N1657" i="2" s="1"/>
  <c r="O1657" i="2" s="1"/>
  <c r="K1657" i="2"/>
  <c r="M1700" i="2"/>
  <c r="N1700" i="2" s="1"/>
  <c r="O1700" i="2" s="1"/>
  <c r="K1700" i="2"/>
  <c r="M1714" i="2"/>
  <c r="N1714" i="2" s="1"/>
  <c r="O1714" i="2" s="1"/>
  <c r="K1714" i="2"/>
  <c r="M177" i="2"/>
  <c r="N177" i="2" s="1"/>
  <c r="O177" i="2" s="1"/>
  <c r="K177" i="2"/>
  <c r="M193" i="2"/>
  <c r="N193" i="2" s="1"/>
  <c r="O193" i="2" s="1"/>
  <c r="K193" i="2"/>
  <c r="M1139" i="2"/>
  <c r="N1139" i="2" s="1"/>
  <c r="O1139" i="2" s="1"/>
  <c r="K1139" i="2"/>
  <c r="M1150" i="2"/>
  <c r="N1150" i="2" s="1"/>
  <c r="O1150" i="2" s="1"/>
  <c r="K1150" i="2"/>
  <c r="M1767" i="2"/>
  <c r="N1767" i="2" s="1"/>
  <c r="O1767" i="2" s="1"/>
  <c r="K1767" i="2"/>
  <c r="M1801" i="2"/>
  <c r="N1801" i="2" s="1"/>
  <c r="O1801" i="2" s="1"/>
  <c r="K1801" i="2"/>
  <c r="M10" i="2"/>
  <c r="N10" i="2" s="1"/>
  <c r="O10" i="2" s="1"/>
  <c r="K10" i="2"/>
  <c r="M25" i="2"/>
  <c r="N25" i="2" s="1"/>
  <c r="O25" i="2" s="1"/>
  <c r="K25" i="2"/>
  <c r="M44" i="2"/>
  <c r="N44" i="2" s="1"/>
  <c r="O44" i="2" s="1"/>
  <c r="K44" i="2"/>
  <c r="M60" i="2"/>
  <c r="N60" i="2" s="1"/>
  <c r="O60" i="2" s="1"/>
  <c r="K60" i="2"/>
  <c r="M79" i="2"/>
  <c r="N79" i="2" s="1"/>
  <c r="O79" i="2" s="1"/>
  <c r="K79" i="2"/>
  <c r="M95" i="2"/>
  <c r="N95" i="2" s="1"/>
  <c r="O95" i="2" s="1"/>
  <c r="K95" i="2"/>
  <c r="M1728" i="2"/>
  <c r="N1728" i="2" s="1"/>
  <c r="O1728" i="2" s="1"/>
  <c r="K1728" i="2"/>
  <c r="M1748" i="2"/>
  <c r="N1748" i="2" s="1"/>
  <c r="O1748" i="2" s="1"/>
  <c r="K1748" i="2"/>
  <c r="M124" i="2"/>
  <c r="N124" i="2" s="1"/>
  <c r="O124" i="2" s="1"/>
  <c r="K124" i="2"/>
  <c r="M1123" i="2"/>
  <c r="N1123" i="2" s="1"/>
  <c r="O1123" i="2" s="1"/>
  <c r="K1123" i="2"/>
  <c r="M211" i="2"/>
  <c r="N211" i="2" s="1"/>
  <c r="O211" i="2" s="1"/>
  <c r="K211" i="2"/>
  <c r="M232" i="2"/>
  <c r="N232" i="2" s="1"/>
  <c r="O232" i="2" s="1"/>
  <c r="K232" i="2"/>
  <c r="M299" i="2"/>
  <c r="N299" i="2" s="1"/>
  <c r="O299" i="2" s="1"/>
  <c r="K299" i="2"/>
  <c r="M312" i="2"/>
  <c r="N312" i="2" s="1"/>
  <c r="O312" i="2" s="1"/>
  <c r="K312" i="2"/>
  <c r="M358" i="2"/>
  <c r="N358" i="2" s="1"/>
  <c r="O358" i="2" s="1"/>
  <c r="K358" i="2"/>
  <c r="M372" i="2"/>
  <c r="N372" i="2" s="1"/>
  <c r="O372" i="2" s="1"/>
  <c r="K372" i="2"/>
  <c r="M421" i="2"/>
  <c r="N421" i="2" s="1"/>
  <c r="O421" i="2" s="1"/>
  <c r="K421" i="2"/>
  <c r="M445" i="2"/>
  <c r="N445" i="2" s="1"/>
  <c r="O445" i="2" s="1"/>
  <c r="K445" i="2"/>
  <c r="M469" i="2"/>
  <c r="N469" i="2" s="1"/>
  <c r="O469" i="2" s="1"/>
  <c r="K469" i="2"/>
  <c r="M493" i="2"/>
  <c r="N493" i="2" s="1"/>
  <c r="O493" i="2" s="1"/>
  <c r="K493" i="2"/>
  <c r="M515" i="2"/>
  <c r="N515" i="2" s="1"/>
  <c r="O515" i="2" s="1"/>
  <c r="K515" i="2"/>
  <c r="M531" i="2"/>
  <c r="N531" i="2" s="1"/>
  <c r="O531" i="2" s="1"/>
  <c r="K531" i="2"/>
  <c r="M569" i="2"/>
  <c r="N569" i="2" s="1"/>
  <c r="O569" i="2" s="1"/>
  <c r="K569" i="2"/>
  <c r="M595" i="2"/>
  <c r="N595" i="2" s="1"/>
  <c r="O595" i="2" s="1"/>
  <c r="K595" i="2"/>
  <c r="M621" i="2"/>
  <c r="N621" i="2" s="1"/>
  <c r="O621" i="2" s="1"/>
  <c r="K621" i="2"/>
  <c r="M647" i="2"/>
  <c r="N647" i="2" s="1"/>
  <c r="O647" i="2" s="1"/>
  <c r="K647" i="2"/>
  <c r="M727" i="2"/>
  <c r="N727" i="2" s="1"/>
  <c r="O727" i="2" s="1"/>
  <c r="K727" i="2"/>
  <c r="M749" i="2"/>
  <c r="N749" i="2" s="1"/>
  <c r="O749" i="2" s="1"/>
  <c r="K749" i="2"/>
  <c r="M771" i="2"/>
  <c r="N771" i="2" s="1"/>
  <c r="O771" i="2" s="1"/>
  <c r="K771" i="2"/>
  <c r="M784" i="2"/>
  <c r="N784" i="2" s="1"/>
  <c r="O784" i="2" s="1"/>
  <c r="K784" i="2"/>
  <c r="M797" i="2"/>
  <c r="N797" i="2" s="1"/>
  <c r="O797" i="2" s="1"/>
  <c r="K797" i="2"/>
  <c r="M819" i="2"/>
  <c r="N819" i="2" s="1"/>
  <c r="O819" i="2" s="1"/>
  <c r="K819" i="2"/>
  <c r="M931" i="2"/>
  <c r="N931" i="2" s="1"/>
  <c r="O931" i="2" s="1"/>
  <c r="K931" i="2"/>
  <c r="M950" i="2"/>
  <c r="N950" i="2" s="1"/>
  <c r="O950" i="2" s="1"/>
  <c r="K950" i="2"/>
  <c r="M971" i="2"/>
  <c r="N971" i="2" s="1"/>
  <c r="O971" i="2" s="1"/>
  <c r="K971" i="2"/>
  <c r="M996" i="2"/>
  <c r="N996" i="2" s="1"/>
  <c r="O996" i="2" s="1"/>
  <c r="K996" i="2"/>
  <c r="M1021" i="2"/>
  <c r="N1021" i="2" s="1"/>
  <c r="O1021" i="2" s="1"/>
  <c r="K1021" i="2"/>
  <c r="M1046" i="2"/>
  <c r="N1046" i="2" s="1"/>
  <c r="O1046" i="2" s="1"/>
  <c r="K1046" i="2"/>
  <c r="M1068" i="2"/>
  <c r="N1068" i="2" s="1"/>
  <c r="O1068" i="2" s="1"/>
  <c r="K1068" i="2"/>
  <c r="M1080" i="2"/>
  <c r="N1080" i="2" s="1"/>
  <c r="O1080" i="2" s="1"/>
  <c r="K1080" i="2"/>
  <c r="M1178" i="2"/>
  <c r="N1178" i="2" s="1"/>
  <c r="O1178" i="2" s="1"/>
  <c r="K1178" i="2"/>
  <c r="M1201" i="2"/>
  <c r="N1201" i="2" s="1"/>
  <c r="O1201" i="2" s="1"/>
  <c r="K1201" i="2"/>
  <c r="M1225" i="2"/>
  <c r="N1225" i="2" s="1"/>
  <c r="O1225" i="2" s="1"/>
  <c r="K1225" i="2"/>
  <c r="M1249" i="2"/>
  <c r="N1249" i="2" s="1"/>
  <c r="O1249" i="2" s="1"/>
  <c r="K1249" i="2"/>
  <c r="M1272" i="2"/>
  <c r="N1272" i="2" s="1"/>
  <c r="O1272" i="2" s="1"/>
  <c r="K1272" i="2"/>
  <c r="M1294" i="2"/>
  <c r="N1294" i="2" s="1"/>
  <c r="O1294" i="2" s="1"/>
  <c r="K1294" i="2"/>
  <c r="M1363" i="2"/>
  <c r="N1363" i="2" s="1"/>
  <c r="O1363" i="2" s="1"/>
  <c r="K1363" i="2"/>
  <c r="M1387" i="2"/>
  <c r="N1387" i="2" s="1"/>
  <c r="O1387" i="2" s="1"/>
  <c r="K1387" i="2"/>
  <c r="M1460" i="2"/>
  <c r="N1460" i="2" s="1"/>
  <c r="O1460" i="2" s="1"/>
  <c r="K1460" i="2"/>
  <c r="M1482" i="2"/>
  <c r="N1482" i="2" s="1"/>
  <c r="O1482" i="2" s="1"/>
  <c r="K1482" i="2"/>
  <c r="M1503" i="2"/>
  <c r="N1503" i="2" s="1"/>
  <c r="O1503" i="2" s="1"/>
  <c r="K1503" i="2"/>
  <c r="M1516" i="2"/>
  <c r="N1516" i="2" s="1"/>
  <c r="O1516" i="2" s="1"/>
  <c r="K1516" i="2"/>
  <c r="M1563" i="2"/>
  <c r="N1563" i="2" s="1"/>
  <c r="O1563" i="2" s="1"/>
  <c r="K1563" i="2"/>
  <c r="M1587" i="2"/>
  <c r="N1587" i="2" s="1"/>
  <c r="O1587" i="2" s="1"/>
  <c r="K1587" i="2"/>
  <c r="M1836" i="2"/>
  <c r="N1836" i="2" s="1"/>
  <c r="O1836" i="2" s="1"/>
  <c r="K1836" i="2"/>
  <c r="M1608" i="2"/>
  <c r="N1608" i="2" s="1"/>
  <c r="O1608" i="2" s="1"/>
  <c r="K1608" i="2"/>
  <c r="M1624" i="2"/>
  <c r="N1624" i="2" s="1"/>
  <c r="O1624" i="2" s="1"/>
  <c r="K1624" i="2"/>
  <c r="M1640" i="2"/>
  <c r="N1640" i="2" s="1"/>
  <c r="O1640" i="2" s="1"/>
  <c r="K1640" i="2"/>
  <c r="M1656" i="2"/>
  <c r="N1656" i="2" s="1"/>
  <c r="O1656" i="2" s="1"/>
  <c r="K1656" i="2"/>
  <c r="M1699" i="2"/>
  <c r="N1699" i="2" s="1"/>
  <c r="O1699" i="2" s="1"/>
  <c r="K1699" i="2"/>
  <c r="M1713" i="2"/>
  <c r="N1713" i="2" s="1"/>
  <c r="O1713" i="2" s="1"/>
  <c r="K1713" i="2"/>
  <c r="M176" i="2"/>
  <c r="N176" i="2" s="1"/>
  <c r="O176" i="2" s="1"/>
  <c r="K176" i="2"/>
  <c r="M192" i="2"/>
  <c r="N192" i="2" s="1"/>
  <c r="O192" i="2" s="1"/>
  <c r="K192" i="2"/>
  <c r="M1138" i="2"/>
  <c r="N1138" i="2" s="1"/>
  <c r="O1138" i="2" s="1"/>
  <c r="K1138" i="2"/>
  <c r="M1149" i="2"/>
  <c r="N1149" i="2" s="1"/>
  <c r="O1149" i="2" s="1"/>
  <c r="K1149" i="2"/>
  <c r="M1766" i="2"/>
  <c r="N1766" i="2" s="1"/>
  <c r="O1766" i="2" s="1"/>
  <c r="K1766" i="2"/>
  <c r="M1800" i="2"/>
  <c r="N1800" i="2" s="1"/>
  <c r="O1800" i="2" s="1"/>
  <c r="K1800" i="2"/>
  <c r="M123" i="2"/>
  <c r="N123" i="2" s="1"/>
  <c r="O123" i="2" s="1"/>
  <c r="K123" i="2"/>
  <c r="M1122" i="2"/>
  <c r="N1122" i="2" s="1"/>
  <c r="O1122" i="2" s="1"/>
  <c r="K1122" i="2"/>
  <c r="M210" i="2"/>
  <c r="N210" i="2" s="1"/>
  <c r="O210" i="2" s="1"/>
  <c r="K210" i="2"/>
  <c r="M231" i="2"/>
  <c r="N231" i="2" s="1"/>
  <c r="O231" i="2" s="1"/>
  <c r="K231" i="2"/>
  <c r="M298" i="2"/>
  <c r="N298" i="2" s="1"/>
  <c r="O298" i="2" s="1"/>
  <c r="K298" i="2"/>
  <c r="M311" i="2"/>
  <c r="N311" i="2" s="1"/>
  <c r="O311" i="2" s="1"/>
  <c r="K311" i="2"/>
  <c r="M357" i="2"/>
  <c r="N357" i="2" s="1"/>
  <c r="O357" i="2" s="1"/>
  <c r="K357" i="2"/>
  <c r="M371" i="2"/>
  <c r="N371" i="2" s="1"/>
  <c r="O371" i="2" s="1"/>
  <c r="K371" i="2"/>
  <c r="M420" i="2"/>
  <c r="N420" i="2" s="1"/>
  <c r="O420" i="2" s="1"/>
  <c r="K420" i="2"/>
  <c r="M444" i="2"/>
  <c r="N444" i="2" s="1"/>
  <c r="O444" i="2" s="1"/>
  <c r="K444" i="2"/>
  <c r="M468" i="2"/>
  <c r="N468" i="2" s="1"/>
  <c r="O468" i="2" s="1"/>
  <c r="K468" i="2"/>
  <c r="M492" i="2"/>
  <c r="N492" i="2" s="1"/>
  <c r="O492" i="2" s="1"/>
  <c r="K492" i="2"/>
  <c r="M514" i="2"/>
  <c r="N514" i="2" s="1"/>
  <c r="O514" i="2" s="1"/>
  <c r="K514" i="2"/>
  <c r="M530" i="2"/>
  <c r="N530" i="2" s="1"/>
  <c r="O530" i="2" s="1"/>
  <c r="K530" i="2"/>
  <c r="M568" i="2"/>
  <c r="N568" i="2" s="1"/>
  <c r="O568" i="2" s="1"/>
  <c r="K568" i="2"/>
  <c r="M594" i="2"/>
  <c r="N594" i="2" s="1"/>
  <c r="O594" i="2" s="1"/>
  <c r="K594" i="2"/>
  <c r="M620" i="2"/>
  <c r="N620" i="2" s="1"/>
  <c r="O620" i="2" s="1"/>
  <c r="K620" i="2"/>
  <c r="M646" i="2"/>
  <c r="N646" i="2" s="1"/>
  <c r="O646" i="2" s="1"/>
  <c r="K646" i="2"/>
  <c r="M726" i="2"/>
  <c r="N726" i="2" s="1"/>
  <c r="O726" i="2" s="1"/>
  <c r="K726" i="2"/>
  <c r="M748" i="2"/>
  <c r="N748" i="2" s="1"/>
  <c r="O748" i="2" s="1"/>
  <c r="K748" i="2"/>
  <c r="M770" i="2"/>
  <c r="N770" i="2" s="1"/>
  <c r="O770" i="2" s="1"/>
  <c r="K770" i="2"/>
  <c r="M783" i="2"/>
  <c r="N783" i="2" s="1"/>
  <c r="O783" i="2" s="1"/>
  <c r="K783" i="2"/>
  <c r="M796" i="2"/>
  <c r="N796" i="2" s="1"/>
  <c r="O796" i="2" s="1"/>
  <c r="K796" i="2"/>
  <c r="M818" i="2"/>
  <c r="N818" i="2" s="1"/>
  <c r="O818" i="2" s="1"/>
  <c r="K818" i="2"/>
  <c r="M930" i="2"/>
  <c r="N930" i="2" s="1"/>
  <c r="O930" i="2" s="1"/>
  <c r="K930" i="2"/>
  <c r="M949" i="2"/>
  <c r="N949" i="2" s="1"/>
  <c r="O949" i="2" s="1"/>
  <c r="K949" i="2"/>
  <c r="M970" i="2"/>
  <c r="N970" i="2" s="1"/>
  <c r="O970" i="2" s="1"/>
  <c r="K970" i="2"/>
  <c r="M995" i="2"/>
  <c r="N995" i="2" s="1"/>
  <c r="O995" i="2" s="1"/>
  <c r="K995" i="2"/>
  <c r="M1020" i="2"/>
  <c r="N1020" i="2" s="1"/>
  <c r="O1020" i="2" s="1"/>
  <c r="K1020" i="2"/>
  <c r="M1045" i="2"/>
  <c r="N1045" i="2" s="1"/>
  <c r="O1045" i="2" s="1"/>
  <c r="K1045" i="2"/>
  <c r="M1067" i="2"/>
  <c r="N1067" i="2" s="1"/>
  <c r="O1067" i="2" s="1"/>
  <c r="K1067" i="2"/>
  <c r="M1079" i="2"/>
  <c r="N1079" i="2" s="1"/>
  <c r="O1079" i="2" s="1"/>
  <c r="K1079" i="2"/>
  <c r="M1177" i="2"/>
  <c r="N1177" i="2" s="1"/>
  <c r="O1177" i="2" s="1"/>
  <c r="K1177" i="2"/>
  <c r="M1200" i="2"/>
  <c r="N1200" i="2" s="1"/>
  <c r="O1200" i="2" s="1"/>
  <c r="K1200" i="2"/>
  <c r="M1224" i="2"/>
  <c r="N1224" i="2" s="1"/>
  <c r="O1224" i="2" s="1"/>
  <c r="K1224" i="2"/>
  <c r="M1248" i="2"/>
  <c r="N1248" i="2" s="1"/>
  <c r="O1248" i="2" s="1"/>
  <c r="K1248" i="2"/>
  <c r="M1271" i="2"/>
  <c r="N1271" i="2" s="1"/>
  <c r="O1271" i="2" s="1"/>
  <c r="K1271" i="2"/>
  <c r="M1293" i="2"/>
  <c r="N1293" i="2" s="1"/>
  <c r="O1293" i="2" s="1"/>
  <c r="K1293" i="2"/>
  <c r="M1362" i="2"/>
  <c r="N1362" i="2" s="1"/>
  <c r="O1362" i="2" s="1"/>
  <c r="K1362" i="2"/>
  <c r="M1386" i="2"/>
  <c r="N1386" i="2" s="1"/>
  <c r="O1386" i="2" s="1"/>
  <c r="K1386" i="2"/>
  <c r="M1459" i="2"/>
  <c r="N1459" i="2" s="1"/>
  <c r="O1459" i="2" s="1"/>
  <c r="K1459" i="2"/>
  <c r="M1481" i="2"/>
  <c r="N1481" i="2" s="1"/>
  <c r="O1481" i="2" s="1"/>
  <c r="K1481" i="2"/>
  <c r="M1502" i="2"/>
  <c r="N1502" i="2" s="1"/>
  <c r="O1502" i="2" s="1"/>
  <c r="K1502" i="2"/>
  <c r="M1515" i="2"/>
  <c r="N1515" i="2" s="1"/>
  <c r="O1515" i="2" s="1"/>
  <c r="K1515" i="2"/>
  <c r="M1562" i="2"/>
  <c r="N1562" i="2" s="1"/>
  <c r="O1562" i="2" s="1"/>
  <c r="K1562" i="2"/>
  <c r="M1586" i="2"/>
  <c r="N1586" i="2" s="1"/>
  <c r="O1586" i="2" s="1"/>
  <c r="K1586" i="2"/>
  <c r="M1835" i="2"/>
  <c r="N1835" i="2" s="1"/>
  <c r="O1835" i="2" s="1"/>
  <c r="K1835" i="2"/>
  <c r="M122" i="2"/>
  <c r="N122" i="2" s="1"/>
  <c r="O122" i="2" s="1"/>
  <c r="K122" i="2"/>
  <c r="M1121" i="2"/>
  <c r="N1121" i="2" s="1"/>
  <c r="O1121" i="2" s="1"/>
  <c r="K1121" i="2"/>
  <c r="M209" i="2"/>
  <c r="N209" i="2" s="1"/>
  <c r="O209" i="2" s="1"/>
  <c r="K209" i="2"/>
  <c r="M230" i="2"/>
  <c r="N230" i="2" s="1"/>
  <c r="O230" i="2" s="1"/>
  <c r="K230" i="2"/>
  <c r="M297" i="2"/>
  <c r="N297" i="2" s="1"/>
  <c r="O297" i="2" s="1"/>
  <c r="K297" i="2"/>
  <c r="M310" i="2"/>
  <c r="N310" i="2" s="1"/>
  <c r="O310" i="2" s="1"/>
  <c r="K310" i="2"/>
  <c r="M356" i="2"/>
  <c r="N356" i="2" s="1"/>
  <c r="O356" i="2" s="1"/>
  <c r="K356" i="2"/>
  <c r="M370" i="2"/>
  <c r="N370" i="2" s="1"/>
  <c r="O370" i="2" s="1"/>
  <c r="K370" i="2"/>
  <c r="M419" i="2"/>
  <c r="N419" i="2" s="1"/>
  <c r="O419" i="2" s="1"/>
  <c r="K419" i="2"/>
  <c r="M443" i="2"/>
  <c r="N443" i="2" s="1"/>
  <c r="O443" i="2" s="1"/>
  <c r="K443" i="2"/>
  <c r="M467" i="2"/>
  <c r="N467" i="2" s="1"/>
  <c r="O467" i="2" s="1"/>
  <c r="K467" i="2"/>
  <c r="M491" i="2"/>
  <c r="N491" i="2" s="1"/>
  <c r="O491" i="2" s="1"/>
  <c r="K491" i="2"/>
  <c r="M513" i="2"/>
  <c r="N513" i="2" s="1"/>
  <c r="O513" i="2" s="1"/>
  <c r="K513" i="2"/>
  <c r="M529" i="2"/>
  <c r="N529" i="2" s="1"/>
  <c r="O529" i="2" s="1"/>
  <c r="K529" i="2"/>
  <c r="M567" i="2"/>
  <c r="N567" i="2" s="1"/>
  <c r="O567" i="2" s="1"/>
  <c r="K567" i="2"/>
  <c r="M593" i="2"/>
  <c r="N593" i="2" s="1"/>
  <c r="O593" i="2" s="1"/>
  <c r="K593" i="2"/>
  <c r="M619" i="2"/>
  <c r="N619" i="2" s="1"/>
  <c r="O619" i="2" s="1"/>
  <c r="K619" i="2"/>
  <c r="M645" i="2"/>
  <c r="N645" i="2" s="1"/>
  <c r="O645" i="2" s="1"/>
  <c r="K645" i="2"/>
  <c r="M725" i="2"/>
  <c r="N725" i="2" s="1"/>
  <c r="O725" i="2" s="1"/>
  <c r="K725" i="2"/>
  <c r="M747" i="2"/>
  <c r="N747" i="2" s="1"/>
  <c r="O747" i="2" s="1"/>
  <c r="K747" i="2"/>
  <c r="M769" i="2"/>
  <c r="N769" i="2" s="1"/>
  <c r="O769" i="2" s="1"/>
  <c r="K769" i="2"/>
  <c r="M782" i="2"/>
  <c r="N782" i="2" s="1"/>
  <c r="O782" i="2" s="1"/>
  <c r="K782" i="2"/>
  <c r="M795" i="2"/>
  <c r="N795" i="2" s="1"/>
  <c r="O795" i="2" s="1"/>
  <c r="K795" i="2"/>
  <c r="M817" i="2"/>
  <c r="N817" i="2" s="1"/>
  <c r="O817" i="2" s="1"/>
  <c r="K817" i="2"/>
  <c r="M929" i="2"/>
  <c r="N929" i="2" s="1"/>
  <c r="O929" i="2" s="1"/>
  <c r="K929" i="2"/>
  <c r="M948" i="2"/>
  <c r="N948" i="2" s="1"/>
  <c r="O948" i="2" s="1"/>
  <c r="K948" i="2"/>
  <c r="M969" i="2"/>
  <c r="N969" i="2" s="1"/>
  <c r="O969" i="2" s="1"/>
  <c r="K969" i="2"/>
  <c r="M994" i="2"/>
  <c r="N994" i="2" s="1"/>
  <c r="O994" i="2" s="1"/>
  <c r="K994" i="2"/>
  <c r="M1019" i="2"/>
  <c r="N1019" i="2" s="1"/>
  <c r="O1019" i="2" s="1"/>
  <c r="K1019" i="2"/>
  <c r="M1044" i="2"/>
  <c r="N1044" i="2" s="1"/>
  <c r="O1044" i="2" s="1"/>
  <c r="K1044" i="2"/>
  <c r="M1066" i="2"/>
  <c r="N1066" i="2" s="1"/>
  <c r="O1066" i="2" s="1"/>
  <c r="K1066" i="2"/>
  <c r="M1078" i="2"/>
  <c r="N1078" i="2" s="1"/>
  <c r="O1078" i="2" s="1"/>
  <c r="K1078" i="2"/>
  <c r="M1176" i="2"/>
  <c r="N1176" i="2" s="1"/>
  <c r="O1176" i="2" s="1"/>
  <c r="K1176" i="2"/>
  <c r="M1199" i="2"/>
  <c r="N1199" i="2" s="1"/>
  <c r="O1199" i="2" s="1"/>
  <c r="K1199" i="2"/>
  <c r="M1223" i="2"/>
  <c r="N1223" i="2" s="1"/>
  <c r="O1223" i="2" s="1"/>
  <c r="K1223" i="2"/>
  <c r="M1247" i="2"/>
  <c r="N1247" i="2" s="1"/>
  <c r="O1247" i="2" s="1"/>
  <c r="K1247" i="2"/>
  <c r="M1270" i="2"/>
  <c r="N1270" i="2" s="1"/>
  <c r="O1270" i="2" s="1"/>
  <c r="K1270" i="2"/>
  <c r="M1292" i="2"/>
  <c r="N1292" i="2" s="1"/>
  <c r="O1292" i="2" s="1"/>
  <c r="K1292" i="2"/>
  <c r="M1361" i="2"/>
  <c r="N1361" i="2" s="1"/>
  <c r="O1361" i="2" s="1"/>
  <c r="K1361" i="2"/>
  <c r="M1385" i="2"/>
  <c r="N1385" i="2" s="1"/>
  <c r="O1385" i="2" s="1"/>
  <c r="K1385" i="2"/>
  <c r="M1458" i="2"/>
  <c r="N1458" i="2" s="1"/>
  <c r="O1458" i="2" s="1"/>
  <c r="K1458" i="2"/>
  <c r="M1480" i="2"/>
  <c r="N1480" i="2" s="1"/>
  <c r="O1480" i="2" s="1"/>
  <c r="K1480" i="2"/>
  <c r="M1501" i="2"/>
  <c r="N1501" i="2" s="1"/>
  <c r="O1501" i="2" s="1"/>
  <c r="K1501" i="2"/>
  <c r="M1514" i="2"/>
  <c r="N1514" i="2" s="1"/>
  <c r="O1514" i="2" s="1"/>
  <c r="K1514" i="2"/>
  <c r="M1561" i="2"/>
  <c r="N1561" i="2" s="1"/>
  <c r="O1561" i="2" s="1"/>
  <c r="K1561" i="2"/>
  <c r="M1585" i="2"/>
  <c r="N1585" i="2" s="1"/>
  <c r="O1585" i="2" s="1"/>
  <c r="K1585" i="2"/>
  <c r="M1834" i="2"/>
  <c r="N1834" i="2" s="1"/>
  <c r="O1834" i="2" s="1"/>
  <c r="K1834" i="2"/>
  <c r="M12" i="2"/>
  <c r="N12" i="2" s="1"/>
  <c r="O12" i="2" s="1"/>
  <c r="K12" i="2"/>
  <c r="M27" i="2"/>
  <c r="N27" i="2" s="1"/>
  <c r="O27" i="2" s="1"/>
  <c r="K27" i="2"/>
  <c r="M46" i="2"/>
  <c r="N46" i="2" s="1"/>
  <c r="O46" i="2" s="1"/>
  <c r="K46" i="2"/>
  <c r="M62" i="2"/>
  <c r="N62" i="2" s="1"/>
  <c r="O62" i="2" s="1"/>
  <c r="K62" i="2"/>
  <c r="M81" i="2"/>
  <c r="N81" i="2" s="1"/>
  <c r="O81" i="2" s="1"/>
  <c r="K81" i="2"/>
  <c r="M97" i="2"/>
  <c r="N97" i="2" s="1"/>
  <c r="O97" i="2" s="1"/>
  <c r="K97" i="2"/>
  <c r="M1730" i="2"/>
  <c r="N1730" i="2" s="1"/>
  <c r="O1730" i="2" s="1"/>
  <c r="K1730" i="2"/>
  <c r="M1750" i="2"/>
  <c r="N1750" i="2" s="1"/>
  <c r="O1750" i="2" s="1"/>
  <c r="K1750" i="2"/>
  <c r="M126" i="2"/>
  <c r="N126" i="2" s="1"/>
  <c r="O126" i="2" s="1"/>
  <c r="K126" i="2"/>
  <c r="M517" i="2"/>
  <c r="N517" i="2" s="1"/>
  <c r="O517" i="2" s="1"/>
  <c r="K517" i="2"/>
  <c r="M533" i="2"/>
  <c r="N533" i="2" s="1"/>
  <c r="O533" i="2" s="1"/>
  <c r="K533" i="2"/>
  <c r="M1610" i="2"/>
  <c r="N1610" i="2" s="1"/>
  <c r="O1610" i="2" s="1"/>
  <c r="K1610" i="2"/>
  <c r="M1626" i="2"/>
  <c r="N1626" i="2" s="1"/>
  <c r="O1626" i="2" s="1"/>
  <c r="K1626" i="2"/>
  <c r="M1642" i="2"/>
  <c r="N1642" i="2" s="1"/>
  <c r="O1642" i="2" s="1"/>
  <c r="K1642" i="2"/>
  <c r="M1658" i="2"/>
  <c r="N1658" i="2" s="1"/>
  <c r="O1658" i="2" s="1"/>
  <c r="K1658" i="2"/>
  <c r="M1701" i="2"/>
  <c r="N1701" i="2" s="1"/>
  <c r="O1701" i="2" s="1"/>
  <c r="K1701" i="2"/>
  <c r="M1715" i="2"/>
  <c r="N1715" i="2" s="1"/>
  <c r="O1715" i="2" s="1"/>
  <c r="K1715" i="2"/>
  <c r="M178" i="2"/>
  <c r="N178" i="2" s="1"/>
  <c r="O178" i="2" s="1"/>
  <c r="K178" i="2"/>
  <c r="M194" i="2"/>
  <c r="N194" i="2" s="1"/>
  <c r="O194" i="2" s="1"/>
  <c r="K194" i="2"/>
  <c r="M1140" i="2"/>
  <c r="N1140" i="2" s="1"/>
  <c r="O1140" i="2" s="1"/>
  <c r="K1140" i="2"/>
  <c r="M1151" i="2"/>
  <c r="N1151" i="2" s="1"/>
  <c r="O1151" i="2" s="1"/>
  <c r="K1151" i="2"/>
  <c r="M1768" i="2"/>
  <c r="N1768" i="2" s="1"/>
  <c r="O1768" i="2" s="1"/>
  <c r="K1768" i="2"/>
  <c r="M1802" i="2"/>
  <c r="N1802" i="2" s="1"/>
  <c r="O1802" i="2" s="1"/>
  <c r="K1802" i="2"/>
  <c r="M544" i="2"/>
  <c r="N544" i="2" s="1"/>
  <c r="O544" i="2" s="1"/>
  <c r="K544" i="2"/>
  <c r="M554" i="2"/>
  <c r="N554" i="2" s="1"/>
  <c r="O554" i="2" s="1"/>
  <c r="K554" i="2"/>
  <c r="M121" i="2"/>
  <c r="N121" i="2" s="1"/>
  <c r="O121" i="2" s="1"/>
  <c r="K121" i="2"/>
  <c r="M120" i="2"/>
  <c r="N120" i="2" s="1"/>
  <c r="O120" i="2" s="1"/>
  <c r="K120" i="2"/>
  <c r="M119" i="2"/>
  <c r="N119" i="2" s="1"/>
  <c r="O119" i="2" s="1"/>
  <c r="K119" i="2"/>
  <c r="M118" i="2"/>
  <c r="N118" i="2" s="1"/>
  <c r="O118" i="2" s="1"/>
  <c r="K118" i="2"/>
  <c r="M117" i="2"/>
  <c r="N117" i="2" s="1"/>
  <c r="O117" i="2" s="1"/>
  <c r="K117" i="2"/>
  <c r="M1137" i="2"/>
  <c r="N1137" i="2" s="1"/>
  <c r="O1137" i="2" s="1"/>
  <c r="K1137" i="2"/>
  <c r="M1148" i="2"/>
  <c r="N1148" i="2" s="1"/>
  <c r="O1148" i="2" s="1"/>
  <c r="K1148" i="2"/>
  <c r="M9" i="2"/>
  <c r="N9" i="2" s="1"/>
  <c r="O9" i="2" s="1"/>
  <c r="K9" i="2"/>
  <c r="M24" i="2"/>
  <c r="N24" i="2" s="1"/>
  <c r="O24" i="2" s="1"/>
  <c r="K24" i="2"/>
  <c r="M43" i="2"/>
  <c r="N43" i="2" s="1"/>
  <c r="O43" i="2" s="1"/>
  <c r="K43" i="2"/>
  <c r="M59" i="2"/>
  <c r="N59" i="2" s="1"/>
  <c r="K59" i="2"/>
  <c r="M78" i="2"/>
  <c r="N78" i="2" s="1"/>
  <c r="O78" i="2" s="1"/>
  <c r="K78" i="2"/>
  <c r="M94" i="2"/>
  <c r="N94" i="2" s="1"/>
  <c r="O94" i="2" s="1"/>
  <c r="K94" i="2"/>
  <c r="M1727" i="2"/>
  <c r="N1727" i="2" s="1"/>
  <c r="O1727" i="2" s="1"/>
  <c r="K1727" i="2"/>
  <c r="M1747" i="2"/>
  <c r="N1747" i="2" s="1"/>
  <c r="O1747" i="2" s="1"/>
  <c r="K1747" i="2"/>
  <c r="M116" i="2"/>
  <c r="N116" i="2" s="1"/>
  <c r="K116" i="2"/>
  <c r="M1120" i="2"/>
  <c r="N1120" i="2" s="1"/>
  <c r="O1120" i="2" s="1"/>
  <c r="K1120" i="2"/>
  <c r="M208" i="2"/>
  <c r="N208" i="2" s="1"/>
  <c r="O208" i="2" s="1"/>
  <c r="K208" i="2"/>
  <c r="M229" i="2"/>
  <c r="N229" i="2" s="1"/>
  <c r="O229" i="2" s="1"/>
  <c r="K229" i="2"/>
  <c r="M250" i="2"/>
  <c r="N250" i="2" s="1"/>
  <c r="O250" i="2" s="1"/>
  <c r="K250" i="2"/>
  <c r="M273" i="2"/>
  <c r="N273" i="2" s="1"/>
  <c r="O273" i="2" s="1"/>
  <c r="K273" i="2"/>
  <c r="M296" i="2"/>
  <c r="N296" i="2" s="1"/>
  <c r="O296" i="2" s="1"/>
  <c r="K296" i="2"/>
  <c r="M309" i="2"/>
  <c r="N309" i="2" s="1"/>
  <c r="O309" i="2" s="1"/>
  <c r="K309" i="2"/>
  <c r="M322" i="2"/>
  <c r="N322" i="2" s="1"/>
  <c r="O322" i="2" s="1"/>
  <c r="K322" i="2"/>
  <c r="M338" i="2"/>
  <c r="N338" i="2" s="1"/>
  <c r="O338" i="2" s="1"/>
  <c r="K338" i="2"/>
  <c r="M355" i="2"/>
  <c r="N355" i="2" s="1"/>
  <c r="O355" i="2" s="1"/>
  <c r="K355" i="2"/>
  <c r="M369" i="2"/>
  <c r="N369" i="2" s="1"/>
  <c r="O369" i="2" s="1"/>
  <c r="K369" i="2"/>
  <c r="M383" i="2"/>
  <c r="N383" i="2" s="1"/>
  <c r="O383" i="2" s="1"/>
  <c r="K383" i="2"/>
  <c r="M400" i="2"/>
  <c r="N400" i="2" s="1"/>
  <c r="O400" i="2" s="1"/>
  <c r="K400" i="2"/>
  <c r="M418" i="2"/>
  <c r="N418" i="2" s="1"/>
  <c r="O418" i="2" s="1"/>
  <c r="K418" i="2"/>
  <c r="M442" i="2"/>
  <c r="N442" i="2" s="1"/>
  <c r="O442" i="2" s="1"/>
  <c r="K442" i="2"/>
  <c r="M466" i="2"/>
  <c r="N466" i="2" s="1"/>
  <c r="O466" i="2" s="1"/>
  <c r="K466" i="2"/>
  <c r="M490" i="2"/>
  <c r="N490" i="2" s="1"/>
  <c r="O490" i="2" s="1"/>
  <c r="K490" i="2"/>
  <c r="M512" i="2"/>
  <c r="N512" i="2" s="1"/>
  <c r="O512" i="2" s="1"/>
  <c r="K512" i="2"/>
  <c r="M528" i="2"/>
  <c r="N528" i="2" s="1"/>
  <c r="O528" i="2" s="1"/>
  <c r="K528" i="2"/>
  <c r="M543" i="2"/>
  <c r="N543" i="2" s="1"/>
  <c r="O543" i="2" s="1"/>
  <c r="K543" i="2"/>
  <c r="M553" i="2"/>
  <c r="N553" i="2" s="1"/>
  <c r="O553" i="2" s="1"/>
  <c r="K553" i="2"/>
  <c r="M566" i="2"/>
  <c r="N566" i="2" s="1"/>
  <c r="O566" i="2" s="1"/>
  <c r="K566" i="2"/>
  <c r="M592" i="2"/>
  <c r="N592" i="2" s="1"/>
  <c r="O592" i="2" s="1"/>
  <c r="K592" i="2"/>
  <c r="M618" i="2"/>
  <c r="N618" i="2" s="1"/>
  <c r="O618" i="2" s="1"/>
  <c r="K618" i="2"/>
  <c r="M644" i="2"/>
  <c r="N644" i="2" s="1"/>
  <c r="O644" i="2" s="1"/>
  <c r="K644" i="2"/>
  <c r="M670" i="2"/>
  <c r="N670" i="2" s="1"/>
  <c r="O670" i="2" s="1"/>
  <c r="K670" i="2"/>
  <c r="M698" i="2"/>
  <c r="N698" i="2" s="1"/>
  <c r="O698" i="2" s="1"/>
  <c r="K698" i="2"/>
  <c r="M724" i="2"/>
  <c r="N724" i="2" s="1"/>
  <c r="O724" i="2" s="1"/>
  <c r="K724" i="2"/>
  <c r="M746" i="2"/>
  <c r="N746" i="2" s="1"/>
  <c r="O746" i="2" s="1"/>
  <c r="K746" i="2"/>
  <c r="M768" i="2"/>
  <c r="N768" i="2" s="1"/>
  <c r="O768" i="2" s="1"/>
  <c r="K768" i="2"/>
  <c r="M781" i="2"/>
  <c r="N781" i="2" s="1"/>
  <c r="O781" i="2" s="1"/>
  <c r="K781" i="2"/>
  <c r="M794" i="2"/>
  <c r="N794" i="2" s="1"/>
  <c r="O794" i="2" s="1"/>
  <c r="K794" i="2"/>
  <c r="M816" i="2"/>
  <c r="N816" i="2" s="1"/>
  <c r="O816" i="2" s="1"/>
  <c r="K816" i="2"/>
  <c r="M838" i="2"/>
  <c r="N838" i="2" s="1"/>
  <c r="O838" i="2" s="1"/>
  <c r="K838" i="2"/>
  <c r="M862" i="2"/>
  <c r="N862" i="2" s="1"/>
  <c r="O862" i="2" s="1"/>
  <c r="K862" i="2"/>
  <c r="M886" i="2"/>
  <c r="N886" i="2" s="1"/>
  <c r="O886" i="2" s="1"/>
  <c r="K886" i="2"/>
  <c r="M907" i="2"/>
  <c r="N907" i="2" s="1"/>
  <c r="O907" i="2" s="1"/>
  <c r="K907" i="2"/>
  <c r="M928" i="2"/>
  <c r="N928" i="2" s="1"/>
  <c r="O928" i="2" s="1"/>
  <c r="K928" i="2"/>
  <c r="M947" i="2"/>
  <c r="N947" i="2" s="1"/>
  <c r="O947" i="2" s="1"/>
  <c r="K947" i="2"/>
  <c r="M968" i="2"/>
  <c r="N968" i="2" s="1"/>
  <c r="O968" i="2" s="1"/>
  <c r="K968" i="2"/>
  <c r="M993" i="2"/>
  <c r="N993" i="2" s="1"/>
  <c r="O993" i="2" s="1"/>
  <c r="K993" i="2"/>
  <c r="M1018" i="2"/>
  <c r="N1018" i="2" s="1"/>
  <c r="O1018" i="2" s="1"/>
  <c r="K1018" i="2"/>
  <c r="M1043" i="2"/>
  <c r="N1043" i="2" s="1"/>
  <c r="O1043" i="2" s="1"/>
  <c r="K1043" i="2"/>
  <c r="M1065" i="2"/>
  <c r="N1065" i="2" s="1"/>
  <c r="K1065" i="2"/>
  <c r="M1077" i="2"/>
  <c r="N1077" i="2" s="1"/>
  <c r="O1077" i="2" s="1"/>
  <c r="K1077" i="2"/>
  <c r="M1089" i="2"/>
  <c r="N1089" i="2" s="1"/>
  <c r="O1089" i="2" s="1"/>
  <c r="K1089" i="2"/>
  <c r="M1104" i="2"/>
  <c r="N1104" i="2" s="1"/>
  <c r="O1104" i="2" s="1"/>
  <c r="K1104" i="2"/>
  <c r="M1159" i="2"/>
  <c r="N1159" i="2" s="1"/>
  <c r="O1159" i="2" s="1"/>
  <c r="K1159" i="2"/>
  <c r="M1175" i="2"/>
  <c r="N1175" i="2" s="1"/>
  <c r="O1175" i="2" s="1"/>
  <c r="K1175" i="2"/>
  <c r="M1198" i="2"/>
  <c r="N1198" i="2" s="1"/>
  <c r="O1198" i="2" s="1"/>
  <c r="K1198" i="2"/>
  <c r="M1222" i="2"/>
  <c r="N1222" i="2" s="1"/>
  <c r="O1222" i="2" s="1"/>
  <c r="K1222" i="2"/>
  <c r="M1246" i="2"/>
  <c r="N1246" i="2" s="1"/>
  <c r="O1246" i="2" s="1"/>
  <c r="K1246" i="2"/>
  <c r="M1269" i="2"/>
  <c r="N1269" i="2" s="1"/>
  <c r="O1269" i="2" s="1"/>
  <c r="K1269" i="2"/>
  <c r="M1291" i="2"/>
  <c r="N1291" i="2" s="1"/>
  <c r="O1291" i="2" s="1"/>
  <c r="K1291" i="2"/>
  <c r="M1312" i="2"/>
  <c r="N1312" i="2" s="1"/>
  <c r="O1312" i="2" s="1"/>
  <c r="K1312" i="2"/>
  <c r="M1335" i="2"/>
  <c r="N1335" i="2" s="1"/>
  <c r="O1335" i="2" s="1"/>
  <c r="K1335" i="2"/>
  <c r="M1360" i="2"/>
  <c r="N1360" i="2" s="1"/>
  <c r="O1360" i="2" s="1"/>
  <c r="K1360" i="2"/>
  <c r="M1384" i="2"/>
  <c r="N1384" i="2" s="1"/>
  <c r="O1384" i="2" s="1"/>
  <c r="K1384" i="2"/>
  <c r="M1406" i="2"/>
  <c r="N1406" i="2" s="1"/>
  <c r="O1406" i="2" s="1"/>
  <c r="K1406" i="2"/>
  <c r="M1431" i="2"/>
  <c r="N1431" i="2" s="1"/>
  <c r="O1431" i="2" s="1"/>
  <c r="K1431" i="2"/>
  <c r="M1457" i="2"/>
  <c r="N1457" i="2" s="1"/>
  <c r="K1457" i="2"/>
  <c r="M1479" i="2"/>
  <c r="N1479" i="2" s="1"/>
  <c r="O1479" i="2" s="1"/>
  <c r="K1479" i="2"/>
  <c r="M1500" i="2"/>
  <c r="N1500" i="2" s="1"/>
  <c r="O1500" i="2" s="1"/>
  <c r="K1500" i="2"/>
  <c r="M1513" i="2"/>
  <c r="N1513" i="2" s="1"/>
  <c r="O1513" i="2" s="1"/>
  <c r="K1513" i="2"/>
  <c r="M1526" i="2"/>
  <c r="N1526" i="2" s="1"/>
  <c r="O1526" i="2" s="1"/>
  <c r="K1526" i="2"/>
  <c r="M1542" i="2"/>
  <c r="N1542" i="2" s="1"/>
  <c r="O1542" i="2" s="1"/>
  <c r="K1542" i="2"/>
  <c r="M1560" i="2"/>
  <c r="N1560" i="2" s="1"/>
  <c r="O1560" i="2" s="1"/>
  <c r="K1560" i="2"/>
  <c r="M1584" i="2"/>
  <c r="N1584" i="2" s="1"/>
  <c r="O1584" i="2" s="1"/>
  <c r="K1584" i="2"/>
  <c r="M1833" i="2"/>
  <c r="N1833" i="2" s="1"/>
  <c r="O1833" i="2" s="1"/>
  <c r="K1833" i="2"/>
  <c r="M1845" i="2"/>
  <c r="N1845" i="2" s="1"/>
  <c r="O1845" i="2" s="1"/>
  <c r="K1845" i="2"/>
  <c r="M1607" i="2"/>
  <c r="N1607" i="2" s="1"/>
  <c r="O1607" i="2" s="1"/>
  <c r="K1607" i="2"/>
  <c r="M1623" i="2"/>
  <c r="N1623" i="2" s="1"/>
  <c r="O1623" i="2" s="1"/>
  <c r="K1623" i="2"/>
  <c r="M1639" i="2"/>
  <c r="N1639" i="2" s="1"/>
  <c r="O1639" i="2" s="1"/>
  <c r="K1639" i="2"/>
  <c r="M1655" i="2"/>
  <c r="N1655" i="2" s="1"/>
  <c r="O1655" i="2" s="1"/>
  <c r="K1655" i="2"/>
  <c r="M1670" i="2"/>
  <c r="N1670" i="2" s="1"/>
  <c r="O1670" i="2" s="1"/>
  <c r="K1670" i="2"/>
  <c r="M1684" i="2"/>
  <c r="N1684" i="2" s="1"/>
  <c r="O1684" i="2" s="1"/>
  <c r="K1684" i="2"/>
  <c r="M1698" i="2"/>
  <c r="N1698" i="2" s="1"/>
  <c r="K1698" i="2"/>
  <c r="M1712" i="2"/>
  <c r="N1712" i="2" s="1"/>
  <c r="O1712" i="2" s="1"/>
  <c r="K1712" i="2"/>
  <c r="M139" i="2"/>
  <c r="N139" i="2" s="1"/>
  <c r="O139" i="2" s="1"/>
  <c r="K139" i="2"/>
  <c r="M157" i="2"/>
  <c r="N157" i="2" s="1"/>
  <c r="O157" i="2" s="1"/>
  <c r="K157" i="2"/>
  <c r="M175" i="2"/>
  <c r="N175" i="2" s="1"/>
  <c r="K175" i="2"/>
  <c r="M191" i="2"/>
  <c r="N191" i="2" s="1"/>
  <c r="O191" i="2" s="1"/>
  <c r="K191" i="2"/>
  <c r="M1765" i="2"/>
  <c r="N1765" i="2" s="1"/>
  <c r="O1765" i="2" s="1"/>
  <c r="K1765" i="2"/>
  <c r="M1781" i="2"/>
  <c r="N1781" i="2" s="1"/>
  <c r="O1781" i="2" s="1"/>
  <c r="K1781" i="2"/>
  <c r="M1799" i="2"/>
  <c r="N1799" i="2" s="1"/>
  <c r="O1799" i="2" s="1"/>
  <c r="K1799" i="2"/>
  <c r="M1815" i="2"/>
  <c r="N1815" i="2" s="1"/>
  <c r="O1815" i="2" s="1"/>
  <c r="K1815" i="2"/>
  <c r="M77" i="2"/>
  <c r="N77" i="2" s="1"/>
  <c r="O77" i="2" s="1"/>
  <c r="K77" i="2"/>
  <c r="M93" i="2"/>
  <c r="N93" i="2" s="1"/>
  <c r="O93" i="2" s="1"/>
  <c r="K93" i="2"/>
  <c r="M1746" i="2"/>
  <c r="N1746" i="2" s="1"/>
  <c r="O1746" i="2" s="1"/>
  <c r="K1746" i="2"/>
  <c r="M228" i="2"/>
  <c r="N228" i="2" s="1"/>
  <c r="O228" i="2" s="1"/>
  <c r="K228" i="2"/>
  <c r="M272" i="2"/>
  <c r="N272" i="2" s="1"/>
  <c r="O272" i="2" s="1"/>
  <c r="K272" i="2"/>
  <c r="M308" i="2"/>
  <c r="N308" i="2" s="1"/>
  <c r="O308" i="2" s="1"/>
  <c r="K308" i="2"/>
  <c r="M337" i="2"/>
  <c r="N337" i="2" s="1"/>
  <c r="O337" i="2" s="1"/>
  <c r="K337" i="2"/>
  <c r="M368" i="2"/>
  <c r="N368" i="2" s="1"/>
  <c r="O368" i="2" s="1"/>
  <c r="K368" i="2"/>
  <c r="M399" i="2"/>
  <c r="N399" i="2" s="1"/>
  <c r="O399" i="2" s="1"/>
  <c r="K399" i="2"/>
  <c r="M441" i="2"/>
  <c r="N441" i="2" s="1"/>
  <c r="O441" i="2" s="1"/>
  <c r="K441" i="2"/>
  <c r="M489" i="2"/>
  <c r="N489" i="2" s="1"/>
  <c r="O489" i="2" s="1"/>
  <c r="K489" i="2"/>
  <c r="M511" i="2"/>
  <c r="N511" i="2" s="1"/>
  <c r="O511" i="2" s="1"/>
  <c r="K511" i="2"/>
  <c r="M527" i="2"/>
  <c r="N527" i="2" s="1"/>
  <c r="O527" i="2" s="1"/>
  <c r="K527" i="2"/>
  <c r="M552" i="2"/>
  <c r="N552" i="2" s="1"/>
  <c r="O552" i="2" s="1"/>
  <c r="K552" i="2"/>
  <c r="M591" i="2"/>
  <c r="N591" i="2" s="1"/>
  <c r="O591" i="2" s="1"/>
  <c r="K591" i="2"/>
  <c r="M643" i="2"/>
  <c r="N643" i="2" s="1"/>
  <c r="O643" i="2" s="1"/>
  <c r="K643" i="2"/>
  <c r="M697" i="2"/>
  <c r="N697" i="2" s="1"/>
  <c r="O697" i="2" s="1"/>
  <c r="K697" i="2"/>
  <c r="M745" i="2"/>
  <c r="N745" i="2" s="1"/>
  <c r="O745" i="2" s="1"/>
  <c r="K745" i="2"/>
  <c r="M780" i="2"/>
  <c r="N780" i="2" s="1"/>
  <c r="O780" i="2" s="1"/>
  <c r="K780" i="2"/>
  <c r="M815" i="2"/>
  <c r="N815" i="2" s="1"/>
  <c r="O815" i="2" s="1"/>
  <c r="K815" i="2"/>
  <c r="M861" i="2"/>
  <c r="N861" i="2" s="1"/>
  <c r="O861" i="2" s="1"/>
  <c r="K861" i="2"/>
  <c r="M906" i="2"/>
  <c r="N906" i="2" s="1"/>
  <c r="O906" i="2" s="1"/>
  <c r="K906" i="2"/>
  <c r="M946" i="2"/>
  <c r="N946" i="2" s="1"/>
  <c r="O946" i="2" s="1"/>
  <c r="K946" i="2"/>
  <c r="M992" i="2"/>
  <c r="N992" i="2" s="1"/>
  <c r="O992" i="2" s="1"/>
  <c r="K992" i="2"/>
  <c r="M1042" i="2"/>
  <c r="N1042" i="2" s="1"/>
  <c r="O1042" i="2" s="1"/>
  <c r="K1042" i="2"/>
  <c r="M1076" i="2"/>
  <c r="N1076" i="2" s="1"/>
  <c r="O1076" i="2" s="1"/>
  <c r="K1076" i="2"/>
  <c r="M1197" i="2"/>
  <c r="N1197" i="2" s="1"/>
  <c r="O1197" i="2" s="1"/>
  <c r="K1197" i="2"/>
  <c r="M1245" i="2"/>
  <c r="N1245" i="2" s="1"/>
  <c r="O1245" i="2" s="1"/>
  <c r="K1245" i="2"/>
  <c r="M1290" i="2"/>
  <c r="N1290" i="2" s="1"/>
  <c r="O1290" i="2" s="1"/>
  <c r="K1290" i="2"/>
  <c r="M1334" i="2"/>
  <c r="N1334" i="2" s="1"/>
  <c r="O1334" i="2" s="1"/>
  <c r="K1334" i="2"/>
  <c r="M1383" i="2"/>
  <c r="N1383" i="2" s="1"/>
  <c r="O1383" i="2" s="1"/>
  <c r="K1383" i="2"/>
  <c r="M1430" i="2"/>
  <c r="N1430" i="2" s="1"/>
  <c r="O1430" i="2" s="1"/>
  <c r="K1430" i="2"/>
  <c r="M1478" i="2"/>
  <c r="N1478" i="2" s="1"/>
  <c r="O1478" i="2" s="1"/>
  <c r="K1478" i="2"/>
  <c r="M1512" i="2"/>
  <c r="N1512" i="2" s="1"/>
  <c r="O1512" i="2" s="1"/>
  <c r="K1512" i="2"/>
  <c r="M1541" i="2"/>
  <c r="N1541" i="2" s="1"/>
  <c r="O1541" i="2" s="1"/>
  <c r="K1541" i="2"/>
  <c r="M1583" i="2"/>
  <c r="N1583" i="2" s="1"/>
  <c r="O1583" i="2" s="1"/>
  <c r="K1583" i="2"/>
  <c r="M1622" i="2"/>
  <c r="N1622" i="2" s="1"/>
  <c r="O1622" i="2" s="1"/>
  <c r="K1622" i="2"/>
  <c r="M1653" i="2"/>
  <c r="N1653" i="2" s="1"/>
  <c r="O1653" i="2" s="1"/>
  <c r="K1653" i="2"/>
  <c r="M1683" i="2"/>
  <c r="N1683" i="2" s="1"/>
  <c r="O1683" i="2" s="1"/>
  <c r="K1683" i="2"/>
  <c r="M1711" i="2"/>
  <c r="N1711" i="2" s="1"/>
  <c r="O1711" i="2" s="1"/>
  <c r="K1711" i="2"/>
  <c r="M156" i="2"/>
  <c r="N156" i="2" s="1"/>
  <c r="O156" i="2" s="1"/>
  <c r="K156" i="2"/>
  <c r="M190" i="2"/>
  <c r="N190" i="2" s="1"/>
  <c r="O190" i="2" s="1"/>
  <c r="K190" i="2"/>
  <c r="M542" i="2"/>
  <c r="N542" i="2" s="1"/>
  <c r="O542" i="2" s="1"/>
  <c r="K542" i="2"/>
  <c r="M1135" i="2"/>
  <c r="N1135" i="2" s="1"/>
  <c r="K1135" i="2"/>
  <c r="M1798" i="2"/>
  <c r="N1798" i="2" s="1"/>
  <c r="O1798" i="2" s="1"/>
  <c r="K1798" i="2"/>
  <c r="M1814" i="2"/>
  <c r="N1814" i="2" s="1"/>
  <c r="O1814" i="2" s="1"/>
  <c r="K1814" i="2"/>
  <c r="M41" i="2"/>
  <c r="N41" i="2" s="1"/>
  <c r="O41" i="2" s="1"/>
  <c r="K41" i="2"/>
  <c r="M57" i="2"/>
  <c r="N57" i="2" s="1"/>
  <c r="K57" i="2"/>
  <c r="M76" i="2"/>
  <c r="N76" i="2" s="1"/>
  <c r="O76" i="2" s="1"/>
  <c r="K76" i="2"/>
  <c r="M92" i="2"/>
  <c r="N92" i="2" s="1"/>
  <c r="O92" i="2" s="1"/>
  <c r="K92" i="2"/>
  <c r="M353" i="2"/>
  <c r="N353" i="2" s="1"/>
  <c r="K353" i="2"/>
  <c r="M367" i="2"/>
  <c r="N367" i="2" s="1"/>
  <c r="O367" i="2" s="1"/>
  <c r="K367" i="2"/>
  <c r="M381" i="2"/>
  <c r="N381" i="2" s="1"/>
  <c r="O381" i="2" s="1"/>
  <c r="K381" i="2"/>
  <c r="M398" i="2"/>
  <c r="N398" i="2" s="1"/>
  <c r="O398" i="2" s="1"/>
  <c r="K398" i="2"/>
  <c r="M115" i="2"/>
  <c r="N115" i="2" s="1"/>
  <c r="K115" i="2"/>
  <c r="M509" i="2"/>
  <c r="N509" i="2" s="1"/>
  <c r="O509" i="2" s="1"/>
  <c r="K509" i="2"/>
  <c r="M525" i="2"/>
  <c r="N525" i="2" s="1"/>
  <c r="O525" i="2" s="1"/>
  <c r="K525" i="2"/>
  <c r="M114" i="2"/>
  <c r="N114" i="2" s="1"/>
  <c r="K114" i="2"/>
  <c r="M1220" i="2"/>
  <c r="N1220" i="2" s="1"/>
  <c r="O1220" i="2" s="1"/>
  <c r="K1220" i="2"/>
  <c r="M1244" i="2"/>
  <c r="N1244" i="2" s="1"/>
  <c r="O1244" i="2" s="1"/>
  <c r="K1244" i="2"/>
  <c r="M1358" i="2"/>
  <c r="N1358" i="2" s="1"/>
  <c r="O1358" i="2" s="1"/>
  <c r="K1358" i="2"/>
  <c r="M1382" i="2"/>
  <c r="N1382" i="2" s="1"/>
  <c r="O1382" i="2" s="1"/>
  <c r="K1382" i="2"/>
  <c r="M206" i="2"/>
  <c r="N206" i="2" s="1"/>
  <c r="O206" i="2" s="1"/>
  <c r="K206" i="2"/>
  <c r="M227" i="2"/>
  <c r="N227" i="2" s="1"/>
  <c r="O227" i="2" s="1"/>
  <c r="K227" i="2"/>
  <c r="M248" i="2"/>
  <c r="N248" i="2" s="1"/>
  <c r="O248" i="2" s="1"/>
  <c r="K248" i="2"/>
  <c r="M271" i="2"/>
  <c r="N271" i="2" s="1"/>
  <c r="O271" i="2" s="1"/>
  <c r="K271" i="2"/>
  <c r="M294" i="2"/>
  <c r="N294" i="2" s="1"/>
  <c r="O294" i="2" s="1"/>
  <c r="K294" i="2"/>
  <c r="M307" i="2"/>
  <c r="N307" i="2" s="1"/>
  <c r="O307" i="2" s="1"/>
  <c r="K307" i="2"/>
  <c r="M320" i="2"/>
  <c r="N320" i="2" s="1"/>
  <c r="O320" i="2" s="1"/>
  <c r="K320" i="2"/>
  <c r="M336" i="2"/>
  <c r="N336" i="2" s="1"/>
  <c r="O336" i="2" s="1"/>
  <c r="K336" i="2"/>
  <c r="M352" i="2"/>
  <c r="N352" i="2" s="1"/>
  <c r="O352" i="2" s="1"/>
  <c r="M366" i="2"/>
  <c r="N366" i="2" s="1"/>
  <c r="O366" i="2" s="1"/>
  <c r="K366" i="2"/>
  <c r="M380" i="2"/>
  <c r="N380" i="2" s="1"/>
  <c r="O380" i="2" s="1"/>
  <c r="K380" i="2"/>
  <c r="M397" i="2"/>
  <c r="N397" i="2" s="1"/>
  <c r="O397" i="2" s="1"/>
  <c r="K397" i="2"/>
  <c r="M416" i="2"/>
  <c r="N416" i="2" s="1"/>
  <c r="O416" i="2" s="1"/>
  <c r="M440" i="2"/>
  <c r="N440" i="2" s="1"/>
  <c r="O440" i="2" s="1"/>
  <c r="K440" i="2"/>
  <c r="M464" i="2"/>
  <c r="N464" i="2" s="1"/>
  <c r="O464" i="2" s="1"/>
  <c r="K464" i="2"/>
  <c r="M488" i="2"/>
  <c r="N488" i="2" s="1"/>
  <c r="O488" i="2" s="1"/>
  <c r="K488" i="2"/>
  <c r="M564" i="2"/>
  <c r="N564" i="2" s="1"/>
  <c r="O564" i="2" s="1"/>
  <c r="K564" i="2"/>
  <c r="M590" i="2"/>
  <c r="N590" i="2" s="1"/>
  <c r="O590" i="2" s="1"/>
  <c r="K590" i="2"/>
  <c r="M616" i="2"/>
  <c r="N616" i="2" s="1"/>
  <c r="O616" i="2" s="1"/>
  <c r="K616" i="2"/>
  <c r="M642" i="2"/>
  <c r="N642" i="2" s="1"/>
  <c r="O642" i="2" s="1"/>
  <c r="K642" i="2"/>
  <c r="M668" i="2"/>
  <c r="N668" i="2" s="1"/>
  <c r="O668" i="2" s="1"/>
  <c r="K668" i="2"/>
  <c r="M696" i="2"/>
  <c r="N696" i="2" s="1"/>
  <c r="O696" i="2" s="1"/>
  <c r="K696" i="2"/>
  <c r="M722" i="2"/>
  <c r="N722" i="2" s="1"/>
  <c r="O722" i="2" s="1"/>
  <c r="K722" i="2"/>
  <c r="M744" i="2"/>
  <c r="N744" i="2" s="1"/>
  <c r="O744" i="2" s="1"/>
  <c r="K744" i="2"/>
  <c r="M766" i="2"/>
  <c r="N766" i="2" s="1"/>
  <c r="O766" i="2" s="1"/>
  <c r="K766" i="2"/>
  <c r="M779" i="2"/>
  <c r="N779" i="2" s="1"/>
  <c r="O779" i="2" s="1"/>
  <c r="K779" i="2"/>
  <c r="M792" i="2"/>
  <c r="N792" i="2" s="1"/>
  <c r="O792" i="2" s="1"/>
  <c r="M814" i="2"/>
  <c r="N814" i="2" s="1"/>
  <c r="O814" i="2" s="1"/>
  <c r="K814" i="2"/>
  <c r="M836" i="2"/>
  <c r="N836" i="2" s="1"/>
  <c r="O836" i="2" s="1"/>
  <c r="K836" i="2"/>
  <c r="M860" i="2"/>
  <c r="N860" i="2" s="1"/>
  <c r="O860" i="2" s="1"/>
  <c r="K860" i="2"/>
  <c r="M884" i="2"/>
  <c r="N884" i="2" s="1"/>
  <c r="O884" i="2" s="1"/>
  <c r="K884" i="2"/>
  <c r="M905" i="2"/>
  <c r="N905" i="2" s="1"/>
  <c r="O905" i="2" s="1"/>
  <c r="K905" i="2"/>
  <c r="M926" i="2"/>
  <c r="N926" i="2" s="1"/>
  <c r="O926" i="2" s="1"/>
  <c r="K926" i="2"/>
  <c r="M945" i="2"/>
  <c r="N945" i="2" s="1"/>
  <c r="O945" i="2" s="1"/>
  <c r="K945" i="2"/>
  <c r="M966" i="2"/>
  <c r="N966" i="2" s="1"/>
  <c r="O966" i="2" s="1"/>
  <c r="K966" i="2"/>
  <c r="M991" i="2"/>
  <c r="N991" i="2" s="1"/>
  <c r="O991" i="2" s="1"/>
  <c r="K991" i="2"/>
  <c r="M1016" i="2"/>
  <c r="N1016" i="2" s="1"/>
  <c r="O1016" i="2" s="1"/>
  <c r="K1016" i="2"/>
  <c r="M1041" i="2"/>
  <c r="N1041" i="2" s="1"/>
  <c r="O1041" i="2" s="1"/>
  <c r="K1041" i="2"/>
  <c r="M1173" i="2"/>
  <c r="N1173" i="2" s="1"/>
  <c r="O1173" i="2" s="1"/>
  <c r="K1173" i="2"/>
  <c r="M1196" i="2"/>
  <c r="N1196" i="2" s="1"/>
  <c r="O1196" i="2" s="1"/>
  <c r="K1196" i="2"/>
  <c r="M1219" i="2"/>
  <c r="N1219" i="2" s="1"/>
  <c r="O1219" i="2" s="1"/>
  <c r="K1219" i="2"/>
  <c r="M1243" i="2"/>
  <c r="N1243" i="2" s="1"/>
  <c r="O1243" i="2" s="1"/>
  <c r="K1243" i="2"/>
  <c r="M1267" i="2"/>
  <c r="N1267" i="2" s="1"/>
  <c r="O1267" i="2" s="1"/>
  <c r="K1267" i="2"/>
  <c r="M1289" i="2"/>
  <c r="N1289" i="2" s="1"/>
  <c r="O1289" i="2" s="1"/>
  <c r="K1289" i="2"/>
  <c r="M1310" i="2"/>
  <c r="N1310" i="2" s="1"/>
  <c r="O1310" i="2" s="1"/>
  <c r="K1310" i="2"/>
  <c r="M1333" i="2"/>
  <c r="N1333" i="2" s="1"/>
  <c r="O1333" i="2" s="1"/>
  <c r="K1333" i="2"/>
  <c r="M1357" i="2"/>
  <c r="N1357" i="2" s="1"/>
  <c r="O1357" i="2" s="1"/>
  <c r="K1357" i="2"/>
  <c r="M1381" i="2"/>
  <c r="N1381" i="2" s="1"/>
  <c r="O1381" i="2" s="1"/>
  <c r="K1381" i="2"/>
  <c r="M1404" i="2"/>
  <c r="N1404" i="2" s="1"/>
  <c r="O1404" i="2" s="1"/>
  <c r="K1404" i="2"/>
  <c r="M1429" i="2"/>
  <c r="N1429" i="2" s="1"/>
  <c r="O1429" i="2" s="1"/>
  <c r="K1429" i="2"/>
  <c r="M1455" i="2"/>
  <c r="N1455" i="2" s="1"/>
  <c r="O1455" i="2" s="1"/>
  <c r="M1477" i="2"/>
  <c r="N1477" i="2" s="1"/>
  <c r="O1477" i="2" s="1"/>
  <c r="K1477" i="2"/>
  <c r="M1498" i="2"/>
  <c r="N1498" i="2" s="1"/>
  <c r="O1498" i="2" s="1"/>
  <c r="K1498" i="2"/>
  <c r="M1511" i="2"/>
  <c r="N1511" i="2" s="1"/>
  <c r="O1511" i="2" s="1"/>
  <c r="K1511" i="2"/>
  <c r="M1524" i="2"/>
  <c r="N1524" i="2" s="1"/>
  <c r="O1524" i="2" s="1"/>
  <c r="K1524" i="2"/>
  <c r="M1540" i="2"/>
  <c r="N1540" i="2" s="1"/>
  <c r="O1540" i="2" s="1"/>
  <c r="K1540" i="2"/>
  <c r="M1558" i="2"/>
  <c r="N1558" i="2" s="1"/>
  <c r="O1558" i="2" s="1"/>
  <c r="K1558" i="2"/>
  <c r="M1582" i="2"/>
  <c r="N1582" i="2" s="1"/>
  <c r="O1582" i="2" s="1"/>
  <c r="K1582" i="2"/>
  <c r="M1217" i="2"/>
  <c r="N1217" i="2" s="1"/>
  <c r="O1217" i="2" s="1"/>
  <c r="K1217" i="2"/>
  <c r="M1241" i="2"/>
  <c r="N1241" i="2" s="1"/>
  <c r="O1241" i="2" s="1"/>
  <c r="K1241" i="2"/>
  <c r="M1355" i="2"/>
  <c r="N1355" i="2" s="1"/>
  <c r="O1355" i="2" s="1"/>
  <c r="K1355" i="2"/>
  <c r="M1379" i="2"/>
  <c r="N1379" i="2" s="1"/>
  <c r="O1379" i="2" s="1"/>
  <c r="K1379" i="2"/>
  <c r="M247" i="2"/>
  <c r="N247" i="2" s="1"/>
  <c r="O247" i="2" s="1"/>
  <c r="K247" i="2"/>
  <c r="M270" i="2"/>
  <c r="N270" i="2" s="1"/>
  <c r="O270" i="2" s="1"/>
  <c r="K270" i="2"/>
  <c r="M319" i="2"/>
  <c r="N319" i="2" s="1"/>
  <c r="O319" i="2" s="1"/>
  <c r="K319" i="2"/>
  <c r="M335" i="2"/>
  <c r="N335" i="2" s="1"/>
  <c r="O335" i="2" s="1"/>
  <c r="K335" i="2"/>
  <c r="M379" i="2"/>
  <c r="N379" i="2" s="1"/>
  <c r="O379" i="2" s="1"/>
  <c r="K379" i="2"/>
  <c r="M396" i="2"/>
  <c r="N396" i="2" s="1"/>
  <c r="O396" i="2" s="1"/>
  <c r="K396" i="2"/>
  <c r="M667" i="2"/>
  <c r="N667" i="2" s="1"/>
  <c r="O667" i="2" s="1"/>
  <c r="K667" i="2"/>
  <c r="M695" i="2"/>
  <c r="N695" i="2" s="1"/>
  <c r="O695" i="2" s="1"/>
  <c r="K695" i="2"/>
  <c r="M835" i="2"/>
  <c r="N835" i="2" s="1"/>
  <c r="O835" i="2" s="1"/>
  <c r="K835" i="2"/>
  <c r="M859" i="2"/>
  <c r="N859" i="2" s="1"/>
  <c r="O859" i="2" s="1"/>
  <c r="K859" i="2"/>
  <c r="M883" i="2"/>
  <c r="N883" i="2" s="1"/>
  <c r="O883" i="2" s="1"/>
  <c r="K883" i="2"/>
  <c r="M904" i="2"/>
  <c r="N904" i="2" s="1"/>
  <c r="O904" i="2" s="1"/>
  <c r="K904" i="2"/>
  <c r="M1087" i="2"/>
  <c r="N1087" i="2" s="1"/>
  <c r="O1087" i="2" s="1"/>
  <c r="K1087" i="2"/>
  <c r="M1102" i="2"/>
  <c r="N1102" i="2" s="1"/>
  <c r="O1102" i="2" s="1"/>
  <c r="K1102" i="2"/>
  <c r="M1309" i="2"/>
  <c r="N1309" i="2" s="1"/>
  <c r="O1309" i="2" s="1"/>
  <c r="K1309" i="2"/>
  <c r="M1332" i="2"/>
  <c r="N1332" i="2" s="1"/>
  <c r="O1332" i="2" s="1"/>
  <c r="K1332" i="2"/>
  <c r="M1403" i="2"/>
  <c r="N1403" i="2" s="1"/>
  <c r="O1403" i="2" s="1"/>
  <c r="K1403" i="2"/>
  <c r="M1428" i="2"/>
  <c r="N1428" i="2" s="1"/>
  <c r="O1428" i="2" s="1"/>
  <c r="K1428" i="2"/>
  <c r="M1523" i="2"/>
  <c r="N1523" i="2" s="1"/>
  <c r="O1523" i="2" s="1"/>
  <c r="K1523" i="2"/>
  <c r="M1539" i="2"/>
  <c r="N1539" i="2" s="1"/>
  <c r="O1539" i="2" s="1"/>
  <c r="K1539" i="2"/>
  <c r="M1843" i="2"/>
  <c r="N1843" i="2" s="1"/>
  <c r="O1843" i="2" s="1"/>
  <c r="K1843" i="2"/>
  <c r="M1668" i="2"/>
  <c r="N1668" i="2" s="1"/>
  <c r="O1668" i="2" s="1"/>
  <c r="K1668" i="2"/>
  <c r="M1682" i="2"/>
  <c r="N1682" i="2" s="1"/>
  <c r="O1682" i="2" s="1"/>
  <c r="K1682" i="2"/>
  <c r="M137" i="2"/>
  <c r="N137" i="2" s="1"/>
  <c r="O137" i="2" s="1"/>
  <c r="K137" i="2"/>
  <c r="M155" i="2"/>
  <c r="N155" i="2" s="1"/>
  <c r="O155" i="2" s="1"/>
  <c r="K155" i="2"/>
  <c r="M1779" i="2"/>
  <c r="N1779" i="2" s="1"/>
  <c r="O1779" i="2" s="1"/>
  <c r="K1779" i="2"/>
  <c r="M1813" i="2"/>
  <c r="N1813" i="2" s="1"/>
  <c r="O1813" i="2" s="1"/>
  <c r="K1813" i="2"/>
  <c r="M7" i="2"/>
  <c r="N7" i="2" s="1"/>
  <c r="O7" i="2" s="1"/>
  <c r="K7" i="2"/>
  <c r="M22" i="2"/>
  <c r="N22" i="2" s="1"/>
  <c r="O22" i="2" s="1"/>
  <c r="K22" i="2"/>
  <c r="M40" i="2"/>
  <c r="N40" i="2" s="1"/>
  <c r="O40" i="2" s="1"/>
  <c r="K40" i="2"/>
  <c r="M56" i="2"/>
  <c r="N56" i="2" s="1"/>
  <c r="O56" i="2" s="1"/>
  <c r="M75" i="2"/>
  <c r="N75" i="2" s="1"/>
  <c r="O75" i="2" s="1"/>
  <c r="K75" i="2"/>
  <c r="M91" i="2"/>
  <c r="N91" i="2" s="1"/>
  <c r="O91" i="2" s="1"/>
  <c r="K91" i="2"/>
  <c r="M1725" i="2"/>
  <c r="N1725" i="2" s="1"/>
  <c r="O1725" i="2" s="1"/>
  <c r="K1725" i="2"/>
  <c r="M1744" i="2"/>
  <c r="N1744" i="2" s="1"/>
  <c r="O1744" i="2" s="1"/>
  <c r="K1744" i="2"/>
  <c r="M113" i="2"/>
  <c r="N113" i="2" s="1"/>
  <c r="O113" i="2" s="1"/>
  <c r="K113" i="2"/>
  <c r="M1118" i="2"/>
  <c r="N1118" i="2" s="1"/>
  <c r="O1118" i="2" s="1"/>
  <c r="K1118" i="2"/>
  <c r="M205" i="2"/>
  <c r="N205" i="2" s="1"/>
  <c r="O205" i="2" s="1"/>
  <c r="K205" i="2"/>
  <c r="M226" i="2"/>
  <c r="N226" i="2" s="1"/>
  <c r="O226" i="2" s="1"/>
  <c r="K226" i="2"/>
  <c r="M293" i="2"/>
  <c r="N293" i="2" s="1"/>
  <c r="O293" i="2" s="1"/>
  <c r="K293" i="2"/>
  <c r="M306" i="2"/>
  <c r="N306" i="2" s="1"/>
  <c r="O306" i="2" s="1"/>
  <c r="K306" i="2"/>
  <c r="M351" i="2"/>
  <c r="N351" i="2" s="1"/>
  <c r="O351" i="2" s="1"/>
  <c r="M365" i="2"/>
  <c r="N365" i="2" s="1"/>
  <c r="O365" i="2" s="1"/>
  <c r="K365" i="2"/>
  <c r="M415" i="2"/>
  <c r="N415" i="2" s="1"/>
  <c r="O415" i="2" s="1"/>
  <c r="M439" i="2"/>
  <c r="N439" i="2" s="1"/>
  <c r="O439" i="2" s="1"/>
  <c r="K439" i="2"/>
  <c r="M463" i="2"/>
  <c r="N463" i="2" s="1"/>
  <c r="O463" i="2" s="1"/>
  <c r="K463" i="2"/>
  <c r="M487" i="2"/>
  <c r="N487" i="2" s="1"/>
  <c r="O487" i="2" s="1"/>
  <c r="K487" i="2"/>
  <c r="M508" i="2"/>
  <c r="N508" i="2" s="1"/>
  <c r="O508" i="2" s="1"/>
  <c r="K508" i="2"/>
  <c r="M524" i="2"/>
  <c r="N524" i="2" s="1"/>
  <c r="O524" i="2" s="1"/>
  <c r="K524" i="2"/>
  <c r="M563" i="2"/>
  <c r="N563" i="2" s="1"/>
  <c r="O563" i="2" s="1"/>
  <c r="K563" i="2"/>
  <c r="M589" i="2"/>
  <c r="N589" i="2" s="1"/>
  <c r="O589" i="2" s="1"/>
  <c r="K589" i="2"/>
  <c r="M615" i="2"/>
  <c r="N615" i="2" s="1"/>
  <c r="O615" i="2" s="1"/>
  <c r="K615" i="2"/>
  <c r="M641" i="2"/>
  <c r="N641" i="2" s="1"/>
  <c r="O641" i="2" s="1"/>
  <c r="K641" i="2"/>
  <c r="M721" i="2"/>
  <c r="N721" i="2" s="1"/>
  <c r="O721" i="2" s="1"/>
  <c r="K721" i="2"/>
  <c r="M743" i="2"/>
  <c r="N743" i="2" s="1"/>
  <c r="O743" i="2" s="1"/>
  <c r="K743" i="2"/>
  <c r="M765" i="2"/>
  <c r="N765" i="2" s="1"/>
  <c r="O765" i="2" s="1"/>
  <c r="K765" i="2"/>
  <c r="M778" i="2"/>
  <c r="N778" i="2" s="1"/>
  <c r="O778" i="2" s="1"/>
  <c r="K778" i="2"/>
  <c r="M791" i="2"/>
  <c r="N791" i="2" s="1"/>
  <c r="O791" i="2" s="1"/>
  <c r="M813" i="2"/>
  <c r="N813" i="2" s="1"/>
  <c r="O813" i="2" s="1"/>
  <c r="K813" i="2"/>
  <c r="M925" i="2"/>
  <c r="N925" i="2" s="1"/>
  <c r="O925" i="2" s="1"/>
  <c r="K925" i="2"/>
  <c r="M944" i="2"/>
  <c r="N944" i="2" s="1"/>
  <c r="O944" i="2" s="1"/>
  <c r="K944" i="2"/>
  <c r="M965" i="2"/>
  <c r="N965" i="2" s="1"/>
  <c r="O965" i="2" s="1"/>
  <c r="K965" i="2"/>
  <c r="M990" i="2"/>
  <c r="N990" i="2" s="1"/>
  <c r="O990" i="2" s="1"/>
  <c r="K990" i="2"/>
  <c r="M1015" i="2"/>
  <c r="N1015" i="2" s="1"/>
  <c r="O1015" i="2" s="1"/>
  <c r="K1015" i="2"/>
  <c r="M1040" i="2"/>
  <c r="N1040" i="2" s="1"/>
  <c r="O1040" i="2" s="1"/>
  <c r="K1040" i="2"/>
  <c r="M1063" i="2"/>
  <c r="N1063" i="2" s="1"/>
  <c r="O1063" i="2" s="1"/>
  <c r="K1063" i="2"/>
  <c r="M1075" i="2"/>
  <c r="N1075" i="2" s="1"/>
  <c r="O1075" i="2" s="1"/>
  <c r="K1075" i="2"/>
  <c r="M1158" i="2"/>
  <c r="N1158" i="2" s="1"/>
  <c r="O1158" i="2" s="1"/>
  <c r="K1158" i="2"/>
  <c r="M1172" i="2"/>
  <c r="N1172" i="2" s="1"/>
  <c r="O1172" i="2" s="1"/>
  <c r="K1172" i="2"/>
  <c r="M1195" i="2"/>
  <c r="N1195" i="2" s="1"/>
  <c r="O1195" i="2" s="1"/>
  <c r="K1195" i="2"/>
  <c r="M1218" i="2"/>
  <c r="N1218" i="2" s="1"/>
  <c r="O1218" i="2" s="1"/>
  <c r="K1218" i="2"/>
  <c r="M1242" i="2"/>
  <c r="N1242" i="2" s="1"/>
  <c r="O1242" i="2" s="1"/>
  <c r="K1242" i="2"/>
  <c r="M1266" i="2"/>
  <c r="N1266" i="2" s="1"/>
  <c r="O1266" i="2" s="1"/>
  <c r="K1266" i="2"/>
  <c r="M1288" i="2"/>
  <c r="N1288" i="2" s="1"/>
  <c r="O1288" i="2" s="1"/>
  <c r="K1288" i="2"/>
  <c r="M1356" i="2"/>
  <c r="N1356" i="2" s="1"/>
  <c r="O1356" i="2" s="1"/>
  <c r="K1356" i="2"/>
  <c r="M1380" i="2"/>
  <c r="N1380" i="2" s="1"/>
  <c r="O1380" i="2" s="1"/>
  <c r="K1380" i="2"/>
  <c r="M1454" i="2"/>
  <c r="N1454" i="2" s="1"/>
  <c r="O1454" i="2" s="1"/>
  <c r="M1476" i="2"/>
  <c r="N1476" i="2" s="1"/>
  <c r="O1476" i="2" s="1"/>
  <c r="K1476" i="2"/>
  <c r="M1497" i="2"/>
  <c r="N1497" i="2" s="1"/>
  <c r="O1497" i="2" s="1"/>
  <c r="K1497" i="2"/>
  <c r="M1510" i="2"/>
  <c r="N1510" i="2" s="1"/>
  <c r="O1510" i="2" s="1"/>
  <c r="K1510" i="2"/>
  <c r="M1557" i="2"/>
  <c r="N1557" i="2" s="1"/>
  <c r="O1557" i="2" s="1"/>
  <c r="K1557" i="2"/>
  <c r="M1581" i="2"/>
  <c r="N1581" i="2" s="1"/>
  <c r="O1581" i="2" s="1"/>
  <c r="K1581" i="2"/>
  <c r="M1831" i="2"/>
  <c r="N1831" i="2" s="1"/>
  <c r="O1831" i="2" s="1"/>
  <c r="M1604" i="2"/>
  <c r="N1604" i="2" s="1"/>
  <c r="O1604" i="2" s="1"/>
  <c r="M1620" i="2"/>
  <c r="N1620" i="2" s="1"/>
  <c r="O1620" i="2" s="1"/>
  <c r="K1620" i="2"/>
  <c r="M1636" i="2"/>
  <c r="N1636" i="2" s="1"/>
  <c r="O1636" i="2" s="1"/>
  <c r="K1636" i="2"/>
  <c r="M1652" i="2"/>
  <c r="N1652" i="2" s="1"/>
  <c r="O1652" i="2" s="1"/>
  <c r="K1652" i="2"/>
  <c r="M1696" i="2"/>
  <c r="N1696" i="2" s="1"/>
  <c r="O1696" i="2" s="1"/>
  <c r="K1696" i="2"/>
  <c r="M1710" i="2"/>
  <c r="N1710" i="2" s="1"/>
  <c r="O1710" i="2" s="1"/>
  <c r="K1710" i="2"/>
  <c r="M173" i="2"/>
  <c r="N173" i="2" s="1"/>
  <c r="O173" i="2" s="1"/>
  <c r="M189" i="2"/>
  <c r="N189" i="2" s="1"/>
  <c r="O189" i="2" s="1"/>
  <c r="K189" i="2"/>
  <c r="M1134" i="2"/>
  <c r="N1134" i="2" s="1"/>
  <c r="O1134" i="2" s="1"/>
  <c r="K1134" i="2"/>
  <c r="M1146" i="2"/>
  <c r="N1146" i="2" s="1"/>
  <c r="O1146" i="2" s="1"/>
  <c r="K1146" i="2"/>
  <c r="M1763" i="2"/>
  <c r="N1763" i="2" s="1"/>
  <c r="O1763" i="2" s="1"/>
  <c r="K1763" i="2"/>
  <c r="M1797" i="2"/>
  <c r="N1797" i="2" s="1"/>
  <c r="O1797" i="2" s="1"/>
  <c r="M112" i="2"/>
  <c r="N112" i="2" s="1"/>
  <c r="O112" i="2" s="1"/>
  <c r="K112" i="2"/>
  <c r="M111" i="2"/>
  <c r="N111" i="2" s="1"/>
  <c r="O111" i="2" s="1"/>
  <c r="K111" i="2"/>
  <c r="M1117" i="2"/>
  <c r="N1117" i="2" s="1"/>
  <c r="O1117" i="2" s="1"/>
  <c r="K1117" i="2"/>
  <c r="M541" i="2"/>
  <c r="N541" i="2" s="1"/>
  <c r="O541" i="2" s="1"/>
  <c r="K541" i="2"/>
  <c r="M551" i="2"/>
  <c r="N551" i="2" s="1"/>
  <c r="O551" i="2" s="1"/>
  <c r="K551" i="2"/>
  <c r="O14" i="3" l="1"/>
  <c r="P14" i="3" s="1"/>
  <c r="O3" i="3"/>
  <c r="P3" i="3" s="1"/>
  <c r="O16" i="3"/>
  <c r="P16" i="3" s="1"/>
  <c r="O23" i="3"/>
  <c r="P23" i="3" s="1"/>
  <c r="O29" i="3"/>
  <c r="P29" i="3" s="1"/>
  <c r="O36" i="3"/>
  <c r="P36" i="3" s="1"/>
  <c r="O43" i="3"/>
  <c r="P43" i="3" s="1"/>
  <c r="O47" i="3"/>
  <c r="P47" i="3" s="1"/>
  <c r="O55" i="3"/>
  <c r="P55" i="3" s="1"/>
  <c r="O66" i="3"/>
  <c r="P66" i="3" s="1"/>
  <c r="O74" i="3"/>
  <c r="P74" i="3" s="1"/>
  <c r="O87" i="3"/>
  <c r="P87" i="3" s="1"/>
  <c r="O102" i="3"/>
  <c r="P102" i="3" s="1"/>
  <c r="O110" i="3"/>
  <c r="P110" i="3" s="1"/>
  <c r="O118" i="3"/>
  <c r="P118" i="3" s="1"/>
  <c r="O127" i="3"/>
  <c r="P127" i="3" s="1"/>
  <c r="O138" i="3"/>
  <c r="P138" i="3" s="1"/>
  <c r="O146" i="3"/>
  <c r="P146" i="3" s="1"/>
  <c r="O154" i="3"/>
  <c r="P154" i="3" s="1"/>
  <c r="O162" i="3"/>
  <c r="P162" i="3" s="1"/>
  <c r="O170" i="3"/>
  <c r="P170" i="3" s="1"/>
  <c r="O178" i="3"/>
  <c r="P178" i="3" s="1"/>
  <c r="O192" i="3"/>
  <c r="P192" i="3" s="1"/>
  <c r="O202" i="3"/>
  <c r="P202" i="3" s="1"/>
  <c r="O214" i="3"/>
  <c r="P214" i="3" s="1"/>
  <c r="O221" i="3"/>
  <c r="P221" i="3" s="1"/>
  <c r="O228" i="3"/>
  <c r="P228" i="3" s="1"/>
  <c r="O235" i="3"/>
  <c r="P235" i="3" s="1"/>
  <c r="O246" i="3"/>
  <c r="P246" i="3" s="1"/>
  <c r="O253" i="3"/>
  <c r="P253" i="3" s="1"/>
  <c r="O256" i="3"/>
  <c r="P256" i="3" s="1"/>
  <c r="O5" i="3"/>
  <c r="P5" i="3" s="1"/>
  <c r="O12" i="3"/>
  <c r="P12" i="3" s="1"/>
  <c r="O32" i="3"/>
  <c r="P32" i="3" s="1"/>
  <c r="O46" i="3"/>
  <c r="P46" i="3" s="1"/>
  <c r="O54" i="3"/>
  <c r="P54" i="3" s="1"/>
  <c r="O65" i="3"/>
  <c r="P65" i="3" s="1"/>
  <c r="O73" i="3"/>
  <c r="P73" i="3" s="1"/>
  <c r="O80" i="3"/>
  <c r="P80" i="3" s="1"/>
  <c r="O86" i="3"/>
  <c r="P86" i="3" s="1"/>
  <c r="O99" i="3"/>
  <c r="P99" i="3" s="1"/>
  <c r="O112" i="3"/>
  <c r="P112" i="3" s="1"/>
  <c r="O120" i="3"/>
  <c r="P120" i="3" s="1"/>
  <c r="O137" i="3"/>
  <c r="P137" i="3" s="1"/>
  <c r="O149" i="3"/>
  <c r="P149" i="3" s="1"/>
  <c r="O157" i="3"/>
  <c r="P157" i="3" s="1"/>
  <c r="O165" i="3"/>
  <c r="P165" i="3" s="1"/>
  <c r="O173" i="3"/>
  <c r="P173" i="3" s="1"/>
  <c r="O185" i="3"/>
  <c r="P185" i="3" s="1"/>
  <c r="O191" i="3"/>
  <c r="P191" i="3" s="1"/>
  <c r="O201" i="3"/>
  <c r="P201" i="3" s="1"/>
  <c r="O209" i="3"/>
  <c r="P209" i="3" s="1"/>
  <c r="O216" i="3"/>
  <c r="P216" i="3" s="1"/>
  <c r="O234" i="3"/>
  <c r="P234" i="3" s="1"/>
  <c r="O241" i="3"/>
  <c r="P241" i="3" s="1"/>
  <c r="O248" i="3"/>
  <c r="P248" i="3" s="1"/>
  <c r="O259" i="3"/>
  <c r="P259" i="3" s="1"/>
  <c r="O4" i="3"/>
  <c r="P4" i="3" s="1"/>
  <c r="O11" i="3"/>
  <c r="P11" i="3" s="1"/>
  <c r="O18" i="3"/>
  <c r="P18" i="3" s="1"/>
  <c r="O22" i="3"/>
  <c r="P22" i="3" s="1"/>
  <c r="O27" i="3"/>
  <c r="P27" i="3" s="1"/>
  <c r="O31" i="3"/>
  <c r="P31" i="3" s="1"/>
  <c r="O38" i="3"/>
  <c r="P38" i="3" s="1"/>
  <c r="O42" i="3"/>
  <c r="P42" i="3" s="1"/>
  <c r="O45" i="3"/>
  <c r="P45" i="3" s="1"/>
  <c r="O49" i="3"/>
  <c r="P49" i="3" s="1"/>
  <c r="O53" i="3"/>
  <c r="P53" i="3" s="1"/>
  <c r="O57" i="3"/>
  <c r="P57" i="3" s="1"/>
  <c r="O64" i="3"/>
  <c r="P64" i="3" s="1"/>
  <c r="O68" i="3"/>
  <c r="P68" i="3" s="1"/>
  <c r="O72" i="3"/>
  <c r="P72" i="3" s="1"/>
  <c r="O76" i="3"/>
  <c r="P76" i="3" s="1"/>
  <c r="O79" i="3"/>
  <c r="P79" i="3" s="1"/>
  <c r="O82" i="3"/>
  <c r="P82" i="3" s="1"/>
  <c r="O89" i="3"/>
  <c r="P89" i="3" s="1"/>
  <c r="O92" i="3"/>
  <c r="P92" i="3" s="1"/>
  <c r="O95" i="3"/>
  <c r="P95" i="3" s="1"/>
  <c r="O101" i="3"/>
  <c r="P101" i="3" s="1"/>
  <c r="O106" i="3"/>
  <c r="P106" i="3" s="1"/>
  <c r="O109" i="3"/>
  <c r="P109" i="3" s="1"/>
  <c r="O114" i="3"/>
  <c r="P114" i="3" s="1"/>
  <c r="O117" i="3"/>
  <c r="P117" i="3" s="1"/>
  <c r="O122" i="3"/>
  <c r="P122" i="3" s="1"/>
  <c r="O125" i="3"/>
  <c r="P125" i="3" s="1"/>
  <c r="O129" i="3"/>
  <c r="P129" i="3" s="1"/>
  <c r="O133" i="3"/>
  <c r="P133" i="3" s="1"/>
  <c r="O136" i="3"/>
  <c r="P136" i="3" s="1"/>
  <c r="O140" i="3"/>
  <c r="P140" i="3" s="1"/>
  <c r="O144" i="3"/>
  <c r="P144" i="3" s="1"/>
  <c r="O148" i="3"/>
  <c r="P148" i="3" s="1"/>
  <c r="O152" i="3"/>
  <c r="P152" i="3" s="1"/>
  <c r="O156" i="3"/>
  <c r="P156" i="3" s="1"/>
  <c r="O160" i="3"/>
  <c r="P160" i="3" s="1"/>
  <c r="O164" i="3"/>
  <c r="P164" i="3" s="1"/>
  <c r="O168" i="3"/>
  <c r="P168" i="3" s="1"/>
  <c r="O172" i="3"/>
  <c r="P172" i="3" s="1"/>
  <c r="O176" i="3"/>
  <c r="P176" i="3" s="1"/>
  <c r="O180" i="3"/>
  <c r="P180" i="3" s="1"/>
  <c r="O184" i="3"/>
  <c r="P184" i="3" s="1"/>
  <c r="O188" i="3"/>
  <c r="P188" i="3" s="1"/>
  <c r="O194" i="3"/>
  <c r="P194" i="3" s="1"/>
  <c r="O197" i="3"/>
  <c r="P197" i="3" s="1"/>
  <c r="O200" i="3"/>
  <c r="P200" i="3" s="1"/>
  <c r="O204" i="3"/>
  <c r="P204" i="3" s="1"/>
  <c r="O208" i="3"/>
  <c r="P208" i="3" s="1"/>
  <c r="O212" i="3"/>
  <c r="P212" i="3" s="1"/>
  <c r="O215" i="3"/>
  <c r="P215" i="3" s="1"/>
  <c r="O219" i="3"/>
  <c r="P219" i="3" s="1"/>
  <c r="O226" i="3"/>
  <c r="P226" i="3" s="1"/>
  <c r="O230" i="3"/>
  <c r="P230" i="3" s="1"/>
  <c r="O233" i="3"/>
  <c r="P233" i="3" s="1"/>
  <c r="O237" i="3"/>
  <c r="P237" i="3" s="1"/>
  <c r="O240" i="3"/>
  <c r="P240" i="3" s="1"/>
  <c r="O244" i="3"/>
  <c r="P244" i="3" s="1"/>
  <c r="O247" i="3"/>
  <c r="P247" i="3" s="1"/>
  <c r="O251" i="3"/>
  <c r="P251" i="3" s="1"/>
  <c r="O258" i="3"/>
  <c r="P258" i="3" s="1"/>
  <c r="O262" i="3"/>
  <c r="P262" i="3" s="1"/>
  <c r="O6" i="3"/>
  <c r="P6" i="3" s="1"/>
  <c r="O20" i="3"/>
  <c r="P20" i="3" s="1"/>
  <c r="O26" i="3"/>
  <c r="P26" i="3" s="1"/>
  <c r="O40" i="3"/>
  <c r="P40" i="3" s="1"/>
  <c r="O62" i="3"/>
  <c r="P62" i="3" s="1"/>
  <c r="O70" i="3"/>
  <c r="P70" i="3" s="1"/>
  <c r="O81" i="3"/>
  <c r="P81" i="3" s="1"/>
  <c r="O84" i="3"/>
  <c r="P84" i="3" s="1"/>
  <c r="O90" i="3"/>
  <c r="P90" i="3" s="1"/>
  <c r="O96" i="3"/>
  <c r="P96" i="3" s="1"/>
  <c r="O105" i="3"/>
  <c r="P105" i="3" s="1"/>
  <c r="O121" i="3"/>
  <c r="P121" i="3" s="1"/>
  <c r="O131" i="3"/>
  <c r="P131" i="3" s="1"/>
  <c r="O135" i="3"/>
  <c r="P135" i="3" s="1"/>
  <c r="O142" i="3"/>
  <c r="P142" i="3" s="1"/>
  <c r="O150" i="3"/>
  <c r="P150" i="3" s="1"/>
  <c r="O158" i="3"/>
  <c r="P158" i="3" s="1"/>
  <c r="O166" i="3"/>
  <c r="P166" i="3" s="1"/>
  <c r="O174" i="3"/>
  <c r="P174" i="3" s="1"/>
  <c r="O182" i="3"/>
  <c r="P182" i="3" s="1"/>
  <c r="O186" i="3"/>
  <c r="P186" i="3" s="1"/>
  <c r="O189" i="3"/>
  <c r="P189" i="3" s="1"/>
  <c r="O196" i="3"/>
  <c r="P196" i="3" s="1"/>
  <c r="O206" i="3"/>
  <c r="P206" i="3" s="1"/>
  <c r="O210" i="3"/>
  <c r="P210" i="3" s="1"/>
  <c r="O217" i="3"/>
  <c r="P217" i="3" s="1"/>
  <c r="O224" i="3"/>
  <c r="P224" i="3" s="1"/>
  <c r="O231" i="3"/>
  <c r="P231" i="3" s="1"/>
  <c r="O242" i="3"/>
  <c r="P242" i="3" s="1"/>
  <c r="O249" i="3"/>
  <c r="P249" i="3" s="1"/>
  <c r="O260" i="3"/>
  <c r="P260" i="3" s="1"/>
  <c r="O15" i="3"/>
  <c r="P15" i="3" s="1"/>
  <c r="O28" i="3"/>
  <c r="P28" i="3" s="1"/>
  <c r="O35" i="3"/>
  <c r="P35" i="3" s="1"/>
  <c r="O39" i="3"/>
  <c r="P39" i="3" s="1"/>
  <c r="O50" i="3"/>
  <c r="P50" i="3" s="1"/>
  <c r="O58" i="3"/>
  <c r="P58" i="3" s="1"/>
  <c r="O61" i="3"/>
  <c r="P61" i="3" s="1"/>
  <c r="O69" i="3"/>
  <c r="P69" i="3" s="1"/>
  <c r="O77" i="3"/>
  <c r="P77" i="3" s="1"/>
  <c r="O83" i="3"/>
  <c r="P83" i="3" s="1"/>
  <c r="O93" i="3"/>
  <c r="P93" i="3" s="1"/>
  <c r="O104" i="3"/>
  <c r="P104" i="3" s="1"/>
  <c r="O107" i="3"/>
  <c r="P107" i="3" s="1"/>
  <c r="O115" i="3"/>
  <c r="P115" i="3" s="1"/>
  <c r="O123" i="3"/>
  <c r="P123" i="3" s="1"/>
  <c r="O130" i="3"/>
  <c r="P130" i="3" s="1"/>
  <c r="O134" i="3"/>
  <c r="P134" i="3" s="1"/>
  <c r="O145" i="3"/>
  <c r="P145" i="3" s="1"/>
  <c r="O153" i="3"/>
  <c r="P153" i="3" s="1"/>
  <c r="O161" i="3"/>
  <c r="P161" i="3" s="1"/>
  <c r="O169" i="3"/>
  <c r="P169" i="3" s="1"/>
  <c r="O177" i="3"/>
  <c r="P177" i="3" s="1"/>
  <c r="O181" i="3"/>
  <c r="P181" i="3" s="1"/>
  <c r="O195" i="3"/>
  <c r="P195" i="3" s="1"/>
  <c r="O198" i="3"/>
  <c r="P198" i="3" s="1"/>
  <c r="O205" i="3"/>
  <c r="P205" i="3" s="1"/>
  <c r="O213" i="3"/>
  <c r="P213" i="3" s="1"/>
  <c r="O220" i="3"/>
  <c r="P220" i="3" s="1"/>
  <c r="O223" i="3"/>
  <c r="P223" i="3" s="1"/>
  <c r="O227" i="3"/>
  <c r="P227" i="3" s="1"/>
  <c r="O238" i="3"/>
  <c r="P238" i="3" s="1"/>
  <c r="O245" i="3"/>
  <c r="P245" i="3" s="1"/>
  <c r="O252" i="3"/>
  <c r="P252" i="3" s="1"/>
  <c r="O255" i="3"/>
  <c r="P255" i="3" s="1"/>
  <c r="O7" i="3"/>
  <c r="P7" i="3" s="1"/>
  <c r="O10" i="3"/>
  <c r="P10" i="3" s="1"/>
  <c r="O17" i="3"/>
  <c r="P17" i="3" s="1"/>
  <c r="O21" i="3"/>
  <c r="P21" i="3" s="1"/>
  <c r="O24" i="3"/>
  <c r="P24" i="3" s="1"/>
  <c r="O30" i="3"/>
  <c r="P30" i="3" s="1"/>
  <c r="O34" i="3"/>
  <c r="P34" i="3" s="1"/>
  <c r="O37" i="3"/>
  <c r="P37" i="3" s="1"/>
  <c r="O41" i="3"/>
  <c r="P41" i="3" s="1"/>
  <c r="O44" i="3"/>
  <c r="P44" i="3" s="1"/>
  <c r="O48" i="3"/>
  <c r="P48" i="3" s="1"/>
  <c r="O52" i="3"/>
  <c r="P52" i="3" s="1"/>
  <c r="O56" i="3"/>
  <c r="P56" i="3" s="1"/>
  <c r="O59" i="3"/>
  <c r="P59" i="3" s="1"/>
  <c r="O63" i="3"/>
  <c r="P63" i="3" s="1"/>
  <c r="O67" i="3"/>
  <c r="P67" i="3" s="1"/>
  <c r="O71" i="3"/>
  <c r="P71" i="3" s="1"/>
  <c r="O75" i="3"/>
  <c r="P75" i="3" s="1"/>
  <c r="O78" i="3"/>
  <c r="P78" i="3" s="1"/>
  <c r="O88" i="3"/>
  <c r="P88" i="3" s="1"/>
  <c r="O91" i="3"/>
  <c r="P91" i="3" s="1"/>
  <c r="O94" i="3"/>
  <c r="P94" i="3" s="1"/>
  <c r="O97" i="3"/>
  <c r="P97" i="3" s="1"/>
  <c r="O100" i="3"/>
  <c r="P100" i="3" s="1"/>
  <c r="O103" i="3"/>
  <c r="P103" i="3" s="1"/>
  <c r="O108" i="3"/>
  <c r="P108" i="3" s="1"/>
  <c r="O111" i="3"/>
  <c r="P111" i="3" s="1"/>
  <c r="O116" i="3"/>
  <c r="P116" i="3" s="1"/>
  <c r="O119" i="3"/>
  <c r="P119" i="3" s="1"/>
  <c r="O124" i="3"/>
  <c r="P124" i="3" s="1"/>
  <c r="O128" i="3"/>
  <c r="P128" i="3" s="1"/>
  <c r="O132" i="3"/>
  <c r="P132" i="3" s="1"/>
  <c r="O139" i="3"/>
  <c r="P139" i="3" s="1"/>
  <c r="O143" i="3"/>
  <c r="P143" i="3" s="1"/>
  <c r="O147" i="3"/>
  <c r="P147" i="3" s="1"/>
  <c r="O151" i="3"/>
  <c r="P151" i="3" s="1"/>
  <c r="O159" i="3"/>
  <c r="P159" i="3" s="1"/>
  <c r="O163" i="3"/>
  <c r="P163" i="3" s="1"/>
  <c r="O167" i="3"/>
  <c r="P167" i="3" s="1"/>
  <c r="O171" i="3"/>
  <c r="P171" i="3" s="1"/>
  <c r="O175" i="3"/>
  <c r="P175" i="3" s="1"/>
  <c r="O179" i="3"/>
  <c r="P179" i="3" s="1"/>
  <c r="O183" i="3"/>
  <c r="P183" i="3" s="1"/>
  <c r="O187" i="3"/>
  <c r="P187" i="3" s="1"/>
  <c r="O190" i="3"/>
  <c r="P190" i="3" s="1"/>
  <c r="O199" i="3"/>
  <c r="P199" i="3" s="1"/>
  <c r="O203" i="3"/>
  <c r="P203" i="3" s="1"/>
  <c r="O207" i="3"/>
  <c r="P207" i="3" s="1"/>
  <c r="O211" i="3"/>
  <c r="P211" i="3" s="1"/>
  <c r="O222" i="3"/>
  <c r="P222" i="3" s="1"/>
  <c r="O225" i="3"/>
  <c r="P225" i="3" s="1"/>
  <c r="O229" i="3"/>
  <c r="P229" i="3" s="1"/>
  <c r="O232" i="3"/>
  <c r="P232" i="3" s="1"/>
  <c r="O236" i="3"/>
  <c r="P236" i="3" s="1"/>
  <c r="O239" i="3"/>
  <c r="P239" i="3" s="1"/>
  <c r="O243" i="3"/>
  <c r="P243" i="3" s="1"/>
  <c r="O250" i="3"/>
  <c r="P250" i="3" s="1"/>
  <c r="O254" i="3"/>
  <c r="P254" i="3" s="1"/>
  <c r="O257" i="3"/>
  <c r="P257" i="3" s="1"/>
  <c r="O261" i="3"/>
  <c r="P261" i="3" s="1"/>
  <c r="C13" i="4"/>
  <c r="E13" i="4" s="1"/>
  <c r="P25" i="3"/>
  <c r="P13" i="3"/>
  <c r="C12" i="4"/>
  <c r="E12" i="4" s="1"/>
  <c r="C11" i="4"/>
  <c r="E11" i="4" s="1"/>
  <c r="C6" i="4"/>
  <c r="E6" i="4" s="1"/>
  <c r="P9" i="3"/>
  <c r="P8" i="3"/>
  <c r="P19" i="3"/>
  <c r="P51" i="3"/>
  <c r="P155" i="3"/>
  <c r="P60" i="3"/>
  <c r="P98" i="3"/>
  <c r="P126" i="3"/>
  <c r="P218" i="3"/>
  <c r="P33" i="3"/>
  <c r="P85" i="3"/>
  <c r="P113" i="3"/>
  <c r="P141" i="3"/>
  <c r="P193" i="3"/>
  <c r="M12" i="3"/>
  <c r="M13" i="3"/>
  <c r="M25" i="3"/>
  <c r="C94" i="1"/>
  <c r="E94" i="1" s="1"/>
  <c r="C60" i="1"/>
  <c r="E60" i="1" s="1"/>
  <c r="C50" i="1"/>
  <c r="E50" i="1" s="1"/>
  <c r="C12" i="1"/>
  <c r="E12" i="1" s="1"/>
  <c r="C68" i="1"/>
  <c r="E68" i="1" s="1"/>
  <c r="C18" i="1"/>
  <c r="E18" i="1" s="1"/>
  <c r="C44" i="1"/>
  <c r="E44" i="1" s="1"/>
  <c r="C76" i="1"/>
  <c r="E76" i="1" s="1"/>
  <c r="C82" i="1"/>
  <c r="E82" i="1" s="1"/>
  <c r="C28" i="1"/>
  <c r="E28" i="1" s="1"/>
  <c r="C34" i="1"/>
  <c r="E34" i="1" s="1"/>
  <c r="C30" i="1"/>
  <c r="E30" i="1" s="1"/>
  <c r="C84" i="1"/>
  <c r="E84" i="1" s="1"/>
  <c r="C74" i="1"/>
  <c r="E74" i="1" s="1"/>
  <c r="C40" i="1"/>
  <c r="E40" i="1" s="1"/>
  <c r="C24" i="1"/>
  <c r="E24" i="1" s="1"/>
  <c r="C91" i="1"/>
  <c r="E91" i="1" s="1"/>
  <c r="C85" i="1"/>
  <c r="E85" i="1" s="1"/>
  <c r="C77" i="1"/>
  <c r="E77" i="1" s="1"/>
  <c r="C71" i="1"/>
  <c r="E71" i="1" s="1"/>
  <c r="C63" i="1"/>
  <c r="E63" i="1" s="1"/>
  <c r="C59" i="1"/>
  <c r="E59" i="1" s="1"/>
  <c r="C8" i="1"/>
  <c r="E8" i="1" s="1"/>
  <c r="C4" i="1"/>
  <c r="E4" i="1" s="1"/>
  <c r="C93" i="1"/>
  <c r="E93" i="1" s="1"/>
  <c r="C83" i="1"/>
  <c r="E83" i="1" s="1"/>
  <c r="C56" i="1"/>
  <c r="E56" i="1" s="1"/>
  <c r="C22" i="1"/>
  <c r="E22" i="1" s="1"/>
  <c r="C14" i="1"/>
  <c r="E14" i="1" s="1"/>
  <c r="C46" i="1"/>
  <c r="E46" i="1" s="1"/>
  <c r="C42" i="1"/>
  <c r="E42" i="1" s="1"/>
  <c r="C38" i="1"/>
  <c r="E38" i="1" s="1"/>
  <c r="C26" i="1"/>
  <c r="E26" i="1" s="1"/>
  <c r="C20" i="1"/>
  <c r="E20" i="1" s="1"/>
  <c r="C100" i="1"/>
  <c r="E100" i="1" s="1"/>
  <c r="C52" i="1"/>
  <c r="E52" i="1" s="1"/>
  <c r="C48" i="1"/>
  <c r="E48" i="1" s="1"/>
  <c r="C36" i="1"/>
  <c r="E36" i="1" s="1"/>
  <c r="C32" i="1"/>
  <c r="E32" i="1" s="1"/>
  <c r="C7" i="1"/>
  <c r="E7" i="1" s="1"/>
  <c r="C98" i="1"/>
  <c r="E98" i="1" s="1"/>
  <c r="C16" i="1"/>
  <c r="E16" i="1" s="1"/>
  <c r="C54" i="1"/>
  <c r="E54" i="1" s="1"/>
  <c r="C5" i="1"/>
  <c r="E5" i="1" s="1"/>
  <c r="C15" i="1"/>
  <c r="E15" i="1" s="1"/>
  <c r="C92" i="1"/>
  <c r="E92" i="1" s="1"/>
  <c r="C90" i="1"/>
  <c r="E90" i="1" s="1"/>
  <c r="C64" i="1"/>
  <c r="E64" i="1" s="1"/>
  <c r="C10" i="1"/>
  <c r="E10" i="1" s="1"/>
  <c r="C6" i="1"/>
  <c r="E6" i="1" s="1"/>
  <c r="C88" i="1"/>
  <c r="E88" i="1" s="1"/>
  <c r="C70" i="1"/>
  <c r="E70" i="1" s="1"/>
  <c r="C66" i="1"/>
  <c r="E66" i="1" s="1"/>
  <c r="C58" i="1"/>
  <c r="E58" i="1" s="1"/>
  <c r="C86" i="1"/>
  <c r="E86" i="1" s="1"/>
  <c r="C95" i="1"/>
  <c r="E95" i="1" s="1"/>
  <c r="C73" i="1"/>
  <c r="E73" i="1" s="1"/>
  <c r="C67" i="1"/>
  <c r="E67" i="1" s="1"/>
  <c r="C61" i="1"/>
  <c r="E61" i="1" s="1"/>
  <c r="C51" i="1"/>
  <c r="E51" i="1" s="1"/>
  <c r="C43" i="1"/>
  <c r="E43" i="1" s="1"/>
  <c r="C39" i="1"/>
  <c r="E39" i="1" s="1"/>
  <c r="C27" i="1"/>
  <c r="E27" i="1" s="1"/>
  <c r="C89" i="1"/>
  <c r="E89" i="1" s="1"/>
  <c r="C65" i="1"/>
  <c r="E65" i="1" s="1"/>
  <c r="C69" i="1"/>
  <c r="E69" i="1" s="1"/>
  <c r="C72" i="1"/>
  <c r="E72" i="1" s="1"/>
  <c r="C31" i="1"/>
  <c r="E31" i="1" s="1"/>
  <c r="C96" i="1"/>
  <c r="E96" i="1" s="1"/>
  <c r="C62" i="1"/>
  <c r="E62" i="1" s="1"/>
  <c r="C3" i="1"/>
  <c r="E3" i="1" s="1"/>
  <c r="C47" i="1"/>
  <c r="E47" i="1" s="1"/>
  <c r="C37" i="1"/>
  <c r="E37" i="1" s="1"/>
  <c r="C78" i="1"/>
  <c r="E78" i="1" s="1"/>
  <c r="C53" i="1"/>
  <c r="E53" i="1" s="1"/>
  <c r="C49" i="1"/>
  <c r="E49" i="1" s="1"/>
  <c r="C45" i="1"/>
  <c r="E45" i="1" s="1"/>
  <c r="C41" i="1"/>
  <c r="E41" i="1" s="1"/>
  <c r="C21" i="1"/>
  <c r="E21" i="1" s="1"/>
  <c r="C13" i="1"/>
  <c r="E13" i="1" s="1"/>
  <c r="C57" i="1"/>
  <c r="E57" i="1" s="1"/>
  <c r="C23" i="1"/>
  <c r="E23" i="1" s="1"/>
  <c r="C102" i="1"/>
  <c r="E102" i="1" s="1"/>
  <c r="O184" i="2"/>
  <c r="O353" i="2"/>
  <c r="O1457" i="2"/>
  <c r="O1468" i="2"/>
  <c r="O185" i="2"/>
  <c r="O115" i="2"/>
  <c r="O57" i="2"/>
  <c r="O1809" i="2"/>
  <c r="O175" i="2"/>
  <c r="O1135" i="2"/>
  <c r="O1698" i="2"/>
  <c r="O127" i="2"/>
  <c r="O1471" i="2"/>
  <c r="O68" i="2"/>
  <c r="O70" i="2"/>
  <c r="O106" i="2"/>
  <c r="O359" i="2"/>
  <c r="O1142" i="2"/>
  <c r="O1470" i="2"/>
  <c r="M78" i="3"/>
  <c r="M104" i="3"/>
  <c r="M112" i="3"/>
  <c r="M120" i="3"/>
  <c r="M189" i="3"/>
  <c r="M197" i="3"/>
  <c r="C97" i="1"/>
  <c r="E97" i="1" s="1"/>
  <c r="C55" i="1"/>
  <c r="E55" i="1" s="1"/>
  <c r="C33" i="1"/>
  <c r="E33" i="1" s="1"/>
  <c r="C75" i="1"/>
  <c r="E75" i="1" s="1"/>
  <c r="C25" i="1"/>
  <c r="E25" i="1" s="1"/>
  <c r="C35" i="1"/>
  <c r="E35" i="1" s="1"/>
  <c r="O1065" i="2"/>
  <c r="O116" i="2"/>
  <c r="C9" i="1"/>
  <c r="E9" i="1" s="1"/>
  <c r="C29" i="1"/>
  <c r="E29" i="1" s="1"/>
  <c r="O1463" i="2"/>
  <c r="O64" i="2"/>
  <c r="C87" i="1"/>
  <c r="E87" i="1" s="1"/>
  <c r="C19" i="1"/>
  <c r="E19" i="1" s="1"/>
  <c r="O59" i="2"/>
  <c r="O1837" i="2"/>
  <c r="C101" i="1"/>
  <c r="E101" i="1" s="1"/>
  <c r="C17" i="1"/>
  <c r="E17" i="1" s="1"/>
  <c r="O114" i="2"/>
  <c r="C11" i="1"/>
  <c r="E11" i="1" s="1"/>
  <c r="C99" i="1"/>
  <c r="E99" i="1" s="1"/>
  <c r="O181" i="2"/>
  <c r="O1702" i="2"/>
  <c r="O69" i="2"/>
  <c r="O1808" i="2"/>
  <c r="M82" i="3"/>
  <c r="M102" i="3"/>
  <c r="M110" i="3"/>
  <c r="M118" i="3"/>
  <c r="M10" i="3"/>
  <c r="M23" i="3"/>
  <c r="M27" i="3"/>
  <c r="M43" i="3"/>
  <c r="M59" i="3"/>
  <c r="M86" i="3"/>
  <c r="M100" i="3"/>
  <c r="M108" i="3"/>
  <c r="M116" i="3"/>
  <c r="M124" i="3"/>
  <c r="O1131" i="2"/>
  <c r="M35" i="3"/>
  <c r="M90" i="3"/>
  <c r="M106" i="3"/>
  <c r="M114" i="3"/>
  <c r="M122" i="3"/>
  <c r="M136" i="3"/>
  <c r="M215" i="3"/>
  <c r="M94" i="3"/>
  <c r="M96" i="3"/>
  <c r="M247" i="3"/>
  <c r="M239" i="3"/>
  <c r="M191" i="3"/>
  <c r="M199" i="3"/>
  <c r="M231" i="3"/>
  <c r="M223" i="3"/>
  <c r="M255" i="3"/>
  <c r="C8" i="4" l="1"/>
  <c r="E8" i="4" s="1"/>
  <c r="C4" i="4"/>
  <c r="E4" i="4" s="1"/>
  <c r="C16" i="4"/>
  <c r="E16" i="4" s="1"/>
  <c r="C10" i="4"/>
  <c r="E10" i="4" s="1"/>
  <c r="C15" i="4"/>
  <c r="E15" i="4" s="1"/>
  <c r="C3" i="4"/>
  <c r="E3" i="4" s="1"/>
  <c r="C14" i="4"/>
  <c r="E14" i="4" s="1"/>
  <c r="C7" i="4"/>
  <c r="E7" i="4" s="1"/>
  <c r="C9" i="4"/>
  <c r="E9" i="4" s="1"/>
  <c r="C5" i="4"/>
  <c r="E5" i="4" s="1"/>
  <c r="C2" i="4"/>
  <c r="E2" i="4" s="1"/>
  <c r="F2" i="1"/>
  <c r="O1" i="2"/>
  <c r="L1" i="4" l="1"/>
  <c r="I1" i="1" s="1"/>
  <c r="P1" i="3"/>
</calcChain>
</file>

<file path=xl/sharedStrings.xml><?xml version="1.0" encoding="utf-8"?>
<sst xmlns="http://schemas.openxmlformats.org/spreadsheetml/2006/main" count="15586" uniqueCount="628">
  <si>
    <t>ISA</t>
  </si>
  <si>
    <t>TIPO</t>
  </si>
  <si>
    <t>CUSTO UNITARIO</t>
  </si>
  <si>
    <t>QUANT</t>
  </si>
  <si>
    <t>CUSTO TOTAL</t>
  </si>
  <si>
    <t>AIT</t>
  </si>
  <si>
    <t>AIT Hart - 2 Fios - Tanque</t>
  </si>
  <si>
    <t>AIT Hart - 2 Fios - Tubul.</t>
  </si>
  <si>
    <t>AIT Hart - 4 Fios - Tanque</t>
  </si>
  <si>
    <t>AIT Hart - 4 Fios - Tubul.</t>
  </si>
  <si>
    <t>AIT PA - 4 Fios - Tanque</t>
  </si>
  <si>
    <t>AIT PA - 4 Fios - Tubul.</t>
  </si>
  <si>
    <t>XV</t>
  </si>
  <si>
    <t>Atuador Damper Hart</t>
  </si>
  <si>
    <t>Atuador Damper PA</t>
  </si>
  <si>
    <t>LSLL</t>
  </si>
  <si>
    <t>Chave Nivel - Caldeira</t>
  </si>
  <si>
    <t>FIT</t>
  </si>
  <si>
    <t>FIT Diferencial Água - Hart</t>
  </si>
  <si>
    <t>FIT Diferencial Água - PA</t>
  </si>
  <si>
    <t>FIT Diferencial Água Exd - Hart</t>
  </si>
  <si>
    <t>FIT Diferencial Água Exd - PA</t>
  </si>
  <si>
    <t>FIT Magnético Integral - Hart</t>
  </si>
  <si>
    <t>FIT Magnético Integral - PA</t>
  </si>
  <si>
    <t>FIT Magnético Integral Exd- Hart</t>
  </si>
  <si>
    <t>FIT Magnético Integral Exd- PA</t>
  </si>
  <si>
    <t>FIT Magnético Remoto - Hart</t>
  </si>
  <si>
    <t>FIT Magnético Remoto - PA</t>
  </si>
  <si>
    <t>FIT Magnético Remoto Exd- Hart</t>
  </si>
  <si>
    <t>FIT Magnético Remoto Exd- PA</t>
  </si>
  <si>
    <t>FIT Vapor F11 - Hart</t>
  </si>
  <si>
    <t>FIT Vapor F11 - PA</t>
  </si>
  <si>
    <t>FIT Vapor P22 - Hart</t>
  </si>
  <si>
    <t>FIT Vapor P22 - PA</t>
  </si>
  <si>
    <t>GTW</t>
  </si>
  <si>
    <t>Gateway DP/AS-i</t>
  </si>
  <si>
    <t>Gateway DP/PA</t>
  </si>
  <si>
    <t>JB</t>
  </si>
  <si>
    <t>Juncion Box  - I/O Fisico</t>
  </si>
  <si>
    <t>Juncion Box  - PA</t>
  </si>
  <si>
    <t>LIT</t>
  </si>
  <si>
    <t>LIT Desaerador - Hart</t>
  </si>
  <si>
    <t>LIT Desaerador - PA</t>
  </si>
  <si>
    <t>LIT Diferencial - Hart</t>
  </si>
  <si>
    <t>LIT Diferencial - PA</t>
  </si>
  <si>
    <t>LIT Diferencial Exd - Hart</t>
  </si>
  <si>
    <t>LIT Diferencial Exd - PA</t>
  </si>
  <si>
    <t>LIT Dorna - Hart</t>
  </si>
  <si>
    <t>LIT Dorna - PA</t>
  </si>
  <si>
    <t>LIT Flang. Tq. Aberto - Hart</t>
  </si>
  <si>
    <t>LIT Flang. Tq. Aberto - PA</t>
  </si>
  <si>
    <t>LIT Flang. Tq. Fechado - Hart</t>
  </si>
  <si>
    <t>LIT Flang. Tq. Fechado - PA</t>
  </si>
  <si>
    <t>LIT Flang. Tq. Fechado Exd - Hart</t>
  </si>
  <si>
    <t>LIT Flang. Tq. Fechado Exd - PA</t>
  </si>
  <si>
    <t>LIT Manometrico - Exd - Hart</t>
  </si>
  <si>
    <t>LIT Manometrico - Exd - PA</t>
  </si>
  <si>
    <t>LIT Manometrico - Hart</t>
  </si>
  <si>
    <t>LIT Manometrico - PA</t>
  </si>
  <si>
    <t>LIT Tq. Descarg. Continua - Hart</t>
  </si>
  <si>
    <t>LIT Tq. Descarg. Continua - PA</t>
  </si>
  <si>
    <t>LIT Tubulão Caldeira - Hart</t>
  </si>
  <si>
    <t>LIT Tubulão Caldeira - PA</t>
  </si>
  <si>
    <t>LIT Ultrassonico - Hart</t>
  </si>
  <si>
    <t>LIT Ultrassonico - PA</t>
  </si>
  <si>
    <t>LIT Ultrassonico Exd - Hart</t>
  </si>
  <si>
    <t>LIT Ultrassonico Exd - PA</t>
  </si>
  <si>
    <t>PI</t>
  </si>
  <si>
    <t>Manometro - Tubulão - Caldeira</t>
  </si>
  <si>
    <t>PIT</t>
  </si>
  <si>
    <t>PIT Agua Caldeira - Hart</t>
  </si>
  <si>
    <t>PIT Agua Caldeira - PA</t>
  </si>
  <si>
    <t>PIT Ar Caldeira - Hart</t>
  </si>
  <si>
    <t>PIT Ar Caldeira - PA</t>
  </si>
  <si>
    <t>PIT Diferencial - HART</t>
  </si>
  <si>
    <t>PIT Diferencial - PA</t>
  </si>
  <si>
    <t>PIT Diferencial Exd - HART</t>
  </si>
  <si>
    <t>PIT Diferencial Exd - PA</t>
  </si>
  <si>
    <t>PIT Gases Caldeira - Hart</t>
  </si>
  <si>
    <t>PIT Gases Caldeira - PA</t>
  </si>
  <si>
    <t>PIT Manometrico - Exd - Hart</t>
  </si>
  <si>
    <t>PIT Manometrico - Exd - PA</t>
  </si>
  <si>
    <t>PIT Manometrico - Hart</t>
  </si>
  <si>
    <t>PIT Manometrico - PA</t>
  </si>
  <si>
    <t>PIT Tri Clamp - Hart</t>
  </si>
  <si>
    <t>PIT Tri Clamp - PA</t>
  </si>
  <si>
    <t>PIT Tri Clamp Exd - Hart</t>
  </si>
  <si>
    <t>PIT Tri Clamp Exd - PA</t>
  </si>
  <si>
    <t>PIT Vapor Caldeira - Hart</t>
  </si>
  <si>
    <t>PIT Vapor Caldeira - PA</t>
  </si>
  <si>
    <t>ST</t>
  </si>
  <si>
    <t>Status CCM</t>
  </si>
  <si>
    <t>MD</t>
  </si>
  <si>
    <t>Motores Discretos (2 ED 1 SD 1 EA 1 AS)</t>
  </si>
  <si>
    <t>CCM</t>
  </si>
  <si>
    <t>CCM em REDE DP</t>
  </si>
  <si>
    <t>ZS</t>
  </si>
  <si>
    <t>Sensores Discretos</t>
  </si>
  <si>
    <t>Sensores Discretos Exd</t>
  </si>
  <si>
    <t>TIT</t>
  </si>
  <si>
    <t>TIT - Pt-100 - Hart</t>
  </si>
  <si>
    <t>TIT - Pt-100 - PA</t>
  </si>
  <si>
    <t>TIT - Termopar - Hart</t>
  </si>
  <si>
    <t>TIT - Termopar - PA</t>
  </si>
  <si>
    <t xml:space="preserve">TT </t>
  </si>
  <si>
    <t>TT - Exd - Hart</t>
  </si>
  <si>
    <t>TT - Exd - PA</t>
  </si>
  <si>
    <t>TT - Hart</t>
  </si>
  <si>
    <t>TT - PA</t>
  </si>
  <si>
    <t>CV</t>
  </si>
  <si>
    <t>Válv. Controle Exd Hart</t>
  </si>
  <si>
    <t>Válv. Controle Exd PA</t>
  </si>
  <si>
    <t>Válv. Controle Hart</t>
  </si>
  <si>
    <t>Válv. Controle PA</t>
  </si>
  <si>
    <t>MV</t>
  </si>
  <si>
    <t>Válv. Motorizada I/O</t>
  </si>
  <si>
    <t>Válv. Motorizada Profibus DP</t>
  </si>
  <si>
    <t>Válv. On/Off AS-i</t>
  </si>
  <si>
    <t>Válv. On/Off AS-i Exd</t>
  </si>
  <si>
    <t>Válv. On/Off Discreto</t>
  </si>
  <si>
    <t>Válv. On/Off Discreto Exd</t>
  </si>
  <si>
    <t>CFTV</t>
  </si>
  <si>
    <t>Cameras de CFTV</t>
  </si>
  <si>
    <t>VL PROTHEUS</t>
  </si>
  <si>
    <t>CÓDIGO AUT</t>
  </si>
  <si>
    <t>NCM</t>
  </si>
  <si>
    <t>DESCRIÇÃO DOS MATERIAIS</t>
  </si>
  <si>
    <t>MODELO</t>
  </si>
  <si>
    <t>QTDE</t>
  </si>
  <si>
    <t>UNID</t>
  </si>
  <si>
    <t>FABRICANTE</t>
  </si>
  <si>
    <t>VALOR UNITARIO R$</t>
  </si>
  <si>
    <t>VALOR TOTAL R$</t>
  </si>
  <si>
    <t>CÓDIGO NOTA</t>
  </si>
  <si>
    <t>QTD DEVICE</t>
  </si>
  <si>
    <t>BUCHA ACABAMENTO ALUMINIO 2BSP BU-200-B DAISA</t>
  </si>
  <si>
    <t>BU-200-B</t>
  </si>
  <si>
    <t>PC</t>
  </si>
  <si>
    <t>DAISA</t>
  </si>
  <si>
    <t>BUCHA ACABAMENTO ALUMÍNIO 3/4"BSP</t>
  </si>
  <si>
    <t>BU-034-B</t>
  </si>
  <si>
    <t>BUCHA REDUÇÃO ALUMÍNIO 1" X 1/2"BSP</t>
  </si>
  <si>
    <t>BRR 100 X 012</t>
  </si>
  <si>
    <t>BUCHA REDUÇÃO ALUMÍNIO 1" X 3/4"BSP</t>
  </si>
  <si>
    <t>BRR 100 X 034</t>
  </si>
  <si>
    <t>BUCHA REDUCAO, ALUMINIO, 3/4 X 1/2 BSP</t>
  </si>
  <si>
    <t>BRR 034 X 012</t>
  </si>
  <si>
    <t>BUCHA REDUCAO, EX-D, FERRO NODULAR, GF, 3/4 X 1/2 NPT, TELBRA</t>
  </si>
  <si>
    <t>CX / BRD-21 FG</t>
  </si>
  <si>
    <t>TELBRA</t>
  </si>
  <si>
    <t>BUCHA REDUÇÃO EX-D FERRO NODULAR GF 3/4" X 1/2" NPT</t>
  </si>
  <si>
    <t>BUCHA REDUÇÃO GF CL 150 2" X 1/2" BSP</t>
  </si>
  <si>
    <t>TUPY</t>
  </si>
  <si>
    <t>BUJÃO C/ REBAIXO SEXTAVADO LATÃO 1/2"BSP</t>
  </si>
  <si>
    <t>K008344-BC-02M</t>
  </si>
  <si>
    <t>NORGREN</t>
  </si>
  <si>
    <t>BUJÃO C/ REBORDO GF CL 150 1/2"BSP</t>
  </si>
  <si>
    <t>CABO COAXIAL 50 OHMS RGC58</t>
  </si>
  <si>
    <t>M</t>
  </si>
  <si>
    <t>AUT-4839</t>
  </si>
  <si>
    <t>CABO INSTRUMENTAÇÃO 300V, ISOL. PVC PRETO, BLIND. ELETROST. FIO DRENO, TEMP 70C, NBR 10300, CL 2 1 X 2 X 1,00mm</t>
  </si>
  <si>
    <t>SPAR-FLEX</t>
  </si>
  <si>
    <t>AUT-4371</t>
  </si>
  <si>
    <t>CABO INSTRUMENTAÇÃO BF, ISOL PVC/E 105°C, NBR 10300, C/ BLIND. ELETROST. COLETIVA FIO DRENO 1X2X2,50MM²</t>
  </si>
  <si>
    <t>ENERGIFLEX</t>
  </si>
  <si>
    <t>CABO INSTRUMENTAÇÃO BF, ISOL PVC/E 105°C, NBR 10300, C/ BLIND. ELETROST. COLETIVA FIO DRENO 3X2X0,75MM²</t>
  </si>
  <si>
    <t>CABO INSTRUMENTAÇÃO BF, ISOL PVC/E 105°C, NBR 10300, C/ BLIND. ELETROST. COLETIVA FIO DRENO 8X2X0,75MM²</t>
  </si>
  <si>
    <t>CABO INSTRUMENTAÇÃO BFIC, ITA, PVC/E 105°C, NBR 10300, C/ BLIND. ELETROST. COLETIVA, FIO DRENO, 14X2X0,75MM²</t>
  </si>
  <si>
    <t>SPAR FLEX</t>
  </si>
  <si>
    <t>AUT-6966</t>
  </si>
  <si>
    <t>CABO PROFIBUS PA, 300V, 105§C, CAPA PVC AZUL, BELDFOIL, FIO DRENO EM COBRE ESTANHADO 2 X 18AWG B3076F-BLUE BELDEN</t>
  </si>
  <si>
    <t>B3076F-BLUE</t>
  </si>
  <si>
    <t>BELDEN</t>
  </si>
  <si>
    <t>L.GG3RW1</t>
  </si>
  <si>
    <t>CANTONEIRA, ACO A36, ABAS IGUAIS, 1.1/2 X 1/4 X 6.000MM, GERDAU</t>
  </si>
  <si>
    <t>KG</t>
  </si>
  <si>
    <t>GERDAU</t>
  </si>
  <si>
    <t>AUT-2805</t>
  </si>
  <si>
    <t>CONDUÍTE METÁLICO FLEXÍVEL, REVESTIDO PVC PRETO 105ºC, SEALTUBO SEALFLEX 3/4"</t>
  </si>
  <si>
    <t>SSP-10534</t>
  </si>
  <si>
    <t>S.P.T.F</t>
  </si>
  <si>
    <t>CONDULETE ROSCÁVEL EM ALUMÍNIO C/ TAMPA 1"BSP TIPO "C"</t>
  </si>
  <si>
    <t>DVRT 100-BSP-C</t>
  </si>
  <si>
    <t>CONDULETE ROSCÁVEL EM ALUMÍNIO C/ TAMPA 1"BSP TIPO "LB"</t>
  </si>
  <si>
    <t>DVRT 100-BSP-LB</t>
  </si>
  <si>
    <t>CONDULETE ROSCÁVEL EM ALUMÍNIO C/ TAMPA 1"BSP TIPO "LL"</t>
  </si>
  <si>
    <t>DVRT 100-BSP-LL</t>
  </si>
  <si>
    <t>CONDULETE ROSCÁVEL EM ALUMÍNIO C/ TAMPA 1"BSP TIPO "LR"</t>
  </si>
  <si>
    <t>DVRT 100-BSP-LR</t>
  </si>
  <si>
    <t>CONDULETE ROSCÁVEL EM ALUMÍNIO C/ TAMPA 1"BSP TIPO "T"</t>
  </si>
  <si>
    <t>DVRT 100-BSP-T</t>
  </si>
  <si>
    <t>CONDULETE ROSCÁVEL EM ALUMÍNIO C/ TAMPA 2"BSP TIPO "LB"</t>
  </si>
  <si>
    <t>DIIRT 200-BSP-LB</t>
  </si>
  <si>
    <t>CONDULETE ROSCAVEL EM ALUMINIO C/ TAMPA 3/4BSP TIPO C DVRT 034-BSP-C DAISA</t>
  </si>
  <si>
    <t>DIIRT 034-BSP-C</t>
  </si>
  <si>
    <t>CONDULETE ROSCÁVEL EM ALUMÍNIO C/ TAMPA 3/4"BSP TIPO "LB"</t>
  </si>
  <si>
    <t>DVRT 034-BSP-LB</t>
  </si>
  <si>
    <t>CONDULETE ROSCÁVEL EM ALUMÍNIO C/ TAMPA 3/4"BSP TIPO "LL"</t>
  </si>
  <si>
    <t>DIIRT 034-BSP-LL</t>
  </si>
  <si>
    <t>CONDULETE ROSCÁVEL EM ALUMÍNIO C/ TAMPA 3/4"BSP TIPO "LR"</t>
  </si>
  <si>
    <t>DVRT 034-BSP-LR</t>
  </si>
  <si>
    <t>CONDULETE ROSCÁVEL EM ALUMÍNIO C/ TAMPA 3/4"BSP TIPO "T"</t>
  </si>
  <si>
    <t>DIIRT 034-BSP-T</t>
  </si>
  <si>
    <t>CONDULETE ROSCÁVEL EM ALUMÍNIO C/ TAMPA 3/4"BSP TIPO "X"</t>
  </si>
  <si>
    <t>DIIRT 034-BSP-X</t>
  </si>
  <si>
    <t>CONDULETE ROSCÁVEL EM ALUMÍNIO FUNDIDO EX-D C/ TAMPA 3/4"NPT TIPO "LB"</t>
  </si>
  <si>
    <t>TCLEX/2-LB</t>
  </si>
  <si>
    <t>CONDULETE ROSCÁVEL EM ALUMÍNIO FUNDIDO EX-D C/ TAMPA 3/4"NPT TIPO "LL"</t>
  </si>
  <si>
    <t>TCLEX/2-LL</t>
  </si>
  <si>
    <t>CONDULETE ROSCÁVEL EM ALUMÍNIO FUNDIDO EX-D C/ TAMPA 3/4"NPT TIPO "LR"</t>
  </si>
  <si>
    <t>TCLEX/2-LR</t>
  </si>
  <si>
    <t>CONECTOR ENGATE RAPIDO P/ TUBO PU 8MM, SEXT. INTERNO E EXTERNO, ROSCA 1/2NPT AZ C01250848 NORGREN</t>
  </si>
  <si>
    <t>C01250848</t>
  </si>
  <si>
    <t>C01250828</t>
  </si>
  <si>
    <t>CONECTOR MACHO ZC DE LATÃO GIRATÓRIO 3/4"NPT</t>
  </si>
  <si>
    <t>CMZGL-34</t>
  </si>
  <si>
    <t>CONECTOR RETO MACHO ASTM A276 INOX 316 TP C CL 6500 PSI 1/2"OD X 1/2"NPT</t>
  </si>
  <si>
    <t>8-CM-8-316</t>
  </si>
  <si>
    <t>TRIUNION</t>
  </si>
  <si>
    <t>CONECTOR RETO SOLDA ASTM A276 INOX 316 TP C CL 6500 PSI 1/2"OD X 1/2"SW</t>
  </si>
  <si>
    <t>F. MASTER</t>
  </si>
  <si>
    <t>AUT-1535</t>
  </si>
  <si>
    <t>CONECTOR RETO UNIÃO ASTM A276 INOX 316 TP C CL 6500 PSI 1/2"OD X 1/2"OD</t>
  </si>
  <si>
    <t>8-U-316</t>
  </si>
  <si>
    <t>CONECTOR TEE MACHO ASTM A351 INOX 316 TP C CL 6500PSI CF8M MICROF. LATERAIS 1/2"OD X CENTRAL 1/2"NPT</t>
  </si>
  <si>
    <t>AUT-7163</t>
  </si>
  <si>
    <t>CONECTOR TEE UNIÃO ASTM A351 INOX 316 TP C CL 6500PSI CF8M MICROFUNDIDO 1/2"OD</t>
  </si>
  <si>
    <t>AUT-2864</t>
  </si>
  <si>
    <t>8-TTT-316</t>
  </si>
  <si>
    <t>COTOVELO GF CL 150 1/2" BSP 45°</t>
  </si>
  <si>
    <t>COTOVELO GF CL 150 1/2" BSP 90°</t>
  </si>
  <si>
    <t>ELETRODUTO PESADO C/ LUVA AÇO CARBONO GF EX-D NBR 5597 3/4" X 3000MM NPT</t>
  </si>
  <si>
    <t>BR</t>
  </si>
  <si>
    <t>CARBINOX</t>
  </si>
  <si>
    <t>AUT-3417</t>
  </si>
  <si>
    <t>ELETRODUTO PESADO C/ LUVA AÇO CARBONO GF NBR 5598 1" X 3000MM BSP</t>
  </si>
  <si>
    <t>AUT-2894</t>
  </si>
  <si>
    <t>ELETRODUTO PESADO C/ LUVA AÇO CARBONO GF NBR 5598 2" X 3000MM BSP</t>
  </si>
  <si>
    <t>AUT-4307</t>
  </si>
  <si>
    <t>ELETRODUTO PESADO C/ LUVA AÇO CARBONO GF NBR 5598 3/4" X 3000MM BSP</t>
  </si>
  <si>
    <t>AUT-4306</t>
  </si>
  <si>
    <t>LUVA GF CL 150 1/2"BSP</t>
  </si>
  <si>
    <t>LUVA GF P/ ELETRODUTO 1"BSP</t>
  </si>
  <si>
    <t>AUT-4518</t>
  </si>
  <si>
    <t>LUVA GF P/ ELETRODUTO 3/4"BSP</t>
  </si>
  <si>
    <t>AUT-4867</t>
  </si>
  <si>
    <t>MEIA LUVA 3000PSI A-105  1/2" SW AÇO CARBONO</t>
  </si>
  <si>
    <t>AÇO CARBONO</t>
  </si>
  <si>
    <t>DIVERSOS</t>
  </si>
  <si>
    <t>NIPLE DUPLO SEXTAVADO ASTM A276 INOX 316 TP C CL 6500 PSI 1/2"NPT</t>
  </si>
  <si>
    <t>8-NI-316</t>
  </si>
  <si>
    <t>NIPLE LONGO EX-D AÇO 1010/1020 GF CERT. 1/2"NPT</t>
  </si>
  <si>
    <t>CX / NL-1 FG</t>
  </si>
  <si>
    <t>CONEX</t>
  </si>
  <si>
    <t>PARAFUSO CABEÇA REDONDA FENDA ZC 3/16" X 1/2"</t>
  </si>
  <si>
    <t>DP 615</t>
  </si>
  <si>
    <t>DISPAN</t>
  </si>
  <si>
    <t>PERFILADO PERFURADO GF 16AWG 19 X 38 X 6000MM</t>
  </si>
  <si>
    <t>DP 504</t>
  </si>
  <si>
    <t>PORCA ACABAMENTO ALUMÍNIO 1"BSP</t>
  </si>
  <si>
    <t>PU-100-BSP</t>
  </si>
  <si>
    <t>PORCA ACABAMENTO ALUMÍNIO 2"BSP</t>
  </si>
  <si>
    <t>PU-200-BSP</t>
  </si>
  <si>
    <t>PORCA ACABAMENTO ALUMÍNIO 3/4"BSP</t>
  </si>
  <si>
    <t>PU-034-BSP</t>
  </si>
  <si>
    <t>PORCA SEXTAVADA ZC 1/4"</t>
  </si>
  <si>
    <t>DP 618</t>
  </si>
  <si>
    <t>PORCA SEXTAVADA ZC 3/16"</t>
  </si>
  <si>
    <t>POTE SELAGEM 3" A-106, SCH-80, 3000 PSI, 3 TOM. 1/2" NPT, LÍQ PEN, PINT ALUM ALTA TEMP, TH 200KG/CM²</t>
  </si>
  <si>
    <t>AUT-3199</t>
  </si>
  <si>
    <t>POTE SELAGEM 3" A-182 F11, SCH-160, 6000 PSI, 2 TOM. 1/2" NPT, 1 TOM. 1/2" SW, PINT ALUM ALTA TEMP, TH 200KG/CM²</t>
  </si>
  <si>
    <t>ITUFLUX</t>
  </si>
  <si>
    <t>AUT-2388</t>
  </si>
  <si>
    <t>POTE SELAGEM 3" A-335 P22, SCH-160, 6000 PSI, 3 TOM. 1/2" NPT, 1 TOM. 1/2" SW, PINT ALUM ALTA TEMP, TH 200KG/CM</t>
  </si>
  <si>
    <t>AUT-6767</t>
  </si>
  <si>
    <t>PRENSA CABO HSK-K CZ RAL 7035 POLIAMIDA S/ CONTRA PORCA 1/2"NPT</t>
  </si>
  <si>
    <t>1.209.1200.71</t>
  </si>
  <si>
    <t>HUMMEL</t>
  </si>
  <si>
    <t>SUPORTE P/ INSTRUMENTOS EM AÇO A-36 2" AZUL RAL 5002 TIPO "L"</t>
  </si>
  <si>
    <t>BRUMEC</t>
  </si>
  <si>
    <t>AUT-5081</t>
  </si>
  <si>
    <t>TAMPÃO CAPTIVO P/ CONEXÃO 1/2"OD ASTM A276 INOX 316 TP CL 6500 PSI  8-P-316</t>
  </si>
  <si>
    <t>8-P-316</t>
  </si>
  <si>
    <t>TAMPÃO SEXTAVADO GF CL 150 2"BSP</t>
  </si>
  <si>
    <t>TEE GF CL 150 2"BSP</t>
  </si>
  <si>
    <t>TEE REDUÇÃO GF CL 150 2" X 1/2"BSP</t>
  </si>
  <si>
    <t>130R</t>
  </si>
  <si>
    <t>TUBO AÇO CARBONO GF, C/ COSTURA, ATÉ 300 LBS, NBR 5580 M/ DIN 2440, DN. 12,7, 1/2"BSP X 6000MM</t>
  </si>
  <si>
    <t>AUT-2538</t>
  </si>
  <si>
    <t>TUBO ACO INOX AISI 316L A-269 TREFILADO S/ COSTURA 3063 PSI A 38 øC 12,7 X 1,24MM TI-127124-316 TRIUNION</t>
  </si>
  <si>
    <t>TI-127124-316</t>
  </si>
  <si>
    <t>TUBO FLEXIVEL POLIURETANO AZUL 8MM EXTERNO / 5,5MM INTERNO PU050 08 00 NORGREN</t>
  </si>
  <si>
    <t>PU050 08 00</t>
  </si>
  <si>
    <t>TUBO FLEXÍVEL SANFONIZADO TOMBACK EX-D MACHO / UNIÃO FÊMEA 1/2"NPT X 400MM</t>
  </si>
  <si>
    <t>FTMUM-12400-NPT</t>
  </si>
  <si>
    <t xml:space="preserve">TUBO SIFÃO TIPO TROMBETA ASTM A-105 1/2" NPT (M)  X 1/2"NPT (F) </t>
  </si>
  <si>
    <t>WIKA</t>
  </si>
  <si>
    <t>AUT-4965</t>
  </si>
  <si>
    <t>UNIÃO ASSENTO CÔNICO BRONZE GF CL 150 1/2"BSP</t>
  </si>
  <si>
    <t>UNIDADE SELADORA VERT. / HOR. EX-D ALUMÍNIO REFORÇADO G.F CERT. NBR 5363 1/2" NPT</t>
  </si>
  <si>
    <t>TUSX-1/1</t>
  </si>
  <si>
    <t>VALVULA AGULHA, ASTM A351, INOX 316, MICROFUNDIDO CF8M, CL 7000PSI, 1/2OD, F. MASTER</t>
  </si>
  <si>
    <t>AUT-2125</t>
  </si>
  <si>
    <t>VALVULA ESFERA TRIPARTIDA,CL 300 CORPO E TP A 216 WCB, ESFERA ASTM A351 CF8, PASS. REDUZIDA,VED.PTFE ROSCA 1/2 BSP  MGA</t>
  </si>
  <si>
    <t>MGA</t>
  </si>
  <si>
    <t>AUT-2567</t>
  </si>
  <si>
    <t>VÁLVULA MANIFOLD 2 VIAS INOX 316 ROSCA X ROSCA 6000PSI 1/2"NPT</t>
  </si>
  <si>
    <t>AUT-3429</t>
  </si>
  <si>
    <t>ABRACADEIRA VERGALHAO GRAMPO U ZC 1/2 X 1/4 DP 634-1 DISPAN</t>
  </si>
  <si>
    <t>DP 634-1</t>
  </si>
  <si>
    <t>ABRACADEIRA VERGALHAO GRAMPO U ZC 1/4 X 1/4 DP 634-0 DISPAN</t>
  </si>
  <si>
    <t>DP 634-0</t>
  </si>
  <si>
    <t>ABRACADEIRA VERGALHAO GRAMPO U ZC 2 X 1/4 DP 634-6 DISPAN</t>
  </si>
  <si>
    <t>DP 634-6</t>
  </si>
  <si>
    <t>ABRACADEIRA VERGALHAO GRAMPO U ZC 3/4 X 1/4 DP 634-2 DISPAN</t>
  </si>
  <si>
    <t>DP 634-2</t>
  </si>
  <si>
    <t>ABRACADEIRA, NYLON PRETA, 2,5 X 101MM, T-18 R, HELLERMANN</t>
  </si>
  <si>
    <t>T-18 R</t>
  </si>
  <si>
    <t>HELLERMANN</t>
  </si>
  <si>
    <t>ARRUELA ACABAMENTO, ALUMINIO, 1 BSP</t>
  </si>
  <si>
    <t>AU 100 - BSP</t>
  </si>
  <si>
    <t>ARRUELA ACABAMENTO, ALUMINIO, 2 BSP</t>
  </si>
  <si>
    <t>AU 200 - BSP</t>
  </si>
  <si>
    <t>ARRUELA LISA ZC  1/4"</t>
  </si>
  <si>
    <t>DP 619</t>
  </si>
  <si>
    <t>ARRUELA LISA ZC  3/16"</t>
  </si>
  <si>
    <t>BUCHA ACABAMENTO, ALUMINIO, 1 BSP</t>
  </si>
  <si>
    <t>BU-100-B</t>
  </si>
  <si>
    <t>CABO INSTRUMENTACAO BF, ISOL PVC/E 105øC, NBR 10300, C/ BLIND.ELETROST.COLETIVA FIO DRENO 1X2X0,75MMý 900400 ENERGIFLEX</t>
  </si>
  <si>
    <t>CABO INSTRUMENTACAO AF, ISOL PVC/E, 105 C, NBR 10300, C/ BLIND. ELETROST. COLETIVA E FIO DRENO, 3 X 0,75 MM, KMP</t>
  </si>
  <si>
    <t>CABO PROFIBUS DP, 300V, ISOL. PVC VIOLETA, SHIELD, TEMP. 75 G, 22AWG, B3079A-7#, BELDEN</t>
  </si>
  <si>
    <t>B3079A-7#</t>
  </si>
  <si>
    <t>CABO REDE ASI, REDONDO, CAPA EXT. PVC AMARELO, COND. AZUL E MARROM, 2 X 1,50MM, CB-ASI-0802-1,5-Y, 5000005853, SENSE</t>
  </si>
  <si>
    <t>SENSE</t>
  </si>
  <si>
    <t>CABO TERMOPAR EXTENSAO TC K, ISOL. SILICONE AMARELO, SEM BLINDAGEM, IEC, 2 X 20AWG, CFC-C-K-2-20-SS-I-X, CONSISTEC</t>
  </si>
  <si>
    <t>CFC-C-K-2-20-SS-I-X</t>
  </si>
  <si>
    <t>CONSISTEC</t>
  </si>
  <si>
    <t>Código</t>
  </si>
  <si>
    <t>Tipo</t>
  </si>
  <si>
    <t>Descrição dos Materiais</t>
  </si>
  <si>
    <t>Modelo</t>
  </si>
  <si>
    <t>Fabricante</t>
  </si>
  <si>
    <t>Valor Unit</t>
  </si>
  <si>
    <t>Valor Total</t>
  </si>
  <si>
    <t>Código Nota</t>
  </si>
  <si>
    <t>Quantidade por Metro</t>
  </si>
  <si>
    <t>Custo Por Metro</t>
  </si>
  <si>
    <t>Quant Metro</t>
  </si>
  <si>
    <t>Quantidade</t>
  </si>
  <si>
    <t>Infra Eletrica de 1"</t>
  </si>
  <si>
    <t>ABRAÇADEIRA VERGALHÃO GRAMPO "U" ZC 1" X 1/4"</t>
  </si>
  <si>
    <t>DP 634-3</t>
  </si>
  <si>
    <t>ARRUELA ACABAMENTO ALUMÍNIO 1"BSP</t>
  </si>
  <si>
    <t>BUCHA ACABAMENTO ALUMÍNIO 1"BSP</t>
  </si>
  <si>
    <t>CANTONEIRA AÇO ABAS IGUAIS 1.1/2" X 1/4" X 6.000MM</t>
  </si>
  <si>
    <t>L</t>
  </si>
  <si>
    <t>CURVA P/ ELETRODUTO PESADO AÇO CARBONO GF NBR 5598 1"</t>
  </si>
  <si>
    <t>Infra Eletrica de 1" Exd</t>
  </si>
  <si>
    <t>ARRUELA ACABAMENTO EX-D FERRO NODULAR GF 1" NPT</t>
  </si>
  <si>
    <t>CX / AR-3 FG</t>
  </si>
  <si>
    <t>BUCHA ACABAMENTO EX-D FERRO NODULAR GF 1" NPT</t>
  </si>
  <si>
    <t>CX / BF-3 FG</t>
  </si>
  <si>
    <t>BUCHA REDUÇÃO EX-D FERRO NODULAR GF 1" X 1/2" NPT</t>
  </si>
  <si>
    <t>CX / BRD-31 FG</t>
  </si>
  <si>
    <t>BUCHA REDUÇÃO EX-D FERRO NODULAR GF 1" X 3/4" NPT</t>
  </si>
  <si>
    <t>CX / BRD-32 FG</t>
  </si>
  <si>
    <t>CONDULETE ROSCÁVEL EM ALUMÍNIO FUNDIDO EX-D C/ TAMPA 1"NPT TIPO "C"</t>
  </si>
  <si>
    <t>TCLEX/3-C</t>
  </si>
  <si>
    <t>CONDULETE ROSCÁVEL EM ALUMÍNIO FUNDIDO EX-D C/ TAMPA 1"NPT TIPO "LB"</t>
  </si>
  <si>
    <t>TCLEX/3-LB</t>
  </si>
  <si>
    <t>CONDULETE ROSCÁVEL EM ALUMÍNIO FUNDIDO EX-D C/ TAMPA 1"NPT TIPO "LL"</t>
  </si>
  <si>
    <t>TCLEX/3-LL</t>
  </si>
  <si>
    <t>CONDULETE ROSCÁVEL EM ALUMÍNIO FUNDIDO EX-D C/ TAMPA 1"NPT TIPO "LR"</t>
  </si>
  <si>
    <t>TCLEX/3-LR</t>
  </si>
  <si>
    <t>CONDULETE ROSCÁVEL EM ALUMÍNIO FUNDIDO EX-D C/ TAMPA 1"NPT TIPO "T"</t>
  </si>
  <si>
    <t>TCLEX/3-T</t>
  </si>
  <si>
    <t>ELETRODUTO PESADO C/ LUVA AÇO CARBONO GF EX-D NBR 5597 1" X 3000MM NPT</t>
  </si>
  <si>
    <t>AUT-3609</t>
  </si>
  <si>
    <t>Infra Eletrica de 1.1/2"</t>
  </si>
  <si>
    <t>ABRAÇADEIRA VERGALHÃO GRAMPO "U" ZC 1.1/2" X 1/4"</t>
  </si>
  <si>
    <t>DP 634-5</t>
  </si>
  <si>
    <t>ARRUELA ACABAMENTO ALUMÍNIO 1.1/2"BSP</t>
  </si>
  <si>
    <t>AU 112 - BSP</t>
  </si>
  <si>
    <t>BUCHA ACABAMENTO ALUMÍNIO 1.1/2"BSP</t>
  </si>
  <si>
    <t>BU-112-B</t>
  </si>
  <si>
    <t>BUCHA REDUÇÃO ALUMÍNIO 1.1/2" X 1"BSP</t>
  </si>
  <si>
    <t>BRR 112 X 100</t>
  </si>
  <si>
    <t>BUCHA REDUÇÃO ALUMÍNIO 1.1/2" X 1/2"BSP</t>
  </si>
  <si>
    <t>BRR 112 X 012</t>
  </si>
  <si>
    <t>BUCHA REDUÇÃO ALUMÍNIO 1.1/2" X 3/4"BSP</t>
  </si>
  <si>
    <t>BRR 112 X 034</t>
  </si>
  <si>
    <t>CONDULETE ROSCÁVEL EM ALUMÍNIO C/ TAMPA 1.1/2"BSP TIPO "C"</t>
  </si>
  <si>
    <t>DVRT 112-BSP-C</t>
  </si>
  <si>
    <t>CONDULETE ROSCÁVEL EM ALUMÍNIO C/ TAMPA 1.1/2"BSP TIPO "LB"</t>
  </si>
  <si>
    <t>DVRT 112-BSP-LB</t>
  </si>
  <si>
    <t>CONDULETE ROSCÁVEL EM ALUMÍNIO C/ TAMPA 1.1/2"BSP TIPO "LL"</t>
  </si>
  <si>
    <t>DVRT 112-BSP-LL</t>
  </si>
  <si>
    <t>CONDULETE ROSCÁVEL EM ALUMÍNIO C/ TAMPA 1.1/2"BSP TIPO "LR"</t>
  </si>
  <si>
    <t>DVRT 112-BSP-LR</t>
  </si>
  <si>
    <t>CONDULETE ROSCÁVEL EM ALUMÍNIO C/ TAMPA 1.1/2"BSP TIPO "T"</t>
  </si>
  <si>
    <t>DVRT 112-BSP-T</t>
  </si>
  <si>
    <t>ELETRODUTO PESADO C/ LUVA AÇO CARBONO GF NBR 5598 1.1/2" X 3000MM BSP</t>
  </si>
  <si>
    <t>AUT-2833</t>
  </si>
  <si>
    <t>LUVA GF P/ ELETRODUTO 1.1/2"BSP</t>
  </si>
  <si>
    <t>AUT-3014</t>
  </si>
  <si>
    <t>PORCA ACABAMENTO ALUMÍNIO 1.1/2"BSP</t>
  </si>
  <si>
    <t>PU-112-BSP</t>
  </si>
  <si>
    <t>Infra Eletrica de 1.1/2" Exd</t>
  </si>
  <si>
    <t>ARRUELA ACABAMENTO EX-D FERRO NODULAR GF 1.1/2" NPT</t>
  </si>
  <si>
    <t>CX / AR-5 FG</t>
  </si>
  <si>
    <t>BUCHA ACABAMENTO EX-D FERRO NODULAR GF 1.1/2" NPT</t>
  </si>
  <si>
    <t>CX / BF-4 FG</t>
  </si>
  <si>
    <t>BUCHA REDUÇÃO EX-D FERRO NODULAR GF 1.1/2" X 1" NPT</t>
  </si>
  <si>
    <t>CX / BRD-53 FG</t>
  </si>
  <si>
    <t>BUCHA REDUÇÃO EX-D FERRO NODULAR GF 1.1/2" X 1/2" NPT</t>
  </si>
  <si>
    <t>CX / BRD-51 FG</t>
  </si>
  <si>
    <t>BUCHA REDUÇÃO EX-D FERRO NODULAR GF 1.1/2" X 3/4" NPT</t>
  </si>
  <si>
    <t>CX / BRD-52 FG</t>
  </si>
  <si>
    <t>CONDULETE ROSCÁVEL EM ALUMÍNIO FUNDIDO EX-D C/ TAMPA 1.1/2"NPT TIPO "LB"</t>
  </si>
  <si>
    <t>TCLX/5-LB</t>
  </si>
  <si>
    <t>CONDULETE ROSCÁVEL EM ALUMÍNIO FUNDIDO EX-D C/ TAMPA 1.1/2"NPT TIPO "LL"</t>
  </si>
  <si>
    <t>TCLX/5-LL</t>
  </si>
  <si>
    <t>CONDULETE ROSCÁVEL EM ALUMÍNIO FUNDIDO EX-D C/ TAMPA 1.1/2"NPT TIPO "LR"</t>
  </si>
  <si>
    <t>TCLX/5-LR</t>
  </si>
  <si>
    <t>CONDULETE ROSCÁVEL EM ALUMÍNIO FUNDIDO EX-D C/ TAMPA 1.1/2"NPT TIPO "T"</t>
  </si>
  <si>
    <t>TCLX/5-T</t>
  </si>
  <si>
    <t>ELETRODUTO PESADO C/ LUVA AÇO CARBONO GF EX-D NBR 5597 1.1/2" X 3000MM NPT</t>
  </si>
  <si>
    <t>AUT-3608</t>
  </si>
  <si>
    <t>Infra Eletrica de 2"</t>
  </si>
  <si>
    <t>ABRAÇADEIRA VERGALHÃO GRAMPO "U" ZC 2" X 1/4"</t>
  </si>
  <si>
    <t>ARRUELA ACABAMENTO ALUMÍNIO 2"BSP</t>
  </si>
  <si>
    <t>BUCHA ACABAMENTO ALUMÍNIO 2"BSP</t>
  </si>
  <si>
    <t>BUCHA REDUÇÃO ALUMÍNIO 2" X 1"BSP</t>
  </si>
  <si>
    <t>BRR 200 X 100</t>
  </si>
  <si>
    <t>BUCHA REDUÇÃO ALUMÍNIO 2" X 1.1/2"BSP</t>
  </si>
  <si>
    <t>BRR 200 X 112</t>
  </si>
  <si>
    <t>BUCHA REDUÇÃO ALUMÍNIO 2" X 1/2"BSP</t>
  </si>
  <si>
    <t>BRR 200 X 012</t>
  </si>
  <si>
    <t>BUCHA REDUÇÃO ALUMÍNIO 2" X 3/4"BSP</t>
  </si>
  <si>
    <t>BRR 200 X 034</t>
  </si>
  <si>
    <t>CONDULETE ROSCÁVEL EM ALUMÍNIO C/ TAMPA 2"BSP TIPO "C"</t>
  </si>
  <si>
    <t>DIIRT 200-BSP-C</t>
  </si>
  <si>
    <t>CONDULETE ROSCÁVEL EM ALUMÍNIO C/ TAMPA 2"BSP TIPO "LL"</t>
  </si>
  <si>
    <t>DVRT 200-BSP-LL</t>
  </si>
  <si>
    <t>CONDULETE ROSCÁVEL EM ALUMÍNIO C/ TAMPA 2"BSP TIPO "LR"</t>
  </si>
  <si>
    <t>DVRT 200-BSP-LR</t>
  </si>
  <si>
    <t>CONDULETE ROSCÁVEL EM ALUMÍNIO C/ TAMPA 2"BSP TIPO "T"</t>
  </si>
  <si>
    <t>DVRT 200-BSP-T</t>
  </si>
  <si>
    <t>Infra Eletrica de 2" Exd</t>
  </si>
  <si>
    <t>ARRUELA ACABAMENTO EX-D FERRO NODULAR GF 2" NPT</t>
  </si>
  <si>
    <t>CX / AR-6 FG</t>
  </si>
  <si>
    <t>BUCHA ACABAMENTO EX-D FERRO NODULAR GF 2" NPT</t>
  </si>
  <si>
    <t>CX / BF-6 FG</t>
  </si>
  <si>
    <t>BUCHA REDUÇÃO EX-D FERRO NODULAR GF 2" X 1" NPT</t>
  </si>
  <si>
    <t>CX / BRD-63 FG</t>
  </si>
  <si>
    <t>BUCHA REDUÇÃO EX-D FERRO NODULAR GF 2" X 1.1/2" NPT</t>
  </si>
  <si>
    <t>CX / BRD-65 FG</t>
  </si>
  <si>
    <t>BUCHA REDUÇÃO EX-D FERRO NODULAR GF 2" X 1/2" NPT</t>
  </si>
  <si>
    <t>CX / BRD-61 FG</t>
  </si>
  <si>
    <t>BUCHA REDUÇÃO EX-D FERRO NODULAR GF 2" X 3/4" NPT</t>
  </si>
  <si>
    <t>CX / BRD-62 FG</t>
  </si>
  <si>
    <t>CONDULETE ROSCÁVEL EM ALUMÍNIO FUNDIDO EX-D C/ TAMPA 2"NPT TIPO "C"</t>
  </si>
  <si>
    <t>TCLX/6-C</t>
  </si>
  <si>
    <t>CONDULETE ROSCÁVEL EM ALUMÍNIO FUNDIDO EX-D C/ TAMPA 2"NPT TIPO "LB"</t>
  </si>
  <si>
    <t>TCLX/6-LB</t>
  </si>
  <si>
    <t>CONDULETE ROSCÁVEL EM ALUMÍNIO FUNDIDO EX-D C/ TAMPA 2"NPT TIPO "LL"</t>
  </si>
  <si>
    <t>TCLX/6-LL</t>
  </si>
  <si>
    <t>CONDULETE ROSCÁVEL EM ALUMÍNIO FUNDIDO EX-D C/ TAMPA 2"NPT TIPO "LR"</t>
  </si>
  <si>
    <t>TCLX/6-LR</t>
  </si>
  <si>
    <t>CONDULETE ROSCÁVEL EM ALUMÍNIO FUNDIDO EX-D C/ TAMPA 2"NPT TIPO "T"</t>
  </si>
  <si>
    <t>TCLX/6-T</t>
  </si>
  <si>
    <t>ELETRODUTO PESADO C/ LUVA AÇO CARBONO GF EX-D NBR 5597 2" X 3000MM NPT</t>
  </si>
  <si>
    <t>AUT-3445</t>
  </si>
  <si>
    <t>Infra Eletrica de 3/4"</t>
  </si>
  <si>
    <t>ABRAÇADEIRA VERGALHÃO GRAMPO "U" ZC 3/4" X 1/4"</t>
  </si>
  <si>
    <t>ARRUELA ACABAMENTO ALUMÍNIO 3/4"BSP</t>
  </si>
  <si>
    <t>AU 034 - BSP</t>
  </si>
  <si>
    <t>BUCHA REDUÇÃO ALUMÍNIO 3/4" X 1/2"BSP</t>
  </si>
  <si>
    <t>CONDULETE ROSCÁVEL EM ALUMÍNIO C/ TAMPA 3/4"BSP TIPO "C"</t>
  </si>
  <si>
    <t>Infra Eletrica de 3/4" Exd</t>
  </si>
  <si>
    <t>ARRUELA ACABAMENTO EX-D FERRO NODULAR GF 3/4" NPT</t>
  </si>
  <si>
    <t>CX / AR-2 FG</t>
  </si>
  <si>
    <t>BUCHA ACABAMENTO EX-D FERRO NODULAR GF 3/4" NPT</t>
  </si>
  <si>
    <t>CX / BF-2 FG</t>
  </si>
  <si>
    <t>CONDULETE ROSCÁVEL EM ALUMÍNIO FUNDIDO EX-D C/ TAMPA 3/4"NPT TIPO "C"</t>
  </si>
  <si>
    <t>TCLEX/2-C</t>
  </si>
  <si>
    <t>CONDULETE ROSCÁVEL EM ALUMÍNIO FUNDIDO EX-D C/ TAMPA 3/4"NPT TIPO "T"</t>
  </si>
  <si>
    <t>TCLEX/2-T</t>
  </si>
  <si>
    <t>Infra Eletrica de Eletrocalha de 100 mm</t>
  </si>
  <si>
    <t>ARRUELA LISA ZC  5/16"</t>
  </si>
  <si>
    <t>ARRUELA PRESSÃO ZC  1/4"</t>
  </si>
  <si>
    <t>DP 620</t>
  </si>
  <si>
    <t>ARRUELA PRESSÃO ZC  5/16"</t>
  </si>
  <si>
    <t>CURVA HORIZONTAL P/ ELETROCALHA, GF, 18AWG, 100 X 100MM 90º</t>
  </si>
  <si>
    <t>DP 710</t>
  </si>
  <si>
    <t>CURVA VERTICAL EXTERNA P/ ELETROCALHA, GF, 18AWG, 100 X 100MM 90º</t>
  </si>
  <si>
    <t>DP 712</t>
  </si>
  <si>
    <t>CURVA VERTICAL INTERNA P/ ELETROCALHA, GF, 18AWG, 100 X 100MM 90º</t>
  </si>
  <si>
    <t>DP 714</t>
  </si>
  <si>
    <t>ELETROCALHA FUNDO PERFURADO C/ VIROLA LATERAL 18AWG GF, TAMPA PRESSÃO 2 ÁGUAS 100X100X3000MM</t>
  </si>
  <si>
    <t>DP 703</t>
  </si>
  <si>
    <t>PARAFUSO CABEÇA LENTILHA AUTO-TRAVANTE ZC 1/4" X 1/2"</t>
  </si>
  <si>
    <t>DP 613</t>
  </si>
  <si>
    <t>TALA P/ ELETROCALHA PERFURADA, GF, 18 AWG, 100 X 100MM</t>
  </si>
  <si>
    <t>DP 740</t>
  </si>
  <si>
    <t xml:space="preserve">TAMPA P/ ELETROCALHA, 02 ÁGUAS, ENCAIXE PRESSÃO, GAVALUME, 100 X 3000MM </t>
  </si>
  <si>
    <t>AUT-6848</t>
  </si>
  <si>
    <t>TEE HORIZONTAL P/ ELETROCALHA, GF, 18AWG, C/ TAMPA, 100 X 100MM 90º</t>
  </si>
  <si>
    <t>DP 716</t>
  </si>
  <si>
    <t>TEE VERTICAL, DESCIDA LATERAL P/ ELETROCALHA, GF, 16AWG, 100 X 100MM 90º</t>
  </si>
  <si>
    <t>DP 719</t>
  </si>
  <si>
    <t>VERGALHÃO ROSCA TOTAL ZC 5/16" X 3000MM</t>
  </si>
  <si>
    <t>DP 608</t>
  </si>
  <si>
    <t>Infra Eletrica de Eletrocalha de 200 mm</t>
  </si>
  <si>
    <t>CURVA HORIZONTAL P/ ELETROCALHA GF 18AWG 200 X 100MM 90º</t>
  </si>
  <si>
    <t>CURVA VERTICAL EXTERNA P/ ELETROCALHA 18AWG 200 X 100MM 90º</t>
  </si>
  <si>
    <t>CURVA VERTICAL INTERNA P/ ELETROCALHA 18AWG 200 X 100MM 90º</t>
  </si>
  <si>
    <t>ELETROCALHA FUNDO PERFURADO C/ VIROLA LATERAL 18AWG GF, TAMPA PRESSÃO 2 ÁGUAS 200X100X3000MM</t>
  </si>
  <si>
    <t xml:space="preserve">TAMPA P/ ELETROCALHA, 02 ÁGUAS, ENCAIXE PRESSÃO, GAVALUME, 200 X 3000MM </t>
  </si>
  <si>
    <t>AUT-199</t>
  </si>
  <si>
    <t>TEE HORIZONTAL P/ ELETROCALHA GF 18AWG C/ TAMPA 200 X 100MM 90º</t>
  </si>
  <si>
    <t>Infra Eletrica de Eletrocalha de 300 mm</t>
  </si>
  <si>
    <t>CURVA HORIZONTAL P/ ELETROCALHA, GF, CHAPA 18AWG, 300 X 100MM, 90º</t>
  </si>
  <si>
    <t>CURVA VERTICAL EXTERNA P/ ELETROCALHA, GF, CHAPA 18AWG, 300 X 100MM, 90º</t>
  </si>
  <si>
    <t>CURVA VERTICAL INTERNA P/ ELETROCALHA, GF, CHAPA 18AWG, 300 X 100MM, 90º</t>
  </si>
  <si>
    <t>ELETROCALHA FUNDO PERFURADO C/ VIROLA LATERAL 18AWG GF, TAMPA PRESSÃO 2 ÁGUAS 300X100X3000MM</t>
  </si>
  <si>
    <t xml:space="preserve">TAMPA P/ ELETROCALHA, 02 ÁGUAS, ENCAIXE PRESSÃO, GAVALUME, 300 X 3000MM </t>
  </si>
  <si>
    <t>AUT-7083</t>
  </si>
  <si>
    <t>TEE HORIZONTAL P/ ELETROCALHA, GF, CHAPA 18AWG, C/ TAMPA, 300 X 100MM, 90º</t>
  </si>
  <si>
    <t>Infra Pneumática de 1"</t>
  </si>
  <si>
    <t>BUCHA REDUÇÃO GF CL 150 1" X 1/2"BSP</t>
  </si>
  <si>
    <t>BUCHA REDUÇÃO GF CL 150 1" X 3/4"BSP</t>
  </si>
  <si>
    <t>BUCHA REDUÇÃO GF CL 150 1" X 3/8"BSP</t>
  </si>
  <si>
    <t>BUJÃO C/ REBORDO GF CL 150 1"BSP</t>
  </si>
  <si>
    <t>BUJÃO GF CL 150 1"BSP</t>
  </si>
  <si>
    <t>COTOVELO GF CL 150 1" BSP 45°</t>
  </si>
  <si>
    <t>COTOVELO GF CL 150 1" BSP 90°</t>
  </si>
  <si>
    <t>CRUZETA GF CL 150 1"BSP</t>
  </si>
  <si>
    <t>LUVA GF CL 150 1"BSP</t>
  </si>
  <si>
    <t>LUVA REDUÇÃO GF CL 150 1" X 1/2"BSP</t>
  </si>
  <si>
    <t>LUVA REDUÇÃO GF CL 150 1" X 3/4"BSP</t>
  </si>
  <si>
    <t>NIPLE DUPLO GF CL 150 1"BSP</t>
  </si>
  <si>
    <t>TAMPÃO REDONDO GF CL 150 1"BSP</t>
  </si>
  <si>
    <t>TAMPÃO SEXTAVADO GF CL 150 1"BSP</t>
  </si>
  <si>
    <t>TE REDUÇÃO  1" X 1/2" NPT GF CL150</t>
  </si>
  <si>
    <t>FOGO CL150</t>
  </si>
  <si>
    <t>TEE GF CL 150 1"BSP</t>
  </si>
  <si>
    <t>TUBO AÇO CARBONO GF, C/ COSTURA, ATÉ 300 LBS, NBR 5580 M/ DIN 2440, DN. 25, 1"BSP X 6000MM</t>
  </si>
  <si>
    <t>AUT-2416</t>
  </si>
  <si>
    <t>UNIÃO ASSENTO CÔNICO BRONZE GF CL 150 1"BSP</t>
  </si>
  <si>
    <t>VÁLVULA ESFERA TRIPARTIDA,CL 300 CORPO E TP A 216 WCB, ESFERA ASTM A351 CF8, PASS. REDUZIDA, VED. PTFE ROSCA 1" BSP</t>
  </si>
  <si>
    <t>AUT-1085</t>
  </si>
  <si>
    <t>Infra Pneumática de 1/2"</t>
  </si>
  <si>
    <t>ABRAÇADEIRA VERGALHÃO GRAMPO "U" ZC 1/2" X 1/4"</t>
  </si>
  <si>
    <t>BUCHA REDUÇÃO GF CL 150 1/2" X 1/4"BSP</t>
  </si>
  <si>
    <t>BUCHA REDUÇÃO GF CL 150 1/2" X 3/8"BSP</t>
  </si>
  <si>
    <t>BUJÃO GF CL 150 1/2"BSP</t>
  </si>
  <si>
    <t>CRUZETA GF CL 150 1/2"BSP</t>
  </si>
  <si>
    <t>LUVA REDUÇÃO GF CL 150 1/2" X 1/4"BSP</t>
  </si>
  <si>
    <t>LUVA REDUÇÃO GF CL 150 1/2" X 3/8"BSP</t>
  </si>
  <si>
    <t>NIPLE DUPLO GF CL 150 1/2"BSP</t>
  </si>
  <si>
    <t>NIPLE DUPLO REDUÇÃO GF CL 150 1/2" X 1/4"BSP</t>
  </si>
  <si>
    <t>TAMPÃO REDONDO GF CL 150 1/2"BSP</t>
  </si>
  <si>
    <t>TAMPÃO SEXTAVADO GF CL 150 1/2"BSP</t>
  </si>
  <si>
    <t>TE REDUÇÃO  1/2" X 1/4" GF CL150</t>
  </si>
  <si>
    <t>TE REDUÇÃO  1/2" X 3/8" GF CL150</t>
  </si>
  <si>
    <t>TEE GF CL 150 1/2"BSP</t>
  </si>
  <si>
    <t>TEE GF CL 150 1/2"BSP 45°</t>
  </si>
  <si>
    <t>VÁLVULA ESFERA TRIPARTIDA,CL 300 CORPO E TP A 216 WCB, ESFERA ASTM A351 CF8, PASS. REDUZIDA, VED. PTFE ROSCA 1/2" BSP</t>
  </si>
  <si>
    <t>Infra Pneumática de 2"</t>
  </si>
  <si>
    <t>BUCHA REDUÇÃO GF CL 150 2" X 1"BSP</t>
  </si>
  <si>
    <t>BUCHA REDUÇÃO GF CL 150 2" X 1.1/2"BSP</t>
  </si>
  <si>
    <t>BUJÃO C/ REBORDO GF CL 150 2"BSP</t>
  </si>
  <si>
    <t>BUJÃO GF CL 150 2"BSP</t>
  </si>
  <si>
    <t>COTOVELO GF CL 150 2" BSP 45°</t>
  </si>
  <si>
    <t>COTOVELO GF CL 150 2" BSP 90°</t>
  </si>
  <si>
    <t>CRUZETA GF CL 150 2"BSP</t>
  </si>
  <si>
    <t>LUVA GF CL 150 2"BSP</t>
  </si>
  <si>
    <t>LUVA REDUÇÃO GF CL 150 2" X 1"BSP</t>
  </si>
  <si>
    <t>LUVA REDUÇÃO GF CL 150 2" X 1/2"BSP</t>
  </si>
  <si>
    <t>LUVA REDUÇÃO GF CL 150 2" X 3/4"BSP</t>
  </si>
  <si>
    <t>NIPLE DUPLO GF CL 150 2"BSP</t>
  </si>
  <si>
    <t>TAMPÃO REDONDO GF CL 150 2"BSP</t>
  </si>
  <si>
    <t>TE REDUÇÃO  2" X 1.1/4" GF CL150</t>
  </si>
  <si>
    <t>TE REDUÇÃO  2" X 3/4" GF CL150</t>
  </si>
  <si>
    <t>TEE REDUÇÃO GF CL 150 2" X 1"BSP</t>
  </si>
  <si>
    <t>TUBO AÇO CARBONO GF, C/ COSTURA, ATÉ 300 LBS, NBR 5580 M/ DIN 2440, DN. 50, 2"BSP X 6000MM</t>
  </si>
  <si>
    <t>AUT-3685</t>
  </si>
  <si>
    <t>UNIÃO ASSENTO CÔNICO BRONZE GF CL 150 2"BSP</t>
  </si>
  <si>
    <t>VALVULA ESFERA TRIPARTIDA,CL 300 CORPO E TP A 216 WCB, ESFERA ASTM A351 CF8, HASTE AISI 304, VED. PTFE ROSCA 2" BSP</t>
  </si>
  <si>
    <t>AUT-2629</t>
  </si>
  <si>
    <t>Infra Pneumática de 3/4"</t>
  </si>
  <si>
    <t>BUCHA REDUÇÃO GF CL 150 3/4" X 1/2"BSP</t>
  </si>
  <si>
    <t>BUCHA REDUÇÃO GF CL 150 3/4" X 1/4"BSP</t>
  </si>
  <si>
    <t>BUCHA REDUÇÃO GF CL 150 3/4" X 3/8"BSP</t>
  </si>
  <si>
    <t>BUJÃO C/ REBORDO GF CL 150 3/4"BSP</t>
  </si>
  <si>
    <t>BUJÃO GF CL 150 3/4"BSP</t>
  </si>
  <si>
    <t>COTOVELO GF CL 150 3/4" BSP 45°</t>
  </si>
  <si>
    <t>COTOVELO GF CL 150 3/4" BSP 90°</t>
  </si>
  <si>
    <t>CRUZETA GF CL 150 3/4"BSP</t>
  </si>
  <si>
    <t>LUVA GF CL 150 3/4"BSP</t>
  </si>
  <si>
    <t>LUVA REDUÇÃO GF CL 150 3/4" X 1/2"BSP</t>
  </si>
  <si>
    <t>LUVA REDUÇÃO GF CL 150 3/4" X 1/4"BSP</t>
  </si>
  <si>
    <t>LUVA REDUÇÃO GF CL 150 3/4" X 3/8"BSP</t>
  </si>
  <si>
    <t>NIPLE DUPLO GF CL 150 3/4"BSP</t>
  </si>
  <si>
    <t>TAMPÃO REDONDO GF CL 150 3/4"BSP</t>
  </si>
  <si>
    <t>TAMPÃO SEXTAVADO GF CL 150 3/4"BSP</t>
  </si>
  <si>
    <t>TE REDUÇÃO  3/4" X 1/2" GF CL150</t>
  </si>
  <si>
    <t>TE REDUÇÃO  3/4" X 3/8" GF CL150</t>
  </si>
  <si>
    <t>TEE GF CL 150 3/4"BSP</t>
  </si>
  <si>
    <t>TEE GF CL 150 3/4"BSP 45°</t>
  </si>
  <si>
    <t>TUBO AÇO CARBONO GF, C/ COSTURA, ATÉ 300 LBS, NBR 5580 M/ DIN 2440, DN. 20, 3/4"BSP X 6000MM</t>
  </si>
  <si>
    <t>AUT-3502</t>
  </si>
  <si>
    <t>UNIÃO ASSENTO CÔNICO BRONZE GF CL 150 3/4"BSP</t>
  </si>
  <si>
    <t>VALVULA ESFERA TRIPARTIDA,CL 300 CORPO E TP A 216 WCB, ESFERA ASTM A351 CF8, HASTE AISI 304, VED. PTFE ROSCA 3/4" BSP</t>
  </si>
  <si>
    <t>AUT-3676</t>
  </si>
  <si>
    <t>CUSTO UNITARIO Metro</t>
  </si>
  <si>
    <t>Infra</t>
  </si>
  <si>
    <t xml:space="preserve">Infra Enterrada Canaflex 2" </t>
  </si>
  <si>
    <t>MI Total</t>
  </si>
  <si>
    <t>Eletrodutos rígidos, em PVC, roscável, com rosca BSP, ø 3/4", peça de 3m</t>
  </si>
  <si>
    <t>Unidade</t>
  </si>
  <si>
    <t>Rótulos de Linha</t>
  </si>
  <si>
    <t>Total Geral</t>
  </si>
  <si>
    <t>CONDULETE ROSCÁVEL EM ALUMÍNIO FUNDIDO EX-D C/ TAMPA 1.1/2"NPT TIPO "C"</t>
  </si>
  <si>
    <t>Comporta</t>
  </si>
  <si>
    <t>Cabo de Força 4x2,5mm²</t>
  </si>
  <si>
    <t>CABO INSTRUMENTAÇÃO BF, ISOL PVC/E 105°C, NBR 10300, 6X1,0MM²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</si>
</sst>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[$R$ -416]* #,##0.00_);_([$R$ -416]* \(#,##0.00\);_([$R$ -416]* &quot;-&quot;??_);_(@_)"/>
    <numFmt numFmtId="167" formatCode="0000\ 00\ 00"/>
    <numFmt numFmtId="168" formatCode="&quot;R$ &quot;#,##0.00"/>
    <numFmt numFmtId="169" formatCode="_(&quot;R$ &quot;* #,##0_);_(&quot;R$ &quot;* \(#,##0\);_(&quot;R$ &quot;* &quot;-&quot;_);_(@_)"/>
    <numFmt numFmtId="170" formatCode="_-* #,##0.00\ &quot;DM&quot;_-;\-* #,##0.00\ &quot;DM&quot;_-;_-* &quot;-&quot;??\ &quot;DM&quot;_-;_-@_-"/>
    <numFmt numFmtId="171" formatCode="#."/>
    <numFmt numFmtId="172" formatCode="[$USD]\ #,##0"/>
    <numFmt numFmtId="173" formatCode="_([$€-2]* #,##0.00_);_([$€-2]* \(#,##0.00\);_([$€-2]* &quot;-&quot;??_)"/>
    <numFmt numFmtId="174" formatCode="_([$€]* #,##0.00_);_([$€]* \(#,##0.00\);_([$€]* &quot;-&quot;??_);_(@_)"/>
    <numFmt numFmtId="175" formatCode="_(&quot;R$&quot;* #,##0.00_);_(&quot;R$&quot;* \(#,##0.00\);_(&quot;R$&quot;* &quot;-&quot;??_);_(@_)"/>
    <numFmt numFmtId="176" formatCode="0.000"/>
    <numFmt numFmtId="177" formatCode="#,##0.0"/>
    <numFmt numFmtId="178" formatCode="[$$-409]#,##0"/>
    <numFmt numFmtId="179" formatCode="&quot;R$ &quot;#,##0"/>
    <numFmt numFmtId="180" formatCode="0.0000"/>
    <numFmt numFmtId="181" formatCode="_(* #,##0.0000_);_(* \(#,##0.0000\);_(* &quot;-&quot;??_);_(@_)"/>
    <numFmt numFmtId="182" formatCode="_-&quot;R$&quot;\ * #.##0.00_-;\-&quot;R$&quot;\ * #.##0.00_-;_-&quot;R$&quot;\ * &quot;-&quot;??_-;_-@_-"/>
    <numFmt numFmtId="183" formatCode="#,##0_ ;\-#,##0\ "/>
    <numFmt numFmtId="184" formatCode="#,##0.000"/>
    <numFmt numFmtId="185" formatCode="0.0%"/>
    <numFmt numFmtId="186" formatCode="0.00_)"/>
    <numFmt numFmtId="187" formatCode="#,"/>
    <numFmt numFmtId="188" formatCode="&quot;R$ &quot;#,##0.00;[Red]&quot;R$ &quot;#,##0.00"/>
    <numFmt numFmtId="189" formatCode="_(* #,##0.000_);_(* \(#,##0.000\);_(* &quot;-&quot;??_);_(@_)"/>
    <numFmt numFmtId="190" formatCode="#,##0\ &quot;Pontos&quot;"/>
    <numFmt numFmtId="191" formatCode="_(* #,##0.00_);_(* \(#,##0.00\);_(* \-??_);_(@_)"/>
    <numFmt numFmtId="192" formatCode="_ * #,##0_ ;_ * \-#,##0_ ;_ * &quot;-&quot;_ ;_ @_ "/>
    <numFmt numFmtId="193" formatCode="_ * #,##0.00_ ;_ * \-#,##0.00_ ;_ * &quot;-&quot;??_ ;_ @_ "/>
    <numFmt numFmtId="194" formatCode="_ &quot;kr&quot;\ * #,##0_ ;_ &quot;kr&quot;\ * \-#,##0_ ;_ &quot;kr&quot;\ * &quot;-&quot;_ ;_ @_ "/>
    <numFmt numFmtId="195" formatCode="_ &quot;kr&quot;\ * #,##0.00_ ;_ &quot;kr&quot;\ * \-#,##0.00_ ;_ &quot;kr&quot;\ * &quot;-&quot;??_ ;_ @_ 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18"/>
      <name val="Arial Narrow"/>
      <family val="2"/>
    </font>
    <font>
      <b/>
      <sz val="12"/>
      <name val="Arial Narrow"/>
      <family val="2"/>
    </font>
    <font>
      <b/>
      <sz val="9"/>
      <color theme="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9"/>
      <color indexed="12"/>
      <name val="Arial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Calibri"/>
      <family val="2"/>
    </font>
    <font>
      <sz val="9"/>
      <color indexed="10"/>
      <name val="Geneva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"/>
      <color indexed="16"/>
      <name val="Courier"/>
      <family val="3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sz val="10"/>
      <name val="Helv"/>
      <charset val="204"/>
    </font>
    <font>
      <u/>
      <sz val="10"/>
      <color indexed="36"/>
      <name val="Arial"/>
      <family val="2"/>
    </font>
    <font>
      <sz val="8"/>
      <name val="Arial"/>
      <family val="2"/>
    </font>
    <font>
      <u/>
      <sz val="7.15"/>
      <color theme="10"/>
      <name val="Calibri"/>
      <family val="2"/>
    </font>
    <font>
      <u/>
      <sz val="8"/>
      <color theme="10"/>
      <name val="Calibri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10"/>
      <color indexed="12"/>
      <name val="Times New Roman"/>
      <family val="1"/>
    </font>
    <font>
      <sz val="11"/>
      <color indexed="20"/>
      <name val="Calibri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8"/>
      <color indexed="8"/>
      <name val="Calibri"/>
      <family val="2"/>
    </font>
    <font>
      <sz val="8"/>
      <color theme="1"/>
      <name val="Arial"/>
      <family val="2"/>
    </font>
    <font>
      <sz val="11"/>
      <name val="Arial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b/>
      <sz val="10"/>
      <name val="Times New Roman"/>
      <family val="1"/>
    </font>
    <font>
      <b/>
      <i/>
      <sz val="16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sz val="10"/>
      <name val="Tahoma"/>
      <family val="2"/>
    </font>
    <font>
      <sz val="12"/>
      <name val="Arial MT"/>
    </font>
    <font>
      <sz val="8"/>
      <color theme="1"/>
      <name val="Arial Narrow"/>
      <family val="2"/>
    </font>
    <font>
      <sz val="8"/>
      <name val="Courier New"/>
      <family val="3"/>
    </font>
    <font>
      <sz val="10"/>
      <color theme="1"/>
      <name val="Century Gothic"/>
      <family val="2"/>
    </font>
    <font>
      <sz val="7"/>
      <name val="Arial"/>
      <family val="2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2"/>
      <color indexed="8"/>
      <name val="Arial"/>
      <family val="2"/>
    </font>
    <font>
      <b/>
      <sz val="14"/>
      <color indexed="48"/>
      <name val="Times New Roman"/>
      <family val="1"/>
    </font>
    <font>
      <sz val="12"/>
      <color indexed="14"/>
      <name val="Arial"/>
      <family val="2"/>
    </font>
    <font>
      <sz val="1"/>
      <color indexed="18"/>
      <name val="Courier"/>
      <family val="3"/>
    </font>
    <font>
      <sz val="8"/>
      <color indexed="8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b/>
      <sz val="1"/>
      <color indexed="16"/>
      <name val="Courier"/>
      <family val="3"/>
    </font>
    <font>
      <sz val="11"/>
      <name val="ＭＳ Ｐゴシック"/>
      <family val="3"/>
      <charset val="12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3"/>
        <b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FF125"/>
        <bgColor indexed="64"/>
      </patternFill>
    </fill>
    <fill>
      <patternFill patternType="solid">
        <fgColor rgb="FF00CC00"/>
        <bgColor indexed="64"/>
      </patternFill>
    </fill>
  </fills>
  <borders count="33">
    <border>
      <left/>
      <right/>
      <top/>
      <bottom/>
      <diagonal/>
    </border>
    <border>
      <left style="thin">
        <color theme="0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FFFFFF"/>
      </left>
      <right/>
      <top style="thin">
        <color theme="8" tint="0.39997558519241921"/>
      </top>
      <bottom/>
      <diagonal/>
    </border>
    <border>
      <left style="thin">
        <color rgb="FFFFFFFF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9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>
      <alignment vertical="top"/>
    </xf>
    <xf numFmtId="0" fontId="14" fillId="0" borderId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6" fillId="41" borderId="0" applyNumberFormat="0" applyBorder="0" applyAlignment="0" applyProtection="0"/>
    <xf numFmtId="0" fontId="15" fillId="39" borderId="0" applyNumberFormat="0" applyBorder="0" applyAlignment="0" applyProtection="0"/>
    <xf numFmtId="0" fontId="15" fillId="42" borderId="0" applyNumberFormat="0" applyBorder="0" applyAlignment="0" applyProtection="0"/>
    <xf numFmtId="0" fontId="16" fillId="40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6" fillId="40" borderId="0" applyNumberFormat="0" applyBorder="0" applyAlignment="0" applyProtection="0"/>
    <xf numFmtId="0" fontId="15" fillId="43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45" borderId="4" applyNumberFormat="0" applyBorder="0" applyAlignment="0">
      <alignment horizontal="left" vertical="center" wrapText="1"/>
    </xf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2" fontId="18" fillId="0" borderId="4" applyFont="0" applyFill="0" applyProtection="0">
      <alignment horizontal="right" vertical="center"/>
    </xf>
    <xf numFmtId="0" fontId="19" fillId="49" borderId="9" applyNumberFormat="0" applyAlignment="0" applyProtection="0"/>
    <xf numFmtId="0" fontId="19" fillId="49" borderId="9" applyNumberFormat="0" applyAlignment="0" applyProtection="0"/>
    <xf numFmtId="0" fontId="20" fillId="49" borderId="10" applyNumberFormat="0" applyAlignment="0" applyProtection="0"/>
    <xf numFmtId="0" fontId="20" fillId="49" borderId="10" applyNumberFormat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6" fillId="0" borderId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8" fillId="0" borderId="15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7" fillId="51" borderId="14" applyNumberFormat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21" fillId="22" borderId="0" applyNumberFormat="0" applyBorder="0" applyAlignment="0" applyProtection="0"/>
    <xf numFmtId="16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30" fillId="0" borderId="0">
      <protection locked="0"/>
    </xf>
    <xf numFmtId="0" fontId="17" fillId="1" borderId="4" applyNumberFormat="0" applyFont="0" applyFill="0" applyBorder="0">
      <alignment horizontal="left" vertical="center" wrapText="1"/>
    </xf>
    <xf numFmtId="0" fontId="31" fillId="25" borderId="10" applyNumberFormat="0" applyAlignment="0" applyProtection="0"/>
    <xf numFmtId="0" fontId="31" fillId="25" borderId="10" applyNumberFormat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49" fontId="34" fillId="57" borderId="4" applyNumberFormat="0" applyBorder="0" applyAlignment="0">
      <alignment horizontal="left" vertical="center" wrapText="1"/>
    </xf>
    <xf numFmtId="39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9" fontId="35" fillId="0" borderId="0"/>
    <xf numFmtId="172" fontId="15" fillId="0" borderId="0" applyFont="0" applyFill="0" applyBorder="0" applyAlignment="0" applyProtection="0"/>
    <xf numFmtId="173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0" fontId="15" fillId="0" borderId="0"/>
    <xf numFmtId="0" fontId="15" fillId="0" borderId="0"/>
    <xf numFmtId="171" fontId="30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21" fillId="22" borderId="0" applyNumberFormat="0" applyBorder="0" applyAlignment="0" applyProtection="0"/>
    <xf numFmtId="0" fontId="38" fillId="58" borderId="0" applyNumberFormat="0" applyBorder="0" applyAlignment="0" applyProtection="0"/>
    <xf numFmtId="0" fontId="21" fillId="22" borderId="0" applyNumberFormat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5" fillId="21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6" fillId="0" borderId="0"/>
    <xf numFmtId="0" fontId="31" fillId="25" borderId="10" applyNumberFormat="0" applyAlignment="0" applyProtection="0"/>
    <xf numFmtId="0" fontId="38" fillId="59" borderId="0" applyNumberFormat="0" applyBorder="0" applyAlignment="0" applyProtection="0"/>
    <xf numFmtId="0" fontId="31" fillId="25" borderId="10" applyNumberFormat="0" applyAlignment="0" applyProtection="0"/>
    <xf numFmtId="49" fontId="17" fillId="1" borderId="18" applyFont="0" applyFill="0" applyBorder="0">
      <alignment horizontal="left" vertical="center"/>
    </xf>
    <xf numFmtId="0" fontId="28" fillId="0" borderId="15" applyNumberFormat="0" applyFill="0" applyAlignment="0" applyProtection="0"/>
    <xf numFmtId="0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4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4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17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180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5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50" fillId="0" borderId="0" applyFont="0" applyFill="0" applyBorder="0" applyAlignment="0" applyProtection="0"/>
    <xf numFmtId="16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2" fillId="31" borderId="0" applyNumberFormat="0" applyBorder="0" applyAlignment="0" applyProtection="0"/>
    <xf numFmtId="0" fontId="53" fillId="60" borderId="19" applyBorder="0" applyAlignment="0">
      <alignment horizontal="left" vertical="center" wrapText="1"/>
    </xf>
    <xf numFmtId="0" fontId="34" fillId="57" borderId="4" applyNumberFormat="0" applyBorder="0" applyAlignment="0">
      <alignment horizontal="center" vertical="center"/>
    </xf>
    <xf numFmtId="49" fontId="34" fillId="61" borderId="4" applyNumberFormat="0" applyBorder="0" applyAlignment="0">
      <alignment horizontal="left" vertical="center" wrapText="1"/>
    </xf>
    <xf numFmtId="49" fontId="18" fillId="0" borderId="4" applyNumberFormat="0" applyBorder="0" applyAlignment="0">
      <alignment horizontal="left" vertical="center" wrapText="1"/>
    </xf>
    <xf numFmtId="49" fontId="54" fillId="60" borderId="4" applyNumberFormat="0" applyBorder="0" applyAlignment="0">
      <alignment horizontal="left" vertical="center" wrapText="1"/>
    </xf>
    <xf numFmtId="0" fontId="55" fillId="62" borderId="20" applyNumberFormat="0" applyFill="0" applyBorder="0" applyAlignment="0">
      <alignment horizontal="left" vertical="center" wrapText="1"/>
    </xf>
    <xf numFmtId="0" fontId="56" fillId="0" borderId="0" applyNumberFormat="0" applyFill="0" applyBorder="0" applyAlignment="0" applyProtection="0"/>
    <xf numFmtId="186" fontId="57" fillId="0" borderId="0"/>
    <xf numFmtId="0" fontId="14" fillId="0" borderId="0"/>
    <xf numFmtId="0" fontId="14" fillId="0" borderId="0"/>
    <xf numFmtId="178" fontId="1" fillId="0" borderId="0"/>
    <xf numFmtId="0" fontId="14" fillId="0" borderId="0"/>
    <xf numFmtId="178" fontId="1" fillId="0" borderId="0"/>
    <xf numFmtId="0" fontId="14" fillId="0" borderId="0"/>
    <xf numFmtId="178" fontId="14" fillId="0" borderId="0"/>
    <xf numFmtId="178" fontId="14" fillId="0" borderId="0"/>
    <xf numFmtId="0" fontId="1" fillId="0" borderId="0"/>
    <xf numFmtId="0" fontId="14" fillId="0" borderId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178" fontId="14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178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0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1" fillId="0" borderId="0" applyBorder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62" fillId="0" borderId="0"/>
    <xf numFmtId="17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5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6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4" fillId="0" borderId="0"/>
    <xf numFmtId="0" fontId="47" fillId="0" borderId="0"/>
    <xf numFmtId="0" fontId="38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66" fillId="0" borderId="0" applyNumberFormat="0" applyFill="0" applyBorder="0" applyAlignment="0" applyProtection="0"/>
    <xf numFmtId="0" fontId="14" fillId="0" borderId="0"/>
    <xf numFmtId="0" fontId="1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4" fillId="0" borderId="0"/>
    <xf numFmtId="0" fontId="14" fillId="0" borderId="0"/>
    <xf numFmtId="0" fontId="14" fillId="0" borderId="0"/>
    <xf numFmtId="0" fontId="67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 applyNumberFormat="0" applyFill="0" applyBorder="0" applyAlignment="0" applyProtection="0"/>
    <xf numFmtId="0" fontId="58" fillId="0" borderId="0"/>
    <xf numFmtId="0" fontId="14" fillId="0" borderId="0"/>
    <xf numFmtId="172" fontId="14" fillId="0" borderId="0"/>
    <xf numFmtId="0" fontId="14" fillId="0" borderId="0"/>
    <xf numFmtId="0" fontId="14" fillId="0" borderId="0"/>
    <xf numFmtId="0" fontId="62" fillId="0" borderId="0"/>
    <xf numFmtId="0" fontId="6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0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50" fillId="0" borderId="0"/>
    <xf numFmtId="0" fontId="61" fillId="0" borderId="0" applyBorder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2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172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8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38" fillId="0" borderId="22" applyFont="0" applyFill="0" applyBorder="0">
      <alignment horizontal="center" vertical="center"/>
    </xf>
    <xf numFmtId="10" fontId="14" fillId="0" borderId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30" fillId="0" borderId="0">
      <protection locked="0"/>
    </xf>
    <xf numFmtId="171" fontId="30" fillId="0" borderId="0">
      <protection locked="0"/>
    </xf>
    <xf numFmtId="9" fontId="38" fillId="0" borderId="0" applyFont="0" applyFill="0" applyBorder="0" applyAlignment="0" applyProtection="0"/>
    <xf numFmtId="9" fontId="46" fillId="0" borderId="0" applyFont="0" applyFill="0" applyBorder="0" applyAlignment="0" applyProtection="0"/>
    <xf numFmtId="13" fontId="14" fillId="0" borderId="0" applyFont="0" applyFill="0" applyProtection="0"/>
    <xf numFmtId="13" fontId="14" fillId="0" borderId="0" applyFont="0" applyFill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4" fillId="0" borderId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8" fillId="0" borderId="0">
      <alignment horizontal="center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9" fillId="0" borderId="23">
      <alignment horizontal="center"/>
    </xf>
    <xf numFmtId="3" fontId="61" fillId="0" borderId="0" applyFont="0" applyFill="0" applyBorder="0" applyAlignment="0" applyProtection="0"/>
    <xf numFmtId="0" fontId="61" fillId="63" borderId="0" applyNumberFormat="0" applyFont="0" applyBorder="0" applyAlignment="0" applyProtection="0"/>
    <xf numFmtId="0" fontId="13" fillId="0" borderId="24">
      <alignment horizontal="left" vertical="center"/>
    </xf>
    <xf numFmtId="0" fontId="13" fillId="0" borderId="24">
      <alignment horizontal="left" vertical="center"/>
    </xf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4" fontId="70" fillId="64" borderId="25" applyNumberFormat="0" applyProtection="0">
      <alignment vertical="center"/>
    </xf>
    <xf numFmtId="4" fontId="71" fillId="64" borderId="25" applyNumberFormat="0" applyProtection="0">
      <alignment vertical="center"/>
    </xf>
    <xf numFmtId="4" fontId="72" fillId="64" borderId="25" applyNumberFormat="0" applyProtection="0">
      <alignment horizontal="left" vertical="center" indent="1"/>
    </xf>
    <xf numFmtId="4" fontId="73" fillId="65" borderId="0" applyNumberFormat="0" applyProtection="0">
      <alignment horizontal="left" vertical="center" indent="1"/>
    </xf>
    <xf numFmtId="4" fontId="72" fillId="66" borderId="25" applyNumberFormat="0" applyProtection="0">
      <alignment horizontal="right" vertical="center"/>
    </xf>
    <xf numFmtId="4" fontId="72" fillId="67" borderId="25" applyNumberFormat="0" applyProtection="0">
      <alignment horizontal="right" vertical="center"/>
    </xf>
    <xf numFmtId="4" fontId="72" fillId="68" borderId="25" applyNumberFormat="0" applyProtection="0">
      <alignment horizontal="right" vertical="center"/>
    </xf>
    <xf numFmtId="4" fontId="72" fillId="61" borderId="25" applyNumberFormat="0" applyProtection="0">
      <alignment horizontal="right" vertical="center"/>
    </xf>
    <xf numFmtId="4" fontId="72" fillId="69" borderId="25" applyNumberFormat="0" applyProtection="0">
      <alignment horizontal="right" vertical="center"/>
    </xf>
    <xf numFmtId="4" fontId="72" fillId="70" borderId="25" applyNumberFormat="0" applyProtection="0">
      <alignment horizontal="right" vertical="center"/>
    </xf>
    <xf numFmtId="4" fontId="72" fillId="71" borderId="25" applyNumberFormat="0" applyProtection="0">
      <alignment horizontal="right" vertical="center"/>
    </xf>
    <xf numFmtId="4" fontId="72" fillId="72" borderId="25" applyNumberFormat="0" applyProtection="0">
      <alignment horizontal="right" vertical="center"/>
    </xf>
    <xf numFmtId="4" fontId="72" fillId="73" borderId="25" applyNumberFormat="0" applyProtection="0">
      <alignment horizontal="right" vertical="center"/>
    </xf>
    <xf numFmtId="4" fontId="74" fillId="74" borderId="26" applyNumberFormat="0" applyProtection="0">
      <alignment horizontal="left" vertical="center" indent="1"/>
    </xf>
    <xf numFmtId="4" fontId="75" fillId="57" borderId="0" applyNumberFormat="0" applyProtection="0">
      <alignment horizontal="left" vertical="center" indent="1"/>
    </xf>
    <xf numFmtId="4" fontId="70" fillId="65" borderId="0" applyNumberFormat="0" applyProtection="0">
      <alignment horizontal="left" vertical="center" indent="1"/>
    </xf>
    <xf numFmtId="4" fontId="72" fillId="57" borderId="25" applyNumberFormat="0" applyProtection="0">
      <alignment horizontal="right" vertical="center"/>
    </xf>
    <xf numFmtId="4" fontId="13" fillId="57" borderId="0" applyNumberFormat="0" applyProtection="0">
      <alignment horizontal="left" vertical="center" indent="1"/>
    </xf>
    <xf numFmtId="4" fontId="13" fillId="65" borderId="0" applyNumberFormat="0" applyProtection="0">
      <alignment horizontal="left" vertical="center" indent="1"/>
    </xf>
    <xf numFmtId="4" fontId="72" fillId="75" borderId="25" applyNumberFormat="0" applyProtection="0">
      <alignment vertical="center"/>
    </xf>
    <xf numFmtId="4" fontId="76" fillId="75" borderId="25" applyNumberFormat="0" applyProtection="0">
      <alignment vertical="center"/>
    </xf>
    <xf numFmtId="4" fontId="70" fillId="57" borderId="27" applyNumberFormat="0" applyProtection="0">
      <alignment horizontal="left" vertical="center" indent="1"/>
    </xf>
    <xf numFmtId="4" fontId="73" fillId="75" borderId="25" applyNumberFormat="0" applyProtection="0">
      <alignment horizontal="right" vertical="center"/>
    </xf>
    <xf numFmtId="4" fontId="76" fillId="75" borderId="25" applyNumberFormat="0" applyProtection="0">
      <alignment horizontal="right" vertical="center"/>
    </xf>
    <xf numFmtId="4" fontId="75" fillId="57" borderId="25" applyNumberFormat="0" applyProtection="0">
      <alignment horizontal="left" vertical="center" indent="1"/>
    </xf>
    <xf numFmtId="4" fontId="77" fillId="76" borderId="27" applyNumberFormat="0" applyProtection="0">
      <alignment horizontal="left" vertical="center" indent="1"/>
    </xf>
    <xf numFmtId="4" fontId="78" fillId="75" borderId="25" applyNumberFormat="0" applyProtection="0">
      <alignment horizontal="right" vertical="center"/>
    </xf>
    <xf numFmtId="0" fontId="45" fillId="21" borderId="0" applyNumberFormat="0" applyBorder="0" applyAlignment="0" applyProtection="0"/>
    <xf numFmtId="187" fontId="79" fillId="0" borderId="0">
      <protection locked="0"/>
    </xf>
    <xf numFmtId="43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2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8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88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1" fontId="14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17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91" fontId="14" fillId="0" borderId="0" applyFill="0" applyBorder="0" applyAlignment="0" applyProtection="0"/>
    <xf numFmtId="0" fontId="81" fillId="0" borderId="0" applyNumberFormat="0" applyFill="0" applyBorder="0" applyAlignment="0" applyProtection="0"/>
    <xf numFmtId="0" fontId="14" fillId="0" borderId="0"/>
    <xf numFmtId="0" fontId="61" fillId="0" borderId="0"/>
    <xf numFmtId="0" fontId="14" fillId="0" borderId="0"/>
    <xf numFmtId="0" fontId="61" fillId="0" borderId="0"/>
    <xf numFmtId="49" fontId="17" fillId="1" borderId="18" applyFont="0" applyFill="0" applyAlignment="0">
      <alignment horizontal="left" vertical="center" wrapText="1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7" fillId="1" borderId="18" applyNumberFormat="0" applyFont="0" applyFill="0">
      <alignment horizontal="left" vertical="center" wrapText="1"/>
    </xf>
    <xf numFmtId="0" fontId="22" fillId="0" borderId="11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71" fontId="86" fillId="0" borderId="0">
      <protection locked="0"/>
    </xf>
    <xf numFmtId="171" fontId="86" fillId="0" borderId="0">
      <protection locked="0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4" fontId="14" fillId="0" borderId="32" applyFont="0" applyFill="0" applyAlignment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27" fillId="51" borderId="14" applyNumberFormat="0" applyAlignment="0" applyProtection="0"/>
    <xf numFmtId="0" fontId="28" fillId="0" borderId="15" applyNumberFormat="0" applyFill="0" applyAlignment="0" applyProtection="0"/>
    <xf numFmtId="164" fontId="14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51" borderId="14" applyNumberFormat="0" applyAlignment="0" applyProtection="0"/>
    <xf numFmtId="0" fontId="87" fillId="0" borderId="0"/>
  </cellStyleXfs>
  <cellXfs count="192"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44" fontId="5" fillId="0" borderId="4" xfId="2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 indent="1"/>
    </xf>
    <xf numFmtId="0" fontId="6" fillId="4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43" fontId="6" fillId="4" borderId="0" xfId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2" fontId="6" fillId="0" borderId="4" xfId="0" applyNumberFormat="1" applyFont="1" applyBorder="1" applyAlignment="1">
      <alignment horizontal="right" vertical="center" wrapText="1" indent="1"/>
    </xf>
    <xf numFmtId="2" fontId="6" fillId="0" borderId="4" xfId="3" applyNumberFormat="1" applyFont="1" applyFill="1" applyBorder="1" applyAlignment="1">
      <alignment horizontal="center" vertical="center" wrapText="1"/>
    </xf>
    <xf numFmtId="2" fontId="7" fillId="0" borderId="4" xfId="4" applyNumberFormat="1" applyFont="1" applyFill="1" applyBorder="1" applyAlignment="1">
      <alignment horizontal="center" vertical="center" wrapText="1"/>
    </xf>
    <xf numFmtId="2" fontId="6" fillId="4" borderId="4" xfId="0" applyNumberFormat="1" applyFont="1" applyFill="1" applyBorder="1" applyAlignment="1">
      <alignment horizontal="right" vertical="center" wrapText="1" inden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6" fillId="0" borderId="0" xfId="0" applyFont="1" applyAlignment="1">
      <alignment vertical="center" wrapText="1"/>
    </xf>
    <xf numFmtId="0" fontId="7" fillId="0" borderId="0" xfId="4" applyNumberFormat="1" applyFont="1" applyFill="1" applyBorder="1" applyAlignment="1">
      <alignment horizontal="righ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 applyAlignment="1" applyProtection="1">
      <alignment wrapText="1"/>
      <protection hidden="1"/>
    </xf>
    <xf numFmtId="0" fontId="9" fillId="0" borderId="0" xfId="0" applyFont="1" applyAlignment="1" applyProtection="1">
      <alignment wrapText="1"/>
      <protection hidden="1"/>
    </xf>
    <xf numFmtId="0" fontId="5" fillId="0" borderId="0" xfId="0" applyFont="1" applyAlignment="1" applyProtection="1">
      <alignment horizontal="center" wrapText="1"/>
      <protection hidden="1"/>
    </xf>
    <xf numFmtId="166" fontId="9" fillId="0" borderId="0" xfId="4" applyNumberFormat="1" applyFont="1" applyFill="1" applyBorder="1" applyAlignment="1" applyProtection="1">
      <alignment wrapText="1"/>
      <protection hidden="1"/>
    </xf>
    <xf numFmtId="166" fontId="9" fillId="0" borderId="0" xfId="4" applyNumberFormat="1" applyFont="1" applyFill="1" applyBorder="1" applyAlignment="1" applyProtection="1">
      <alignment horizontal="center" vertical="center" wrapText="1"/>
      <protection hidden="1"/>
    </xf>
    <xf numFmtId="4" fontId="9" fillId="0" borderId="0" xfId="0" applyNumberFormat="1" applyFont="1" applyAlignment="1" applyProtection="1">
      <alignment horizontal="center" wrapText="1"/>
      <protection hidden="1"/>
    </xf>
    <xf numFmtId="3" fontId="9" fillId="0" borderId="0" xfId="0" applyNumberFormat="1" applyFont="1" applyAlignment="1" applyProtection="1">
      <alignment horizontal="center" wrapText="1"/>
      <protection hidden="1"/>
    </xf>
    <xf numFmtId="4" fontId="10" fillId="4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hidden="1"/>
    </xf>
    <xf numFmtId="0" fontId="5" fillId="6" borderId="4" xfId="0" applyFont="1" applyFill="1" applyBorder="1" applyAlignment="1" applyProtection="1">
      <alignment horizontal="center" vertical="center" wrapText="1"/>
      <protection hidden="1"/>
    </xf>
    <xf numFmtId="166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4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3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0" fontId="5" fillId="7" borderId="4" xfId="0" applyFont="1" applyFill="1" applyBorder="1" applyAlignment="1" applyProtection="1">
      <alignment horizontal="center" vertical="center" wrapText="1"/>
      <protection hidden="1"/>
    </xf>
    <xf numFmtId="0" fontId="5" fillId="7" borderId="4" xfId="0" applyFont="1" applyFill="1" applyBorder="1" applyAlignment="1" applyProtection="1">
      <alignment vertical="center" wrapText="1"/>
      <protection hidden="1"/>
    </xf>
    <xf numFmtId="167" fontId="9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7" borderId="4" xfId="0" applyFont="1" applyFill="1" applyBorder="1" applyAlignment="1" applyProtection="1">
      <alignment vertical="center" wrapText="1"/>
      <protection hidden="1"/>
    </xf>
    <xf numFmtId="0" fontId="9" fillId="7" borderId="4" xfId="0" applyFont="1" applyFill="1" applyBorder="1" applyAlignment="1" applyProtection="1">
      <alignment horizontal="left" vertical="center" wrapText="1"/>
      <protection hidden="1"/>
    </xf>
    <xf numFmtId="164" fontId="9" fillId="7" borderId="4" xfId="3" applyFont="1" applyFill="1" applyBorder="1" applyAlignment="1" applyProtection="1">
      <alignment horizontal="center" vertical="center" wrapText="1"/>
      <protection hidden="1"/>
    </xf>
    <xf numFmtId="168" fontId="9" fillId="7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7" borderId="4" xfId="0" applyFont="1" applyFill="1" applyBorder="1" applyAlignment="1" applyProtection="1">
      <alignment horizontal="center" vertical="center" wrapText="1"/>
      <protection hidden="1"/>
    </xf>
    <xf numFmtId="2" fontId="8" fillId="7" borderId="4" xfId="0" applyNumberFormat="1" applyFont="1" applyFill="1" applyBorder="1" applyAlignment="1" applyProtection="1">
      <alignment horizontal="center" vertical="center"/>
      <protection hidden="1"/>
    </xf>
    <xf numFmtId="0" fontId="11" fillId="8" borderId="4" xfId="0" applyFont="1" applyFill="1" applyBorder="1" applyAlignment="1" applyProtection="1">
      <alignment horizontal="center" vertical="center" wrapText="1"/>
      <protection hidden="1"/>
    </xf>
    <xf numFmtId="0" fontId="5" fillId="9" borderId="4" xfId="0" applyFont="1" applyFill="1" applyBorder="1" applyAlignment="1" applyProtection="1">
      <alignment horizontal="center" vertical="center" wrapText="1"/>
      <protection hidden="1"/>
    </xf>
    <xf numFmtId="0" fontId="5" fillId="9" borderId="4" xfId="0" applyFont="1" applyFill="1" applyBorder="1" applyAlignment="1" applyProtection="1">
      <alignment vertical="center" wrapText="1"/>
      <protection hidden="1"/>
    </xf>
    <xf numFmtId="167" fontId="9" fillId="9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9" borderId="4" xfId="0" applyFont="1" applyFill="1" applyBorder="1" applyAlignment="1" applyProtection="1">
      <alignment vertical="center" wrapText="1"/>
      <protection hidden="1"/>
    </xf>
    <xf numFmtId="0" fontId="9" fillId="9" borderId="4" xfId="0" applyFont="1" applyFill="1" applyBorder="1" applyAlignment="1" applyProtection="1">
      <alignment horizontal="left" vertical="center" wrapText="1"/>
      <protection hidden="1"/>
    </xf>
    <xf numFmtId="164" fontId="9" fillId="9" borderId="4" xfId="3" applyFont="1" applyFill="1" applyBorder="1" applyAlignment="1" applyProtection="1">
      <alignment horizontal="center" vertical="center" wrapText="1"/>
      <protection hidden="1"/>
    </xf>
    <xf numFmtId="168" fontId="9" fillId="9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9" borderId="4" xfId="0" applyFont="1" applyFill="1" applyBorder="1" applyAlignment="1" applyProtection="1">
      <alignment horizontal="center" vertical="center" wrapText="1"/>
      <protection hidden="1"/>
    </xf>
    <xf numFmtId="2" fontId="8" fillId="9" borderId="4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5" fillId="10" borderId="4" xfId="0" applyFont="1" applyFill="1" applyBorder="1" applyAlignment="1" applyProtection="1">
      <alignment horizontal="center" vertical="center" wrapText="1"/>
      <protection hidden="1"/>
    </xf>
    <xf numFmtId="0" fontId="5" fillId="10" borderId="4" xfId="0" applyFont="1" applyFill="1" applyBorder="1" applyAlignment="1" applyProtection="1">
      <alignment wrapText="1"/>
      <protection hidden="1"/>
    </xf>
    <xf numFmtId="167" fontId="9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0" borderId="4" xfId="0" applyFont="1" applyFill="1" applyBorder="1" applyAlignment="1" applyProtection="1">
      <alignment vertical="center" wrapText="1"/>
      <protection hidden="1"/>
    </xf>
    <xf numFmtId="0" fontId="9" fillId="10" borderId="4" xfId="0" applyFont="1" applyFill="1" applyBorder="1" applyAlignment="1" applyProtection="1">
      <alignment horizontal="left" vertical="center" wrapText="1"/>
      <protection hidden="1"/>
    </xf>
    <xf numFmtId="164" fontId="9" fillId="10" borderId="4" xfId="3" applyFont="1" applyFill="1" applyBorder="1" applyAlignment="1" applyProtection="1">
      <alignment horizontal="center" vertical="center" wrapText="1"/>
      <protection hidden="1"/>
    </xf>
    <xf numFmtId="168" fontId="9" fillId="10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0" borderId="4" xfId="0" applyFont="1" applyFill="1" applyBorder="1" applyAlignment="1" applyProtection="1">
      <alignment horizontal="center" vertical="center" wrapText="1"/>
      <protection hidden="1"/>
    </xf>
    <xf numFmtId="2" fontId="8" fillId="10" borderId="4" xfId="0" applyNumberFormat="1" applyFont="1" applyFill="1" applyBorder="1" applyAlignment="1" applyProtection="1">
      <alignment horizontal="center" vertical="center"/>
      <protection hidden="1"/>
    </xf>
    <xf numFmtId="0" fontId="5" fillId="10" borderId="4" xfId="0" applyFont="1" applyFill="1" applyBorder="1" applyAlignment="1" applyProtection="1">
      <alignment vertical="center" wrapText="1"/>
      <protection hidden="1"/>
    </xf>
    <xf numFmtId="0" fontId="5" fillId="11" borderId="4" xfId="0" applyFont="1" applyFill="1" applyBorder="1" applyAlignment="1" applyProtection="1">
      <alignment horizontal="center" vertical="center" wrapText="1"/>
      <protection hidden="1"/>
    </xf>
    <xf numFmtId="0" fontId="5" fillId="11" borderId="4" xfId="0" applyFont="1" applyFill="1" applyBorder="1" applyAlignment="1" applyProtection="1">
      <alignment vertical="center" wrapText="1"/>
      <protection hidden="1"/>
    </xf>
    <xf numFmtId="167" fontId="9" fillId="11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1" borderId="4" xfId="0" applyFont="1" applyFill="1" applyBorder="1" applyAlignment="1" applyProtection="1">
      <alignment vertical="center" wrapText="1"/>
      <protection hidden="1"/>
    </xf>
    <xf numFmtId="0" fontId="9" fillId="11" borderId="4" xfId="0" applyFont="1" applyFill="1" applyBorder="1" applyAlignment="1" applyProtection="1">
      <alignment horizontal="left" vertical="center" wrapText="1"/>
      <protection hidden="1"/>
    </xf>
    <xf numFmtId="164" fontId="9" fillId="11" borderId="4" xfId="3" applyFont="1" applyFill="1" applyBorder="1" applyAlignment="1" applyProtection="1">
      <alignment horizontal="center" vertical="center" wrapText="1"/>
      <protection hidden="1"/>
    </xf>
    <xf numFmtId="168" fontId="9" fillId="11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1" borderId="4" xfId="0" applyFont="1" applyFill="1" applyBorder="1" applyAlignment="1" applyProtection="1">
      <alignment horizontal="center" vertical="center" wrapText="1"/>
      <protection hidden="1"/>
    </xf>
    <xf numFmtId="2" fontId="8" fillId="11" borderId="4" xfId="0" applyNumberFormat="1" applyFont="1" applyFill="1" applyBorder="1" applyAlignment="1" applyProtection="1">
      <alignment horizontal="center" vertical="center"/>
      <protection hidden="1"/>
    </xf>
    <xf numFmtId="0" fontId="5" fillId="12" borderId="4" xfId="0" applyFont="1" applyFill="1" applyBorder="1" applyAlignment="1" applyProtection="1">
      <alignment horizontal="center" vertical="center" wrapText="1"/>
      <protection hidden="1"/>
    </xf>
    <xf numFmtId="0" fontId="5" fillId="12" borderId="4" xfId="0" applyFont="1" applyFill="1" applyBorder="1" applyAlignment="1" applyProtection="1">
      <alignment vertical="center" wrapText="1"/>
      <protection hidden="1"/>
    </xf>
    <xf numFmtId="167" fontId="9" fillId="12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2" borderId="4" xfId="0" applyFont="1" applyFill="1" applyBorder="1" applyAlignment="1" applyProtection="1">
      <alignment vertical="center" wrapText="1"/>
      <protection hidden="1"/>
    </xf>
    <xf numFmtId="0" fontId="9" fillId="12" borderId="4" xfId="0" applyFont="1" applyFill="1" applyBorder="1" applyAlignment="1" applyProtection="1">
      <alignment horizontal="left" vertical="center" wrapText="1"/>
      <protection hidden="1"/>
    </xf>
    <xf numFmtId="164" fontId="9" fillId="12" borderId="4" xfId="3" applyFont="1" applyFill="1" applyBorder="1" applyAlignment="1" applyProtection="1">
      <alignment horizontal="center" vertical="center" wrapText="1"/>
      <protection hidden="1"/>
    </xf>
    <xf numFmtId="168" fontId="9" fillId="12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2" borderId="4" xfId="0" applyFont="1" applyFill="1" applyBorder="1" applyAlignment="1" applyProtection="1">
      <alignment horizontal="center" vertical="center" wrapText="1"/>
      <protection hidden="1"/>
    </xf>
    <xf numFmtId="2" fontId="8" fillId="12" borderId="4" xfId="0" applyNumberFormat="1" applyFont="1" applyFill="1" applyBorder="1" applyAlignment="1" applyProtection="1">
      <alignment horizontal="center" vertical="center"/>
      <protection hidden="1"/>
    </xf>
    <xf numFmtId="0" fontId="5" fillId="13" borderId="4" xfId="0" applyFont="1" applyFill="1" applyBorder="1" applyAlignment="1" applyProtection="1">
      <alignment horizontal="center" vertical="center" wrapText="1"/>
      <protection hidden="1"/>
    </xf>
    <xf numFmtId="0" fontId="5" fillId="13" borderId="4" xfId="0" applyFont="1" applyFill="1" applyBorder="1" applyAlignment="1" applyProtection="1">
      <alignment vertical="center" wrapText="1"/>
      <protection hidden="1"/>
    </xf>
    <xf numFmtId="167" fontId="9" fillId="13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3" borderId="4" xfId="0" applyFont="1" applyFill="1" applyBorder="1" applyAlignment="1" applyProtection="1">
      <alignment vertical="center" wrapText="1"/>
      <protection hidden="1"/>
    </xf>
    <xf numFmtId="0" fontId="9" fillId="13" borderId="4" xfId="0" applyFont="1" applyFill="1" applyBorder="1" applyAlignment="1" applyProtection="1">
      <alignment horizontal="left" vertical="center" wrapText="1"/>
      <protection hidden="1"/>
    </xf>
    <xf numFmtId="164" fontId="9" fillId="13" borderId="4" xfId="3" applyFont="1" applyFill="1" applyBorder="1" applyAlignment="1" applyProtection="1">
      <alignment horizontal="center" vertical="center" wrapText="1"/>
      <protection hidden="1"/>
    </xf>
    <xf numFmtId="168" fontId="9" fillId="13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3" borderId="4" xfId="0" applyFont="1" applyFill="1" applyBorder="1" applyAlignment="1" applyProtection="1">
      <alignment horizontal="center" vertical="center" wrapText="1"/>
      <protection hidden="1"/>
    </xf>
    <xf numFmtId="2" fontId="8" fillId="13" borderId="4" xfId="0" applyNumberFormat="1" applyFont="1" applyFill="1" applyBorder="1" applyAlignment="1" applyProtection="1">
      <alignment horizontal="center" vertical="center"/>
      <protection hidden="1"/>
    </xf>
    <xf numFmtId="0" fontId="5" fillId="14" borderId="4" xfId="0" applyFont="1" applyFill="1" applyBorder="1" applyAlignment="1" applyProtection="1">
      <alignment horizontal="center" vertical="center" wrapText="1"/>
      <protection hidden="1"/>
    </xf>
    <xf numFmtId="0" fontId="5" fillId="14" borderId="4" xfId="0" applyFont="1" applyFill="1" applyBorder="1" applyAlignment="1" applyProtection="1">
      <alignment vertical="center" wrapText="1"/>
      <protection hidden="1"/>
    </xf>
    <xf numFmtId="167" fontId="9" fillId="14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4" borderId="4" xfId="0" applyFont="1" applyFill="1" applyBorder="1" applyAlignment="1" applyProtection="1">
      <alignment vertical="center" wrapText="1"/>
      <protection hidden="1"/>
    </xf>
    <xf numFmtId="0" fontId="9" fillId="14" borderId="4" xfId="0" applyFont="1" applyFill="1" applyBorder="1" applyAlignment="1" applyProtection="1">
      <alignment horizontal="left" vertical="center" wrapText="1"/>
      <protection hidden="1"/>
    </xf>
    <xf numFmtId="164" fontId="9" fillId="14" borderId="4" xfId="3" applyFont="1" applyFill="1" applyBorder="1" applyAlignment="1" applyProtection="1">
      <alignment horizontal="center" vertical="center" wrapText="1"/>
      <protection hidden="1"/>
    </xf>
    <xf numFmtId="168" fontId="9" fillId="14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4" borderId="4" xfId="0" applyFont="1" applyFill="1" applyBorder="1" applyAlignment="1" applyProtection="1">
      <alignment horizontal="center" vertical="center" wrapText="1"/>
      <protection hidden="1"/>
    </xf>
    <xf numFmtId="2" fontId="8" fillId="14" borderId="4" xfId="0" applyNumberFormat="1" applyFont="1" applyFill="1" applyBorder="1" applyAlignment="1" applyProtection="1">
      <alignment horizontal="center" vertical="center"/>
      <protection hidden="1"/>
    </xf>
    <xf numFmtId="0" fontId="5" fillId="15" borderId="4" xfId="0" applyFont="1" applyFill="1" applyBorder="1" applyAlignment="1" applyProtection="1">
      <alignment horizontal="center" vertical="center" wrapText="1"/>
      <protection hidden="1"/>
    </xf>
    <xf numFmtId="0" fontId="5" fillId="15" borderId="4" xfId="0" applyFont="1" applyFill="1" applyBorder="1" applyAlignment="1" applyProtection="1">
      <alignment vertical="center" wrapText="1"/>
      <protection hidden="1"/>
    </xf>
    <xf numFmtId="167" fontId="9" fillId="15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5" borderId="4" xfId="0" applyFont="1" applyFill="1" applyBorder="1" applyAlignment="1" applyProtection="1">
      <alignment vertical="center" wrapText="1"/>
      <protection hidden="1"/>
    </xf>
    <xf numFmtId="0" fontId="9" fillId="15" borderId="4" xfId="0" applyFont="1" applyFill="1" applyBorder="1" applyAlignment="1" applyProtection="1">
      <alignment horizontal="left" vertical="center" wrapText="1"/>
      <protection hidden="1"/>
    </xf>
    <xf numFmtId="164" fontId="9" fillId="15" borderId="4" xfId="3" applyFont="1" applyFill="1" applyBorder="1" applyAlignment="1" applyProtection="1">
      <alignment horizontal="center" vertical="center" wrapText="1"/>
      <protection hidden="1"/>
    </xf>
    <xf numFmtId="168" fontId="9" fillId="15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5" borderId="4" xfId="0" applyFont="1" applyFill="1" applyBorder="1" applyAlignment="1" applyProtection="1">
      <alignment horizontal="center" vertical="center" wrapText="1"/>
      <protection hidden="1"/>
    </xf>
    <xf numFmtId="2" fontId="8" fillId="15" borderId="4" xfId="0" applyNumberFormat="1" applyFont="1" applyFill="1" applyBorder="1" applyAlignment="1" applyProtection="1">
      <alignment horizontal="center" vertical="center"/>
      <protection hidden="1"/>
    </xf>
    <xf numFmtId="2" fontId="5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4" xfId="0" applyFont="1" applyFill="1" applyBorder="1" applyAlignment="1" applyProtection="1">
      <alignment horizontal="center" vertical="center" wrapText="1"/>
      <protection hidden="1"/>
    </xf>
    <xf numFmtId="0" fontId="5" fillId="16" borderId="4" xfId="0" applyFont="1" applyFill="1" applyBorder="1" applyAlignment="1" applyProtection="1">
      <alignment vertical="center" wrapText="1"/>
      <protection hidden="1"/>
    </xf>
    <xf numFmtId="167" fontId="9" fillId="16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6" borderId="4" xfId="0" applyFont="1" applyFill="1" applyBorder="1" applyAlignment="1" applyProtection="1">
      <alignment vertical="center" wrapText="1"/>
      <protection hidden="1"/>
    </xf>
    <xf numFmtId="0" fontId="9" fillId="16" borderId="4" xfId="0" applyFont="1" applyFill="1" applyBorder="1" applyAlignment="1" applyProtection="1">
      <alignment horizontal="left" vertical="center" wrapText="1"/>
      <protection hidden="1"/>
    </xf>
    <xf numFmtId="164" fontId="9" fillId="16" borderId="4" xfId="3" applyFont="1" applyFill="1" applyBorder="1" applyAlignment="1" applyProtection="1">
      <alignment horizontal="center" vertical="center" wrapText="1"/>
      <protection hidden="1"/>
    </xf>
    <xf numFmtId="168" fontId="9" fillId="16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6" borderId="4" xfId="0" applyFont="1" applyFill="1" applyBorder="1" applyAlignment="1" applyProtection="1">
      <alignment horizontal="center" vertical="center" wrapText="1"/>
      <protection hidden="1"/>
    </xf>
    <xf numFmtId="2" fontId="8" fillId="16" borderId="4" xfId="0" applyNumberFormat="1" applyFont="1" applyFill="1" applyBorder="1" applyAlignment="1" applyProtection="1">
      <alignment horizontal="center" vertical="center"/>
      <protection hidden="1"/>
    </xf>
    <xf numFmtId="2" fontId="5" fillId="16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7" borderId="4" xfId="0" applyFont="1" applyFill="1" applyBorder="1" applyAlignment="1" applyProtection="1">
      <alignment horizontal="center" vertical="center" wrapText="1"/>
      <protection hidden="1"/>
    </xf>
    <xf numFmtId="0" fontId="5" fillId="17" borderId="4" xfId="0" applyFont="1" applyFill="1" applyBorder="1" applyAlignment="1" applyProtection="1">
      <alignment vertical="center" wrapText="1"/>
      <protection hidden="1"/>
    </xf>
    <xf numFmtId="167" fontId="9" fillId="17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7" borderId="4" xfId="0" applyFont="1" applyFill="1" applyBorder="1" applyAlignment="1" applyProtection="1">
      <alignment vertical="center" wrapText="1"/>
      <protection hidden="1"/>
    </xf>
    <xf numFmtId="0" fontId="9" fillId="17" borderId="4" xfId="0" applyFont="1" applyFill="1" applyBorder="1" applyAlignment="1" applyProtection="1">
      <alignment horizontal="left" vertical="center" wrapText="1"/>
      <protection hidden="1"/>
    </xf>
    <xf numFmtId="164" fontId="9" fillId="17" borderId="4" xfId="3" applyFont="1" applyFill="1" applyBorder="1" applyAlignment="1" applyProtection="1">
      <alignment horizontal="center" vertical="center" wrapText="1"/>
      <protection hidden="1"/>
    </xf>
    <xf numFmtId="168" fontId="9" fillId="17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7" borderId="4" xfId="0" applyFont="1" applyFill="1" applyBorder="1" applyAlignment="1" applyProtection="1">
      <alignment horizontal="center" vertical="center" wrapText="1"/>
      <protection hidden="1"/>
    </xf>
    <xf numFmtId="2" fontId="8" fillId="17" borderId="4" xfId="0" applyNumberFormat="1" applyFont="1" applyFill="1" applyBorder="1" applyAlignment="1" applyProtection="1">
      <alignment horizontal="center" vertical="center"/>
      <protection hidden="1"/>
    </xf>
    <xf numFmtId="2" fontId="5" fillId="17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8" borderId="4" xfId="0" applyFont="1" applyFill="1" applyBorder="1" applyAlignment="1" applyProtection="1">
      <alignment horizontal="center" vertical="center" wrapText="1"/>
      <protection hidden="1"/>
    </xf>
    <xf numFmtId="0" fontId="5" fillId="18" borderId="4" xfId="0" applyFont="1" applyFill="1" applyBorder="1" applyAlignment="1" applyProtection="1">
      <alignment vertical="center" wrapText="1"/>
      <protection hidden="1"/>
    </xf>
    <xf numFmtId="167" fontId="9" fillId="18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8" borderId="4" xfId="0" applyFont="1" applyFill="1" applyBorder="1" applyAlignment="1" applyProtection="1">
      <alignment vertical="center" wrapText="1"/>
      <protection hidden="1"/>
    </xf>
    <xf numFmtId="0" fontId="9" fillId="18" borderId="4" xfId="0" applyFont="1" applyFill="1" applyBorder="1" applyAlignment="1" applyProtection="1">
      <alignment horizontal="left" vertical="center" wrapText="1"/>
      <protection hidden="1"/>
    </xf>
    <xf numFmtId="164" fontId="9" fillId="18" borderId="4" xfId="3" applyFont="1" applyFill="1" applyBorder="1" applyAlignment="1" applyProtection="1">
      <alignment horizontal="center" vertical="center" wrapText="1"/>
      <protection hidden="1"/>
    </xf>
    <xf numFmtId="168" fontId="9" fillId="18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8" borderId="4" xfId="0" applyFont="1" applyFill="1" applyBorder="1" applyAlignment="1" applyProtection="1">
      <alignment horizontal="center" vertical="center" wrapText="1"/>
      <protection hidden="1"/>
    </xf>
    <xf numFmtId="2" fontId="8" fillId="18" borderId="4" xfId="0" applyNumberFormat="1" applyFont="1" applyFill="1" applyBorder="1" applyAlignment="1" applyProtection="1">
      <alignment horizontal="center" vertical="center"/>
      <protection hidden="1"/>
    </xf>
    <xf numFmtId="0" fontId="5" fillId="19" borderId="4" xfId="0" applyFont="1" applyFill="1" applyBorder="1" applyAlignment="1" applyProtection="1">
      <alignment horizontal="center" vertical="center" wrapText="1"/>
      <protection hidden="1"/>
    </xf>
    <xf numFmtId="0" fontId="5" fillId="19" borderId="4" xfId="0" applyFont="1" applyFill="1" applyBorder="1" applyAlignment="1" applyProtection="1">
      <alignment vertical="center" wrapText="1"/>
      <protection hidden="1"/>
    </xf>
    <xf numFmtId="167" fontId="9" fillId="19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9" borderId="4" xfId="0" applyFont="1" applyFill="1" applyBorder="1" applyAlignment="1" applyProtection="1">
      <alignment vertical="center" wrapText="1"/>
      <protection hidden="1"/>
    </xf>
    <xf numFmtId="0" fontId="9" fillId="19" borderId="4" xfId="0" applyFont="1" applyFill="1" applyBorder="1" applyAlignment="1" applyProtection="1">
      <alignment horizontal="left" vertical="center" wrapText="1"/>
      <protection hidden="1"/>
    </xf>
    <xf numFmtId="164" fontId="9" fillId="19" borderId="4" xfId="3" applyFont="1" applyFill="1" applyBorder="1" applyAlignment="1" applyProtection="1">
      <alignment horizontal="center" vertical="center" wrapText="1"/>
      <protection hidden="1"/>
    </xf>
    <xf numFmtId="168" fontId="9" fillId="19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9" borderId="4" xfId="0" applyFont="1" applyFill="1" applyBorder="1" applyAlignment="1" applyProtection="1">
      <alignment horizontal="center" vertical="center" wrapText="1"/>
      <protection hidden="1"/>
    </xf>
    <xf numFmtId="2" fontId="8" fillId="19" borderId="4" xfId="0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4" fontId="8" fillId="0" borderId="0" xfId="0" applyNumberFormat="1" applyFont="1" applyAlignment="1" applyProtection="1">
      <alignment horizontal="center" wrapText="1"/>
      <protection hidden="1"/>
    </xf>
    <xf numFmtId="3" fontId="8" fillId="0" borderId="0" xfId="0" applyNumberFormat="1" applyFont="1" applyAlignment="1" applyProtection="1">
      <alignment horizontal="center" wrapText="1"/>
      <protection hidden="1"/>
    </xf>
    <xf numFmtId="0" fontId="4" fillId="2" borderId="7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3" fontId="0" fillId="0" borderId="0" xfId="0" applyNumberFormat="1"/>
    <xf numFmtId="43" fontId="6" fillId="0" borderId="4" xfId="1" applyFont="1" applyFill="1" applyBorder="1" applyAlignment="1">
      <alignment vertical="center" wrapText="1"/>
    </xf>
    <xf numFmtId="0" fontId="88" fillId="0" borderId="0" xfId="0" applyFont="1"/>
    <xf numFmtId="0" fontId="88" fillId="0" borderId="4" xfId="0" applyFont="1" applyBorder="1" applyAlignment="1">
      <alignment wrapText="1"/>
    </xf>
    <xf numFmtId="0" fontId="88" fillId="0" borderId="0" xfId="0" applyFont="1" applyAlignment="1">
      <alignment wrapText="1"/>
    </xf>
    <xf numFmtId="0" fontId="89" fillId="0" borderId="4" xfId="0" applyFont="1" applyBorder="1" applyAlignment="1">
      <alignment horizontal="center" vertical="center" wrapText="1"/>
    </xf>
    <xf numFmtId="0" fontId="89" fillId="0" borderId="4" xfId="0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7" fillId="4" borderId="2" xfId="0" applyFont="1" applyFill="1" applyBorder="1" applyAlignment="1">
      <alignment vertical="center" wrapText="1"/>
    </xf>
    <xf numFmtId="2" fontId="7" fillId="77" borderId="4" xfId="4" applyNumberFormat="1" applyFont="1" applyFill="1" applyBorder="1" applyAlignment="1">
      <alignment horizontal="center" vertical="center" wrapText="1"/>
    </xf>
    <xf numFmtId="2" fontId="6" fillId="78" borderId="4" xfId="3" applyNumberFormat="1" applyFont="1" applyFill="1" applyBorder="1" applyAlignment="1">
      <alignment horizontal="center" vertical="center" wrapText="1"/>
    </xf>
  </cellXfs>
  <cellStyles count="1997">
    <cellStyle name="_Especialidade Maio 2009 - Manserv - R.3" xfId="5" xr:uid="{00000000-0005-0000-0000-000000000000}"/>
    <cellStyle name="_Questionário Produção" xfId="6" xr:uid="{00000000-0005-0000-0000-000001000000}"/>
    <cellStyle name="20% - Akzent1" xfId="7" xr:uid="{00000000-0005-0000-0000-000002000000}"/>
    <cellStyle name="20% - Akzent2" xfId="8" xr:uid="{00000000-0005-0000-0000-000003000000}"/>
    <cellStyle name="20% - Akzent3" xfId="9" xr:uid="{00000000-0005-0000-0000-000004000000}"/>
    <cellStyle name="20% - Akzent4" xfId="10" xr:uid="{00000000-0005-0000-0000-000005000000}"/>
    <cellStyle name="20% - Akzent5" xfId="11" xr:uid="{00000000-0005-0000-0000-000006000000}"/>
    <cellStyle name="20% - Akzent6" xfId="12" xr:uid="{00000000-0005-0000-0000-000007000000}"/>
    <cellStyle name="20% - Cor1" xfId="13" xr:uid="{00000000-0005-0000-0000-000008000000}"/>
    <cellStyle name="20% - Cor2" xfId="14" xr:uid="{00000000-0005-0000-0000-000009000000}"/>
    <cellStyle name="20% - Cor3" xfId="15" xr:uid="{00000000-0005-0000-0000-00000A000000}"/>
    <cellStyle name="20% - Cor4" xfId="16" xr:uid="{00000000-0005-0000-0000-00000B000000}"/>
    <cellStyle name="20% - Cor5" xfId="17" xr:uid="{00000000-0005-0000-0000-00000C000000}"/>
    <cellStyle name="20% - Cor6" xfId="18" xr:uid="{00000000-0005-0000-0000-00000D000000}"/>
    <cellStyle name="20% - Ênfase1 10" xfId="19" xr:uid="{00000000-0005-0000-0000-00000E000000}"/>
    <cellStyle name="20% - Ênfase1 11" xfId="20" xr:uid="{00000000-0005-0000-0000-00000F000000}"/>
    <cellStyle name="20% - Ênfase1 12" xfId="21" xr:uid="{00000000-0005-0000-0000-000010000000}"/>
    <cellStyle name="20% - Ênfase1 13" xfId="22" xr:uid="{00000000-0005-0000-0000-000011000000}"/>
    <cellStyle name="20% - Ênfase1 14" xfId="23" xr:uid="{00000000-0005-0000-0000-000012000000}"/>
    <cellStyle name="20% - Ênfase1 15" xfId="24" xr:uid="{00000000-0005-0000-0000-000013000000}"/>
    <cellStyle name="20% - Ênfase1 16" xfId="25" xr:uid="{00000000-0005-0000-0000-000014000000}"/>
    <cellStyle name="20% - Ênfase1 2" xfId="26" xr:uid="{00000000-0005-0000-0000-000015000000}"/>
    <cellStyle name="20% - Ênfase1 2 2" xfId="27" xr:uid="{00000000-0005-0000-0000-000016000000}"/>
    <cellStyle name="20% - Ênfase1 3" xfId="28" xr:uid="{00000000-0005-0000-0000-000017000000}"/>
    <cellStyle name="20% - Ênfase1 4" xfId="29" xr:uid="{00000000-0005-0000-0000-000018000000}"/>
    <cellStyle name="20% - Ênfase1 5" xfId="30" xr:uid="{00000000-0005-0000-0000-000019000000}"/>
    <cellStyle name="20% - Ênfase1 6" xfId="31" xr:uid="{00000000-0005-0000-0000-00001A000000}"/>
    <cellStyle name="20% - Ênfase1 7" xfId="32" xr:uid="{00000000-0005-0000-0000-00001B000000}"/>
    <cellStyle name="20% - Ênfase1 8" xfId="33" xr:uid="{00000000-0005-0000-0000-00001C000000}"/>
    <cellStyle name="20% - Ênfase1 9" xfId="34" xr:uid="{00000000-0005-0000-0000-00001D000000}"/>
    <cellStyle name="20% - Ênfase2 10" xfId="35" xr:uid="{00000000-0005-0000-0000-00001E000000}"/>
    <cellStyle name="20% - Ênfase2 11" xfId="36" xr:uid="{00000000-0005-0000-0000-00001F000000}"/>
    <cellStyle name="20% - Ênfase2 12" xfId="37" xr:uid="{00000000-0005-0000-0000-000020000000}"/>
    <cellStyle name="20% - Ênfase2 13" xfId="38" xr:uid="{00000000-0005-0000-0000-000021000000}"/>
    <cellStyle name="20% - Ênfase2 14" xfId="39" xr:uid="{00000000-0005-0000-0000-000022000000}"/>
    <cellStyle name="20% - Ênfase2 15" xfId="40" xr:uid="{00000000-0005-0000-0000-000023000000}"/>
    <cellStyle name="20% - Ênfase2 16" xfId="41" xr:uid="{00000000-0005-0000-0000-000024000000}"/>
    <cellStyle name="20% - Ênfase2 2" xfId="42" xr:uid="{00000000-0005-0000-0000-000025000000}"/>
    <cellStyle name="20% - Ênfase2 2 2" xfId="43" xr:uid="{00000000-0005-0000-0000-000026000000}"/>
    <cellStyle name="20% - Ênfase2 3" xfId="44" xr:uid="{00000000-0005-0000-0000-000027000000}"/>
    <cellStyle name="20% - Ênfase2 4" xfId="45" xr:uid="{00000000-0005-0000-0000-000028000000}"/>
    <cellStyle name="20% - Ênfase2 5" xfId="46" xr:uid="{00000000-0005-0000-0000-000029000000}"/>
    <cellStyle name="20% - Ênfase2 6" xfId="47" xr:uid="{00000000-0005-0000-0000-00002A000000}"/>
    <cellStyle name="20% - Ênfase2 7" xfId="48" xr:uid="{00000000-0005-0000-0000-00002B000000}"/>
    <cellStyle name="20% - Ênfase2 8" xfId="49" xr:uid="{00000000-0005-0000-0000-00002C000000}"/>
    <cellStyle name="20% - Ênfase2 9" xfId="50" xr:uid="{00000000-0005-0000-0000-00002D000000}"/>
    <cellStyle name="20% - Ênfase3 10" xfId="51" xr:uid="{00000000-0005-0000-0000-00002E000000}"/>
    <cellStyle name="20% - Ênfase3 11" xfId="52" xr:uid="{00000000-0005-0000-0000-00002F000000}"/>
    <cellStyle name="20% - Ênfase3 12" xfId="53" xr:uid="{00000000-0005-0000-0000-000030000000}"/>
    <cellStyle name="20% - Ênfase3 13" xfId="54" xr:uid="{00000000-0005-0000-0000-000031000000}"/>
    <cellStyle name="20% - Ênfase3 14" xfId="55" xr:uid="{00000000-0005-0000-0000-000032000000}"/>
    <cellStyle name="20% - Ênfase3 15" xfId="56" xr:uid="{00000000-0005-0000-0000-000033000000}"/>
    <cellStyle name="20% - Ênfase3 16" xfId="57" xr:uid="{00000000-0005-0000-0000-000034000000}"/>
    <cellStyle name="20% - Ênfase3 2" xfId="58" xr:uid="{00000000-0005-0000-0000-000035000000}"/>
    <cellStyle name="20% - Ênfase3 2 2" xfId="59" xr:uid="{00000000-0005-0000-0000-000036000000}"/>
    <cellStyle name="20% - Ênfase3 3" xfId="60" xr:uid="{00000000-0005-0000-0000-000037000000}"/>
    <cellStyle name="20% - Ênfase3 4" xfId="61" xr:uid="{00000000-0005-0000-0000-000038000000}"/>
    <cellStyle name="20% - Ênfase3 5" xfId="62" xr:uid="{00000000-0005-0000-0000-000039000000}"/>
    <cellStyle name="20% - Ênfase3 6" xfId="63" xr:uid="{00000000-0005-0000-0000-00003A000000}"/>
    <cellStyle name="20% - Ênfase3 7" xfId="64" xr:uid="{00000000-0005-0000-0000-00003B000000}"/>
    <cellStyle name="20% - Ênfase3 8" xfId="65" xr:uid="{00000000-0005-0000-0000-00003C000000}"/>
    <cellStyle name="20% - Ênfase3 9" xfId="66" xr:uid="{00000000-0005-0000-0000-00003D000000}"/>
    <cellStyle name="20% - Ênfase4 10" xfId="67" xr:uid="{00000000-0005-0000-0000-00003E000000}"/>
    <cellStyle name="20% - Ênfase4 11" xfId="68" xr:uid="{00000000-0005-0000-0000-00003F000000}"/>
    <cellStyle name="20% - Ênfase4 12" xfId="69" xr:uid="{00000000-0005-0000-0000-000040000000}"/>
    <cellStyle name="20% - Ênfase4 13" xfId="70" xr:uid="{00000000-0005-0000-0000-000041000000}"/>
    <cellStyle name="20% - Ênfase4 14" xfId="71" xr:uid="{00000000-0005-0000-0000-000042000000}"/>
    <cellStyle name="20% - Ênfase4 15" xfId="72" xr:uid="{00000000-0005-0000-0000-000043000000}"/>
    <cellStyle name="20% - Ênfase4 16" xfId="73" xr:uid="{00000000-0005-0000-0000-000044000000}"/>
    <cellStyle name="20% - Ênfase4 2" xfId="74" xr:uid="{00000000-0005-0000-0000-000045000000}"/>
    <cellStyle name="20% - Ênfase4 2 2" xfId="75" xr:uid="{00000000-0005-0000-0000-000046000000}"/>
    <cellStyle name="20% - Ênfase4 3" xfId="76" xr:uid="{00000000-0005-0000-0000-000047000000}"/>
    <cellStyle name="20% - Ênfase4 4" xfId="77" xr:uid="{00000000-0005-0000-0000-000048000000}"/>
    <cellStyle name="20% - Ênfase4 5" xfId="78" xr:uid="{00000000-0005-0000-0000-000049000000}"/>
    <cellStyle name="20% - Ênfase4 6" xfId="79" xr:uid="{00000000-0005-0000-0000-00004A000000}"/>
    <cellStyle name="20% - Ênfase4 7" xfId="80" xr:uid="{00000000-0005-0000-0000-00004B000000}"/>
    <cellStyle name="20% - Ênfase4 8" xfId="81" xr:uid="{00000000-0005-0000-0000-00004C000000}"/>
    <cellStyle name="20% - Ênfase4 9" xfId="82" xr:uid="{00000000-0005-0000-0000-00004D000000}"/>
    <cellStyle name="20% - Ênfase5 10" xfId="83" xr:uid="{00000000-0005-0000-0000-00004E000000}"/>
    <cellStyle name="20% - Ênfase5 11" xfId="84" xr:uid="{00000000-0005-0000-0000-00004F000000}"/>
    <cellStyle name="20% - Ênfase5 12" xfId="85" xr:uid="{00000000-0005-0000-0000-000050000000}"/>
    <cellStyle name="20% - Ênfase5 13" xfId="86" xr:uid="{00000000-0005-0000-0000-000051000000}"/>
    <cellStyle name="20% - Ênfase5 14" xfId="87" xr:uid="{00000000-0005-0000-0000-000052000000}"/>
    <cellStyle name="20% - Ênfase5 15" xfId="88" xr:uid="{00000000-0005-0000-0000-000053000000}"/>
    <cellStyle name="20% - Ênfase5 16" xfId="89" xr:uid="{00000000-0005-0000-0000-000054000000}"/>
    <cellStyle name="20% - Ênfase5 2" xfId="90" xr:uid="{00000000-0005-0000-0000-000055000000}"/>
    <cellStyle name="20% - Ênfase5 2 2" xfId="91" xr:uid="{00000000-0005-0000-0000-000056000000}"/>
    <cellStyle name="20% - Ênfase5 3" xfId="92" xr:uid="{00000000-0005-0000-0000-000057000000}"/>
    <cellStyle name="20% - Ênfase5 4" xfId="93" xr:uid="{00000000-0005-0000-0000-000058000000}"/>
    <cellStyle name="20% - Ênfase5 5" xfId="94" xr:uid="{00000000-0005-0000-0000-000059000000}"/>
    <cellStyle name="20% - Ênfase5 6" xfId="95" xr:uid="{00000000-0005-0000-0000-00005A000000}"/>
    <cellStyle name="20% - Ênfase5 7" xfId="96" xr:uid="{00000000-0005-0000-0000-00005B000000}"/>
    <cellStyle name="20% - Ênfase5 8" xfId="97" xr:uid="{00000000-0005-0000-0000-00005C000000}"/>
    <cellStyle name="20% - Ênfase5 9" xfId="98" xr:uid="{00000000-0005-0000-0000-00005D000000}"/>
    <cellStyle name="20% - Ênfase6 10" xfId="99" xr:uid="{00000000-0005-0000-0000-00005E000000}"/>
    <cellStyle name="20% - Ênfase6 11" xfId="100" xr:uid="{00000000-0005-0000-0000-00005F000000}"/>
    <cellStyle name="20% - Ênfase6 12" xfId="101" xr:uid="{00000000-0005-0000-0000-000060000000}"/>
    <cellStyle name="20% - Ênfase6 13" xfId="102" xr:uid="{00000000-0005-0000-0000-000061000000}"/>
    <cellStyle name="20% - Ênfase6 14" xfId="103" xr:uid="{00000000-0005-0000-0000-000062000000}"/>
    <cellStyle name="20% - Ênfase6 15" xfId="104" xr:uid="{00000000-0005-0000-0000-000063000000}"/>
    <cellStyle name="20% - Ênfase6 16" xfId="105" xr:uid="{00000000-0005-0000-0000-000064000000}"/>
    <cellStyle name="20% - Ênfase6 2" xfId="106" xr:uid="{00000000-0005-0000-0000-000065000000}"/>
    <cellStyle name="20% - Ênfase6 2 2" xfId="107" xr:uid="{00000000-0005-0000-0000-000066000000}"/>
    <cellStyle name="20% - Ênfase6 3" xfId="108" xr:uid="{00000000-0005-0000-0000-000067000000}"/>
    <cellStyle name="20% - Ênfase6 4" xfId="109" xr:uid="{00000000-0005-0000-0000-000068000000}"/>
    <cellStyle name="20% - Ênfase6 5" xfId="110" xr:uid="{00000000-0005-0000-0000-000069000000}"/>
    <cellStyle name="20% - Ênfase6 6" xfId="111" xr:uid="{00000000-0005-0000-0000-00006A000000}"/>
    <cellStyle name="20% - Ênfase6 7" xfId="112" xr:uid="{00000000-0005-0000-0000-00006B000000}"/>
    <cellStyle name="20% - Ênfase6 8" xfId="113" xr:uid="{00000000-0005-0000-0000-00006C000000}"/>
    <cellStyle name="20% - Ênfase6 9" xfId="114" xr:uid="{00000000-0005-0000-0000-00006D000000}"/>
    <cellStyle name="40% - Akzent1" xfId="115" xr:uid="{00000000-0005-0000-0000-00006E000000}"/>
    <cellStyle name="40% - Akzent2" xfId="116" xr:uid="{00000000-0005-0000-0000-00006F000000}"/>
    <cellStyle name="40% - Akzent3" xfId="117" xr:uid="{00000000-0005-0000-0000-000070000000}"/>
    <cellStyle name="40% - Akzent4" xfId="118" xr:uid="{00000000-0005-0000-0000-000071000000}"/>
    <cellStyle name="40% - Akzent5" xfId="119" xr:uid="{00000000-0005-0000-0000-000072000000}"/>
    <cellStyle name="40% - Akzent6" xfId="120" xr:uid="{00000000-0005-0000-0000-000073000000}"/>
    <cellStyle name="40% - Cor1" xfId="121" xr:uid="{00000000-0005-0000-0000-000074000000}"/>
    <cellStyle name="40% - Cor2" xfId="122" xr:uid="{00000000-0005-0000-0000-000075000000}"/>
    <cellStyle name="40% - Cor3" xfId="123" xr:uid="{00000000-0005-0000-0000-000076000000}"/>
    <cellStyle name="40% - Cor4" xfId="124" xr:uid="{00000000-0005-0000-0000-000077000000}"/>
    <cellStyle name="40% - Cor5" xfId="125" xr:uid="{00000000-0005-0000-0000-000078000000}"/>
    <cellStyle name="40% - Cor6" xfId="126" xr:uid="{00000000-0005-0000-0000-000079000000}"/>
    <cellStyle name="40% - Ênfase1 10" xfId="127" xr:uid="{00000000-0005-0000-0000-00007A000000}"/>
    <cellStyle name="40% - Ênfase1 11" xfId="128" xr:uid="{00000000-0005-0000-0000-00007B000000}"/>
    <cellStyle name="40% - Ênfase1 12" xfId="129" xr:uid="{00000000-0005-0000-0000-00007C000000}"/>
    <cellStyle name="40% - Ênfase1 13" xfId="130" xr:uid="{00000000-0005-0000-0000-00007D000000}"/>
    <cellStyle name="40% - Ênfase1 14" xfId="131" xr:uid="{00000000-0005-0000-0000-00007E000000}"/>
    <cellStyle name="40% - Ênfase1 15" xfId="132" xr:uid="{00000000-0005-0000-0000-00007F000000}"/>
    <cellStyle name="40% - Ênfase1 16" xfId="133" xr:uid="{00000000-0005-0000-0000-000080000000}"/>
    <cellStyle name="40% - Ênfase1 2" xfId="134" xr:uid="{00000000-0005-0000-0000-000081000000}"/>
    <cellStyle name="40% - Ênfase1 2 2" xfId="135" xr:uid="{00000000-0005-0000-0000-000082000000}"/>
    <cellStyle name="40% - Ênfase1 3" xfId="136" xr:uid="{00000000-0005-0000-0000-000083000000}"/>
    <cellStyle name="40% - Ênfase1 4" xfId="137" xr:uid="{00000000-0005-0000-0000-000084000000}"/>
    <cellStyle name="40% - Ênfase1 5" xfId="138" xr:uid="{00000000-0005-0000-0000-000085000000}"/>
    <cellStyle name="40% - Ênfase1 6" xfId="139" xr:uid="{00000000-0005-0000-0000-000086000000}"/>
    <cellStyle name="40% - Ênfase1 7" xfId="140" xr:uid="{00000000-0005-0000-0000-000087000000}"/>
    <cellStyle name="40% - Ênfase1 8" xfId="141" xr:uid="{00000000-0005-0000-0000-000088000000}"/>
    <cellStyle name="40% - Ênfase1 9" xfId="142" xr:uid="{00000000-0005-0000-0000-000089000000}"/>
    <cellStyle name="40% - Ênfase2 10" xfId="143" xr:uid="{00000000-0005-0000-0000-00008A000000}"/>
    <cellStyle name="40% - Ênfase2 11" xfId="144" xr:uid="{00000000-0005-0000-0000-00008B000000}"/>
    <cellStyle name="40% - Ênfase2 12" xfId="145" xr:uid="{00000000-0005-0000-0000-00008C000000}"/>
    <cellStyle name="40% - Ênfase2 13" xfId="146" xr:uid="{00000000-0005-0000-0000-00008D000000}"/>
    <cellStyle name="40% - Ênfase2 14" xfId="147" xr:uid="{00000000-0005-0000-0000-00008E000000}"/>
    <cellStyle name="40% - Ênfase2 15" xfId="148" xr:uid="{00000000-0005-0000-0000-00008F000000}"/>
    <cellStyle name="40% - Ênfase2 16" xfId="149" xr:uid="{00000000-0005-0000-0000-000090000000}"/>
    <cellStyle name="40% - Ênfase2 2" xfId="150" xr:uid="{00000000-0005-0000-0000-000091000000}"/>
    <cellStyle name="40% - Ênfase2 2 2" xfId="151" xr:uid="{00000000-0005-0000-0000-000092000000}"/>
    <cellStyle name="40% - Ênfase2 3" xfId="152" xr:uid="{00000000-0005-0000-0000-000093000000}"/>
    <cellStyle name="40% - Ênfase2 4" xfId="153" xr:uid="{00000000-0005-0000-0000-000094000000}"/>
    <cellStyle name="40% - Ênfase2 5" xfId="154" xr:uid="{00000000-0005-0000-0000-000095000000}"/>
    <cellStyle name="40% - Ênfase2 6" xfId="155" xr:uid="{00000000-0005-0000-0000-000096000000}"/>
    <cellStyle name="40% - Ênfase2 7" xfId="156" xr:uid="{00000000-0005-0000-0000-000097000000}"/>
    <cellStyle name="40% - Ênfase2 8" xfId="157" xr:uid="{00000000-0005-0000-0000-000098000000}"/>
    <cellStyle name="40% - Ênfase2 9" xfId="158" xr:uid="{00000000-0005-0000-0000-000099000000}"/>
    <cellStyle name="40% - Ênfase3 10" xfId="159" xr:uid="{00000000-0005-0000-0000-00009A000000}"/>
    <cellStyle name="40% - Ênfase3 11" xfId="160" xr:uid="{00000000-0005-0000-0000-00009B000000}"/>
    <cellStyle name="40% - Ênfase3 12" xfId="161" xr:uid="{00000000-0005-0000-0000-00009C000000}"/>
    <cellStyle name="40% - Ênfase3 13" xfId="162" xr:uid="{00000000-0005-0000-0000-00009D000000}"/>
    <cellStyle name="40% - Ênfase3 14" xfId="163" xr:uid="{00000000-0005-0000-0000-00009E000000}"/>
    <cellStyle name="40% - Ênfase3 15" xfId="164" xr:uid="{00000000-0005-0000-0000-00009F000000}"/>
    <cellStyle name="40% - Ênfase3 16" xfId="165" xr:uid="{00000000-0005-0000-0000-0000A0000000}"/>
    <cellStyle name="40% - Ênfase3 2" xfId="166" xr:uid="{00000000-0005-0000-0000-0000A1000000}"/>
    <cellStyle name="40% - Ênfase3 2 2" xfId="167" xr:uid="{00000000-0005-0000-0000-0000A2000000}"/>
    <cellStyle name="40% - Ênfase3 3" xfId="168" xr:uid="{00000000-0005-0000-0000-0000A3000000}"/>
    <cellStyle name="40% - Ênfase3 4" xfId="169" xr:uid="{00000000-0005-0000-0000-0000A4000000}"/>
    <cellStyle name="40% - Ênfase3 5" xfId="170" xr:uid="{00000000-0005-0000-0000-0000A5000000}"/>
    <cellStyle name="40% - Ênfase3 6" xfId="171" xr:uid="{00000000-0005-0000-0000-0000A6000000}"/>
    <cellStyle name="40% - Ênfase3 7" xfId="172" xr:uid="{00000000-0005-0000-0000-0000A7000000}"/>
    <cellStyle name="40% - Ênfase3 8" xfId="173" xr:uid="{00000000-0005-0000-0000-0000A8000000}"/>
    <cellStyle name="40% - Ênfase3 9" xfId="174" xr:uid="{00000000-0005-0000-0000-0000A9000000}"/>
    <cellStyle name="40% - Ênfase4 10" xfId="175" xr:uid="{00000000-0005-0000-0000-0000AA000000}"/>
    <cellStyle name="40% - Ênfase4 11" xfId="176" xr:uid="{00000000-0005-0000-0000-0000AB000000}"/>
    <cellStyle name="40% - Ênfase4 12" xfId="177" xr:uid="{00000000-0005-0000-0000-0000AC000000}"/>
    <cellStyle name="40% - Ênfase4 13" xfId="178" xr:uid="{00000000-0005-0000-0000-0000AD000000}"/>
    <cellStyle name="40% - Ênfase4 14" xfId="179" xr:uid="{00000000-0005-0000-0000-0000AE000000}"/>
    <cellStyle name="40% - Ênfase4 15" xfId="180" xr:uid="{00000000-0005-0000-0000-0000AF000000}"/>
    <cellStyle name="40% - Ênfase4 16" xfId="181" xr:uid="{00000000-0005-0000-0000-0000B0000000}"/>
    <cellStyle name="40% - Ênfase4 2" xfId="182" xr:uid="{00000000-0005-0000-0000-0000B1000000}"/>
    <cellStyle name="40% - Ênfase4 2 2" xfId="183" xr:uid="{00000000-0005-0000-0000-0000B2000000}"/>
    <cellStyle name="40% - Ênfase4 3" xfId="184" xr:uid="{00000000-0005-0000-0000-0000B3000000}"/>
    <cellStyle name="40% - Ênfase4 4" xfId="185" xr:uid="{00000000-0005-0000-0000-0000B4000000}"/>
    <cellStyle name="40% - Ênfase4 5" xfId="186" xr:uid="{00000000-0005-0000-0000-0000B5000000}"/>
    <cellStyle name="40% - Ênfase4 6" xfId="187" xr:uid="{00000000-0005-0000-0000-0000B6000000}"/>
    <cellStyle name="40% - Ênfase4 7" xfId="188" xr:uid="{00000000-0005-0000-0000-0000B7000000}"/>
    <cellStyle name="40% - Ênfase4 8" xfId="189" xr:uid="{00000000-0005-0000-0000-0000B8000000}"/>
    <cellStyle name="40% - Ênfase4 9" xfId="190" xr:uid="{00000000-0005-0000-0000-0000B9000000}"/>
    <cellStyle name="40% - Ênfase5 10" xfId="191" xr:uid="{00000000-0005-0000-0000-0000BA000000}"/>
    <cellStyle name="40% - Ênfase5 11" xfId="192" xr:uid="{00000000-0005-0000-0000-0000BB000000}"/>
    <cellStyle name="40% - Ênfase5 12" xfId="193" xr:uid="{00000000-0005-0000-0000-0000BC000000}"/>
    <cellStyle name="40% - Ênfase5 13" xfId="194" xr:uid="{00000000-0005-0000-0000-0000BD000000}"/>
    <cellStyle name="40% - Ênfase5 14" xfId="195" xr:uid="{00000000-0005-0000-0000-0000BE000000}"/>
    <cellStyle name="40% - Ênfase5 15" xfId="196" xr:uid="{00000000-0005-0000-0000-0000BF000000}"/>
    <cellStyle name="40% - Ênfase5 16" xfId="197" xr:uid="{00000000-0005-0000-0000-0000C0000000}"/>
    <cellStyle name="40% - Ênfase5 2" xfId="198" xr:uid="{00000000-0005-0000-0000-0000C1000000}"/>
    <cellStyle name="40% - Ênfase5 2 2" xfId="199" xr:uid="{00000000-0005-0000-0000-0000C2000000}"/>
    <cellStyle name="40% - Ênfase5 3" xfId="200" xr:uid="{00000000-0005-0000-0000-0000C3000000}"/>
    <cellStyle name="40% - Ênfase5 4" xfId="201" xr:uid="{00000000-0005-0000-0000-0000C4000000}"/>
    <cellStyle name="40% - Ênfase5 5" xfId="202" xr:uid="{00000000-0005-0000-0000-0000C5000000}"/>
    <cellStyle name="40% - Ênfase5 6" xfId="203" xr:uid="{00000000-0005-0000-0000-0000C6000000}"/>
    <cellStyle name="40% - Ênfase5 7" xfId="204" xr:uid="{00000000-0005-0000-0000-0000C7000000}"/>
    <cellStyle name="40% - Ênfase5 8" xfId="205" xr:uid="{00000000-0005-0000-0000-0000C8000000}"/>
    <cellStyle name="40% - Ênfase5 9" xfId="206" xr:uid="{00000000-0005-0000-0000-0000C9000000}"/>
    <cellStyle name="40% - Ênfase6 10" xfId="207" xr:uid="{00000000-0005-0000-0000-0000CA000000}"/>
    <cellStyle name="40% - Ênfase6 11" xfId="208" xr:uid="{00000000-0005-0000-0000-0000CB000000}"/>
    <cellStyle name="40% - Ênfase6 12" xfId="209" xr:uid="{00000000-0005-0000-0000-0000CC000000}"/>
    <cellStyle name="40% - Ênfase6 13" xfId="210" xr:uid="{00000000-0005-0000-0000-0000CD000000}"/>
    <cellStyle name="40% - Ênfase6 14" xfId="211" xr:uid="{00000000-0005-0000-0000-0000CE000000}"/>
    <cellStyle name="40% - Ênfase6 15" xfId="212" xr:uid="{00000000-0005-0000-0000-0000CF000000}"/>
    <cellStyle name="40% - Ênfase6 16" xfId="213" xr:uid="{00000000-0005-0000-0000-0000D0000000}"/>
    <cellStyle name="40% - Ênfase6 2" xfId="214" xr:uid="{00000000-0005-0000-0000-0000D1000000}"/>
    <cellStyle name="40% - Ênfase6 2 2" xfId="215" xr:uid="{00000000-0005-0000-0000-0000D2000000}"/>
    <cellStyle name="40% - Ênfase6 3" xfId="216" xr:uid="{00000000-0005-0000-0000-0000D3000000}"/>
    <cellStyle name="40% - Ênfase6 4" xfId="217" xr:uid="{00000000-0005-0000-0000-0000D4000000}"/>
    <cellStyle name="40% - Ênfase6 5" xfId="218" xr:uid="{00000000-0005-0000-0000-0000D5000000}"/>
    <cellStyle name="40% - Ênfase6 6" xfId="219" xr:uid="{00000000-0005-0000-0000-0000D6000000}"/>
    <cellStyle name="40% - Ênfase6 7" xfId="220" xr:uid="{00000000-0005-0000-0000-0000D7000000}"/>
    <cellStyle name="40% - Ênfase6 8" xfId="221" xr:uid="{00000000-0005-0000-0000-0000D8000000}"/>
    <cellStyle name="40% - Ênfase6 9" xfId="222" xr:uid="{00000000-0005-0000-0000-0000D9000000}"/>
    <cellStyle name="60% - Akzent1" xfId="223" xr:uid="{00000000-0005-0000-0000-0000DA000000}"/>
    <cellStyle name="60% - Akzent2" xfId="224" xr:uid="{00000000-0005-0000-0000-0000DB000000}"/>
    <cellStyle name="60% - Akzent3" xfId="225" xr:uid="{00000000-0005-0000-0000-0000DC000000}"/>
    <cellStyle name="60% - Akzent4" xfId="226" xr:uid="{00000000-0005-0000-0000-0000DD000000}"/>
    <cellStyle name="60% - Akzent5" xfId="227" xr:uid="{00000000-0005-0000-0000-0000DE000000}"/>
    <cellStyle name="60% - Akzent6" xfId="228" xr:uid="{00000000-0005-0000-0000-0000DF000000}"/>
    <cellStyle name="60% - Cor1" xfId="229" xr:uid="{00000000-0005-0000-0000-0000E0000000}"/>
    <cellStyle name="60% - Cor2" xfId="230" xr:uid="{00000000-0005-0000-0000-0000E1000000}"/>
    <cellStyle name="60% - Cor3" xfId="231" xr:uid="{00000000-0005-0000-0000-0000E2000000}"/>
    <cellStyle name="60% - Cor4" xfId="232" xr:uid="{00000000-0005-0000-0000-0000E3000000}"/>
    <cellStyle name="60% - Cor5" xfId="233" xr:uid="{00000000-0005-0000-0000-0000E4000000}"/>
    <cellStyle name="60% - Cor6" xfId="234" xr:uid="{00000000-0005-0000-0000-0000E5000000}"/>
    <cellStyle name="60% - Ênfase1 10" xfId="235" xr:uid="{00000000-0005-0000-0000-0000E6000000}"/>
    <cellStyle name="60% - Ênfase1 11" xfId="236" xr:uid="{00000000-0005-0000-0000-0000E7000000}"/>
    <cellStyle name="60% - Ênfase1 12" xfId="237" xr:uid="{00000000-0005-0000-0000-0000E8000000}"/>
    <cellStyle name="60% - Ênfase1 13" xfId="238" xr:uid="{00000000-0005-0000-0000-0000E9000000}"/>
    <cellStyle name="60% - Ênfase1 14" xfId="239" xr:uid="{00000000-0005-0000-0000-0000EA000000}"/>
    <cellStyle name="60% - Ênfase1 15" xfId="240" xr:uid="{00000000-0005-0000-0000-0000EB000000}"/>
    <cellStyle name="60% - Ênfase1 16" xfId="241" xr:uid="{00000000-0005-0000-0000-0000EC000000}"/>
    <cellStyle name="60% - Ênfase1 2" xfId="242" xr:uid="{00000000-0005-0000-0000-0000ED000000}"/>
    <cellStyle name="60% - Ênfase1 2 2" xfId="243" xr:uid="{00000000-0005-0000-0000-0000EE000000}"/>
    <cellStyle name="60% - Ênfase1 3" xfId="244" xr:uid="{00000000-0005-0000-0000-0000EF000000}"/>
    <cellStyle name="60% - Ênfase1 4" xfId="245" xr:uid="{00000000-0005-0000-0000-0000F0000000}"/>
    <cellStyle name="60% - Ênfase1 5" xfId="246" xr:uid="{00000000-0005-0000-0000-0000F1000000}"/>
    <cellStyle name="60% - Ênfase1 6" xfId="247" xr:uid="{00000000-0005-0000-0000-0000F2000000}"/>
    <cellStyle name="60% - Ênfase1 7" xfId="248" xr:uid="{00000000-0005-0000-0000-0000F3000000}"/>
    <cellStyle name="60% - Ênfase1 8" xfId="249" xr:uid="{00000000-0005-0000-0000-0000F4000000}"/>
    <cellStyle name="60% - Ênfase1 9" xfId="250" xr:uid="{00000000-0005-0000-0000-0000F5000000}"/>
    <cellStyle name="60% - Ênfase2 10" xfId="251" xr:uid="{00000000-0005-0000-0000-0000F6000000}"/>
    <cellStyle name="60% - Ênfase2 11" xfId="252" xr:uid="{00000000-0005-0000-0000-0000F7000000}"/>
    <cellStyle name="60% - Ênfase2 12" xfId="253" xr:uid="{00000000-0005-0000-0000-0000F8000000}"/>
    <cellStyle name="60% - Ênfase2 13" xfId="254" xr:uid="{00000000-0005-0000-0000-0000F9000000}"/>
    <cellStyle name="60% - Ênfase2 14" xfId="255" xr:uid="{00000000-0005-0000-0000-0000FA000000}"/>
    <cellStyle name="60% - Ênfase2 15" xfId="256" xr:uid="{00000000-0005-0000-0000-0000FB000000}"/>
    <cellStyle name="60% - Ênfase2 16" xfId="257" xr:uid="{00000000-0005-0000-0000-0000FC000000}"/>
    <cellStyle name="60% - Ênfase2 2" xfId="258" xr:uid="{00000000-0005-0000-0000-0000FD000000}"/>
    <cellStyle name="60% - Ênfase2 2 2" xfId="259" xr:uid="{00000000-0005-0000-0000-0000FE000000}"/>
    <cellStyle name="60% - Ênfase2 3" xfId="260" xr:uid="{00000000-0005-0000-0000-0000FF000000}"/>
    <cellStyle name="60% - Ênfase2 4" xfId="261" xr:uid="{00000000-0005-0000-0000-000000010000}"/>
    <cellStyle name="60% - Ênfase2 5" xfId="262" xr:uid="{00000000-0005-0000-0000-000001010000}"/>
    <cellStyle name="60% - Ênfase2 6" xfId="263" xr:uid="{00000000-0005-0000-0000-000002010000}"/>
    <cellStyle name="60% - Ênfase2 7" xfId="264" xr:uid="{00000000-0005-0000-0000-000003010000}"/>
    <cellStyle name="60% - Ênfase2 8" xfId="265" xr:uid="{00000000-0005-0000-0000-000004010000}"/>
    <cellStyle name="60% - Ênfase2 9" xfId="266" xr:uid="{00000000-0005-0000-0000-000005010000}"/>
    <cellStyle name="60% - Ênfase3 10" xfId="267" xr:uid="{00000000-0005-0000-0000-000006010000}"/>
    <cellStyle name="60% - Ênfase3 11" xfId="268" xr:uid="{00000000-0005-0000-0000-000007010000}"/>
    <cellStyle name="60% - Ênfase3 12" xfId="269" xr:uid="{00000000-0005-0000-0000-000008010000}"/>
    <cellStyle name="60% - Ênfase3 13" xfId="270" xr:uid="{00000000-0005-0000-0000-000009010000}"/>
    <cellStyle name="60% - Ênfase3 14" xfId="271" xr:uid="{00000000-0005-0000-0000-00000A010000}"/>
    <cellStyle name="60% - Ênfase3 15" xfId="272" xr:uid="{00000000-0005-0000-0000-00000B010000}"/>
    <cellStyle name="60% - Ênfase3 16" xfId="273" xr:uid="{00000000-0005-0000-0000-00000C010000}"/>
    <cellStyle name="60% - Ênfase3 2" xfId="274" xr:uid="{00000000-0005-0000-0000-00000D010000}"/>
    <cellStyle name="60% - Ênfase3 2 2" xfId="275" xr:uid="{00000000-0005-0000-0000-00000E010000}"/>
    <cellStyle name="60% - Ênfase3 3" xfId="276" xr:uid="{00000000-0005-0000-0000-00000F010000}"/>
    <cellStyle name="60% - Ênfase3 4" xfId="277" xr:uid="{00000000-0005-0000-0000-000010010000}"/>
    <cellStyle name="60% - Ênfase3 5" xfId="278" xr:uid="{00000000-0005-0000-0000-000011010000}"/>
    <cellStyle name="60% - Ênfase3 6" xfId="279" xr:uid="{00000000-0005-0000-0000-000012010000}"/>
    <cellStyle name="60% - Ênfase3 7" xfId="280" xr:uid="{00000000-0005-0000-0000-000013010000}"/>
    <cellStyle name="60% - Ênfase3 8" xfId="281" xr:uid="{00000000-0005-0000-0000-000014010000}"/>
    <cellStyle name="60% - Ênfase3 9" xfId="282" xr:uid="{00000000-0005-0000-0000-000015010000}"/>
    <cellStyle name="60% - Ênfase4 10" xfId="283" xr:uid="{00000000-0005-0000-0000-000016010000}"/>
    <cellStyle name="60% - Ênfase4 11" xfId="284" xr:uid="{00000000-0005-0000-0000-000017010000}"/>
    <cellStyle name="60% - Ênfase4 12" xfId="285" xr:uid="{00000000-0005-0000-0000-000018010000}"/>
    <cellStyle name="60% - Ênfase4 13" xfId="286" xr:uid="{00000000-0005-0000-0000-000019010000}"/>
    <cellStyle name="60% - Ênfase4 14" xfId="287" xr:uid="{00000000-0005-0000-0000-00001A010000}"/>
    <cellStyle name="60% - Ênfase4 15" xfId="288" xr:uid="{00000000-0005-0000-0000-00001B010000}"/>
    <cellStyle name="60% - Ênfase4 16" xfId="289" xr:uid="{00000000-0005-0000-0000-00001C010000}"/>
    <cellStyle name="60% - Ênfase4 2" xfId="290" xr:uid="{00000000-0005-0000-0000-00001D010000}"/>
    <cellStyle name="60% - Ênfase4 2 2" xfId="291" xr:uid="{00000000-0005-0000-0000-00001E010000}"/>
    <cellStyle name="60% - Ênfase4 3" xfId="292" xr:uid="{00000000-0005-0000-0000-00001F010000}"/>
    <cellStyle name="60% - Ênfase4 4" xfId="293" xr:uid="{00000000-0005-0000-0000-000020010000}"/>
    <cellStyle name="60% - Ênfase4 5" xfId="294" xr:uid="{00000000-0005-0000-0000-000021010000}"/>
    <cellStyle name="60% - Ênfase4 6" xfId="295" xr:uid="{00000000-0005-0000-0000-000022010000}"/>
    <cellStyle name="60% - Ênfase4 7" xfId="296" xr:uid="{00000000-0005-0000-0000-000023010000}"/>
    <cellStyle name="60% - Ênfase4 8" xfId="297" xr:uid="{00000000-0005-0000-0000-000024010000}"/>
    <cellStyle name="60% - Ênfase4 9" xfId="298" xr:uid="{00000000-0005-0000-0000-000025010000}"/>
    <cellStyle name="60% - Ênfase5 10" xfId="299" xr:uid="{00000000-0005-0000-0000-000026010000}"/>
    <cellStyle name="60% - Ênfase5 11" xfId="300" xr:uid="{00000000-0005-0000-0000-000027010000}"/>
    <cellStyle name="60% - Ênfase5 12" xfId="301" xr:uid="{00000000-0005-0000-0000-000028010000}"/>
    <cellStyle name="60% - Ênfase5 13" xfId="302" xr:uid="{00000000-0005-0000-0000-000029010000}"/>
    <cellStyle name="60% - Ênfase5 14" xfId="303" xr:uid="{00000000-0005-0000-0000-00002A010000}"/>
    <cellStyle name="60% - Ênfase5 15" xfId="304" xr:uid="{00000000-0005-0000-0000-00002B010000}"/>
    <cellStyle name="60% - Ênfase5 16" xfId="305" xr:uid="{00000000-0005-0000-0000-00002C010000}"/>
    <cellStyle name="60% - Ênfase5 2" xfId="306" xr:uid="{00000000-0005-0000-0000-00002D010000}"/>
    <cellStyle name="60% - Ênfase5 2 2" xfId="307" xr:uid="{00000000-0005-0000-0000-00002E010000}"/>
    <cellStyle name="60% - Ênfase5 3" xfId="308" xr:uid="{00000000-0005-0000-0000-00002F010000}"/>
    <cellStyle name="60% - Ênfase5 4" xfId="309" xr:uid="{00000000-0005-0000-0000-000030010000}"/>
    <cellStyle name="60% - Ênfase5 5" xfId="310" xr:uid="{00000000-0005-0000-0000-000031010000}"/>
    <cellStyle name="60% - Ênfase5 6" xfId="311" xr:uid="{00000000-0005-0000-0000-000032010000}"/>
    <cellStyle name="60% - Ênfase5 7" xfId="312" xr:uid="{00000000-0005-0000-0000-000033010000}"/>
    <cellStyle name="60% - Ênfase5 8" xfId="313" xr:uid="{00000000-0005-0000-0000-000034010000}"/>
    <cellStyle name="60% - Ênfase5 9" xfId="314" xr:uid="{00000000-0005-0000-0000-000035010000}"/>
    <cellStyle name="60% - Ênfase6 10" xfId="315" xr:uid="{00000000-0005-0000-0000-000036010000}"/>
    <cellStyle name="60% - Ênfase6 11" xfId="316" xr:uid="{00000000-0005-0000-0000-000037010000}"/>
    <cellStyle name="60% - Ênfase6 12" xfId="317" xr:uid="{00000000-0005-0000-0000-000038010000}"/>
    <cellStyle name="60% - Ênfase6 13" xfId="318" xr:uid="{00000000-0005-0000-0000-000039010000}"/>
    <cellStyle name="60% - Ênfase6 14" xfId="319" xr:uid="{00000000-0005-0000-0000-00003A010000}"/>
    <cellStyle name="60% - Ênfase6 15" xfId="320" xr:uid="{00000000-0005-0000-0000-00003B010000}"/>
    <cellStyle name="60% - Ênfase6 16" xfId="321" xr:uid="{00000000-0005-0000-0000-00003C010000}"/>
    <cellStyle name="60% - Ênfase6 2" xfId="322" xr:uid="{00000000-0005-0000-0000-00003D010000}"/>
    <cellStyle name="60% - Ênfase6 2 2" xfId="323" xr:uid="{00000000-0005-0000-0000-00003E010000}"/>
    <cellStyle name="60% - Ênfase6 3" xfId="324" xr:uid="{00000000-0005-0000-0000-00003F010000}"/>
    <cellStyle name="60% - Ênfase6 4" xfId="325" xr:uid="{00000000-0005-0000-0000-000040010000}"/>
    <cellStyle name="60% - Ênfase6 5" xfId="326" xr:uid="{00000000-0005-0000-0000-000041010000}"/>
    <cellStyle name="60% - Ênfase6 6" xfId="327" xr:uid="{00000000-0005-0000-0000-000042010000}"/>
    <cellStyle name="60% - Ênfase6 7" xfId="328" xr:uid="{00000000-0005-0000-0000-000043010000}"/>
    <cellStyle name="60% - Ênfase6 8" xfId="329" xr:uid="{00000000-0005-0000-0000-000044010000}"/>
    <cellStyle name="60% - Ênfase6 9" xfId="330" xr:uid="{00000000-0005-0000-0000-000045010000}"/>
    <cellStyle name="Accent1 - 20%" xfId="331" xr:uid="{00000000-0005-0000-0000-000046010000}"/>
    <cellStyle name="Accent1 - 40%" xfId="332" xr:uid="{00000000-0005-0000-0000-000047010000}"/>
    <cellStyle name="Accent1 - 60%" xfId="333" xr:uid="{00000000-0005-0000-0000-000048010000}"/>
    <cellStyle name="Accent2 - 20%" xfId="334" xr:uid="{00000000-0005-0000-0000-000049010000}"/>
    <cellStyle name="Accent2 - 40%" xfId="335" xr:uid="{00000000-0005-0000-0000-00004A010000}"/>
    <cellStyle name="Accent2 - 60%" xfId="336" xr:uid="{00000000-0005-0000-0000-00004B010000}"/>
    <cellStyle name="Accent3 - 20%" xfId="337" xr:uid="{00000000-0005-0000-0000-00004C010000}"/>
    <cellStyle name="Accent3 - 40%" xfId="338" xr:uid="{00000000-0005-0000-0000-00004D010000}"/>
    <cellStyle name="Accent3 - 60%" xfId="339" xr:uid="{00000000-0005-0000-0000-00004E010000}"/>
    <cellStyle name="Accent4 - 20%" xfId="340" xr:uid="{00000000-0005-0000-0000-00004F010000}"/>
    <cellStyle name="Accent4 - 40%" xfId="341" xr:uid="{00000000-0005-0000-0000-000050010000}"/>
    <cellStyle name="Accent4 - 60%" xfId="342" xr:uid="{00000000-0005-0000-0000-000051010000}"/>
    <cellStyle name="Accent5 - 20%" xfId="343" xr:uid="{00000000-0005-0000-0000-000052010000}"/>
    <cellStyle name="Accent5 - 40%" xfId="344" xr:uid="{00000000-0005-0000-0000-000053010000}"/>
    <cellStyle name="Accent5 - 60%" xfId="345" xr:uid="{00000000-0005-0000-0000-000054010000}"/>
    <cellStyle name="Accent6 - 20%" xfId="346" xr:uid="{00000000-0005-0000-0000-000055010000}"/>
    <cellStyle name="Accent6 - 40%" xfId="347" xr:uid="{00000000-0005-0000-0000-000056010000}"/>
    <cellStyle name="Accent6 - 60%" xfId="348" xr:uid="{00000000-0005-0000-0000-000057010000}"/>
    <cellStyle name="ADENDO" xfId="349" xr:uid="{00000000-0005-0000-0000-000058010000}"/>
    <cellStyle name="Akzent1" xfId="350" xr:uid="{00000000-0005-0000-0000-000059010000}"/>
    <cellStyle name="Akzent2" xfId="351" xr:uid="{00000000-0005-0000-0000-00005A010000}"/>
    <cellStyle name="Akzent3" xfId="352" xr:uid="{00000000-0005-0000-0000-00005B010000}"/>
    <cellStyle name="Akzent4" xfId="353" xr:uid="{00000000-0005-0000-0000-00005C010000}"/>
    <cellStyle name="Akzent5" xfId="354" xr:uid="{00000000-0005-0000-0000-00005D010000}"/>
    <cellStyle name="Akzent6" xfId="355" xr:uid="{00000000-0005-0000-0000-00005E010000}"/>
    <cellStyle name="ATUALIZAÇÃO" xfId="356" xr:uid="{00000000-0005-0000-0000-00005F010000}"/>
    <cellStyle name="Ausgabe" xfId="357" xr:uid="{00000000-0005-0000-0000-000060010000}"/>
    <cellStyle name="Ausgabe 2" xfId="358" xr:uid="{00000000-0005-0000-0000-000061010000}"/>
    <cellStyle name="Berechnung" xfId="359" xr:uid="{00000000-0005-0000-0000-000062010000}"/>
    <cellStyle name="Berechnung 2" xfId="360" xr:uid="{00000000-0005-0000-0000-000063010000}"/>
    <cellStyle name="Bom 10" xfId="361" xr:uid="{00000000-0005-0000-0000-000064010000}"/>
    <cellStyle name="Bom 11" xfId="362" xr:uid="{00000000-0005-0000-0000-000065010000}"/>
    <cellStyle name="Bom 12" xfId="363" xr:uid="{00000000-0005-0000-0000-000066010000}"/>
    <cellStyle name="Bom 13" xfId="364" xr:uid="{00000000-0005-0000-0000-000067010000}"/>
    <cellStyle name="Bom 14" xfId="365" xr:uid="{00000000-0005-0000-0000-000068010000}"/>
    <cellStyle name="Bom 15" xfId="366" xr:uid="{00000000-0005-0000-0000-000069010000}"/>
    <cellStyle name="Bom 16" xfId="367" xr:uid="{00000000-0005-0000-0000-00006A010000}"/>
    <cellStyle name="Bom 2" xfId="368" xr:uid="{00000000-0005-0000-0000-00006B010000}"/>
    <cellStyle name="Bom 2 2" xfId="369" xr:uid="{00000000-0005-0000-0000-00006C010000}"/>
    <cellStyle name="Bom 3" xfId="370" xr:uid="{00000000-0005-0000-0000-00006D010000}"/>
    <cellStyle name="Bom 4" xfId="371" xr:uid="{00000000-0005-0000-0000-00006E010000}"/>
    <cellStyle name="Bom 5" xfId="372" xr:uid="{00000000-0005-0000-0000-00006F010000}"/>
    <cellStyle name="Bom 6" xfId="373" xr:uid="{00000000-0005-0000-0000-000070010000}"/>
    <cellStyle name="Bom 7" xfId="374" xr:uid="{00000000-0005-0000-0000-000071010000}"/>
    <cellStyle name="Bom 8" xfId="375" xr:uid="{00000000-0005-0000-0000-000072010000}"/>
    <cellStyle name="Bom 9" xfId="376" xr:uid="{00000000-0005-0000-0000-000073010000}"/>
    <cellStyle name="Cabeçalho 1" xfId="377" xr:uid="{00000000-0005-0000-0000-000074010000}"/>
    <cellStyle name="Cabeçalho 2" xfId="378" xr:uid="{00000000-0005-0000-0000-000075010000}"/>
    <cellStyle name="Cabeçalho 3" xfId="379" xr:uid="{00000000-0005-0000-0000-000076010000}"/>
    <cellStyle name="Cabeçalho 4" xfId="380" xr:uid="{00000000-0005-0000-0000-000077010000}"/>
    <cellStyle name="Cálculo 10" xfId="381" xr:uid="{00000000-0005-0000-0000-000078010000}"/>
    <cellStyle name="Cálculo 11" xfId="382" xr:uid="{00000000-0005-0000-0000-000079010000}"/>
    <cellStyle name="Cálculo 12" xfId="383" xr:uid="{00000000-0005-0000-0000-00007A010000}"/>
    <cellStyle name="Cálculo 13" xfId="384" xr:uid="{00000000-0005-0000-0000-00007B010000}"/>
    <cellStyle name="Cálculo 14" xfId="385" xr:uid="{00000000-0005-0000-0000-00007C010000}"/>
    <cellStyle name="Cálculo 15" xfId="386" xr:uid="{00000000-0005-0000-0000-00007D010000}"/>
    <cellStyle name="Cálculo 16" xfId="387" xr:uid="{00000000-0005-0000-0000-00007E010000}"/>
    <cellStyle name="Cálculo 2" xfId="388" xr:uid="{00000000-0005-0000-0000-00007F010000}"/>
    <cellStyle name="Cálculo 2 2" xfId="389" xr:uid="{00000000-0005-0000-0000-000080010000}"/>
    <cellStyle name="Cálculo 3" xfId="390" xr:uid="{00000000-0005-0000-0000-000081010000}"/>
    <cellStyle name="Cálculo 4" xfId="391" xr:uid="{00000000-0005-0000-0000-000082010000}"/>
    <cellStyle name="Cálculo 5" xfId="392" xr:uid="{00000000-0005-0000-0000-000083010000}"/>
    <cellStyle name="Cálculo 6" xfId="393" xr:uid="{00000000-0005-0000-0000-000084010000}"/>
    <cellStyle name="Cálculo 7" xfId="394" xr:uid="{00000000-0005-0000-0000-000085010000}"/>
    <cellStyle name="Cálculo 8" xfId="395" xr:uid="{00000000-0005-0000-0000-000086010000}"/>
    <cellStyle name="Cálculo 9" xfId="396" xr:uid="{00000000-0005-0000-0000-000087010000}"/>
    <cellStyle name="Cancel" xfId="397" xr:uid="{00000000-0005-0000-0000-000088010000}"/>
    <cellStyle name="Célula de Verificação 10" xfId="398" xr:uid="{00000000-0005-0000-0000-000089010000}"/>
    <cellStyle name="Célula de Verificação 11" xfId="399" xr:uid="{00000000-0005-0000-0000-00008A010000}"/>
    <cellStyle name="Célula de Verificação 12" xfId="400" xr:uid="{00000000-0005-0000-0000-00008B010000}"/>
    <cellStyle name="Célula de Verificação 13" xfId="401" xr:uid="{00000000-0005-0000-0000-00008C010000}"/>
    <cellStyle name="Célula de Verificação 14" xfId="402" xr:uid="{00000000-0005-0000-0000-00008D010000}"/>
    <cellStyle name="Célula de Verificação 15" xfId="403" xr:uid="{00000000-0005-0000-0000-00008E010000}"/>
    <cellStyle name="Célula de Verificação 16" xfId="404" xr:uid="{00000000-0005-0000-0000-00008F010000}"/>
    <cellStyle name="Célula de Verificação 2" xfId="405" xr:uid="{00000000-0005-0000-0000-000090010000}"/>
    <cellStyle name="Célula de Verificação 2 2" xfId="406" xr:uid="{00000000-0005-0000-0000-000091010000}"/>
    <cellStyle name="Célula de Verificação 3" xfId="407" xr:uid="{00000000-0005-0000-0000-000092010000}"/>
    <cellStyle name="Célula de Verificação 4" xfId="408" xr:uid="{00000000-0005-0000-0000-000093010000}"/>
    <cellStyle name="Célula de Verificação 5" xfId="409" xr:uid="{00000000-0005-0000-0000-000094010000}"/>
    <cellStyle name="Célula de Verificação 6" xfId="410" xr:uid="{00000000-0005-0000-0000-000095010000}"/>
    <cellStyle name="Célula de Verificação 7" xfId="411" xr:uid="{00000000-0005-0000-0000-000096010000}"/>
    <cellStyle name="Célula de Verificação 8" xfId="412" xr:uid="{00000000-0005-0000-0000-000097010000}"/>
    <cellStyle name="Célula de Verificação 9" xfId="413" xr:uid="{00000000-0005-0000-0000-000098010000}"/>
    <cellStyle name="Célula Ligada" xfId="414" xr:uid="{00000000-0005-0000-0000-000099010000}"/>
    <cellStyle name="Célula Vinculada 10" xfId="415" xr:uid="{00000000-0005-0000-0000-00009A010000}"/>
    <cellStyle name="Célula Vinculada 11" xfId="416" xr:uid="{00000000-0005-0000-0000-00009B010000}"/>
    <cellStyle name="Célula Vinculada 12" xfId="417" xr:uid="{00000000-0005-0000-0000-00009C010000}"/>
    <cellStyle name="Célula Vinculada 13" xfId="418" xr:uid="{00000000-0005-0000-0000-00009D010000}"/>
    <cellStyle name="Célula Vinculada 14" xfId="419" xr:uid="{00000000-0005-0000-0000-00009E010000}"/>
    <cellStyle name="Célula Vinculada 15" xfId="420" xr:uid="{00000000-0005-0000-0000-00009F010000}"/>
    <cellStyle name="Célula Vinculada 16" xfId="421" xr:uid="{00000000-0005-0000-0000-0000A0010000}"/>
    <cellStyle name="Célula Vinculada 2" xfId="422" xr:uid="{00000000-0005-0000-0000-0000A1010000}"/>
    <cellStyle name="Célula Vinculada 2 2" xfId="423" xr:uid="{00000000-0005-0000-0000-0000A2010000}"/>
    <cellStyle name="Célula Vinculada 3" xfId="424" xr:uid="{00000000-0005-0000-0000-0000A3010000}"/>
    <cellStyle name="Célula Vinculada 4" xfId="425" xr:uid="{00000000-0005-0000-0000-0000A4010000}"/>
    <cellStyle name="Célula Vinculada 5" xfId="426" xr:uid="{00000000-0005-0000-0000-0000A5010000}"/>
    <cellStyle name="Célula Vinculada 6" xfId="427" xr:uid="{00000000-0005-0000-0000-0000A6010000}"/>
    <cellStyle name="Célula Vinculada 7" xfId="428" xr:uid="{00000000-0005-0000-0000-0000A7010000}"/>
    <cellStyle name="Célula Vinculada 8" xfId="429" xr:uid="{00000000-0005-0000-0000-0000A8010000}"/>
    <cellStyle name="Célula Vinculada 9" xfId="430" xr:uid="{00000000-0005-0000-0000-0000A9010000}"/>
    <cellStyle name="Check Cell" xfId="431" xr:uid="{00000000-0005-0000-0000-0000AA010000}"/>
    <cellStyle name="Comma 2" xfId="432" xr:uid="{00000000-0005-0000-0000-0000AB010000}"/>
    <cellStyle name="Comma 3" xfId="433" xr:uid="{00000000-0005-0000-0000-0000AC010000}"/>
    <cellStyle name="Comma 4" xfId="434" xr:uid="{00000000-0005-0000-0000-0000AD010000}"/>
    <cellStyle name="Comma_Sheet1" xfId="435" xr:uid="{00000000-0005-0000-0000-0000AE010000}"/>
    <cellStyle name="Cor1" xfId="436" xr:uid="{00000000-0005-0000-0000-0000AF010000}"/>
    <cellStyle name="Cor2" xfId="437" xr:uid="{00000000-0005-0000-0000-0000B0010000}"/>
    <cellStyle name="Cor3" xfId="438" xr:uid="{00000000-0005-0000-0000-0000B1010000}"/>
    <cellStyle name="Cor4" xfId="439" xr:uid="{00000000-0005-0000-0000-0000B2010000}"/>
    <cellStyle name="Cor5" xfId="440" xr:uid="{00000000-0005-0000-0000-0000B3010000}"/>
    <cellStyle name="Cor6" xfId="441" xr:uid="{00000000-0005-0000-0000-0000B4010000}"/>
    <cellStyle name="Correcto" xfId="442" xr:uid="{00000000-0005-0000-0000-0000B5010000}"/>
    <cellStyle name="Currency [0]_Sheet1" xfId="443" xr:uid="{00000000-0005-0000-0000-0000B6010000}"/>
    <cellStyle name="Currency 2" xfId="444" xr:uid="{00000000-0005-0000-0000-0000B7010000}"/>
    <cellStyle name="Currency_CVT225 (version 1)" xfId="445" xr:uid="{00000000-0005-0000-0000-0000B8010000}"/>
    <cellStyle name="Data" xfId="446" xr:uid="{00000000-0005-0000-0000-0000B9010000}"/>
    <cellStyle name="DESCRIÇÃO" xfId="447" xr:uid="{00000000-0005-0000-0000-0000BA010000}"/>
    <cellStyle name="Eingabe" xfId="448" xr:uid="{00000000-0005-0000-0000-0000BB010000}"/>
    <cellStyle name="Eingabe 2" xfId="449" xr:uid="{00000000-0005-0000-0000-0000BC010000}"/>
    <cellStyle name="Emphasis 1" xfId="450" xr:uid="{00000000-0005-0000-0000-0000BD010000}"/>
    <cellStyle name="Emphasis 2" xfId="451" xr:uid="{00000000-0005-0000-0000-0000BE010000}"/>
    <cellStyle name="Emphasis 3" xfId="452" xr:uid="{00000000-0005-0000-0000-0000BF010000}"/>
    <cellStyle name="Ênfase1 10" xfId="453" xr:uid="{00000000-0005-0000-0000-0000C0010000}"/>
    <cellStyle name="Ênfase1 11" xfId="454" xr:uid="{00000000-0005-0000-0000-0000C1010000}"/>
    <cellStyle name="Ênfase1 12" xfId="455" xr:uid="{00000000-0005-0000-0000-0000C2010000}"/>
    <cellStyle name="Ênfase1 13" xfId="456" xr:uid="{00000000-0005-0000-0000-0000C3010000}"/>
    <cellStyle name="Ênfase1 14" xfId="457" xr:uid="{00000000-0005-0000-0000-0000C4010000}"/>
    <cellStyle name="Ênfase1 15" xfId="458" xr:uid="{00000000-0005-0000-0000-0000C5010000}"/>
    <cellStyle name="Ênfase1 16" xfId="459" xr:uid="{00000000-0005-0000-0000-0000C6010000}"/>
    <cellStyle name="Ênfase1 2" xfId="460" xr:uid="{00000000-0005-0000-0000-0000C7010000}"/>
    <cellStyle name="Ênfase1 2 2" xfId="461" xr:uid="{00000000-0005-0000-0000-0000C8010000}"/>
    <cellStyle name="Ênfase1 3" xfId="462" xr:uid="{00000000-0005-0000-0000-0000C9010000}"/>
    <cellStyle name="Ênfase1 4" xfId="463" xr:uid="{00000000-0005-0000-0000-0000CA010000}"/>
    <cellStyle name="Ênfase1 5" xfId="464" xr:uid="{00000000-0005-0000-0000-0000CB010000}"/>
    <cellStyle name="Ênfase1 6" xfId="465" xr:uid="{00000000-0005-0000-0000-0000CC010000}"/>
    <cellStyle name="Ênfase1 7" xfId="466" xr:uid="{00000000-0005-0000-0000-0000CD010000}"/>
    <cellStyle name="Ênfase1 8" xfId="467" xr:uid="{00000000-0005-0000-0000-0000CE010000}"/>
    <cellStyle name="Ênfase1 9" xfId="468" xr:uid="{00000000-0005-0000-0000-0000CF010000}"/>
    <cellStyle name="Ênfase2 10" xfId="469" xr:uid="{00000000-0005-0000-0000-0000D0010000}"/>
    <cellStyle name="Ênfase2 11" xfId="470" xr:uid="{00000000-0005-0000-0000-0000D1010000}"/>
    <cellStyle name="Ênfase2 12" xfId="471" xr:uid="{00000000-0005-0000-0000-0000D2010000}"/>
    <cellStyle name="Ênfase2 13" xfId="472" xr:uid="{00000000-0005-0000-0000-0000D3010000}"/>
    <cellStyle name="Ênfase2 14" xfId="473" xr:uid="{00000000-0005-0000-0000-0000D4010000}"/>
    <cellStyle name="Ênfase2 15" xfId="474" xr:uid="{00000000-0005-0000-0000-0000D5010000}"/>
    <cellStyle name="Ênfase2 16" xfId="475" xr:uid="{00000000-0005-0000-0000-0000D6010000}"/>
    <cellStyle name="Ênfase2 2" xfId="476" xr:uid="{00000000-0005-0000-0000-0000D7010000}"/>
    <cellStyle name="Ênfase2 2 2" xfId="477" xr:uid="{00000000-0005-0000-0000-0000D8010000}"/>
    <cellStyle name="Ênfase2 3" xfId="478" xr:uid="{00000000-0005-0000-0000-0000D9010000}"/>
    <cellStyle name="Ênfase2 4" xfId="479" xr:uid="{00000000-0005-0000-0000-0000DA010000}"/>
    <cellStyle name="Ênfase2 5" xfId="480" xr:uid="{00000000-0005-0000-0000-0000DB010000}"/>
    <cellStyle name="Ênfase2 6" xfId="481" xr:uid="{00000000-0005-0000-0000-0000DC010000}"/>
    <cellStyle name="Ênfase2 7" xfId="482" xr:uid="{00000000-0005-0000-0000-0000DD010000}"/>
    <cellStyle name="Ênfase2 8" xfId="483" xr:uid="{00000000-0005-0000-0000-0000DE010000}"/>
    <cellStyle name="Ênfase2 9" xfId="484" xr:uid="{00000000-0005-0000-0000-0000DF010000}"/>
    <cellStyle name="Ênfase3 10" xfId="485" xr:uid="{00000000-0005-0000-0000-0000E0010000}"/>
    <cellStyle name="Ênfase3 11" xfId="486" xr:uid="{00000000-0005-0000-0000-0000E1010000}"/>
    <cellStyle name="Ênfase3 12" xfId="487" xr:uid="{00000000-0005-0000-0000-0000E2010000}"/>
    <cellStyle name="Ênfase3 13" xfId="488" xr:uid="{00000000-0005-0000-0000-0000E3010000}"/>
    <cellStyle name="Ênfase3 14" xfId="489" xr:uid="{00000000-0005-0000-0000-0000E4010000}"/>
    <cellStyle name="Ênfase3 15" xfId="490" xr:uid="{00000000-0005-0000-0000-0000E5010000}"/>
    <cellStyle name="Ênfase3 16" xfId="491" xr:uid="{00000000-0005-0000-0000-0000E6010000}"/>
    <cellStyle name="Ênfase3 2" xfId="492" xr:uid="{00000000-0005-0000-0000-0000E7010000}"/>
    <cellStyle name="Ênfase3 2 2" xfId="493" xr:uid="{00000000-0005-0000-0000-0000E8010000}"/>
    <cellStyle name="Ênfase3 3" xfId="494" xr:uid="{00000000-0005-0000-0000-0000E9010000}"/>
    <cellStyle name="Ênfase3 4" xfId="495" xr:uid="{00000000-0005-0000-0000-0000EA010000}"/>
    <cellStyle name="Ênfase3 5" xfId="496" xr:uid="{00000000-0005-0000-0000-0000EB010000}"/>
    <cellStyle name="Ênfase3 6" xfId="497" xr:uid="{00000000-0005-0000-0000-0000EC010000}"/>
    <cellStyle name="Ênfase3 7" xfId="498" xr:uid="{00000000-0005-0000-0000-0000ED010000}"/>
    <cellStyle name="Ênfase3 8" xfId="499" xr:uid="{00000000-0005-0000-0000-0000EE010000}"/>
    <cellStyle name="Ênfase3 9" xfId="500" xr:uid="{00000000-0005-0000-0000-0000EF010000}"/>
    <cellStyle name="Ênfase4 10" xfId="501" xr:uid="{00000000-0005-0000-0000-0000F0010000}"/>
    <cellStyle name="Ênfase4 11" xfId="502" xr:uid="{00000000-0005-0000-0000-0000F1010000}"/>
    <cellStyle name="Ênfase4 12" xfId="503" xr:uid="{00000000-0005-0000-0000-0000F2010000}"/>
    <cellStyle name="Ênfase4 13" xfId="504" xr:uid="{00000000-0005-0000-0000-0000F3010000}"/>
    <cellStyle name="Ênfase4 14" xfId="505" xr:uid="{00000000-0005-0000-0000-0000F4010000}"/>
    <cellStyle name="Ênfase4 15" xfId="506" xr:uid="{00000000-0005-0000-0000-0000F5010000}"/>
    <cellStyle name="Ênfase4 16" xfId="507" xr:uid="{00000000-0005-0000-0000-0000F6010000}"/>
    <cellStyle name="Ênfase4 2" xfId="508" xr:uid="{00000000-0005-0000-0000-0000F7010000}"/>
    <cellStyle name="Ênfase4 2 2" xfId="509" xr:uid="{00000000-0005-0000-0000-0000F8010000}"/>
    <cellStyle name="Ênfase4 3" xfId="510" xr:uid="{00000000-0005-0000-0000-0000F9010000}"/>
    <cellStyle name="Ênfase4 4" xfId="511" xr:uid="{00000000-0005-0000-0000-0000FA010000}"/>
    <cellStyle name="Ênfase4 5" xfId="512" xr:uid="{00000000-0005-0000-0000-0000FB010000}"/>
    <cellStyle name="Ênfase4 6" xfId="513" xr:uid="{00000000-0005-0000-0000-0000FC010000}"/>
    <cellStyle name="Ênfase4 7" xfId="514" xr:uid="{00000000-0005-0000-0000-0000FD010000}"/>
    <cellStyle name="Ênfase4 8" xfId="515" xr:uid="{00000000-0005-0000-0000-0000FE010000}"/>
    <cellStyle name="Ênfase4 9" xfId="516" xr:uid="{00000000-0005-0000-0000-0000FF010000}"/>
    <cellStyle name="Ênfase5 10" xfId="517" xr:uid="{00000000-0005-0000-0000-000000020000}"/>
    <cellStyle name="Ênfase5 11" xfId="518" xr:uid="{00000000-0005-0000-0000-000001020000}"/>
    <cellStyle name="Ênfase5 12" xfId="519" xr:uid="{00000000-0005-0000-0000-000002020000}"/>
    <cellStyle name="Ênfase5 13" xfId="520" xr:uid="{00000000-0005-0000-0000-000003020000}"/>
    <cellStyle name="Ênfase5 14" xfId="521" xr:uid="{00000000-0005-0000-0000-000004020000}"/>
    <cellStyle name="Ênfase5 15" xfId="522" xr:uid="{00000000-0005-0000-0000-000005020000}"/>
    <cellStyle name="Ênfase5 16" xfId="523" xr:uid="{00000000-0005-0000-0000-000006020000}"/>
    <cellStyle name="Ênfase5 2" xfId="524" xr:uid="{00000000-0005-0000-0000-000007020000}"/>
    <cellStyle name="Ênfase5 2 2" xfId="525" xr:uid="{00000000-0005-0000-0000-000008020000}"/>
    <cellStyle name="Ênfase5 3" xfId="526" xr:uid="{00000000-0005-0000-0000-000009020000}"/>
    <cellStyle name="Ênfase5 4" xfId="527" xr:uid="{00000000-0005-0000-0000-00000A020000}"/>
    <cellStyle name="Ênfase5 5" xfId="528" xr:uid="{00000000-0005-0000-0000-00000B020000}"/>
    <cellStyle name="Ênfase5 6" xfId="529" xr:uid="{00000000-0005-0000-0000-00000C020000}"/>
    <cellStyle name="Ênfase5 7" xfId="530" xr:uid="{00000000-0005-0000-0000-00000D020000}"/>
    <cellStyle name="Ênfase5 8" xfId="531" xr:uid="{00000000-0005-0000-0000-00000E020000}"/>
    <cellStyle name="Ênfase5 9" xfId="532" xr:uid="{00000000-0005-0000-0000-00000F020000}"/>
    <cellStyle name="Ênfase6 10" xfId="533" xr:uid="{00000000-0005-0000-0000-000010020000}"/>
    <cellStyle name="Ênfase6 11" xfId="534" xr:uid="{00000000-0005-0000-0000-000011020000}"/>
    <cellStyle name="Ênfase6 12" xfId="535" xr:uid="{00000000-0005-0000-0000-000012020000}"/>
    <cellStyle name="Ênfase6 13" xfId="536" xr:uid="{00000000-0005-0000-0000-000013020000}"/>
    <cellStyle name="Ênfase6 14" xfId="537" xr:uid="{00000000-0005-0000-0000-000014020000}"/>
    <cellStyle name="Ênfase6 15" xfId="538" xr:uid="{00000000-0005-0000-0000-000015020000}"/>
    <cellStyle name="Ênfase6 16" xfId="539" xr:uid="{00000000-0005-0000-0000-000016020000}"/>
    <cellStyle name="Ênfase6 2" xfId="540" xr:uid="{00000000-0005-0000-0000-000017020000}"/>
    <cellStyle name="Ênfase6 2 2" xfId="541" xr:uid="{00000000-0005-0000-0000-000018020000}"/>
    <cellStyle name="Ênfase6 3" xfId="542" xr:uid="{00000000-0005-0000-0000-000019020000}"/>
    <cellStyle name="Ênfase6 4" xfId="543" xr:uid="{00000000-0005-0000-0000-00001A020000}"/>
    <cellStyle name="Ênfase6 5" xfId="544" xr:uid="{00000000-0005-0000-0000-00001B020000}"/>
    <cellStyle name="Ênfase6 6" xfId="545" xr:uid="{00000000-0005-0000-0000-00001C020000}"/>
    <cellStyle name="Ênfase6 7" xfId="546" xr:uid="{00000000-0005-0000-0000-00001D020000}"/>
    <cellStyle name="Ênfase6 8" xfId="547" xr:uid="{00000000-0005-0000-0000-00001E020000}"/>
    <cellStyle name="Ênfase6 9" xfId="548" xr:uid="{00000000-0005-0000-0000-00001F020000}"/>
    <cellStyle name="Entrada 10" xfId="549" xr:uid="{00000000-0005-0000-0000-000020020000}"/>
    <cellStyle name="Entrada 11" xfId="550" xr:uid="{00000000-0005-0000-0000-000021020000}"/>
    <cellStyle name="Entrada 12" xfId="551" xr:uid="{00000000-0005-0000-0000-000022020000}"/>
    <cellStyle name="Entrada 13" xfId="552" xr:uid="{00000000-0005-0000-0000-000023020000}"/>
    <cellStyle name="Entrada 14" xfId="553" xr:uid="{00000000-0005-0000-0000-000024020000}"/>
    <cellStyle name="Entrada 15" xfId="554" xr:uid="{00000000-0005-0000-0000-000025020000}"/>
    <cellStyle name="Entrada 16" xfId="555" xr:uid="{00000000-0005-0000-0000-000026020000}"/>
    <cellStyle name="Entrada 2" xfId="556" xr:uid="{00000000-0005-0000-0000-000027020000}"/>
    <cellStyle name="Entrada 2 2" xfId="557" xr:uid="{00000000-0005-0000-0000-000028020000}"/>
    <cellStyle name="Entrada 3" xfId="558" xr:uid="{00000000-0005-0000-0000-000029020000}"/>
    <cellStyle name="Entrada 4" xfId="559" xr:uid="{00000000-0005-0000-0000-00002A020000}"/>
    <cellStyle name="Entrada 5" xfId="560" xr:uid="{00000000-0005-0000-0000-00002B020000}"/>
    <cellStyle name="Entrada 6" xfId="561" xr:uid="{00000000-0005-0000-0000-00002C020000}"/>
    <cellStyle name="Entrada 7" xfId="562" xr:uid="{00000000-0005-0000-0000-00002D020000}"/>
    <cellStyle name="Entrada 8" xfId="563" xr:uid="{00000000-0005-0000-0000-00002E020000}"/>
    <cellStyle name="Entrada 9" xfId="564" xr:uid="{00000000-0005-0000-0000-00002F020000}"/>
    <cellStyle name="Ergebnis" xfId="565" xr:uid="{00000000-0005-0000-0000-000030020000}"/>
    <cellStyle name="Ergebnis 2" xfId="566" xr:uid="{00000000-0005-0000-0000-000031020000}"/>
    <cellStyle name="Erklärender Text" xfId="567" xr:uid="{00000000-0005-0000-0000-000032020000}"/>
    <cellStyle name="ESTAÇÕES" xfId="568" xr:uid="{00000000-0005-0000-0000-000033020000}"/>
    <cellStyle name="Estilo 1" xfId="569" xr:uid="{00000000-0005-0000-0000-000034020000}"/>
    <cellStyle name="Estilo 1 2" xfId="570" xr:uid="{00000000-0005-0000-0000-000035020000}"/>
    <cellStyle name="Estilo 1 3" xfId="571" xr:uid="{00000000-0005-0000-0000-000036020000}"/>
    <cellStyle name="Estilo 1 4" xfId="572" xr:uid="{00000000-0005-0000-0000-000037020000}"/>
    <cellStyle name="Estilo 1 5" xfId="573" xr:uid="{00000000-0005-0000-0000-000038020000}"/>
    <cellStyle name="Estilo 1_Ata Divulgação LUBNOR" xfId="574" xr:uid="{00000000-0005-0000-0000-000039020000}"/>
    <cellStyle name="Euro" xfId="575" xr:uid="{00000000-0005-0000-0000-00003A020000}"/>
    <cellStyle name="Euro 10" xfId="576" xr:uid="{00000000-0005-0000-0000-00003B020000}"/>
    <cellStyle name="Euro 2" xfId="577" xr:uid="{00000000-0005-0000-0000-00003C020000}"/>
    <cellStyle name="Euro 3" xfId="578" xr:uid="{00000000-0005-0000-0000-00003D020000}"/>
    <cellStyle name="Euro 4" xfId="579" xr:uid="{00000000-0005-0000-0000-00003E020000}"/>
    <cellStyle name="Euro 5" xfId="580" xr:uid="{00000000-0005-0000-0000-00003F020000}"/>
    <cellStyle name="Euro 6" xfId="581" xr:uid="{00000000-0005-0000-0000-000040020000}"/>
    <cellStyle name="Euro 7" xfId="582" xr:uid="{00000000-0005-0000-0000-000041020000}"/>
    <cellStyle name="Euro 8" xfId="583" xr:uid="{00000000-0005-0000-0000-000042020000}"/>
    <cellStyle name="Euro 9" xfId="584" xr:uid="{00000000-0005-0000-0000-000043020000}"/>
    <cellStyle name="Euro_FPV_PR-079-11_Cocamar_c_coord_24_02_11" xfId="585" xr:uid="{00000000-0005-0000-0000-000044020000}"/>
    <cellStyle name="Excel Built-in Normal" xfId="586" xr:uid="{00000000-0005-0000-0000-000045020000}"/>
    <cellStyle name="Excel Built-in Normal 1" xfId="587" xr:uid="{00000000-0005-0000-0000-000046020000}"/>
    <cellStyle name="Fixo" xfId="588" xr:uid="{00000000-0005-0000-0000-000047020000}"/>
    <cellStyle name="Followed Hyperlink" xfId="589" xr:uid="{00000000-0005-0000-0000-000048020000}"/>
    <cellStyle name="Good" xfId="590" xr:uid="{00000000-0005-0000-0000-000049020000}"/>
    <cellStyle name="Grey" xfId="591" xr:uid="{00000000-0005-0000-0000-00004A020000}"/>
    <cellStyle name="Gut" xfId="592" xr:uid="{00000000-0005-0000-0000-00004B020000}"/>
    <cellStyle name="Hiperlink 2" xfId="593" xr:uid="{00000000-0005-0000-0000-00004C020000}"/>
    <cellStyle name="Hyperlink 2" xfId="594" xr:uid="{00000000-0005-0000-0000-00004D020000}"/>
    <cellStyle name="Hyperlink 3" xfId="595" xr:uid="{00000000-0005-0000-0000-00004E020000}"/>
    <cellStyle name="Hyperlink 3 2" xfId="596" xr:uid="{00000000-0005-0000-0000-00004F020000}"/>
    <cellStyle name="Hyperlink 3 3" xfId="597" xr:uid="{00000000-0005-0000-0000-000050020000}"/>
    <cellStyle name="Hyperlink 3 4" xfId="598" xr:uid="{00000000-0005-0000-0000-000051020000}"/>
    <cellStyle name="Hyperlink 3 5" xfId="599" xr:uid="{00000000-0005-0000-0000-000052020000}"/>
    <cellStyle name="Hyperlink 3 6" xfId="600" xr:uid="{00000000-0005-0000-0000-000053020000}"/>
    <cellStyle name="Hyperlink 3 7" xfId="601" xr:uid="{00000000-0005-0000-0000-000054020000}"/>
    <cellStyle name="Hyperlink 3 8" xfId="602" xr:uid="{00000000-0005-0000-0000-000055020000}"/>
    <cellStyle name="Hyperlink 3 9" xfId="603" xr:uid="{00000000-0005-0000-0000-000056020000}"/>
    <cellStyle name="Hyperlink 4" xfId="604" xr:uid="{00000000-0005-0000-0000-000057020000}"/>
    <cellStyle name="Hyperlink 5" xfId="605" xr:uid="{00000000-0005-0000-0000-000058020000}"/>
    <cellStyle name="Hyperlink 6" xfId="606" xr:uid="{00000000-0005-0000-0000-000059020000}"/>
    <cellStyle name="Hyperlink 7" xfId="607" xr:uid="{00000000-0005-0000-0000-00005A020000}"/>
    <cellStyle name="Hyperlink 8" xfId="608" xr:uid="{00000000-0005-0000-0000-00005B020000}"/>
    <cellStyle name="Hyperlink 9" xfId="609" xr:uid="{00000000-0005-0000-0000-00005C020000}"/>
    <cellStyle name="Incorrecto" xfId="610" xr:uid="{00000000-0005-0000-0000-00005D020000}"/>
    <cellStyle name="Incorreto 10" xfId="611" xr:uid="{00000000-0005-0000-0000-00005E020000}"/>
    <cellStyle name="Incorreto 11" xfId="612" xr:uid="{00000000-0005-0000-0000-00005F020000}"/>
    <cellStyle name="Incorreto 12" xfId="613" xr:uid="{00000000-0005-0000-0000-000060020000}"/>
    <cellStyle name="Incorreto 13" xfId="614" xr:uid="{00000000-0005-0000-0000-000061020000}"/>
    <cellStyle name="Incorreto 14" xfId="615" xr:uid="{00000000-0005-0000-0000-000062020000}"/>
    <cellStyle name="Incorreto 15" xfId="616" xr:uid="{00000000-0005-0000-0000-000063020000}"/>
    <cellStyle name="Incorreto 16" xfId="617" xr:uid="{00000000-0005-0000-0000-000064020000}"/>
    <cellStyle name="Incorreto 2" xfId="618" xr:uid="{00000000-0005-0000-0000-000065020000}"/>
    <cellStyle name="Incorreto 2 2" xfId="619" xr:uid="{00000000-0005-0000-0000-000066020000}"/>
    <cellStyle name="Incorreto 3" xfId="620" xr:uid="{00000000-0005-0000-0000-000067020000}"/>
    <cellStyle name="Incorreto 4" xfId="621" xr:uid="{00000000-0005-0000-0000-000068020000}"/>
    <cellStyle name="Incorreto 5" xfId="622" xr:uid="{00000000-0005-0000-0000-000069020000}"/>
    <cellStyle name="Incorreto 6" xfId="623" xr:uid="{00000000-0005-0000-0000-00006A020000}"/>
    <cellStyle name="Incorreto 7" xfId="624" xr:uid="{00000000-0005-0000-0000-00006B020000}"/>
    <cellStyle name="Incorreto 8" xfId="625" xr:uid="{00000000-0005-0000-0000-00006C020000}"/>
    <cellStyle name="Incorreto 9" xfId="626" xr:uid="{00000000-0005-0000-0000-00006D020000}"/>
    <cellStyle name="Indefinido" xfId="627" xr:uid="{00000000-0005-0000-0000-00006E020000}"/>
    <cellStyle name="Input" xfId="628" xr:uid="{00000000-0005-0000-0000-00006F020000}"/>
    <cellStyle name="Input [yellow]" xfId="629" xr:uid="{00000000-0005-0000-0000-000070020000}"/>
    <cellStyle name="Input 2" xfId="630" xr:uid="{00000000-0005-0000-0000-000071020000}"/>
    <cellStyle name="ITEM" xfId="631" xr:uid="{00000000-0005-0000-0000-000072020000}"/>
    <cellStyle name="Linked Cell" xfId="632" xr:uid="{00000000-0005-0000-0000-000073020000}"/>
    <cellStyle name="Merker" xfId="633" xr:uid="{00000000-0005-0000-0000-000074020000}"/>
    <cellStyle name="Moeda" xfId="2" builtinId="4"/>
    <cellStyle name="Moeda [0] 2" xfId="634" xr:uid="{00000000-0005-0000-0000-000076020000}"/>
    <cellStyle name="Moeda 10" xfId="635" xr:uid="{00000000-0005-0000-0000-000077020000}"/>
    <cellStyle name="Moeda 10 2" xfId="636" xr:uid="{00000000-0005-0000-0000-000078020000}"/>
    <cellStyle name="Moeda 10 2 2" xfId="637" xr:uid="{00000000-0005-0000-0000-000079020000}"/>
    <cellStyle name="Moeda 10 3" xfId="638" xr:uid="{00000000-0005-0000-0000-00007A020000}"/>
    <cellStyle name="Moeda 11" xfId="639" xr:uid="{00000000-0005-0000-0000-00007B020000}"/>
    <cellStyle name="Moeda 12" xfId="640" xr:uid="{00000000-0005-0000-0000-00007C020000}"/>
    <cellStyle name="Moeda 12 2" xfId="641" xr:uid="{00000000-0005-0000-0000-00007D020000}"/>
    <cellStyle name="Moeda 13" xfId="642" xr:uid="{00000000-0005-0000-0000-00007E020000}"/>
    <cellStyle name="Moeda 14" xfId="643" xr:uid="{00000000-0005-0000-0000-00007F020000}"/>
    <cellStyle name="Moeda 2" xfId="644" xr:uid="{00000000-0005-0000-0000-000080020000}"/>
    <cellStyle name="Moeda 2 2" xfId="645" xr:uid="{00000000-0005-0000-0000-000081020000}"/>
    <cellStyle name="Moeda 2 2 2" xfId="646" xr:uid="{00000000-0005-0000-0000-000082020000}"/>
    <cellStyle name="Moeda 2 3" xfId="647" xr:uid="{00000000-0005-0000-0000-000083020000}"/>
    <cellStyle name="Moeda 2 3 2" xfId="648" xr:uid="{00000000-0005-0000-0000-000084020000}"/>
    <cellStyle name="Moeda 2 3 3" xfId="649" xr:uid="{00000000-0005-0000-0000-000085020000}"/>
    <cellStyle name="Moeda 2 4" xfId="650" xr:uid="{00000000-0005-0000-0000-000086020000}"/>
    <cellStyle name="Moeda 2 5" xfId="651" xr:uid="{00000000-0005-0000-0000-000087020000}"/>
    <cellStyle name="Moeda 2 5 2" xfId="652" xr:uid="{00000000-0005-0000-0000-000088020000}"/>
    <cellStyle name="Moeda 2 6" xfId="653" xr:uid="{00000000-0005-0000-0000-000089020000}"/>
    <cellStyle name="Moeda 2 6 2" xfId="654" xr:uid="{00000000-0005-0000-0000-00008A020000}"/>
    <cellStyle name="Moeda 2 7" xfId="655" xr:uid="{00000000-0005-0000-0000-00008B020000}"/>
    <cellStyle name="Moeda 2 7 2" xfId="4" xr:uid="{00000000-0005-0000-0000-00008C020000}"/>
    <cellStyle name="Moeda 2 7 3" xfId="656" xr:uid="{00000000-0005-0000-0000-00008D020000}"/>
    <cellStyle name="Moeda 2_Pasta2 (2)" xfId="657" xr:uid="{00000000-0005-0000-0000-00008E020000}"/>
    <cellStyle name="Moeda 3" xfId="658" xr:uid="{00000000-0005-0000-0000-00008F020000}"/>
    <cellStyle name="Moeda 3 2" xfId="659" xr:uid="{00000000-0005-0000-0000-000090020000}"/>
    <cellStyle name="Moeda 3 2 2" xfId="660" xr:uid="{00000000-0005-0000-0000-000091020000}"/>
    <cellStyle name="Moeda 3 2 2 2" xfId="661" xr:uid="{00000000-0005-0000-0000-000092020000}"/>
    <cellStyle name="Moeda 3 2 2 2 2" xfId="662" xr:uid="{00000000-0005-0000-0000-000093020000}"/>
    <cellStyle name="Moeda 3 2 2 3" xfId="663" xr:uid="{00000000-0005-0000-0000-000094020000}"/>
    <cellStyle name="Moeda 3 2 3" xfId="664" xr:uid="{00000000-0005-0000-0000-000095020000}"/>
    <cellStyle name="Moeda 3 2 3 2" xfId="665" xr:uid="{00000000-0005-0000-0000-000096020000}"/>
    <cellStyle name="Moeda 3 2 4" xfId="666" xr:uid="{00000000-0005-0000-0000-000097020000}"/>
    <cellStyle name="Moeda 3 3" xfId="667" xr:uid="{00000000-0005-0000-0000-000098020000}"/>
    <cellStyle name="Moeda 3_Pasta1" xfId="668" xr:uid="{00000000-0005-0000-0000-000099020000}"/>
    <cellStyle name="Moeda 4" xfId="669" xr:uid="{00000000-0005-0000-0000-00009A020000}"/>
    <cellStyle name="Moeda 4 10" xfId="670" xr:uid="{00000000-0005-0000-0000-00009B020000}"/>
    <cellStyle name="Moeda 4 2" xfId="671" xr:uid="{00000000-0005-0000-0000-00009C020000}"/>
    <cellStyle name="Moeda 4 2 2" xfId="672" xr:uid="{00000000-0005-0000-0000-00009D020000}"/>
    <cellStyle name="Moeda 4 2 2 2" xfId="673" xr:uid="{00000000-0005-0000-0000-00009E020000}"/>
    <cellStyle name="Moeda 4 2 3" xfId="674" xr:uid="{00000000-0005-0000-0000-00009F020000}"/>
    <cellStyle name="Moeda 4 3" xfId="675" xr:uid="{00000000-0005-0000-0000-0000A0020000}"/>
    <cellStyle name="Moeda 4 3 2" xfId="676" xr:uid="{00000000-0005-0000-0000-0000A1020000}"/>
    <cellStyle name="Moeda 4 3 2 2" xfId="677" xr:uid="{00000000-0005-0000-0000-0000A2020000}"/>
    <cellStyle name="Moeda 4 3 3" xfId="678" xr:uid="{00000000-0005-0000-0000-0000A3020000}"/>
    <cellStyle name="Moeda 4 4" xfId="679" xr:uid="{00000000-0005-0000-0000-0000A4020000}"/>
    <cellStyle name="Moeda 4 4 2" xfId="680" xr:uid="{00000000-0005-0000-0000-0000A5020000}"/>
    <cellStyle name="Moeda 4 4 2 2" xfId="681" xr:uid="{00000000-0005-0000-0000-0000A6020000}"/>
    <cellStyle name="Moeda 4 4 3" xfId="682" xr:uid="{00000000-0005-0000-0000-0000A7020000}"/>
    <cellStyle name="Moeda 4 5" xfId="683" xr:uid="{00000000-0005-0000-0000-0000A8020000}"/>
    <cellStyle name="Moeda 4 5 2" xfId="684" xr:uid="{00000000-0005-0000-0000-0000A9020000}"/>
    <cellStyle name="Moeda 4 5 2 2" xfId="685" xr:uid="{00000000-0005-0000-0000-0000AA020000}"/>
    <cellStyle name="Moeda 4 5 3" xfId="686" xr:uid="{00000000-0005-0000-0000-0000AB020000}"/>
    <cellStyle name="Moeda 4 6" xfId="687" xr:uid="{00000000-0005-0000-0000-0000AC020000}"/>
    <cellStyle name="Moeda 4 6 2" xfId="688" xr:uid="{00000000-0005-0000-0000-0000AD020000}"/>
    <cellStyle name="Moeda 4 6 2 2" xfId="689" xr:uid="{00000000-0005-0000-0000-0000AE020000}"/>
    <cellStyle name="Moeda 4 6 3" xfId="690" xr:uid="{00000000-0005-0000-0000-0000AF020000}"/>
    <cellStyle name="Moeda 4 7" xfId="691" xr:uid="{00000000-0005-0000-0000-0000B0020000}"/>
    <cellStyle name="Moeda 4 7 2" xfId="692" xr:uid="{00000000-0005-0000-0000-0000B1020000}"/>
    <cellStyle name="Moeda 4 8" xfId="693" xr:uid="{00000000-0005-0000-0000-0000B2020000}"/>
    <cellStyle name="Moeda 4 8 2" xfId="694" xr:uid="{00000000-0005-0000-0000-0000B3020000}"/>
    <cellStyle name="Moeda 4 8 2 2" xfId="695" xr:uid="{00000000-0005-0000-0000-0000B4020000}"/>
    <cellStyle name="Moeda 4 8 2 2 2" xfId="696" xr:uid="{00000000-0005-0000-0000-0000B5020000}"/>
    <cellStyle name="Moeda 4 8 2 3" xfId="697" xr:uid="{00000000-0005-0000-0000-0000B6020000}"/>
    <cellStyle name="Moeda 4 9" xfId="698" xr:uid="{00000000-0005-0000-0000-0000B7020000}"/>
    <cellStyle name="Moeda 5" xfId="699" xr:uid="{00000000-0005-0000-0000-0000B8020000}"/>
    <cellStyle name="Moeda 5 10" xfId="700" xr:uid="{00000000-0005-0000-0000-0000B9020000}"/>
    <cellStyle name="Moeda 5 11" xfId="701" xr:uid="{00000000-0005-0000-0000-0000BA020000}"/>
    <cellStyle name="Moeda 5 2" xfId="702" xr:uid="{00000000-0005-0000-0000-0000BB020000}"/>
    <cellStyle name="Moeda 5 2 2" xfId="703" xr:uid="{00000000-0005-0000-0000-0000BC020000}"/>
    <cellStyle name="Moeda 5 2 2 2" xfId="704" xr:uid="{00000000-0005-0000-0000-0000BD020000}"/>
    <cellStyle name="Moeda 5 2 3" xfId="705" xr:uid="{00000000-0005-0000-0000-0000BE020000}"/>
    <cellStyle name="Moeda 5 2 4" xfId="706" xr:uid="{00000000-0005-0000-0000-0000BF020000}"/>
    <cellStyle name="Moeda 5 3" xfId="707" xr:uid="{00000000-0005-0000-0000-0000C0020000}"/>
    <cellStyle name="Moeda 5 3 2" xfId="708" xr:uid="{00000000-0005-0000-0000-0000C1020000}"/>
    <cellStyle name="Moeda 5 3 2 2" xfId="709" xr:uid="{00000000-0005-0000-0000-0000C2020000}"/>
    <cellStyle name="Moeda 5 3 3" xfId="710" xr:uid="{00000000-0005-0000-0000-0000C3020000}"/>
    <cellStyle name="Moeda 5 4" xfId="711" xr:uid="{00000000-0005-0000-0000-0000C4020000}"/>
    <cellStyle name="Moeda 5 4 2" xfId="712" xr:uid="{00000000-0005-0000-0000-0000C5020000}"/>
    <cellStyle name="Moeda 5 4 2 2" xfId="713" xr:uid="{00000000-0005-0000-0000-0000C6020000}"/>
    <cellStyle name="Moeda 5 4 3" xfId="714" xr:uid="{00000000-0005-0000-0000-0000C7020000}"/>
    <cellStyle name="Moeda 5 5" xfId="715" xr:uid="{00000000-0005-0000-0000-0000C8020000}"/>
    <cellStyle name="Moeda 5 5 2" xfId="716" xr:uid="{00000000-0005-0000-0000-0000C9020000}"/>
    <cellStyle name="Moeda 5 5 2 2" xfId="717" xr:uid="{00000000-0005-0000-0000-0000CA020000}"/>
    <cellStyle name="Moeda 5 5 3" xfId="718" xr:uid="{00000000-0005-0000-0000-0000CB020000}"/>
    <cellStyle name="Moeda 5 6" xfId="719" xr:uid="{00000000-0005-0000-0000-0000CC020000}"/>
    <cellStyle name="Moeda 5 6 2" xfId="720" xr:uid="{00000000-0005-0000-0000-0000CD020000}"/>
    <cellStyle name="Moeda 5 6 2 2" xfId="721" xr:uid="{00000000-0005-0000-0000-0000CE020000}"/>
    <cellStyle name="Moeda 5 6 3" xfId="722" xr:uid="{00000000-0005-0000-0000-0000CF020000}"/>
    <cellStyle name="Moeda 5 7" xfId="723" xr:uid="{00000000-0005-0000-0000-0000D0020000}"/>
    <cellStyle name="Moeda 5 7 10" xfId="724" xr:uid="{00000000-0005-0000-0000-0000D1020000}"/>
    <cellStyle name="Moeda 5 7 10 2" xfId="725" xr:uid="{00000000-0005-0000-0000-0000D2020000}"/>
    <cellStyle name="Moeda 5 7 11" xfId="726" xr:uid="{00000000-0005-0000-0000-0000D3020000}"/>
    <cellStyle name="Moeda 5 7 2" xfId="727" xr:uid="{00000000-0005-0000-0000-0000D4020000}"/>
    <cellStyle name="Moeda 5 7 2 2" xfId="728" xr:uid="{00000000-0005-0000-0000-0000D5020000}"/>
    <cellStyle name="Moeda 5 7 2 2 2" xfId="729" xr:uid="{00000000-0005-0000-0000-0000D6020000}"/>
    <cellStyle name="Moeda 5 7 2 2 2 2" xfId="730" xr:uid="{00000000-0005-0000-0000-0000D7020000}"/>
    <cellStyle name="Moeda 5 7 2 2 3" xfId="731" xr:uid="{00000000-0005-0000-0000-0000D8020000}"/>
    <cellStyle name="Moeda 5 7 2 3" xfId="732" xr:uid="{00000000-0005-0000-0000-0000D9020000}"/>
    <cellStyle name="Moeda 5 7 2 3 2" xfId="733" xr:uid="{00000000-0005-0000-0000-0000DA020000}"/>
    <cellStyle name="Moeda 5 7 2 3 2 2" xfId="734" xr:uid="{00000000-0005-0000-0000-0000DB020000}"/>
    <cellStyle name="Moeda 5 7 2 3 3" xfId="735" xr:uid="{00000000-0005-0000-0000-0000DC020000}"/>
    <cellStyle name="Moeda 5 7 2 4" xfId="736" xr:uid="{00000000-0005-0000-0000-0000DD020000}"/>
    <cellStyle name="Moeda 5 7 2 4 2" xfId="737" xr:uid="{00000000-0005-0000-0000-0000DE020000}"/>
    <cellStyle name="Moeda 5 7 2 5" xfId="738" xr:uid="{00000000-0005-0000-0000-0000DF020000}"/>
    <cellStyle name="Moeda 5 7 3" xfId="739" xr:uid="{00000000-0005-0000-0000-0000E0020000}"/>
    <cellStyle name="Moeda 5 7 3 2" xfId="740" xr:uid="{00000000-0005-0000-0000-0000E1020000}"/>
    <cellStyle name="Moeda 5 7 3 2 2" xfId="741" xr:uid="{00000000-0005-0000-0000-0000E2020000}"/>
    <cellStyle name="Moeda 5 7 3 3" xfId="742" xr:uid="{00000000-0005-0000-0000-0000E3020000}"/>
    <cellStyle name="Moeda 5 7 4" xfId="743" xr:uid="{00000000-0005-0000-0000-0000E4020000}"/>
    <cellStyle name="Moeda 5 7 4 2" xfId="744" xr:uid="{00000000-0005-0000-0000-0000E5020000}"/>
    <cellStyle name="Moeda 5 7 4 2 2" xfId="745" xr:uid="{00000000-0005-0000-0000-0000E6020000}"/>
    <cellStyle name="Moeda 5 7 4 3" xfId="746" xr:uid="{00000000-0005-0000-0000-0000E7020000}"/>
    <cellStyle name="Moeda 5 7 5" xfId="747" xr:uid="{00000000-0005-0000-0000-0000E8020000}"/>
    <cellStyle name="Moeda 5 7 5 2" xfId="748" xr:uid="{00000000-0005-0000-0000-0000E9020000}"/>
    <cellStyle name="Moeda 5 7 5 2 2" xfId="749" xr:uid="{00000000-0005-0000-0000-0000EA020000}"/>
    <cellStyle name="Moeda 5 7 5 3" xfId="750" xr:uid="{00000000-0005-0000-0000-0000EB020000}"/>
    <cellStyle name="Moeda 5 7 6" xfId="751" xr:uid="{00000000-0005-0000-0000-0000EC020000}"/>
    <cellStyle name="Moeda 5 7 6 2" xfId="752" xr:uid="{00000000-0005-0000-0000-0000ED020000}"/>
    <cellStyle name="Moeda 5 7 6 2 2" xfId="753" xr:uid="{00000000-0005-0000-0000-0000EE020000}"/>
    <cellStyle name="Moeda 5 7 6 3" xfId="754" xr:uid="{00000000-0005-0000-0000-0000EF020000}"/>
    <cellStyle name="Moeda 5 7 7" xfId="755" xr:uid="{00000000-0005-0000-0000-0000F0020000}"/>
    <cellStyle name="Moeda 5 7 7 2" xfId="756" xr:uid="{00000000-0005-0000-0000-0000F1020000}"/>
    <cellStyle name="Moeda 5 7 7 2 2" xfId="757" xr:uid="{00000000-0005-0000-0000-0000F2020000}"/>
    <cellStyle name="Moeda 5 7 7 3" xfId="758" xr:uid="{00000000-0005-0000-0000-0000F3020000}"/>
    <cellStyle name="Moeda 5 7 8" xfId="759" xr:uid="{00000000-0005-0000-0000-0000F4020000}"/>
    <cellStyle name="Moeda 5 7 8 2" xfId="760" xr:uid="{00000000-0005-0000-0000-0000F5020000}"/>
    <cellStyle name="Moeda 5 7 8 2 2" xfId="761" xr:uid="{00000000-0005-0000-0000-0000F6020000}"/>
    <cellStyle name="Moeda 5 7 8 3" xfId="762" xr:uid="{00000000-0005-0000-0000-0000F7020000}"/>
    <cellStyle name="Moeda 5 7 9" xfId="763" xr:uid="{00000000-0005-0000-0000-0000F8020000}"/>
    <cellStyle name="Moeda 5 7 9 2" xfId="764" xr:uid="{00000000-0005-0000-0000-0000F9020000}"/>
    <cellStyle name="Moeda 5 7 9 2 2" xfId="765" xr:uid="{00000000-0005-0000-0000-0000FA020000}"/>
    <cellStyle name="Moeda 5 7 9 2 2 2" xfId="766" xr:uid="{00000000-0005-0000-0000-0000FB020000}"/>
    <cellStyle name="Moeda 5 7 9 2 2 2 2" xfId="767" xr:uid="{00000000-0005-0000-0000-0000FC020000}"/>
    <cellStyle name="Moeda 5 7 9 2 2 3" xfId="768" xr:uid="{00000000-0005-0000-0000-0000FD020000}"/>
    <cellStyle name="Moeda 5 7 9 2 3" xfId="769" xr:uid="{00000000-0005-0000-0000-0000FE020000}"/>
    <cellStyle name="Moeda 5 7 9 2 3 2" xfId="770" xr:uid="{00000000-0005-0000-0000-0000FF020000}"/>
    <cellStyle name="Moeda 5 7 9 2 4" xfId="771" xr:uid="{00000000-0005-0000-0000-000000030000}"/>
    <cellStyle name="Moeda 5 7 9 3" xfId="772" xr:uid="{00000000-0005-0000-0000-000001030000}"/>
    <cellStyle name="Moeda 5 7 9 3 2" xfId="773" xr:uid="{00000000-0005-0000-0000-000002030000}"/>
    <cellStyle name="Moeda 5 7 9 4" xfId="774" xr:uid="{00000000-0005-0000-0000-000003030000}"/>
    <cellStyle name="Moeda 5 8" xfId="775" xr:uid="{00000000-0005-0000-0000-000004030000}"/>
    <cellStyle name="Moeda 5 8 2" xfId="776" xr:uid="{00000000-0005-0000-0000-000005030000}"/>
    <cellStyle name="Moeda 5 8 2 2" xfId="777" xr:uid="{00000000-0005-0000-0000-000006030000}"/>
    <cellStyle name="Moeda 5 8 2 2 2" xfId="778" xr:uid="{00000000-0005-0000-0000-000007030000}"/>
    <cellStyle name="Moeda 5 8 2 3" xfId="779" xr:uid="{00000000-0005-0000-0000-000008030000}"/>
    <cellStyle name="Moeda 5 8 3" xfId="780" xr:uid="{00000000-0005-0000-0000-000009030000}"/>
    <cellStyle name="Moeda 5 8 3 2" xfId="781" xr:uid="{00000000-0005-0000-0000-00000A030000}"/>
    <cellStyle name="Moeda 5 8 4" xfId="782" xr:uid="{00000000-0005-0000-0000-00000B030000}"/>
    <cellStyle name="Moeda 5 9" xfId="783" xr:uid="{00000000-0005-0000-0000-00000C030000}"/>
    <cellStyle name="Moeda 5 9 2" xfId="784" xr:uid="{00000000-0005-0000-0000-00000D030000}"/>
    <cellStyle name="Moeda 6" xfId="785" xr:uid="{00000000-0005-0000-0000-00000E030000}"/>
    <cellStyle name="Moeda 6 2" xfId="786" xr:uid="{00000000-0005-0000-0000-00000F030000}"/>
    <cellStyle name="Moeda 6 2 2" xfId="787" xr:uid="{00000000-0005-0000-0000-000010030000}"/>
    <cellStyle name="Moeda 6 2 2 2" xfId="788" xr:uid="{00000000-0005-0000-0000-000011030000}"/>
    <cellStyle name="Moeda 6 2 3" xfId="789" xr:uid="{00000000-0005-0000-0000-000012030000}"/>
    <cellStyle name="Moeda 6 3" xfId="790" xr:uid="{00000000-0005-0000-0000-000013030000}"/>
    <cellStyle name="Moeda 6 3 2" xfId="791" xr:uid="{00000000-0005-0000-0000-000014030000}"/>
    <cellStyle name="Moeda 6 4" xfId="792" xr:uid="{00000000-0005-0000-0000-000015030000}"/>
    <cellStyle name="Moeda 6 5" xfId="793" xr:uid="{00000000-0005-0000-0000-000016030000}"/>
    <cellStyle name="Moeda 7" xfId="794" xr:uid="{00000000-0005-0000-0000-000017030000}"/>
    <cellStyle name="Moeda 7 2" xfId="795" xr:uid="{00000000-0005-0000-0000-000018030000}"/>
    <cellStyle name="Moeda 7 2 2" xfId="796" xr:uid="{00000000-0005-0000-0000-000019030000}"/>
    <cellStyle name="Moeda 7 2 2 2" xfId="797" xr:uid="{00000000-0005-0000-0000-00001A030000}"/>
    <cellStyle name="Moeda 7 2 3" xfId="798" xr:uid="{00000000-0005-0000-0000-00001B030000}"/>
    <cellStyle name="Moeda 7 3" xfId="799" xr:uid="{00000000-0005-0000-0000-00001C030000}"/>
    <cellStyle name="Moeda 7 3 2" xfId="800" xr:uid="{00000000-0005-0000-0000-00001D030000}"/>
    <cellStyle name="Moeda 7 4" xfId="801" xr:uid="{00000000-0005-0000-0000-00001E030000}"/>
    <cellStyle name="Moeda 7 5" xfId="802" xr:uid="{00000000-0005-0000-0000-00001F030000}"/>
    <cellStyle name="Moeda 7_PR 0582-10-1 RPBC Parada UPN18 e UGNl negociação" xfId="803" xr:uid="{00000000-0005-0000-0000-000020030000}"/>
    <cellStyle name="Moeda 8" xfId="804" xr:uid="{00000000-0005-0000-0000-000021030000}"/>
    <cellStyle name="Moeda 8 2" xfId="805" xr:uid="{00000000-0005-0000-0000-000022030000}"/>
    <cellStyle name="Moeda 8 2 2" xfId="806" xr:uid="{00000000-0005-0000-0000-000023030000}"/>
    <cellStyle name="Moeda 8 2 2 2" xfId="807" xr:uid="{00000000-0005-0000-0000-000024030000}"/>
    <cellStyle name="Moeda 8 2 3" xfId="808" xr:uid="{00000000-0005-0000-0000-000025030000}"/>
    <cellStyle name="Moeda 8 3" xfId="809" xr:uid="{00000000-0005-0000-0000-000026030000}"/>
    <cellStyle name="Moeda 8 3 2" xfId="810" xr:uid="{00000000-0005-0000-0000-000027030000}"/>
    <cellStyle name="Moeda 8 3 2 2" xfId="811" xr:uid="{00000000-0005-0000-0000-000028030000}"/>
    <cellStyle name="Moeda 8 3 3" xfId="812" xr:uid="{00000000-0005-0000-0000-000029030000}"/>
    <cellStyle name="Moeda 8 4" xfId="813" xr:uid="{00000000-0005-0000-0000-00002A030000}"/>
    <cellStyle name="Moeda 8 4 2" xfId="814" xr:uid="{00000000-0005-0000-0000-00002B030000}"/>
    <cellStyle name="Moeda 8 5" xfId="815" xr:uid="{00000000-0005-0000-0000-00002C030000}"/>
    <cellStyle name="Moeda 8 6" xfId="816" xr:uid="{00000000-0005-0000-0000-00002D030000}"/>
    <cellStyle name="Moeda 9" xfId="817" xr:uid="{00000000-0005-0000-0000-00002E030000}"/>
    <cellStyle name="Moeda 9 2" xfId="818" xr:uid="{00000000-0005-0000-0000-00002F030000}"/>
    <cellStyle name="Moeda 9 2 2" xfId="819" xr:uid="{00000000-0005-0000-0000-000030030000}"/>
    <cellStyle name="Moeda 9 3" xfId="820" xr:uid="{00000000-0005-0000-0000-000031030000}"/>
    <cellStyle name="Neutra 10" xfId="821" xr:uid="{00000000-0005-0000-0000-000032030000}"/>
    <cellStyle name="Neutra 11" xfId="822" xr:uid="{00000000-0005-0000-0000-000033030000}"/>
    <cellStyle name="Neutra 12" xfId="823" xr:uid="{00000000-0005-0000-0000-000034030000}"/>
    <cellStyle name="Neutra 13" xfId="824" xr:uid="{00000000-0005-0000-0000-000035030000}"/>
    <cellStyle name="Neutra 14" xfId="825" xr:uid="{00000000-0005-0000-0000-000036030000}"/>
    <cellStyle name="Neutra 15" xfId="826" xr:uid="{00000000-0005-0000-0000-000037030000}"/>
    <cellStyle name="Neutra 16" xfId="827" xr:uid="{00000000-0005-0000-0000-000038030000}"/>
    <cellStyle name="Neutra 2" xfId="828" xr:uid="{00000000-0005-0000-0000-000039030000}"/>
    <cellStyle name="Neutra 2 2" xfId="829" xr:uid="{00000000-0005-0000-0000-00003A030000}"/>
    <cellStyle name="Neutra 3" xfId="830" xr:uid="{00000000-0005-0000-0000-00003B030000}"/>
    <cellStyle name="Neutra 4" xfId="831" xr:uid="{00000000-0005-0000-0000-00003C030000}"/>
    <cellStyle name="Neutra 5" xfId="832" xr:uid="{00000000-0005-0000-0000-00003D030000}"/>
    <cellStyle name="Neutra 6" xfId="833" xr:uid="{00000000-0005-0000-0000-00003E030000}"/>
    <cellStyle name="Neutra 7" xfId="834" xr:uid="{00000000-0005-0000-0000-00003F030000}"/>
    <cellStyle name="Neutra 8" xfId="835" xr:uid="{00000000-0005-0000-0000-000040030000}"/>
    <cellStyle name="Neutra 9" xfId="836" xr:uid="{00000000-0005-0000-0000-000041030000}"/>
    <cellStyle name="Neutro" xfId="837" xr:uid="{00000000-0005-0000-0000-000042030000}"/>
    <cellStyle name="NIVEL 6" xfId="838" xr:uid="{00000000-0005-0000-0000-000043030000}"/>
    <cellStyle name="nivel1" xfId="839" xr:uid="{00000000-0005-0000-0000-000044030000}"/>
    <cellStyle name="NIVEL2" xfId="840" xr:uid="{00000000-0005-0000-0000-000045030000}"/>
    <cellStyle name="NIVEL3" xfId="841" xr:uid="{00000000-0005-0000-0000-000046030000}"/>
    <cellStyle name="NIVEL4" xfId="842" xr:uid="{00000000-0005-0000-0000-000047030000}"/>
    <cellStyle name="NIVEL5" xfId="843" xr:uid="{00000000-0005-0000-0000-000048030000}"/>
    <cellStyle name="NívelLinha_1_CANTEIRO E ALOJAMENTO" xfId="844" xr:uid="{00000000-0005-0000-0000-000049030000}"/>
    <cellStyle name="Normal" xfId="0" builtinId="0"/>
    <cellStyle name="Normal - Style1" xfId="845" xr:uid="{00000000-0005-0000-0000-00004B030000}"/>
    <cellStyle name="Normal 10" xfId="846" xr:uid="{00000000-0005-0000-0000-00004C030000}"/>
    <cellStyle name="Normal 10 2" xfId="847" xr:uid="{00000000-0005-0000-0000-00004D030000}"/>
    <cellStyle name="Normal 10 2 2" xfId="848" xr:uid="{00000000-0005-0000-0000-00004E030000}"/>
    <cellStyle name="Normal 10 2 3" xfId="849" xr:uid="{00000000-0005-0000-0000-00004F030000}"/>
    <cellStyle name="Normal 10 3" xfId="850" xr:uid="{00000000-0005-0000-0000-000050030000}"/>
    <cellStyle name="Normal 10 4" xfId="851" xr:uid="{00000000-0005-0000-0000-000051030000}"/>
    <cellStyle name="Normal 11" xfId="852" xr:uid="{00000000-0005-0000-0000-000052030000}"/>
    <cellStyle name="Normal 11 2" xfId="853" xr:uid="{00000000-0005-0000-0000-000053030000}"/>
    <cellStyle name="Normal 12" xfId="854" xr:uid="{00000000-0005-0000-0000-000054030000}"/>
    <cellStyle name="Normal 12 2" xfId="855" xr:uid="{00000000-0005-0000-0000-000055030000}"/>
    <cellStyle name="Normal 12 2 2" xfId="856" xr:uid="{00000000-0005-0000-0000-000056030000}"/>
    <cellStyle name="Normal 12 3" xfId="857" xr:uid="{00000000-0005-0000-0000-000057030000}"/>
    <cellStyle name="Normal 13" xfId="858" xr:uid="{00000000-0005-0000-0000-000058030000}"/>
    <cellStyle name="Normal 13 2" xfId="859" xr:uid="{00000000-0005-0000-0000-000059030000}"/>
    <cellStyle name="Normal 13 2 2" xfId="860" xr:uid="{00000000-0005-0000-0000-00005A030000}"/>
    <cellStyle name="Normal 13 2 2 2" xfId="861" xr:uid="{00000000-0005-0000-0000-00005B030000}"/>
    <cellStyle name="Normal 13 2 3" xfId="862" xr:uid="{00000000-0005-0000-0000-00005C030000}"/>
    <cellStyle name="Normal 13 3" xfId="863" xr:uid="{00000000-0005-0000-0000-00005D030000}"/>
    <cellStyle name="Normal 14" xfId="864" xr:uid="{00000000-0005-0000-0000-00005E030000}"/>
    <cellStyle name="Normal 14 2" xfId="865" xr:uid="{00000000-0005-0000-0000-00005F030000}"/>
    <cellStyle name="Normal 15" xfId="866" xr:uid="{00000000-0005-0000-0000-000060030000}"/>
    <cellStyle name="Normal 15 2" xfId="867" xr:uid="{00000000-0005-0000-0000-000061030000}"/>
    <cellStyle name="Normal 16" xfId="868" xr:uid="{00000000-0005-0000-0000-000062030000}"/>
    <cellStyle name="Normal 16 2" xfId="869" xr:uid="{00000000-0005-0000-0000-000063030000}"/>
    <cellStyle name="Normal 16 2 2" xfId="870" xr:uid="{00000000-0005-0000-0000-000064030000}"/>
    <cellStyle name="Normal 16 3" xfId="871" xr:uid="{00000000-0005-0000-0000-000065030000}"/>
    <cellStyle name="Normal 17" xfId="872" xr:uid="{00000000-0005-0000-0000-000066030000}"/>
    <cellStyle name="Normal 17 2" xfId="873" xr:uid="{00000000-0005-0000-0000-000067030000}"/>
    <cellStyle name="Normal 18" xfId="874" xr:uid="{00000000-0005-0000-0000-000068030000}"/>
    <cellStyle name="Normal 18 2" xfId="875" xr:uid="{00000000-0005-0000-0000-000069030000}"/>
    <cellStyle name="Normal 19" xfId="876" xr:uid="{00000000-0005-0000-0000-00006A030000}"/>
    <cellStyle name="Normal 19 2" xfId="877" xr:uid="{00000000-0005-0000-0000-00006B030000}"/>
    <cellStyle name="Normal 2" xfId="878" xr:uid="{00000000-0005-0000-0000-00006C030000}"/>
    <cellStyle name="Normal 2 10" xfId="879" xr:uid="{00000000-0005-0000-0000-00006D030000}"/>
    <cellStyle name="Normal 2 11" xfId="880" xr:uid="{00000000-0005-0000-0000-00006E030000}"/>
    <cellStyle name="Normal 2 12" xfId="881" xr:uid="{00000000-0005-0000-0000-00006F030000}"/>
    <cellStyle name="Normal 2 13" xfId="882" xr:uid="{00000000-0005-0000-0000-000070030000}"/>
    <cellStyle name="Normal 2 14" xfId="883" xr:uid="{00000000-0005-0000-0000-000071030000}"/>
    <cellStyle name="Normal 2 15" xfId="884" xr:uid="{00000000-0005-0000-0000-000072030000}"/>
    <cellStyle name="Normal 2 16" xfId="885" xr:uid="{00000000-0005-0000-0000-000073030000}"/>
    <cellStyle name="Normal 2 17" xfId="886" xr:uid="{00000000-0005-0000-0000-000074030000}"/>
    <cellStyle name="Normal 2 18" xfId="887" xr:uid="{00000000-0005-0000-0000-000075030000}"/>
    <cellStyle name="Normal 2 19" xfId="888" xr:uid="{00000000-0005-0000-0000-000076030000}"/>
    <cellStyle name="Normal 2 2" xfId="889" xr:uid="{00000000-0005-0000-0000-000077030000}"/>
    <cellStyle name="Normal 2 2 10" xfId="890" xr:uid="{00000000-0005-0000-0000-000078030000}"/>
    <cellStyle name="Normal 2 2 11" xfId="891" xr:uid="{00000000-0005-0000-0000-000079030000}"/>
    <cellStyle name="Normal 2 2 12" xfId="892" xr:uid="{00000000-0005-0000-0000-00007A030000}"/>
    <cellStyle name="Normal 2 2 13" xfId="893" xr:uid="{00000000-0005-0000-0000-00007B030000}"/>
    <cellStyle name="Normal 2 2 14" xfId="894" xr:uid="{00000000-0005-0000-0000-00007C030000}"/>
    <cellStyle name="Normal 2 2 15" xfId="895" xr:uid="{00000000-0005-0000-0000-00007D030000}"/>
    <cellStyle name="Normal 2 2 16" xfId="896" xr:uid="{00000000-0005-0000-0000-00007E030000}"/>
    <cellStyle name="Normal 2 2 17" xfId="897" xr:uid="{00000000-0005-0000-0000-00007F030000}"/>
    <cellStyle name="Normal 2 2 18" xfId="898" xr:uid="{00000000-0005-0000-0000-000080030000}"/>
    <cellStyle name="Normal 2 2 19" xfId="899" xr:uid="{00000000-0005-0000-0000-000081030000}"/>
    <cellStyle name="Normal 2 2 2" xfId="900" xr:uid="{00000000-0005-0000-0000-000082030000}"/>
    <cellStyle name="Normal 2 2 2 2" xfId="901" xr:uid="{00000000-0005-0000-0000-000083030000}"/>
    <cellStyle name="Normal 2 2 2 2 2" xfId="902" xr:uid="{00000000-0005-0000-0000-000084030000}"/>
    <cellStyle name="Normal 2 2 2 3" xfId="903" xr:uid="{00000000-0005-0000-0000-000085030000}"/>
    <cellStyle name="Normal 2 2 2_Salarios" xfId="904" xr:uid="{00000000-0005-0000-0000-000086030000}"/>
    <cellStyle name="Normal 2 2 20" xfId="905" xr:uid="{00000000-0005-0000-0000-000087030000}"/>
    <cellStyle name="Normal 2 2 21" xfId="906" xr:uid="{00000000-0005-0000-0000-000088030000}"/>
    <cellStyle name="Normal 2 2 22" xfId="907" xr:uid="{00000000-0005-0000-0000-000089030000}"/>
    <cellStyle name="Normal 2 2 23" xfId="908" xr:uid="{00000000-0005-0000-0000-00008A030000}"/>
    <cellStyle name="Normal 2 2 24" xfId="909" xr:uid="{00000000-0005-0000-0000-00008B030000}"/>
    <cellStyle name="Normal 2 2 24 2" xfId="910" xr:uid="{00000000-0005-0000-0000-00008C030000}"/>
    <cellStyle name="Normal 2 2 25" xfId="911" xr:uid="{00000000-0005-0000-0000-00008D030000}"/>
    <cellStyle name="Normal 2 2 3" xfId="912" xr:uid="{00000000-0005-0000-0000-00008E030000}"/>
    <cellStyle name="Normal 2 2 3 2" xfId="913" xr:uid="{00000000-0005-0000-0000-00008F030000}"/>
    <cellStyle name="Normal 2 2 3 3" xfId="914" xr:uid="{00000000-0005-0000-0000-000090030000}"/>
    <cellStyle name="Normal 2 2 3 4" xfId="915" xr:uid="{00000000-0005-0000-0000-000091030000}"/>
    <cellStyle name="Normal 2 2 4" xfId="916" xr:uid="{00000000-0005-0000-0000-000092030000}"/>
    <cellStyle name="Normal 2 2 5" xfId="917" xr:uid="{00000000-0005-0000-0000-000093030000}"/>
    <cellStyle name="Normal 2 2 5 2" xfId="918" xr:uid="{00000000-0005-0000-0000-000094030000}"/>
    <cellStyle name="Normal 2 2 6" xfId="919" xr:uid="{00000000-0005-0000-0000-000095030000}"/>
    <cellStyle name="Normal 2 2 7" xfId="920" xr:uid="{00000000-0005-0000-0000-000096030000}"/>
    <cellStyle name="Normal 2 2 8" xfId="921" xr:uid="{00000000-0005-0000-0000-000097030000}"/>
    <cellStyle name="Normal 2 2 9" xfId="922" xr:uid="{00000000-0005-0000-0000-000098030000}"/>
    <cellStyle name="Normal 2 2_Ata Divulgação LUBNOR" xfId="923" xr:uid="{00000000-0005-0000-0000-000099030000}"/>
    <cellStyle name="Normal 2 20" xfId="924" xr:uid="{00000000-0005-0000-0000-00009A030000}"/>
    <cellStyle name="Normal 2 21" xfId="925" xr:uid="{00000000-0005-0000-0000-00009B030000}"/>
    <cellStyle name="Normal 2 22" xfId="926" xr:uid="{00000000-0005-0000-0000-00009C030000}"/>
    <cellStyle name="Normal 2 23" xfId="927" xr:uid="{00000000-0005-0000-0000-00009D030000}"/>
    <cellStyle name="Normal 2 24" xfId="928" xr:uid="{00000000-0005-0000-0000-00009E030000}"/>
    <cellStyle name="Normal 2 25" xfId="929" xr:uid="{00000000-0005-0000-0000-00009F030000}"/>
    <cellStyle name="Normal 2 26" xfId="930" xr:uid="{00000000-0005-0000-0000-0000A0030000}"/>
    <cellStyle name="Normal 2 27" xfId="931" xr:uid="{00000000-0005-0000-0000-0000A1030000}"/>
    <cellStyle name="Normal 2 28" xfId="932" xr:uid="{00000000-0005-0000-0000-0000A2030000}"/>
    <cellStyle name="Normal 2 29" xfId="933" xr:uid="{00000000-0005-0000-0000-0000A3030000}"/>
    <cellStyle name="Normal 2 3" xfId="934" xr:uid="{00000000-0005-0000-0000-0000A4030000}"/>
    <cellStyle name="Normal 2 3 2" xfId="935" xr:uid="{00000000-0005-0000-0000-0000A5030000}"/>
    <cellStyle name="Normal 2 3 2 2" xfId="936" xr:uid="{00000000-0005-0000-0000-0000A6030000}"/>
    <cellStyle name="Normal 2 3 3" xfId="937" xr:uid="{00000000-0005-0000-0000-0000A7030000}"/>
    <cellStyle name="Normal 2 3 4" xfId="938" xr:uid="{00000000-0005-0000-0000-0000A8030000}"/>
    <cellStyle name="Normal 2 30" xfId="939" xr:uid="{00000000-0005-0000-0000-0000A9030000}"/>
    <cellStyle name="Normal 2 31" xfId="940" xr:uid="{00000000-0005-0000-0000-0000AA030000}"/>
    <cellStyle name="Normal 2 32" xfId="941" xr:uid="{00000000-0005-0000-0000-0000AB030000}"/>
    <cellStyle name="Normal 2 33" xfId="942" xr:uid="{00000000-0005-0000-0000-0000AC030000}"/>
    <cellStyle name="Normal 2 34" xfId="943" xr:uid="{00000000-0005-0000-0000-0000AD030000}"/>
    <cellStyle name="Normal 2 35" xfId="944" xr:uid="{00000000-0005-0000-0000-0000AE030000}"/>
    <cellStyle name="Normal 2 36" xfId="945" xr:uid="{00000000-0005-0000-0000-0000AF030000}"/>
    <cellStyle name="Normal 2 37" xfId="946" xr:uid="{00000000-0005-0000-0000-0000B0030000}"/>
    <cellStyle name="Normal 2 38" xfId="947" xr:uid="{00000000-0005-0000-0000-0000B1030000}"/>
    <cellStyle name="Normal 2 39" xfId="948" xr:uid="{00000000-0005-0000-0000-0000B2030000}"/>
    <cellStyle name="Normal 2 4" xfId="949" xr:uid="{00000000-0005-0000-0000-0000B3030000}"/>
    <cellStyle name="Normal 2 4 2" xfId="950" xr:uid="{00000000-0005-0000-0000-0000B4030000}"/>
    <cellStyle name="Normal 2 4 2 2" xfId="951" xr:uid="{00000000-0005-0000-0000-0000B5030000}"/>
    <cellStyle name="Normal 2 4 3" xfId="952" xr:uid="{00000000-0005-0000-0000-0000B6030000}"/>
    <cellStyle name="Normal 2 4_Cópia de FPV-PR-565-10-REFAP-Apoio Operacional ao Coque" xfId="953" xr:uid="{00000000-0005-0000-0000-0000B7030000}"/>
    <cellStyle name="Normal 2 40" xfId="954" xr:uid="{00000000-0005-0000-0000-0000B8030000}"/>
    <cellStyle name="Normal 2 40 10" xfId="955" xr:uid="{00000000-0005-0000-0000-0000B9030000}"/>
    <cellStyle name="Normal 2 40 2" xfId="956" xr:uid="{00000000-0005-0000-0000-0000BA030000}"/>
    <cellStyle name="Normal 2 40 3" xfId="957" xr:uid="{00000000-0005-0000-0000-0000BB030000}"/>
    <cellStyle name="Normal 2 40 4" xfId="958" xr:uid="{00000000-0005-0000-0000-0000BC030000}"/>
    <cellStyle name="Normal 2 40 5" xfId="959" xr:uid="{00000000-0005-0000-0000-0000BD030000}"/>
    <cellStyle name="Normal 2 40 6" xfId="960" xr:uid="{00000000-0005-0000-0000-0000BE030000}"/>
    <cellStyle name="Normal 2 40 7" xfId="961" xr:uid="{00000000-0005-0000-0000-0000BF030000}"/>
    <cellStyle name="Normal 2 40 8" xfId="962" xr:uid="{00000000-0005-0000-0000-0000C0030000}"/>
    <cellStyle name="Normal 2 40 9" xfId="963" xr:uid="{00000000-0005-0000-0000-0000C1030000}"/>
    <cellStyle name="Normal 2 41" xfId="964" xr:uid="{00000000-0005-0000-0000-0000C2030000}"/>
    <cellStyle name="Normal 2 42" xfId="965" xr:uid="{00000000-0005-0000-0000-0000C3030000}"/>
    <cellStyle name="Normal 2 43" xfId="966" xr:uid="{00000000-0005-0000-0000-0000C4030000}"/>
    <cellStyle name="Normal 2 44" xfId="967" xr:uid="{00000000-0005-0000-0000-0000C5030000}"/>
    <cellStyle name="Normal 2 45" xfId="968" xr:uid="{00000000-0005-0000-0000-0000C6030000}"/>
    <cellStyle name="Normal 2 46" xfId="969" xr:uid="{00000000-0005-0000-0000-0000C7030000}"/>
    <cellStyle name="Normal 2 47" xfId="970" xr:uid="{00000000-0005-0000-0000-0000C8030000}"/>
    <cellStyle name="Normal 2 48" xfId="971" xr:uid="{00000000-0005-0000-0000-0000C9030000}"/>
    <cellStyle name="Normal 2 49" xfId="972" xr:uid="{00000000-0005-0000-0000-0000CA030000}"/>
    <cellStyle name="Normal 2 5" xfId="973" xr:uid="{00000000-0005-0000-0000-0000CB030000}"/>
    <cellStyle name="Normal 2 5 2" xfId="974" xr:uid="{00000000-0005-0000-0000-0000CC030000}"/>
    <cellStyle name="Normal 2 5 2 2" xfId="975" xr:uid="{00000000-0005-0000-0000-0000CD030000}"/>
    <cellStyle name="Normal 2 5 3" xfId="976" xr:uid="{00000000-0005-0000-0000-0000CE030000}"/>
    <cellStyle name="Normal 2 50" xfId="977" xr:uid="{00000000-0005-0000-0000-0000CF030000}"/>
    <cellStyle name="Normal 2 51" xfId="978" xr:uid="{00000000-0005-0000-0000-0000D0030000}"/>
    <cellStyle name="Normal 2 52" xfId="979" xr:uid="{00000000-0005-0000-0000-0000D1030000}"/>
    <cellStyle name="Normal 2 53" xfId="980" xr:uid="{00000000-0005-0000-0000-0000D2030000}"/>
    <cellStyle name="Normal 2 54" xfId="981" xr:uid="{00000000-0005-0000-0000-0000D3030000}"/>
    <cellStyle name="Normal 2 55" xfId="982" xr:uid="{00000000-0005-0000-0000-0000D4030000}"/>
    <cellStyle name="Normal 2 6" xfId="983" xr:uid="{00000000-0005-0000-0000-0000D5030000}"/>
    <cellStyle name="Normal 2 6 2" xfId="984" xr:uid="{00000000-0005-0000-0000-0000D6030000}"/>
    <cellStyle name="Normal 2 6 2 2" xfId="985" xr:uid="{00000000-0005-0000-0000-0000D7030000}"/>
    <cellStyle name="Normal 2 6 3" xfId="986" xr:uid="{00000000-0005-0000-0000-0000D8030000}"/>
    <cellStyle name="Normal 2 7" xfId="987" xr:uid="{00000000-0005-0000-0000-0000D9030000}"/>
    <cellStyle name="Normal 2 8" xfId="988" xr:uid="{00000000-0005-0000-0000-0000DA030000}"/>
    <cellStyle name="Normal 2 8 2" xfId="989" xr:uid="{00000000-0005-0000-0000-0000DB030000}"/>
    <cellStyle name="Normal 2 8 2 2" xfId="990" xr:uid="{00000000-0005-0000-0000-0000DC030000}"/>
    <cellStyle name="Normal 2 8 3" xfId="991" xr:uid="{00000000-0005-0000-0000-0000DD030000}"/>
    <cellStyle name="Normal 2 9" xfId="992" xr:uid="{00000000-0005-0000-0000-0000DE030000}"/>
    <cellStyle name="Normal 2_Ata Divulgação LUBNOR" xfId="993" xr:uid="{00000000-0005-0000-0000-0000DF030000}"/>
    <cellStyle name="Normal 20" xfId="994" xr:uid="{00000000-0005-0000-0000-0000E0030000}"/>
    <cellStyle name="Normal 20 2" xfId="995" xr:uid="{00000000-0005-0000-0000-0000E1030000}"/>
    <cellStyle name="Normal 21" xfId="996" xr:uid="{00000000-0005-0000-0000-0000E2030000}"/>
    <cellStyle name="Normal 21 2" xfId="997" xr:uid="{00000000-0005-0000-0000-0000E3030000}"/>
    <cellStyle name="Normal 22" xfId="998" xr:uid="{00000000-0005-0000-0000-0000E4030000}"/>
    <cellStyle name="Normal 22 2" xfId="999" xr:uid="{00000000-0005-0000-0000-0000E5030000}"/>
    <cellStyle name="Normal 23" xfId="1000" xr:uid="{00000000-0005-0000-0000-0000E6030000}"/>
    <cellStyle name="Normal 23 2" xfId="1001" xr:uid="{00000000-0005-0000-0000-0000E7030000}"/>
    <cellStyle name="Normal 24" xfId="1002" xr:uid="{00000000-0005-0000-0000-0000E8030000}"/>
    <cellStyle name="Normal 24 2" xfId="1003" xr:uid="{00000000-0005-0000-0000-0000E9030000}"/>
    <cellStyle name="Normal 25" xfId="1004" xr:uid="{00000000-0005-0000-0000-0000EA030000}"/>
    <cellStyle name="Normal 25 2" xfId="1005" xr:uid="{00000000-0005-0000-0000-0000EB030000}"/>
    <cellStyle name="Normal 26" xfId="1006" xr:uid="{00000000-0005-0000-0000-0000EC030000}"/>
    <cellStyle name="Normal 26 2" xfId="1007" xr:uid="{00000000-0005-0000-0000-0000ED030000}"/>
    <cellStyle name="Normal 27" xfId="1008" xr:uid="{00000000-0005-0000-0000-0000EE030000}"/>
    <cellStyle name="Normal 27 2" xfId="1009" xr:uid="{00000000-0005-0000-0000-0000EF030000}"/>
    <cellStyle name="Normal 28" xfId="1010" xr:uid="{00000000-0005-0000-0000-0000F0030000}"/>
    <cellStyle name="Normal 28 2" xfId="1011" xr:uid="{00000000-0005-0000-0000-0000F1030000}"/>
    <cellStyle name="Normal 29" xfId="1012" xr:uid="{00000000-0005-0000-0000-0000F2030000}"/>
    <cellStyle name="Normal 29 2" xfId="1013" xr:uid="{00000000-0005-0000-0000-0000F3030000}"/>
    <cellStyle name="Normal 3" xfId="1014" xr:uid="{00000000-0005-0000-0000-0000F4030000}"/>
    <cellStyle name="Normal 3 10" xfId="1015" xr:uid="{00000000-0005-0000-0000-0000F5030000}"/>
    <cellStyle name="Normal 3 11" xfId="1016" xr:uid="{00000000-0005-0000-0000-0000F6030000}"/>
    <cellStyle name="Normal 3 12" xfId="1017" xr:uid="{00000000-0005-0000-0000-0000F7030000}"/>
    <cellStyle name="Normal 3 13" xfId="1018" xr:uid="{00000000-0005-0000-0000-0000F8030000}"/>
    <cellStyle name="Normal 3 14" xfId="1019" xr:uid="{00000000-0005-0000-0000-0000F9030000}"/>
    <cellStyle name="Normal 3 15" xfId="1020" xr:uid="{00000000-0005-0000-0000-0000FA030000}"/>
    <cellStyle name="Normal 3 16" xfId="1021" xr:uid="{00000000-0005-0000-0000-0000FB030000}"/>
    <cellStyle name="Normal 3 17" xfId="1022" xr:uid="{00000000-0005-0000-0000-0000FC030000}"/>
    <cellStyle name="Normal 3 18" xfId="1023" xr:uid="{00000000-0005-0000-0000-0000FD030000}"/>
    <cellStyle name="Normal 3 19" xfId="1024" xr:uid="{00000000-0005-0000-0000-0000FE030000}"/>
    <cellStyle name="Normal 3 2" xfId="1025" xr:uid="{00000000-0005-0000-0000-0000FF030000}"/>
    <cellStyle name="Normal 3 2 10" xfId="1026" xr:uid="{00000000-0005-0000-0000-000000040000}"/>
    <cellStyle name="Normal 3 2 11" xfId="1027" xr:uid="{00000000-0005-0000-0000-000001040000}"/>
    <cellStyle name="Normal 3 2 12" xfId="1028" xr:uid="{00000000-0005-0000-0000-000002040000}"/>
    <cellStyle name="Normal 3 2 13" xfId="1029" xr:uid="{00000000-0005-0000-0000-000003040000}"/>
    <cellStyle name="Normal 3 2 14" xfId="1030" xr:uid="{00000000-0005-0000-0000-000004040000}"/>
    <cellStyle name="Normal 3 2 15" xfId="1031" xr:uid="{00000000-0005-0000-0000-000005040000}"/>
    <cellStyle name="Normal 3 2 16" xfId="1032" xr:uid="{00000000-0005-0000-0000-000006040000}"/>
    <cellStyle name="Normal 3 2 17" xfId="1033" xr:uid="{00000000-0005-0000-0000-000007040000}"/>
    <cellStyle name="Normal 3 2 18" xfId="1034" xr:uid="{00000000-0005-0000-0000-000008040000}"/>
    <cellStyle name="Normal 3 2 19" xfId="1035" xr:uid="{00000000-0005-0000-0000-000009040000}"/>
    <cellStyle name="Normal 3 2 2" xfId="1036" xr:uid="{00000000-0005-0000-0000-00000A040000}"/>
    <cellStyle name="Normal 3 2 20" xfId="1037" xr:uid="{00000000-0005-0000-0000-00000B040000}"/>
    <cellStyle name="Normal 3 2 21" xfId="1038" xr:uid="{00000000-0005-0000-0000-00000C040000}"/>
    <cellStyle name="Normal 3 2 22" xfId="1039" xr:uid="{00000000-0005-0000-0000-00000D040000}"/>
    <cellStyle name="Normal 3 2 23" xfId="1040" xr:uid="{00000000-0005-0000-0000-00000E040000}"/>
    <cellStyle name="Normal 3 2 3" xfId="1041" xr:uid="{00000000-0005-0000-0000-00000F040000}"/>
    <cellStyle name="Normal 3 2 4" xfId="1042" xr:uid="{00000000-0005-0000-0000-000010040000}"/>
    <cellStyle name="Normal 3 2 5" xfId="1043" xr:uid="{00000000-0005-0000-0000-000011040000}"/>
    <cellStyle name="Normal 3 2 6" xfId="1044" xr:uid="{00000000-0005-0000-0000-000012040000}"/>
    <cellStyle name="Normal 3 2 7" xfId="1045" xr:uid="{00000000-0005-0000-0000-000013040000}"/>
    <cellStyle name="Normal 3 2 8" xfId="1046" xr:uid="{00000000-0005-0000-0000-000014040000}"/>
    <cellStyle name="Normal 3 2 9" xfId="1047" xr:uid="{00000000-0005-0000-0000-000015040000}"/>
    <cellStyle name="Normal 3 20" xfId="1048" xr:uid="{00000000-0005-0000-0000-000016040000}"/>
    <cellStyle name="Normal 3 21" xfId="1049" xr:uid="{00000000-0005-0000-0000-000017040000}"/>
    <cellStyle name="Normal 3 22" xfId="1050" xr:uid="{00000000-0005-0000-0000-000018040000}"/>
    <cellStyle name="Normal 3 23" xfId="1051" xr:uid="{00000000-0005-0000-0000-000019040000}"/>
    <cellStyle name="Normal 3 24" xfId="1052" xr:uid="{00000000-0005-0000-0000-00001A040000}"/>
    <cellStyle name="Normal 3 24 2" xfId="1053" xr:uid="{00000000-0005-0000-0000-00001B040000}"/>
    <cellStyle name="Normal 3 25" xfId="1054" xr:uid="{00000000-0005-0000-0000-00001C040000}"/>
    <cellStyle name="Normal 3 26" xfId="1055" xr:uid="{00000000-0005-0000-0000-00001D040000}"/>
    <cellStyle name="Normal 3 26 2" xfId="1056" xr:uid="{00000000-0005-0000-0000-00001E040000}"/>
    <cellStyle name="Normal 3 3" xfId="1057" xr:uid="{00000000-0005-0000-0000-00001F040000}"/>
    <cellStyle name="Normal 3 4" xfId="1058" xr:uid="{00000000-0005-0000-0000-000020040000}"/>
    <cellStyle name="Normal 3 5" xfId="1059" xr:uid="{00000000-0005-0000-0000-000021040000}"/>
    <cellStyle name="Normal 3 6" xfId="1060" xr:uid="{00000000-0005-0000-0000-000022040000}"/>
    <cellStyle name="Normal 3 7" xfId="1061" xr:uid="{00000000-0005-0000-0000-000023040000}"/>
    <cellStyle name="Normal 3 8" xfId="1062" xr:uid="{00000000-0005-0000-0000-000024040000}"/>
    <cellStyle name="Normal 3 9" xfId="1063" xr:uid="{00000000-0005-0000-0000-000025040000}"/>
    <cellStyle name="Normal 3_Anexo 2A - PPU rev 4" xfId="1064" xr:uid="{00000000-0005-0000-0000-000026040000}"/>
    <cellStyle name="Normal 30" xfId="1065" xr:uid="{00000000-0005-0000-0000-000027040000}"/>
    <cellStyle name="Normal 31" xfId="1066" xr:uid="{00000000-0005-0000-0000-000028040000}"/>
    <cellStyle name="Normal 32" xfId="1067" xr:uid="{00000000-0005-0000-0000-000029040000}"/>
    <cellStyle name="Normal 32 2" xfId="1068" xr:uid="{00000000-0005-0000-0000-00002A040000}"/>
    <cellStyle name="Normal 32 2 2" xfId="1069" xr:uid="{00000000-0005-0000-0000-00002B040000}"/>
    <cellStyle name="Normal 32 3" xfId="1070" xr:uid="{00000000-0005-0000-0000-00002C040000}"/>
    <cellStyle name="Normal 32 4" xfId="1071" xr:uid="{00000000-0005-0000-0000-00002D040000}"/>
    <cellStyle name="Normal 32 5" xfId="1072" xr:uid="{00000000-0005-0000-0000-00002E040000}"/>
    <cellStyle name="Normal 33" xfId="1073" xr:uid="{00000000-0005-0000-0000-00002F040000}"/>
    <cellStyle name="Normal 33 2" xfId="1074" xr:uid="{00000000-0005-0000-0000-000030040000}"/>
    <cellStyle name="Normal 33 3" xfId="1075" xr:uid="{00000000-0005-0000-0000-000031040000}"/>
    <cellStyle name="Normal 33 3 2" xfId="1076" xr:uid="{00000000-0005-0000-0000-000032040000}"/>
    <cellStyle name="Normal 33 3 2 2" xfId="1077" xr:uid="{00000000-0005-0000-0000-000033040000}"/>
    <cellStyle name="Normal 33 3 3" xfId="1078" xr:uid="{00000000-0005-0000-0000-000034040000}"/>
    <cellStyle name="Normal 34" xfId="1079" xr:uid="{00000000-0005-0000-0000-000035040000}"/>
    <cellStyle name="Normal 34 2" xfId="1080" xr:uid="{00000000-0005-0000-0000-000036040000}"/>
    <cellStyle name="Normal 35" xfId="1081" xr:uid="{00000000-0005-0000-0000-000037040000}"/>
    <cellStyle name="Normal 36" xfId="1082" xr:uid="{00000000-0005-0000-0000-000038040000}"/>
    <cellStyle name="Normal 37" xfId="1083" xr:uid="{00000000-0005-0000-0000-000039040000}"/>
    <cellStyle name="Normal 38" xfId="1084" xr:uid="{00000000-0005-0000-0000-00003A040000}"/>
    <cellStyle name="Normal 39" xfId="1085" xr:uid="{00000000-0005-0000-0000-00003B040000}"/>
    <cellStyle name="Normal 4" xfId="1086" xr:uid="{00000000-0005-0000-0000-00003C040000}"/>
    <cellStyle name="Normal 4 2" xfId="1087" xr:uid="{00000000-0005-0000-0000-00003D040000}"/>
    <cellStyle name="Normal 4 2 2" xfId="1088" xr:uid="{00000000-0005-0000-0000-00003E040000}"/>
    <cellStyle name="Normal 4 2 2 2" xfId="1089" xr:uid="{00000000-0005-0000-0000-00003F040000}"/>
    <cellStyle name="Normal 4 2 3" xfId="1090" xr:uid="{00000000-0005-0000-0000-000040040000}"/>
    <cellStyle name="Normal 4 3" xfId="1091" xr:uid="{00000000-0005-0000-0000-000041040000}"/>
    <cellStyle name="Normal 4 3 2" xfId="1092" xr:uid="{00000000-0005-0000-0000-000042040000}"/>
    <cellStyle name="Normal 4 3 2 2" xfId="1093" xr:uid="{00000000-0005-0000-0000-000043040000}"/>
    <cellStyle name="Normal 4 3 3" xfId="1094" xr:uid="{00000000-0005-0000-0000-000044040000}"/>
    <cellStyle name="Normal 4 4" xfId="1095" xr:uid="{00000000-0005-0000-0000-000045040000}"/>
    <cellStyle name="Normal 4 4 2" xfId="1096" xr:uid="{00000000-0005-0000-0000-000046040000}"/>
    <cellStyle name="Normal 4 4 2 2" xfId="1097" xr:uid="{00000000-0005-0000-0000-000047040000}"/>
    <cellStyle name="Normal 4 4 3" xfId="1098" xr:uid="{00000000-0005-0000-0000-000048040000}"/>
    <cellStyle name="Normal 4 5" xfId="1099" xr:uid="{00000000-0005-0000-0000-000049040000}"/>
    <cellStyle name="Normal 4 5 2" xfId="1100" xr:uid="{00000000-0005-0000-0000-00004A040000}"/>
    <cellStyle name="Normal 4 5 2 2" xfId="1101" xr:uid="{00000000-0005-0000-0000-00004B040000}"/>
    <cellStyle name="Normal 4 5 3" xfId="1102" xr:uid="{00000000-0005-0000-0000-00004C040000}"/>
    <cellStyle name="Normal 4 6" xfId="1103" xr:uid="{00000000-0005-0000-0000-00004D040000}"/>
    <cellStyle name="Normal 4 6 2" xfId="1104" xr:uid="{00000000-0005-0000-0000-00004E040000}"/>
    <cellStyle name="Normal 4 6 2 2" xfId="1105" xr:uid="{00000000-0005-0000-0000-00004F040000}"/>
    <cellStyle name="Normal 4 6 3" xfId="1106" xr:uid="{00000000-0005-0000-0000-000050040000}"/>
    <cellStyle name="Normal 40" xfId="1107" xr:uid="{00000000-0005-0000-0000-000051040000}"/>
    <cellStyle name="Normal 5" xfId="1108" xr:uid="{00000000-0005-0000-0000-000052040000}"/>
    <cellStyle name="Normal 5 2" xfId="1109" xr:uid="{00000000-0005-0000-0000-000053040000}"/>
    <cellStyle name="Normal 5 2 2" xfId="1110" xr:uid="{00000000-0005-0000-0000-000054040000}"/>
    <cellStyle name="Normal 5 2 3" xfId="1111" xr:uid="{00000000-0005-0000-0000-000055040000}"/>
    <cellStyle name="Normal 5 3" xfId="1112" xr:uid="{00000000-0005-0000-0000-000056040000}"/>
    <cellStyle name="Normal 5 4" xfId="1113" xr:uid="{00000000-0005-0000-0000-000057040000}"/>
    <cellStyle name="Normal 50" xfId="1114" xr:uid="{00000000-0005-0000-0000-000058040000}"/>
    <cellStyle name="Normal 57" xfId="1115" xr:uid="{00000000-0005-0000-0000-000059040000}"/>
    <cellStyle name="Normal 59" xfId="1116" xr:uid="{00000000-0005-0000-0000-00005A040000}"/>
    <cellStyle name="Normal 6" xfId="1117" xr:uid="{00000000-0005-0000-0000-00005B040000}"/>
    <cellStyle name="Normal 6 2" xfId="1118" xr:uid="{00000000-0005-0000-0000-00005C040000}"/>
    <cellStyle name="Normal 6 2 2" xfId="1119" xr:uid="{00000000-0005-0000-0000-00005D040000}"/>
    <cellStyle name="Normal 6 3" xfId="1120" xr:uid="{00000000-0005-0000-0000-00005E040000}"/>
    <cellStyle name="Normal 60" xfId="1121" xr:uid="{00000000-0005-0000-0000-00005F040000}"/>
    <cellStyle name="Normal 61" xfId="1122" xr:uid="{00000000-0005-0000-0000-000060040000}"/>
    <cellStyle name="Normal 62" xfId="1123" xr:uid="{00000000-0005-0000-0000-000061040000}"/>
    <cellStyle name="Normal 63" xfId="1124" xr:uid="{00000000-0005-0000-0000-000062040000}"/>
    <cellStyle name="Normal 64" xfId="1125" xr:uid="{00000000-0005-0000-0000-000063040000}"/>
    <cellStyle name="Normal 65" xfId="1126" xr:uid="{00000000-0005-0000-0000-000064040000}"/>
    <cellStyle name="Normal 66" xfId="1127" xr:uid="{00000000-0005-0000-0000-000065040000}"/>
    <cellStyle name="Normal 67" xfId="1128" xr:uid="{00000000-0005-0000-0000-000066040000}"/>
    <cellStyle name="Normal 7" xfId="1129" xr:uid="{00000000-0005-0000-0000-000067040000}"/>
    <cellStyle name="Normal 7 2" xfId="1130" xr:uid="{00000000-0005-0000-0000-000068040000}"/>
    <cellStyle name="Normal 7 2 2" xfId="1131" xr:uid="{00000000-0005-0000-0000-000069040000}"/>
    <cellStyle name="Normal 7 2 3" xfId="1132" xr:uid="{00000000-0005-0000-0000-00006A040000}"/>
    <cellStyle name="Normal 7 3" xfId="1133" xr:uid="{00000000-0005-0000-0000-00006B040000}"/>
    <cellStyle name="Normal 7 4" xfId="1134" xr:uid="{00000000-0005-0000-0000-00006C040000}"/>
    <cellStyle name="Normal 7_Cópia de FPV-PR-565-10-REFAP-Apoio Operacional ao Coque" xfId="1135" xr:uid="{00000000-0005-0000-0000-00006D040000}"/>
    <cellStyle name="Normal 71" xfId="1136" xr:uid="{00000000-0005-0000-0000-00006E040000}"/>
    <cellStyle name="Normal 72" xfId="1137" xr:uid="{00000000-0005-0000-0000-00006F040000}"/>
    <cellStyle name="Normal 73" xfId="1138" xr:uid="{00000000-0005-0000-0000-000070040000}"/>
    <cellStyle name="Normal 74" xfId="1139" xr:uid="{00000000-0005-0000-0000-000071040000}"/>
    <cellStyle name="Normal 75" xfId="1140" xr:uid="{00000000-0005-0000-0000-000072040000}"/>
    <cellStyle name="Normal 76" xfId="1141" xr:uid="{00000000-0005-0000-0000-000073040000}"/>
    <cellStyle name="Normal 8" xfId="1142" xr:uid="{00000000-0005-0000-0000-000074040000}"/>
    <cellStyle name="Normal 8 2" xfId="1143" xr:uid="{00000000-0005-0000-0000-000075040000}"/>
    <cellStyle name="Normal 8 2 2" xfId="1144" xr:uid="{00000000-0005-0000-0000-000076040000}"/>
    <cellStyle name="Normal 8 2 3" xfId="1145" xr:uid="{00000000-0005-0000-0000-000077040000}"/>
    <cellStyle name="Normal 8 3" xfId="1146" xr:uid="{00000000-0005-0000-0000-000078040000}"/>
    <cellStyle name="Normal 8 4" xfId="1147" xr:uid="{00000000-0005-0000-0000-000079040000}"/>
    <cellStyle name="Normal 81" xfId="1148" xr:uid="{00000000-0005-0000-0000-00007A040000}"/>
    <cellStyle name="Normal 82" xfId="1149" xr:uid="{00000000-0005-0000-0000-00007B040000}"/>
    <cellStyle name="Normal 83" xfId="1150" xr:uid="{00000000-0005-0000-0000-00007C040000}"/>
    <cellStyle name="Normal 84" xfId="1151" xr:uid="{00000000-0005-0000-0000-00007D040000}"/>
    <cellStyle name="Normal 85" xfId="1152" xr:uid="{00000000-0005-0000-0000-00007E040000}"/>
    <cellStyle name="Normal 86" xfId="1153" xr:uid="{00000000-0005-0000-0000-00007F040000}"/>
    <cellStyle name="Normal 87" xfId="1154" xr:uid="{00000000-0005-0000-0000-000080040000}"/>
    <cellStyle name="Normal 88" xfId="1155" xr:uid="{00000000-0005-0000-0000-000081040000}"/>
    <cellStyle name="Normal 9" xfId="1156" xr:uid="{00000000-0005-0000-0000-000082040000}"/>
    <cellStyle name="Normal 9 2" xfId="1157" xr:uid="{00000000-0005-0000-0000-000083040000}"/>
    <cellStyle name="Normal 9 2 2" xfId="1158" xr:uid="{00000000-0005-0000-0000-000084040000}"/>
    <cellStyle name="Normal 9 2 2 2" xfId="1159" xr:uid="{00000000-0005-0000-0000-000085040000}"/>
    <cellStyle name="Normal 9 2 3" xfId="1160" xr:uid="{00000000-0005-0000-0000-000086040000}"/>
    <cellStyle name="Normal 9 3" xfId="1161" xr:uid="{00000000-0005-0000-0000-000087040000}"/>
    <cellStyle name="Normal 9 3 2" xfId="1162" xr:uid="{00000000-0005-0000-0000-000088040000}"/>
    <cellStyle name="Normal 9 3 2 2" xfId="1163" xr:uid="{00000000-0005-0000-0000-000089040000}"/>
    <cellStyle name="Normal 9 3 2 2 2" xfId="1164" xr:uid="{00000000-0005-0000-0000-00008A040000}"/>
    <cellStyle name="Normal 9 3 2 2 2 2" xfId="1165" xr:uid="{00000000-0005-0000-0000-00008B040000}"/>
    <cellStyle name="Normal 9 3 2 2 3" xfId="1166" xr:uid="{00000000-0005-0000-0000-00008C040000}"/>
    <cellStyle name="Normal 9 3 2 3" xfId="1167" xr:uid="{00000000-0005-0000-0000-00008D040000}"/>
    <cellStyle name="Normal 9 3 2 3 2" xfId="1168" xr:uid="{00000000-0005-0000-0000-00008E040000}"/>
    <cellStyle name="Normal 9 3 2 4" xfId="1169" xr:uid="{00000000-0005-0000-0000-00008F040000}"/>
    <cellStyle name="Normal 9 3 3" xfId="1170" xr:uid="{00000000-0005-0000-0000-000090040000}"/>
    <cellStyle name="Normal 9 3 3 2" xfId="1171" xr:uid="{00000000-0005-0000-0000-000091040000}"/>
    <cellStyle name="Normal 9 3 4" xfId="1172" xr:uid="{00000000-0005-0000-0000-000092040000}"/>
    <cellStyle name="Normal 9 4" xfId="1173" xr:uid="{00000000-0005-0000-0000-000093040000}"/>
    <cellStyle name="Normal 9 4 2" xfId="1174" xr:uid="{00000000-0005-0000-0000-000094040000}"/>
    <cellStyle name="Normal 9 5" xfId="1175" xr:uid="{00000000-0005-0000-0000-000095040000}"/>
    <cellStyle name="Normal 90" xfId="1176" xr:uid="{00000000-0005-0000-0000-000096040000}"/>
    <cellStyle name="Normal 91" xfId="1177" xr:uid="{00000000-0005-0000-0000-000097040000}"/>
    <cellStyle name="Normal 92" xfId="1178" xr:uid="{00000000-0005-0000-0000-000098040000}"/>
    <cellStyle name="Nota 10" xfId="1179" xr:uid="{00000000-0005-0000-0000-000099040000}"/>
    <cellStyle name="Nota 11" xfId="1180" xr:uid="{00000000-0005-0000-0000-00009A040000}"/>
    <cellStyle name="Nota 12" xfId="1181" xr:uid="{00000000-0005-0000-0000-00009B040000}"/>
    <cellStyle name="Nota 13" xfId="1182" xr:uid="{00000000-0005-0000-0000-00009C040000}"/>
    <cellStyle name="Nota 14" xfId="1183" xr:uid="{00000000-0005-0000-0000-00009D040000}"/>
    <cellStyle name="Nota 15" xfId="1184" xr:uid="{00000000-0005-0000-0000-00009E040000}"/>
    <cellStyle name="Nota 16" xfId="1185" xr:uid="{00000000-0005-0000-0000-00009F040000}"/>
    <cellStyle name="Nota 2" xfId="1186" xr:uid="{00000000-0005-0000-0000-0000A0040000}"/>
    <cellStyle name="Nota 2 2" xfId="1187" xr:uid="{00000000-0005-0000-0000-0000A1040000}"/>
    <cellStyle name="Nota 3" xfId="1188" xr:uid="{00000000-0005-0000-0000-0000A2040000}"/>
    <cellStyle name="Nota 4" xfId="1189" xr:uid="{00000000-0005-0000-0000-0000A3040000}"/>
    <cellStyle name="Nota 5" xfId="1190" xr:uid="{00000000-0005-0000-0000-0000A4040000}"/>
    <cellStyle name="Nota 6" xfId="1191" xr:uid="{00000000-0005-0000-0000-0000A5040000}"/>
    <cellStyle name="Nota 7" xfId="1192" xr:uid="{00000000-0005-0000-0000-0000A6040000}"/>
    <cellStyle name="Nota 8" xfId="1193" xr:uid="{00000000-0005-0000-0000-0000A7040000}"/>
    <cellStyle name="Nota 9" xfId="1194" xr:uid="{00000000-0005-0000-0000-0000A8040000}"/>
    <cellStyle name="Note" xfId="1195" xr:uid="{00000000-0005-0000-0000-0000A9040000}"/>
    <cellStyle name="Note 2" xfId="1196" xr:uid="{00000000-0005-0000-0000-0000AA040000}"/>
    <cellStyle name="Notiz" xfId="1197" xr:uid="{00000000-0005-0000-0000-0000AB040000}"/>
    <cellStyle name="Notiz 2" xfId="1198" xr:uid="{00000000-0005-0000-0000-0000AC040000}"/>
    <cellStyle name="NUM" xfId="1199" xr:uid="{00000000-0005-0000-0000-0000AD040000}"/>
    <cellStyle name="Percent [2]" xfId="1200" xr:uid="{00000000-0005-0000-0000-0000AE040000}"/>
    <cellStyle name="Percent 2" xfId="1201" xr:uid="{00000000-0005-0000-0000-0000AF040000}"/>
    <cellStyle name="Percent 3" xfId="1202" xr:uid="{00000000-0005-0000-0000-0000B0040000}"/>
    <cellStyle name="Percentual" xfId="1203" xr:uid="{00000000-0005-0000-0000-0000B1040000}"/>
    <cellStyle name="Ponto" xfId="1204" xr:uid="{00000000-0005-0000-0000-0000B2040000}"/>
    <cellStyle name="Porcentagem 10" xfId="1205" xr:uid="{00000000-0005-0000-0000-0000B3040000}"/>
    <cellStyle name="Porcentagem 11" xfId="1206" xr:uid="{00000000-0005-0000-0000-0000B4040000}"/>
    <cellStyle name="Porcentagem 11 2" xfId="1207" xr:uid="{00000000-0005-0000-0000-0000B5040000}"/>
    <cellStyle name="Porcentagem 11_PR 0704-10 Recap Manutenção FINAL 3.11.2010" xfId="1208" xr:uid="{00000000-0005-0000-0000-0000B6040000}"/>
    <cellStyle name="Porcentagem 12" xfId="1209" xr:uid="{00000000-0005-0000-0000-0000B7040000}"/>
    <cellStyle name="Porcentagem 13" xfId="1210" xr:uid="{00000000-0005-0000-0000-0000B8040000}"/>
    <cellStyle name="Porcentagem 14" xfId="1211" xr:uid="{00000000-0005-0000-0000-0000B9040000}"/>
    <cellStyle name="Porcentagem 15" xfId="1212" xr:uid="{00000000-0005-0000-0000-0000BA040000}"/>
    <cellStyle name="Porcentagem 16" xfId="1213" xr:uid="{00000000-0005-0000-0000-0000BB040000}"/>
    <cellStyle name="Porcentagem 17" xfId="1214" xr:uid="{00000000-0005-0000-0000-0000BC040000}"/>
    <cellStyle name="Porcentagem 18" xfId="1215" xr:uid="{00000000-0005-0000-0000-0000BD040000}"/>
    <cellStyle name="Porcentagem 19" xfId="1216" xr:uid="{00000000-0005-0000-0000-0000BE040000}"/>
    <cellStyle name="Porcentagem 2" xfId="1217" xr:uid="{00000000-0005-0000-0000-0000BF040000}"/>
    <cellStyle name="Porcentagem 2 10" xfId="1218" xr:uid="{00000000-0005-0000-0000-0000C0040000}"/>
    <cellStyle name="Porcentagem 2 11" xfId="1219" xr:uid="{00000000-0005-0000-0000-0000C1040000}"/>
    <cellStyle name="Porcentagem 2 12" xfId="1220" xr:uid="{00000000-0005-0000-0000-0000C2040000}"/>
    <cellStyle name="Porcentagem 2 13" xfId="1221" xr:uid="{00000000-0005-0000-0000-0000C3040000}"/>
    <cellStyle name="Porcentagem 2 14" xfId="1222" xr:uid="{00000000-0005-0000-0000-0000C4040000}"/>
    <cellStyle name="Porcentagem 2 15" xfId="1223" xr:uid="{00000000-0005-0000-0000-0000C5040000}"/>
    <cellStyle name="Porcentagem 2 16" xfId="1224" xr:uid="{00000000-0005-0000-0000-0000C6040000}"/>
    <cellStyle name="Porcentagem 2 17" xfId="1225" xr:uid="{00000000-0005-0000-0000-0000C7040000}"/>
    <cellStyle name="Porcentagem 2 18" xfId="1226" xr:uid="{00000000-0005-0000-0000-0000C8040000}"/>
    <cellStyle name="Porcentagem 2 19" xfId="1227" xr:uid="{00000000-0005-0000-0000-0000C9040000}"/>
    <cellStyle name="Porcentagem 2 2" xfId="1228" xr:uid="{00000000-0005-0000-0000-0000CA040000}"/>
    <cellStyle name="Porcentagem 2 2 10" xfId="1229" xr:uid="{00000000-0005-0000-0000-0000CB040000}"/>
    <cellStyle name="Porcentagem 2 2 10 2" xfId="1230" xr:uid="{00000000-0005-0000-0000-0000CC040000}"/>
    <cellStyle name="Porcentagem 2 2 11" xfId="1231" xr:uid="{00000000-0005-0000-0000-0000CD040000}"/>
    <cellStyle name="Porcentagem 2 2 11 2" xfId="1232" xr:uid="{00000000-0005-0000-0000-0000CE040000}"/>
    <cellStyle name="Porcentagem 2 2 12" xfId="1233" xr:uid="{00000000-0005-0000-0000-0000CF040000}"/>
    <cellStyle name="Porcentagem 2 2 12 2" xfId="1234" xr:uid="{00000000-0005-0000-0000-0000D0040000}"/>
    <cellStyle name="Porcentagem 2 2 13" xfId="1235" xr:uid="{00000000-0005-0000-0000-0000D1040000}"/>
    <cellStyle name="Porcentagem 2 2 13 2" xfId="1236" xr:uid="{00000000-0005-0000-0000-0000D2040000}"/>
    <cellStyle name="Porcentagem 2 2 14" xfId="1237" xr:uid="{00000000-0005-0000-0000-0000D3040000}"/>
    <cellStyle name="Porcentagem 2 2 14 2" xfId="1238" xr:uid="{00000000-0005-0000-0000-0000D4040000}"/>
    <cellStyle name="Porcentagem 2 2 15" xfId="1239" xr:uid="{00000000-0005-0000-0000-0000D5040000}"/>
    <cellStyle name="Porcentagem 2 2 15 2" xfId="1240" xr:uid="{00000000-0005-0000-0000-0000D6040000}"/>
    <cellStyle name="Porcentagem 2 2 16" xfId="1241" xr:uid="{00000000-0005-0000-0000-0000D7040000}"/>
    <cellStyle name="Porcentagem 2 2 16 2" xfId="1242" xr:uid="{00000000-0005-0000-0000-0000D8040000}"/>
    <cellStyle name="Porcentagem 2 2 17" xfId="1243" xr:uid="{00000000-0005-0000-0000-0000D9040000}"/>
    <cellStyle name="Porcentagem 2 2 17 2" xfId="1244" xr:uid="{00000000-0005-0000-0000-0000DA040000}"/>
    <cellStyle name="Porcentagem 2 2 18" xfId="1245" xr:uid="{00000000-0005-0000-0000-0000DB040000}"/>
    <cellStyle name="Porcentagem 2 2 18 2" xfId="1246" xr:uid="{00000000-0005-0000-0000-0000DC040000}"/>
    <cellStyle name="Porcentagem 2 2 19" xfId="1247" xr:uid="{00000000-0005-0000-0000-0000DD040000}"/>
    <cellStyle name="Porcentagem 2 2 19 2" xfId="1248" xr:uid="{00000000-0005-0000-0000-0000DE040000}"/>
    <cellStyle name="Porcentagem 2 2 2" xfId="1249" xr:uid="{00000000-0005-0000-0000-0000DF040000}"/>
    <cellStyle name="Porcentagem 2 2 2 2" xfId="1250" xr:uid="{00000000-0005-0000-0000-0000E0040000}"/>
    <cellStyle name="Porcentagem 2 2 20" xfId="1251" xr:uid="{00000000-0005-0000-0000-0000E1040000}"/>
    <cellStyle name="Porcentagem 2 2 20 2" xfId="1252" xr:uid="{00000000-0005-0000-0000-0000E2040000}"/>
    <cellStyle name="Porcentagem 2 2 21" xfId="1253" xr:uid="{00000000-0005-0000-0000-0000E3040000}"/>
    <cellStyle name="Porcentagem 2 2 21 2" xfId="1254" xr:uid="{00000000-0005-0000-0000-0000E4040000}"/>
    <cellStyle name="Porcentagem 2 2 22" xfId="1255" xr:uid="{00000000-0005-0000-0000-0000E5040000}"/>
    <cellStyle name="Porcentagem 2 2 22 2" xfId="1256" xr:uid="{00000000-0005-0000-0000-0000E6040000}"/>
    <cellStyle name="Porcentagem 2 2 23" xfId="1257" xr:uid="{00000000-0005-0000-0000-0000E7040000}"/>
    <cellStyle name="Porcentagem 2 2 23 2" xfId="1258" xr:uid="{00000000-0005-0000-0000-0000E8040000}"/>
    <cellStyle name="Porcentagem 2 2 24" xfId="1259" xr:uid="{00000000-0005-0000-0000-0000E9040000}"/>
    <cellStyle name="Porcentagem 2 2 24 2" xfId="1260" xr:uid="{00000000-0005-0000-0000-0000EA040000}"/>
    <cellStyle name="Porcentagem 2 2 25" xfId="1261" xr:uid="{00000000-0005-0000-0000-0000EB040000}"/>
    <cellStyle name="Porcentagem 2 2 25 2" xfId="1262" xr:uid="{00000000-0005-0000-0000-0000EC040000}"/>
    <cellStyle name="Porcentagem 2 2 26" xfId="1263" xr:uid="{00000000-0005-0000-0000-0000ED040000}"/>
    <cellStyle name="Porcentagem 2 2 26 2" xfId="1264" xr:uid="{00000000-0005-0000-0000-0000EE040000}"/>
    <cellStyle name="Porcentagem 2 2 27" xfId="1265" xr:uid="{00000000-0005-0000-0000-0000EF040000}"/>
    <cellStyle name="Porcentagem 2 2 27 2" xfId="1266" xr:uid="{00000000-0005-0000-0000-0000F0040000}"/>
    <cellStyle name="Porcentagem 2 2 28" xfId="1267" xr:uid="{00000000-0005-0000-0000-0000F1040000}"/>
    <cellStyle name="Porcentagem 2 2 28 2" xfId="1268" xr:uid="{00000000-0005-0000-0000-0000F2040000}"/>
    <cellStyle name="Porcentagem 2 2 3" xfId="1269" xr:uid="{00000000-0005-0000-0000-0000F3040000}"/>
    <cellStyle name="Porcentagem 2 2 3 2" xfId="1270" xr:uid="{00000000-0005-0000-0000-0000F4040000}"/>
    <cellStyle name="Porcentagem 2 2 3 2 2" xfId="1271" xr:uid="{00000000-0005-0000-0000-0000F5040000}"/>
    <cellStyle name="Porcentagem 2 2 3 3" xfId="1272" xr:uid="{00000000-0005-0000-0000-0000F6040000}"/>
    <cellStyle name="Porcentagem 2 2 4" xfId="1273" xr:uid="{00000000-0005-0000-0000-0000F7040000}"/>
    <cellStyle name="Porcentagem 2 2 4 2" xfId="1274" xr:uid="{00000000-0005-0000-0000-0000F8040000}"/>
    <cellStyle name="Porcentagem 2 2 4 2 2" xfId="1275" xr:uid="{00000000-0005-0000-0000-0000F9040000}"/>
    <cellStyle name="Porcentagem 2 2 4 3" xfId="1276" xr:uid="{00000000-0005-0000-0000-0000FA040000}"/>
    <cellStyle name="Porcentagem 2 2 5" xfId="1277" xr:uid="{00000000-0005-0000-0000-0000FB040000}"/>
    <cellStyle name="Porcentagem 2 2 5 2" xfId="1278" xr:uid="{00000000-0005-0000-0000-0000FC040000}"/>
    <cellStyle name="Porcentagem 2 2 5 2 2" xfId="1279" xr:uid="{00000000-0005-0000-0000-0000FD040000}"/>
    <cellStyle name="Porcentagem 2 2 5 3" xfId="1280" xr:uid="{00000000-0005-0000-0000-0000FE040000}"/>
    <cellStyle name="Porcentagem 2 2 6" xfId="1281" xr:uid="{00000000-0005-0000-0000-0000FF040000}"/>
    <cellStyle name="Porcentagem 2 2 6 2" xfId="1282" xr:uid="{00000000-0005-0000-0000-000000050000}"/>
    <cellStyle name="Porcentagem 2 2 6 2 2" xfId="1283" xr:uid="{00000000-0005-0000-0000-000001050000}"/>
    <cellStyle name="Porcentagem 2 2 6 3" xfId="1284" xr:uid="{00000000-0005-0000-0000-000002050000}"/>
    <cellStyle name="Porcentagem 2 2 7" xfId="1285" xr:uid="{00000000-0005-0000-0000-000003050000}"/>
    <cellStyle name="Porcentagem 2 2 7 2" xfId="1286" xr:uid="{00000000-0005-0000-0000-000004050000}"/>
    <cellStyle name="Porcentagem 2 2 7 3" xfId="1287" xr:uid="{00000000-0005-0000-0000-000005050000}"/>
    <cellStyle name="Porcentagem 2 2 7 3 2" xfId="1288" xr:uid="{00000000-0005-0000-0000-000006050000}"/>
    <cellStyle name="Porcentagem 2 2 7 4" xfId="1289" xr:uid="{00000000-0005-0000-0000-000007050000}"/>
    <cellStyle name="Porcentagem 2 2 8" xfId="1290" xr:uid="{00000000-0005-0000-0000-000008050000}"/>
    <cellStyle name="Porcentagem 2 2 8 2" xfId="1291" xr:uid="{00000000-0005-0000-0000-000009050000}"/>
    <cellStyle name="Porcentagem 2 2 8 2 2" xfId="1292" xr:uid="{00000000-0005-0000-0000-00000A050000}"/>
    <cellStyle name="Porcentagem 2 2 8 3" xfId="1293" xr:uid="{00000000-0005-0000-0000-00000B050000}"/>
    <cellStyle name="Porcentagem 2 2 9" xfId="1294" xr:uid="{00000000-0005-0000-0000-00000C050000}"/>
    <cellStyle name="Porcentagem 2 2 9 2" xfId="1295" xr:uid="{00000000-0005-0000-0000-00000D050000}"/>
    <cellStyle name="Porcentagem 2 2 9 2 2" xfId="1296" xr:uid="{00000000-0005-0000-0000-00000E050000}"/>
    <cellStyle name="Porcentagem 2 2 9 3" xfId="1297" xr:uid="{00000000-0005-0000-0000-00000F050000}"/>
    <cellStyle name="Porcentagem 2 20" xfId="1298" xr:uid="{00000000-0005-0000-0000-000010050000}"/>
    <cellStyle name="Porcentagem 2 21" xfId="1299" xr:uid="{00000000-0005-0000-0000-000011050000}"/>
    <cellStyle name="Porcentagem 2 22" xfId="1300" xr:uid="{00000000-0005-0000-0000-000012050000}"/>
    <cellStyle name="Porcentagem 2 23" xfId="1301" xr:uid="{00000000-0005-0000-0000-000013050000}"/>
    <cellStyle name="Porcentagem 2 24" xfId="1302" xr:uid="{00000000-0005-0000-0000-000014050000}"/>
    <cellStyle name="Porcentagem 2 25" xfId="1303" xr:uid="{00000000-0005-0000-0000-000015050000}"/>
    <cellStyle name="Porcentagem 2 26" xfId="1304" xr:uid="{00000000-0005-0000-0000-000016050000}"/>
    <cellStyle name="Porcentagem 2 27" xfId="1305" xr:uid="{00000000-0005-0000-0000-000017050000}"/>
    <cellStyle name="Porcentagem 2 28" xfId="1306" xr:uid="{00000000-0005-0000-0000-000018050000}"/>
    <cellStyle name="Porcentagem 2 3" xfId="1307" xr:uid="{00000000-0005-0000-0000-000019050000}"/>
    <cellStyle name="Porcentagem 2 3 2" xfId="1308" xr:uid="{00000000-0005-0000-0000-00001A050000}"/>
    <cellStyle name="Porcentagem 2 3 2 2" xfId="1309" xr:uid="{00000000-0005-0000-0000-00001B050000}"/>
    <cellStyle name="Porcentagem 2 3 3" xfId="1310" xr:uid="{00000000-0005-0000-0000-00001C050000}"/>
    <cellStyle name="Porcentagem 2 4" xfId="1311" xr:uid="{00000000-0005-0000-0000-00001D050000}"/>
    <cellStyle name="Porcentagem 2 4 2" xfId="1312" xr:uid="{00000000-0005-0000-0000-00001E050000}"/>
    <cellStyle name="Porcentagem 2 4 2 2" xfId="1313" xr:uid="{00000000-0005-0000-0000-00001F050000}"/>
    <cellStyle name="Porcentagem 2 4 3" xfId="1314" xr:uid="{00000000-0005-0000-0000-000020050000}"/>
    <cellStyle name="Porcentagem 2 5" xfId="1315" xr:uid="{00000000-0005-0000-0000-000021050000}"/>
    <cellStyle name="Porcentagem 2 5 2" xfId="1316" xr:uid="{00000000-0005-0000-0000-000022050000}"/>
    <cellStyle name="Porcentagem 2 5 2 2" xfId="1317" xr:uid="{00000000-0005-0000-0000-000023050000}"/>
    <cellStyle name="Porcentagem 2 5 3" xfId="1318" xr:uid="{00000000-0005-0000-0000-000024050000}"/>
    <cellStyle name="Porcentagem 2 6" xfId="1319" xr:uid="{00000000-0005-0000-0000-000025050000}"/>
    <cellStyle name="Porcentagem 2 6 2" xfId="1320" xr:uid="{00000000-0005-0000-0000-000026050000}"/>
    <cellStyle name="Porcentagem 2 6 2 2" xfId="1321" xr:uid="{00000000-0005-0000-0000-000027050000}"/>
    <cellStyle name="Porcentagem 2 6 3" xfId="1322" xr:uid="{00000000-0005-0000-0000-000028050000}"/>
    <cellStyle name="Porcentagem 2 7" xfId="1323" xr:uid="{00000000-0005-0000-0000-000029050000}"/>
    <cellStyle name="Porcentagem 2 8" xfId="1324" xr:uid="{00000000-0005-0000-0000-00002A050000}"/>
    <cellStyle name="Porcentagem 2 9" xfId="1325" xr:uid="{00000000-0005-0000-0000-00002B050000}"/>
    <cellStyle name="Porcentagem 2_HISTOGRAMA C2" xfId="1326" xr:uid="{00000000-0005-0000-0000-00002C050000}"/>
    <cellStyle name="Porcentagem 20" xfId="1327" xr:uid="{00000000-0005-0000-0000-00002D050000}"/>
    <cellStyle name="Porcentagem 20 2" xfId="1328" xr:uid="{00000000-0005-0000-0000-00002E050000}"/>
    <cellStyle name="Porcentagem 21" xfId="1329" xr:uid="{00000000-0005-0000-0000-00002F050000}"/>
    <cellStyle name="Porcentagem 22" xfId="1330" xr:uid="{00000000-0005-0000-0000-000030050000}"/>
    <cellStyle name="Porcentagem 23" xfId="1331" xr:uid="{00000000-0005-0000-0000-000031050000}"/>
    <cellStyle name="Porcentagem 24" xfId="1332" xr:uid="{00000000-0005-0000-0000-000032050000}"/>
    <cellStyle name="Porcentagem 3" xfId="1333" xr:uid="{00000000-0005-0000-0000-000033050000}"/>
    <cellStyle name="Porcentagem 3 2" xfId="1334" xr:uid="{00000000-0005-0000-0000-000034050000}"/>
    <cellStyle name="Porcentagem 3 2 2" xfId="1335" xr:uid="{00000000-0005-0000-0000-000035050000}"/>
    <cellStyle name="Porcentagem 3 2 2 2" xfId="1336" xr:uid="{00000000-0005-0000-0000-000036050000}"/>
    <cellStyle name="Porcentagem 3 2 3" xfId="1337" xr:uid="{00000000-0005-0000-0000-000037050000}"/>
    <cellStyle name="Porcentagem 3 3" xfId="1338" xr:uid="{00000000-0005-0000-0000-000038050000}"/>
    <cellStyle name="Porcentagem 3 3 2" xfId="1339" xr:uid="{00000000-0005-0000-0000-000039050000}"/>
    <cellStyle name="Porcentagem 3 3 3" xfId="1340" xr:uid="{00000000-0005-0000-0000-00003A050000}"/>
    <cellStyle name="Porcentagem 3 4" xfId="1341" xr:uid="{00000000-0005-0000-0000-00003B050000}"/>
    <cellStyle name="Porcentagem 3 4 2" xfId="1342" xr:uid="{00000000-0005-0000-0000-00003C050000}"/>
    <cellStyle name="Porcentagem 3 4 2 2" xfId="1343" xr:uid="{00000000-0005-0000-0000-00003D050000}"/>
    <cellStyle name="Porcentagem 3 4 3" xfId="1344" xr:uid="{00000000-0005-0000-0000-00003E050000}"/>
    <cellStyle name="Porcentagem 3 5" xfId="1345" xr:uid="{00000000-0005-0000-0000-00003F050000}"/>
    <cellStyle name="Porcentagem 3 5 2" xfId="1346" xr:uid="{00000000-0005-0000-0000-000040050000}"/>
    <cellStyle name="Porcentagem 3 5 2 2" xfId="1347" xr:uid="{00000000-0005-0000-0000-000041050000}"/>
    <cellStyle name="Porcentagem 3 5 3" xfId="1348" xr:uid="{00000000-0005-0000-0000-000042050000}"/>
    <cellStyle name="Porcentagem 3 6" xfId="1349" xr:uid="{00000000-0005-0000-0000-000043050000}"/>
    <cellStyle name="Porcentagem 3 6 2" xfId="1350" xr:uid="{00000000-0005-0000-0000-000044050000}"/>
    <cellStyle name="Porcentagem 3 6 2 2" xfId="1351" xr:uid="{00000000-0005-0000-0000-000045050000}"/>
    <cellStyle name="Porcentagem 3 6 3" xfId="1352" xr:uid="{00000000-0005-0000-0000-000046050000}"/>
    <cellStyle name="Porcentagem 4" xfId="1353" xr:uid="{00000000-0005-0000-0000-000047050000}"/>
    <cellStyle name="Porcentagem 4 2" xfId="1354" xr:uid="{00000000-0005-0000-0000-000048050000}"/>
    <cellStyle name="Porcentagem 4 2 2" xfId="1355" xr:uid="{00000000-0005-0000-0000-000049050000}"/>
    <cellStyle name="Porcentagem 4 2 2 2" xfId="1356" xr:uid="{00000000-0005-0000-0000-00004A050000}"/>
    <cellStyle name="Porcentagem 4 2 3" xfId="1357" xr:uid="{00000000-0005-0000-0000-00004B050000}"/>
    <cellStyle name="Porcentagem 4 3" xfId="1358" xr:uid="{00000000-0005-0000-0000-00004C050000}"/>
    <cellStyle name="Porcentagem 4 3 2" xfId="1359" xr:uid="{00000000-0005-0000-0000-00004D050000}"/>
    <cellStyle name="Porcentagem 4 3 2 2" xfId="1360" xr:uid="{00000000-0005-0000-0000-00004E050000}"/>
    <cellStyle name="Porcentagem 4 3 3" xfId="1361" xr:uid="{00000000-0005-0000-0000-00004F050000}"/>
    <cellStyle name="Porcentagem 4 4" xfId="1362" xr:uid="{00000000-0005-0000-0000-000050050000}"/>
    <cellStyle name="Porcentagem 4 4 2" xfId="1363" xr:uid="{00000000-0005-0000-0000-000051050000}"/>
    <cellStyle name="Porcentagem 4 4 2 2" xfId="1364" xr:uid="{00000000-0005-0000-0000-000052050000}"/>
    <cellStyle name="Porcentagem 4 4 3" xfId="1365" xr:uid="{00000000-0005-0000-0000-000053050000}"/>
    <cellStyle name="Porcentagem 4 5" xfId="1366" xr:uid="{00000000-0005-0000-0000-000054050000}"/>
    <cellStyle name="Porcentagem 4 5 2" xfId="1367" xr:uid="{00000000-0005-0000-0000-000055050000}"/>
    <cellStyle name="Porcentagem 4 5 2 2" xfId="1368" xr:uid="{00000000-0005-0000-0000-000056050000}"/>
    <cellStyle name="Porcentagem 4 5 3" xfId="1369" xr:uid="{00000000-0005-0000-0000-000057050000}"/>
    <cellStyle name="Porcentagem 4 6" xfId="1370" xr:uid="{00000000-0005-0000-0000-000058050000}"/>
    <cellStyle name="Porcentagem 4 6 2" xfId="1371" xr:uid="{00000000-0005-0000-0000-000059050000}"/>
    <cellStyle name="Porcentagem 4 6 2 2" xfId="1372" xr:uid="{00000000-0005-0000-0000-00005A050000}"/>
    <cellStyle name="Porcentagem 4 6 3" xfId="1373" xr:uid="{00000000-0005-0000-0000-00005B050000}"/>
    <cellStyle name="Porcentagem 4 7" xfId="1374" xr:uid="{00000000-0005-0000-0000-00005C050000}"/>
    <cellStyle name="Porcentagem 4 7 2" xfId="1375" xr:uid="{00000000-0005-0000-0000-00005D050000}"/>
    <cellStyle name="Porcentagem 4 8" xfId="1376" xr:uid="{00000000-0005-0000-0000-00005E050000}"/>
    <cellStyle name="Porcentagem 5" xfId="1377" xr:uid="{00000000-0005-0000-0000-00005F050000}"/>
    <cellStyle name="Porcentagem 5 2" xfId="1378" xr:uid="{00000000-0005-0000-0000-000060050000}"/>
    <cellStyle name="Porcentagem 5 2 2" xfId="1379" xr:uid="{00000000-0005-0000-0000-000061050000}"/>
    <cellStyle name="Porcentagem 5 2 2 2" xfId="1380" xr:uid="{00000000-0005-0000-0000-000062050000}"/>
    <cellStyle name="Porcentagem 5 2 3" xfId="1381" xr:uid="{00000000-0005-0000-0000-000063050000}"/>
    <cellStyle name="Porcentagem 5 3" xfId="1382" xr:uid="{00000000-0005-0000-0000-000064050000}"/>
    <cellStyle name="Porcentagem 5 3 2" xfId="1383" xr:uid="{00000000-0005-0000-0000-000065050000}"/>
    <cellStyle name="Porcentagem 5 3 2 2" xfId="1384" xr:uid="{00000000-0005-0000-0000-000066050000}"/>
    <cellStyle name="Porcentagem 5 3 3" xfId="1385" xr:uid="{00000000-0005-0000-0000-000067050000}"/>
    <cellStyle name="Porcentagem 5 4" xfId="1386" xr:uid="{00000000-0005-0000-0000-000068050000}"/>
    <cellStyle name="Porcentagem 5 4 2" xfId="1387" xr:uid="{00000000-0005-0000-0000-000069050000}"/>
    <cellStyle name="Porcentagem 5 4 2 2" xfId="1388" xr:uid="{00000000-0005-0000-0000-00006A050000}"/>
    <cellStyle name="Porcentagem 5 4 3" xfId="1389" xr:uid="{00000000-0005-0000-0000-00006B050000}"/>
    <cellStyle name="Porcentagem 5 5" xfId="1390" xr:uid="{00000000-0005-0000-0000-00006C050000}"/>
    <cellStyle name="Porcentagem 5 5 2" xfId="1391" xr:uid="{00000000-0005-0000-0000-00006D050000}"/>
    <cellStyle name="Porcentagem 5 5 2 2" xfId="1392" xr:uid="{00000000-0005-0000-0000-00006E050000}"/>
    <cellStyle name="Porcentagem 5 5 3" xfId="1393" xr:uid="{00000000-0005-0000-0000-00006F050000}"/>
    <cellStyle name="Porcentagem 5 6" xfId="1394" xr:uid="{00000000-0005-0000-0000-000070050000}"/>
    <cellStyle name="Porcentagem 5 6 2" xfId="1395" xr:uid="{00000000-0005-0000-0000-000071050000}"/>
    <cellStyle name="Porcentagem 5 6 2 2" xfId="1396" xr:uid="{00000000-0005-0000-0000-000072050000}"/>
    <cellStyle name="Porcentagem 5 6 3" xfId="1397" xr:uid="{00000000-0005-0000-0000-000073050000}"/>
    <cellStyle name="Porcentagem 5 7" xfId="1398" xr:uid="{00000000-0005-0000-0000-000074050000}"/>
    <cellStyle name="Porcentagem 6" xfId="1399" xr:uid="{00000000-0005-0000-0000-000075050000}"/>
    <cellStyle name="Porcentagem 6 2" xfId="1400" xr:uid="{00000000-0005-0000-0000-000076050000}"/>
    <cellStyle name="Porcentagem 6 2 2" xfId="1401" xr:uid="{00000000-0005-0000-0000-000077050000}"/>
    <cellStyle name="Porcentagem 6 2 2 2" xfId="1402" xr:uid="{00000000-0005-0000-0000-000078050000}"/>
    <cellStyle name="Porcentagem 6 2 3" xfId="1403" xr:uid="{00000000-0005-0000-0000-000079050000}"/>
    <cellStyle name="Porcentagem 6 3" xfId="1404" xr:uid="{00000000-0005-0000-0000-00007A050000}"/>
    <cellStyle name="Porcentagem 6 3 2" xfId="1405" xr:uid="{00000000-0005-0000-0000-00007B050000}"/>
    <cellStyle name="Porcentagem 6 4" xfId="1406" xr:uid="{00000000-0005-0000-0000-00007C050000}"/>
    <cellStyle name="Porcentagem 6 5" xfId="1407" xr:uid="{00000000-0005-0000-0000-00007D050000}"/>
    <cellStyle name="Porcentagem 7" xfId="1408" xr:uid="{00000000-0005-0000-0000-00007E050000}"/>
    <cellStyle name="Porcentagem 8" xfId="1409" xr:uid="{00000000-0005-0000-0000-00007F050000}"/>
    <cellStyle name="Porcentagem 9" xfId="1410" xr:uid="{00000000-0005-0000-0000-000080050000}"/>
    <cellStyle name="Porcentagem 9 2" xfId="1411" xr:uid="{00000000-0005-0000-0000-000081050000}"/>
    <cellStyle name="Prosent_Ark1" xfId="1412" xr:uid="{00000000-0005-0000-0000-000082050000}"/>
    <cellStyle name="PSA" xfId="1413" xr:uid="{00000000-0005-0000-0000-000083050000}"/>
    <cellStyle name="PSChar" xfId="1414" xr:uid="{00000000-0005-0000-0000-000084050000}"/>
    <cellStyle name="PSDate" xfId="1415" xr:uid="{00000000-0005-0000-0000-000085050000}"/>
    <cellStyle name="PSDec" xfId="1416" xr:uid="{00000000-0005-0000-0000-000086050000}"/>
    <cellStyle name="PSHeading" xfId="1417" xr:uid="{00000000-0005-0000-0000-000087050000}"/>
    <cellStyle name="PSInt" xfId="1418" xr:uid="{00000000-0005-0000-0000-000088050000}"/>
    <cellStyle name="PSSpacer" xfId="1419" xr:uid="{00000000-0005-0000-0000-000089050000}"/>
    <cellStyle name="Q RESULT - TEXT" xfId="1420" xr:uid="{00000000-0005-0000-0000-00008A050000}"/>
    <cellStyle name="Q RESULT - TEXT 2" xfId="1421" xr:uid="{00000000-0005-0000-0000-00008B050000}"/>
    <cellStyle name="Saída 10" xfId="1422" xr:uid="{00000000-0005-0000-0000-00008C050000}"/>
    <cellStyle name="Saída 11" xfId="1423" xr:uid="{00000000-0005-0000-0000-00008D050000}"/>
    <cellStyle name="Saída 12" xfId="1424" xr:uid="{00000000-0005-0000-0000-00008E050000}"/>
    <cellStyle name="Saída 13" xfId="1425" xr:uid="{00000000-0005-0000-0000-00008F050000}"/>
    <cellStyle name="Saída 14" xfId="1426" xr:uid="{00000000-0005-0000-0000-000090050000}"/>
    <cellStyle name="Saída 15" xfId="1427" xr:uid="{00000000-0005-0000-0000-000091050000}"/>
    <cellStyle name="Saída 16" xfId="1428" xr:uid="{00000000-0005-0000-0000-000092050000}"/>
    <cellStyle name="Saída 2" xfId="1429" xr:uid="{00000000-0005-0000-0000-000093050000}"/>
    <cellStyle name="Saída 2 2" xfId="1430" xr:uid="{00000000-0005-0000-0000-000094050000}"/>
    <cellStyle name="Saída 3" xfId="1431" xr:uid="{00000000-0005-0000-0000-000095050000}"/>
    <cellStyle name="Saída 4" xfId="1432" xr:uid="{00000000-0005-0000-0000-000096050000}"/>
    <cellStyle name="Saída 5" xfId="1433" xr:uid="{00000000-0005-0000-0000-000097050000}"/>
    <cellStyle name="Saída 6" xfId="1434" xr:uid="{00000000-0005-0000-0000-000098050000}"/>
    <cellStyle name="Saída 7" xfId="1435" xr:uid="{00000000-0005-0000-0000-000099050000}"/>
    <cellStyle name="Saída 8" xfId="1436" xr:uid="{00000000-0005-0000-0000-00009A050000}"/>
    <cellStyle name="Saída 9" xfId="1437" xr:uid="{00000000-0005-0000-0000-00009B050000}"/>
    <cellStyle name="SAPBEXaggData" xfId="1438" xr:uid="{00000000-0005-0000-0000-00009C050000}"/>
    <cellStyle name="SAPBEXaggDataEmph" xfId="1439" xr:uid="{00000000-0005-0000-0000-00009D050000}"/>
    <cellStyle name="SAPBEXaggItem" xfId="1440" xr:uid="{00000000-0005-0000-0000-00009E050000}"/>
    <cellStyle name="SAPBEXchaText" xfId="1441" xr:uid="{00000000-0005-0000-0000-00009F050000}"/>
    <cellStyle name="SAPBEXexcBad7" xfId="1442" xr:uid="{00000000-0005-0000-0000-0000A0050000}"/>
    <cellStyle name="SAPBEXexcBad8" xfId="1443" xr:uid="{00000000-0005-0000-0000-0000A1050000}"/>
    <cellStyle name="SAPBEXexcBad9" xfId="1444" xr:uid="{00000000-0005-0000-0000-0000A2050000}"/>
    <cellStyle name="SAPBEXexcCritical4" xfId="1445" xr:uid="{00000000-0005-0000-0000-0000A3050000}"/>
    <cellStyle name="SAPBEXexcCritical5" xfId="1446" xr:uid="{00000000-0005-0000-0000-0000A4050000}"/>
    <cellStyle name="SAPBEXexcCritical6" xfId="1447" xr:uid="{00000000-0005-0000-0000-0000A5050000}"/>
    <cellStyle name="SAPBEXexcGood1" xfId="1448" xr:uid="{00000000-0005-0000-0000-0000A6050000}"/>
    <cellStyle name="SAPBEXexcGood2" xfId="1449" xr:uid="{00000000-0005-0000-0000-0000A7050000}"/>
    <cellStyle name="SAPBEXexcGood3" xfId="1450" xr:uid="{00000000-0005-0000-0000-0000A8050000}"/>
    <cellStyle name="SAPBEXfilterDrill" xfId="1451" xr:uid="{00000000-0005-0000-0000-0000A9050000}"/>
    <cellStyle name="SAPBEXfilterItem" xfId="1452" xr:uid="{00000000-0005-0000-0000-0000AA050000}"/>
    <cellStyle name="SAPBEXfilterText" xfId="1453" xr:uid="{00000000-0005-0000-0000-0000AB050000}"/>
    <cellStyle name="SAPBEXformats" xfId="1454" xr:uid="{00000000-0005-0000-0000-0000AC050000}"/>
    <cellStyle name="SAPBEXheaderItem" xfId="1455" xr:uid="{00000000-0005-0000-0000-0000AD050000}"/>
    <cellStyle name="SAPBEXheaderText" xfId="1456" xr:uid="{00000000-0005-0000-0000-0000AE050000}"/>
    <cellStyle name="SAPBEXresData" xfId="1457" xr:uid="{00000000-0005-0000-0000-0000AF050000}"/>
    <cellStyle name="SAPBEXresDataEmph" xfId="1458" xr:uid="{00000000-0005-0000-0000-0000B0050000}"/>
    <cellStyle name="SAPBEXresItem" xfId="1459" xr:uid="{00000000-0005-0000-0000-0000B1050000}"/>
    <cellStyle name="SAPBEXstdData" xfId="1460" xr:uid="{00000000-0005-0000-0000-0000B2050000}"/>
    <cellStyle name="SAPBEXstdDataEmph" xfId="1461" xr:uid="{00000000-0005-0000-0000-0000B3050000}"/>
    <cellStyle name="SAPBEXstdItem" xfId="1462" xr:uid="{00000000-0005-0000-0000-0000B4050000}"/>
    <cellStyle name="SAPBEXtitle" xfId="1463" xr:uid="{00000000-0005-0000-0000-0000B5050000}"/>
    <cellStyle name="SAPBEXundefined" xfId="1464" xr:uid="{00000000-0005-0000-0000-0000B6050000}"/>
    <cellStyle name="Schlecht" xfId="1465" xr:uid="{00000000-0005-0000-0000-0000B7050000}"/>
    <cellStyle name="Separador de m" xfId="1466" xr:uid="{00000000-0005-0000-0000-0000B8050000}"/>
    <cellStyle name="Separador de milhares 10" xfId="1467" xr:uid="{00000000-0005-0000-0000-0000B9050000}"/>
    <cellStyle name="Separador de milhares 10 2" xfId="1468" xr:uid="{00000000-0005-0000-0000-0000BA050000}"/>
    <cellStyle name="Separador de milhares 11" xfId="1469" xr:uid="{00000000-0005-0000-0000-0000BB050000}"/>
    <cellStyle name="Separador de milhares 12" xfId="1470" xr:uid="{00000000-0005-0000-0000-0000BC050000}"/>
    <cellStyle name="Separador de milhares 12 2" xfId="1471" xr:uid="{00000000-0005-0000-0000-0000BD050000}"/>
    <cellStyle name="Separador de milhares 13" xfId="1472" xr:uid="{00000000-0005-0000-0000-0000BE050000}"/>
    <cellStyle name="Separador de milhares 14" xfId="1473" xr:uid="{00000000-0005-0000-0000-0000BF050000}"/>
    <cellStyle name="Separador de milhares 15" xfId="1474" xr:uid="{00000000-0005-0000-0000-0000C0050000}"/>
    <cellStyle name="Separador de milhares 16" xfId="1475" xr:uid="{00000000-0005-0000-0000-0000C1050000}"/>
    <cellStyle name="Separador de milhares 17" xfId="1476" xr:uid="{00000000-0005-0000-0000-0000C2050000}"/>
    <cellStyle name="Separador de milhares 18" xfId="1477" xr:uid="{00000000-0005-0000-0000-0000C3050000}"/>
    <cellStyle name="Separador de milhares 19" xfId="1478" xr:uid="{00000000-0005-0000-0000-0000C4050000}"/>
    <cellStyle name="Separador de milhares 2" xfId="1479" xr:uid="{00000000-0005-0000-0000-0000C5050000}"/>
    <cellStyle name="Separador de milhares 2 10" xfId="1480" xr:uid="{00000000-0005-0000-0000-0000C6050000}"/>
    <cellStyle name="Separador de milhares 2 10 2" xfId="1481" xr:uid="{00000000-0005-0000-0000-0000C7050000}"/>
    <cellStyle name="Separador de milhares 2 11" xfId="1482" xr:uid="{00000000-0005-0000-0000-0000C8050000}"/>
    <cellStyle name="Separador de milhares 2 11 2" xfId="1483" xr:uid="{00000000-0005-0000-0000-0000C9050000}"/>
    <cellStyle name="Separador de milhares 2 11 3" xfId="1484" xr:uid="{00000000-0005-0000-0000-0000CA050000}"/>
    <cellStyle name="Separador de milhares 2 11 3 2" xfId="1485" xr:uid="{00000000-0005-0000-0000-0000CB050000}"/>
    <cellStyle name="Separador de milhares 2 11 4" xfId="1486" xr:uid="{00000000-0005-0000-0000-0000CC050000}"/>
    <cellStyle name="Separador de milhares 2 11 5" xfId="1487" xr:uid="{00000000-0005-0000-0000-0000CD050000}"/>
    <cellStyle name="Separador de milhares 2 12" xfId="1488" xr:uid="{00000000-0005-0000-0000-0000CE050000}"/>
    <cellStyle name="Separador de milhares 2 12 2" xfId="1489" xr:uid="{00000000-0005-0000-0000-0000CF050000}"/>
    <cellStyle name="Separador de milhares 2 12 2 2" xfId="1490" xr:uid="{00000000-0005-0000-0000-0000D0050000}"/>
    <cellStyle name="Separador de milhares 2 12 3" xfId="1491" xr:uid="{00000000-0005-0000-0000-0000D1050000}"/>
    <cellStyle name="Separador de milhares 2 13" xfId="1492" xr:uid="{00000000-0005-0000-0000-0000D2050000}"/>
    <cellStyle name="Separador de milhares 2 14" xfId="1493" xr:uid="{00000000-0005-0000-0000-0000D3050000}"/>
    <cellStyle name="Separador de milhares 2 15" xfId="1494" xr:uid="{00000000-0005-0000-0000-0000D4050000}"/>
    <cellStyle name="Separador de milhares 2 16" xfId="1495" xr:uid="{00000000-0005-0000-0000-0000D5050000}"/>
    <cellStyle name="Separador de milhares 2 17" xfId="1496" xr:uid="{00000000-0005-0000-0000-0000D6050000}"/>
    <cellStyle name="Separador de milhares 2 18" xfId="1497" xr:uid="{00000000-0005-0000-0000-0000D7050000}"/>
    <cellStyle name="Separador de milhares 2 19" xfId="1498" xr:uid="{00000000-0005-0000-0000-0000D8050000}"/>
    <cellStyle name="Separador de milhares 2 2" xfId="1499" xr:uid="{00000000-0005-0000-0000-0000D9050000}"/>
    <cellStyle name="Separador de milhares 2 2 10" xfId="1500" xr:uid="{00000000-0005-0000-0000-0000DA050000}"/>
    <cellStyle name="Separador de milhares 2 2 11" xfId="1501" xr:uid="{00000000-0005-0000-0000-0000DB050000}"/>
    <cellStyle name="Separador de milhares 2 2 12" xfId="1502" xr:uid="{00000000-0005-0000-0000-0000DC050000}"/>
    <cellStyle name="Separador de milhares 2 2 13" xfId="1503" xr:uid="{00000000-0005-0000-0000-0000DD050000}"/>
    <cellStyle name="Separador de milhares 2 2 14" xfId="1504" xr:uid="{00000000-0005-0000-0000-0000DE050000}"/>
    <cellStyle name="Separador de milhares 2 2 15" xfId="1505" xr:uid="{00000000-0005-0000-0000-0000DF050000}"/>
    <cellStyle name="Separador de milhares 2 2 16" xfId="1506" xr:uid="{00000000-0005-0000-0000-0000E0050000}"/>
    <cellStyle name="Separador de milhares 2 2 17" xfId="1507" xr:uid="{00000000-0005-0000-0000-0000E1050000}"/>
    <cellStyle name="Separador de milhares 2 2 18" xfId="1508" xr:uid="{00000000-0005-0000-0000-0000E2050000}"/>
    <cellStyle name="Separador de milhares 2 2 19" xfId="1509" xr:uid="{00000000-0005-0000-0000-0000E3050000}"/>
    <cellStyle name="Separador de milhares 2 2 2" xfId="1510" xr:uid="{00000000-0005-0000-0000-0000E4050000}"/>
    <cellStyle name="Separador de milhares 2 2 2 10" xfId="1511" xr:uid="{00000000-0005-0000-0000-0000E5050000}"/>
    <cellStyle name="Separador de milhares 2 2 2 11" xfId="1512" xr:uid="{00000000-0005-0000-0000-0000E6050000}"/>
    <cellStyle name="Separador de milhares 2 2 2 12" xfId="1513" xr:uid="{00000000-0005-0000-0000-0000E7050000}"/>
    <cellStyle name="Separador de milhares 2 2 2 13" xfId="1514" xr:uid="{00000000-0005-0000-0000-0000E8050000}"/>
    <cellStyle name="Separador de milhares 2 2 2 14" xfId="1515" xr:uid="{00000000-0005-0000-0000-0000E9050000}"/>
    <cellStyle name="Separador de milhares 2 2 2 15" xfId="1516" xr:uid="{00000000-0005-0000-0000-0000EA050000}"/>
    <cellStyle name="Separador de milhares 2 2 2 16" xfId="1517" xr:uid="{00000000-0005-0000-0000-0000EB050000}"/>
    <cellStyle name="Separador de milhares 2 2 2 17" xfId="1518" xr:uid="{00000000-0005-0000-0000-0000EC050000}"/>
    <cellStyle name="Separador de milhares 2 2 2 18" xfId="1519" xr:uid="{00000000-0005-0000-0000-0000ED050000}"/>
    <cellStyle name="Separador de milhares 2 2 2 19" xfId="1520" xr:uid="{00000000-0005-0000-0000-0000EE050000}"/>
    <cellStyle name="Separador de milhares 2 2 2 2" xfId="1521" xr:uid="{00000000-0005-0000-0000-0000EF050000}"/>
    <cellStyle name="Separador de milhares 2 2 2 2 10" xfId="1522" xr:uid="{00000000-0005-0000-0000-0000F0050000}"/>
    <cellStyle name="Separador de milhares 2 2 2 2 10 2" xfId="1523" xr:uid="{00000000-0005-0000-0000-0000F1050000}"/>
    <cellStyle name="Separador de milhares 2 2 2 2 11" xfId="1524" xr:uid="{00000000-0005-0000-0000-0000F2050000}"/>
    <cellStyle name="Separador de milhares 2 2 2 2 11 2" xfId="1525" xr:uid="{00000000-0005-0000-0000-0000F3050000}"/>
    <cellStyle name="Separador de milhares 2 2 2 2 12" xfId="1526" xr:uid="{00000000-0005-0000-0000-0000F4050000}"/>
    <cellStyle name="Separador de milhares 2 2 2 2 12 2" xfId="1527" xr:uid="{00000000-0005-0000-0000-0000F5050000}"/>
    <cellStyle name="Separador de milhares 2 2 2 2 13" xfId="1528" xr:uid="{00000000-0005-0000-0000-0000F6050000}"/>
    <cellStyle name="Separador de milhares 2 2 2 2 13 2" xfId="1529" xr:uid="{00000000-0005-0000-0000-0000F7050000}"/>
    <cellStyle name="Separador de milhares 2 2 2 2 14" xfId="1530" xr:uid="{00000000-0005-0000-0000-0000F8050000}"/>
    <cellStyle name="Separador de milhares 2 2 2 2 14 2" xfId="1531" xr:uid="{00000000-0005-0000-0000-0000F9050000}"/>
    <cellStyle name="Separador de milhares 2 2 2 2 15" xfId="1532" xr:uid="{00000000-0005-0000-0000-0000FA050000}"/>
    <cellStyle name="Separador de milhares 2 2 2 2 15 2" xfId="1533" xr:uid="{00000000-0005-0000-0000-0000FB050000}"/>
    <cellStyle name="Separador de milhares 2 2 2 2 16" xfId="1534" xr:uid="{00000000-0005-0000-0000-0000FC050000}"/>
    <cellStyle name="Separador de milhares 2 2 2 2 16 2" xfId="1535" xr:uid="{00000000-0005-0000-0000-0000FD050000}"/>
    <cellStyle name="Separador de milhares 2 2 2 2 17" xfId="1536" xr:uid="{00000000-0005-0000-0000-0000FE050000}"/>
    <cellStyle name="Separador de milhares 2 2 2 2 17 2" xfId="1537" xr:uid="{00000000-0005-0000-0000-0000FF050000}"/>
    <cellStyle name="Separador de milhares 2 2 2 2 18" xfId="1538" xr:uid="{00000000-0005-0000-0000-000000060000}"/>
    <cellStyle name="Separador de milhares 2 2 2 2 18 2" xfId="1539" xr:uid="{00000000-0005-0000-0000-000001060000}"/>
    <cellStyle name="Separador de milhares 2 2 2 2 19" xfId="1540" xr:uid="{00000000-0005-0000-0000-000002060000}"/>
    <cellStyle name="Separador de milhares 2 2 2 2 19 2" xfId="1541" xr:uid="{00000000-0005-0000-0000-000003060000}"/>
    <cellStyle name="Separador de milhares 2 2 2 2 2" xfId="1542" xr:uid="{00000000-0005-0000-0000-000004060000}"/>
    <cellStyle name="Separador de milhares 2 2 2 2 2 2" xfId="1543" xr:uid="{00000000-0005-0000-0000-000005060000}"/>
    <cellStyle name="Separador de milhares 2 2 2 2 2 2 2" xfId="1544" xr:uid="{00000000-0005-0000-0000-000006060000}"/>
    <cellStyle name="Separador de milhares 2 2 2 2 2 3" xfId="1545" xr:uid="{00000000-0005-0000-0000-000007060000}"/>
    <cellStyle name="Separador de milhares 2 2 2 2 20" xfId="1546" xr:uid="{00000000-0005-0000-0000-000008060000}"/>
    <cellStyle name="Separador de milhares 2 2 2 2 20 2" xfId="1547" xr:uid="{00000000-0005-0000-0000-000009060000}"/>
    <cellStyle name="Separador de milhares 2 2 2 2 21" xfId="1548" xr:uid="{00000000-0005-0000-0000-00000A060000}"/>
    <cellStyle name="Separador de milhares 2 2 2 2 21 2" xfId="1549" xr:uid="{00000000-0005-0000-0000-00000B060000}"/>
    <cellStyle name="Separador de milhares 2 2 2 2 22" xfId="1550" xr:uid="{00000000-0005-0000-0000-00000C060000}"/>
    <cellStyle name="Separador de milhares 2 2 2 2 22 2" xfId="1551" xr:uid="{00000000-0005-0000-0000-00000D060000}"/>
    <cellStyle name="Separador de milhares 2 2 2 2 23" xfId="1552" xr:uid="{00000000-0005-0000-0000-00000E060000}"/>
    <cellStyle name="Separador de milhares 2 2 2 2 23 2" xfId="1553" xr:uid="{00000000-0005-0000-0000-00000F060000}"/>
    <cellStyle name="Separador de milhares 2 2 2 2 24" xfId="1554" xr:uid="{00000000-0005-0000-0000-000010060000}"/>
    <cellStyle name="Separador de milhares 2 2 2 2 24 2" xfId="1555" xr:uid="{00000000-0005-0000-0000-000011060000}"/>
    <cellStyle name="Separador de milhares 2 2 2 2 25" xfId="1556" xr:uid="{00000000-0005-0000-0000-000012060000}"/>
    <cellStyle name="Separador de milhares 2 2 2 2 3" xfId="1557" xr:uid="{00000000-0005-0000-0000-000013060000}"/>
    <cellStyle name="Separador de milhares 2 2 2 2 3 2" xfId="1558" xr:uid="{00000000-0005-0000-0000-000014060000}"/>
    <cellStyle name="Separador de milhares 2 2 2 2 4" xfId="1559" xr:uid="{00000000-0005-0000-0000-000015060000}"/>
    <cellStyle name="Separador de milhares 2 2 2 2 4 2" xfId="1560" xr:uid="{00000000-0005-0000-0000-000016060000}"/>
    <cellStyle name="Separador de milhares 2 2 2 2 5" xfId="1561" xr:uid="{00000000-0005-0000-0000-000017060000}"/>
    <cellStyle name="Separador de milhares 2 2 2 2 5 2" xfId="1562" xr:uid="{00000000-0005-0000-0000-000018060000}"/>
    <cellStyle name="Separador de milhares 2 2 2 2 6" xfId="1563" xr:uid="{00000000-0005-0000-0000-000019060000}"/>
    <cellStyle name="Separador de milhares 2 2 2 2 6 2" xfId="1564" xr:uid="{00000000-0005-0000-0000-00001A060000}"/>
    <cellStyle name="Separador de milhares 2 2 2 2 7" xfId="1565" xr:uid="{00000000-0005-0000-0000-00001B060000}"/>
    <cellStyle name="Separador de milhares 2 2 2 2 7 2" xfId="1566" xr:uid="{00000000-0005-0000-0000-00001C060000}"/>
    <cellStyle name="Separador de milhares 2 2 2 2 8" xfId="1567" xr:uid="{00000000-0005-0000-0000-00001D060000}"/>
    <cellStyle name="Separador de milhares 2 2 2 2 8 2" xfId="1568" xr:uid="{00000000-0005-0000-0000-00001E060000}"/>
    <cellStyle name="Separador de milhares 2 2 2 2 9" xfId="1569" xr:uid="{00000000-0005-0000-0000-00001F060000}"/>
    <cellStyle name="Separador de milhares 2 2 2 2 9 2" xfId="1570" xr:uid="{00000000-0005-0000-0000-000020060000}"/>
    <cellStyle name="Separador de milhares 2 2 2 20" xfId="1571" xr:uid="{00000000-0005-0000-0000-000021060000}"/>
    <cellStyle name="Separador de milhares 2 2 2 21" xfId="1572" xr:uid="{00000000-0005-0000-0000-000022060000}"/>
    <cellStyle name="Separador de milhares 2 2 2 22" xfId="1573" xr:uid="{00000000-0005-0000-0000-000023060000}"/>
    <cellStyle name="Separador de milhares 2 2 2 23" xfId="1574" xr:uid="{00000000-0005-0000-0000-000024060000}"/>
    <cellStyle name="Separador de milhares 2 2 2 24" xfId="1575" xr:uid="{00000000-0005-0000-0000-000025060000}"/>
    <cellStyle name="Separador de milhares 2 2 2 25" xfId="1576" xr:uid="{00000000-0005-0000-0000-000026060000}"/>
    <cellStyle name="Separador de milhares 2 2 2 26" xfId="1577" xr:uid="{00000000-0005-0000-0000-000027060000}"/>
    <cellStyle name="Separador de milhares 2 2 2 27" xfId="1578" xr:uid="{00000000-0005-0000-0000-000028060000}"/>
    <cellStyle name="Separador de milhares 2 2 2 3" xfId="1579" xr:uid="{00000000-0005-0000-0000-000029060000}"/>
    <cellStyle name="Separador de milhares 2 2 2 3 2" xfId="1580" xr:uid="{00000000-0005-0000-0000-00002A060000}"/>
    <cellStyle name="Separador de milhares 2 2 2 3 2 2" xfId="1581" xr:uid="{00000000-0005-0000-0000-00002B060000}"/>
    <cellStyle name="Separador de milhares 2 2 2 3 3" xfId="1582" xr:uid="{00000000-0005-0000-0000-00002C060000}"/>
    <cellStyle name="Separador de milhares 2 2 2 4" xfId="1583" xr:uid="{00000000-0005-0000-0000-00002D060000}"/>
    <cellStyle name="Separador de milhares 2 2 2 4 2" xfId="1584" xr:uid="{00000000-0005-0000-0000-00002E060000}"/>
    <cellStyle name="Separador de milhares 2 2 2 4 2 2" xfId="1585" xr:uid="{00000000-0005-0000-0000-00002F060000}"/>
    <cellStyle name="Separador de milhares 2 2 2 4 3" xfId="1586" xr:uid="{00000000-0005-0000-0000-000030060000}"/>
    <cellStyle name="Separador de milhares 2 2 2 5" xfId="1587" xr:uid="{00000000-0005-0000-0000-000031060000}"/>
    <cellStyle name="Separador de milhares 2 2 2 5 2" xfId="1588" xr:uid="{00000000-0005-0000-0000-000032060000}"/>
    <cellStyle name="Separador de milhares 2 2 2 5 2 2" xfId="1589" xr:uid="{00000000-0005-0000-0000-000033060000}"/>
    <cellStyle name="Separador de milhares 2 2 2 5 3" xfId="1590" xr:uid="{00000000-0005-0000-0000-000034060000}"/>
    <cellStyle name="Separador de milhares 2 2 2 6" xfId="1591" xr:uid="{00000000-0005-0000-0000-000035060000}"/>
    <cellStyle name="Separador de milhares 2 2 2 6 2" xfId="1592" xr:uid="{00000000-0005-0000-0000-000036060000}"/>
    <cellStyle name="Separador de milhares 2 2 2 6 2 2" xfId="1593" xr:uid="{00000000-0005-0000-0000-000037060000}"/>
    <cellStyle name="Separador de milhares 2 2 2 6 3" xfId="1594" xr:uid="{00000000-0005-0000-0000-000038060000}"/>
    <cellStyle name="Separador de milhares 2 2 2 7" xfId="1595" xr:uid="{00000000-0005-0000-0000-000039060000}"/>
    <cellStyle name="Separador de milhares 2 2 2 8" xfId="1596" xr:uid="{00000000-0005-0000-0000-00003A060000}"/>
    <cellStyle name="Separador de milhares 2 2 2 9" xfId="1597" xr:uid="{00000000-0005-0000-0000-00003B060000}"/>
    <cellStyle name="Separador de milhares 2 2 20" xfId="1598" xr:uid="{00000000-0005-0000-0000-00003C060000}"/>
    <cellStyle name="Separador de milhares 2 2 21" xfId="1599" xr:uid="{00000000-0005-0000-0000-00003D060000}"/>
    <cellStyle name="Separador de milhares 2 2 22" xfId="1600" xr:uid="{00000000-0005-0000-0000-00003E060000}"/>
    <cellStyle name="Separador de milhares 2 2 23" xfId="1601" xr:uid="{00000000-0005-0000-0000-00003F060000}"/>
    <cellStyle name="Separador de milhares 2 2 24" xfId="1602" xr:uid="{00000000-0005-0000-0000-000040060000}"/>
    <cellStyle name="Separador de milhares 2 2 25" xfId="1603" xr:uid="{00000000-0005-0000-0000-000041060000}"/>
    <cellStyle name="Separador de milhares 2 2 26" xfId="1604" xr:uid="{00000000-0005-0000-0000-000042060000}"/>
    <cellStyle name="Separador de milhares 2 2 27" xfId="1605" xr:uid="{00000000-0005-0000-0000-000043060000}"/>
    <cellStyle name="Separador de milhares 2 2 28" xfId="1606" xr:uid="{00000000-0005-0000-0000-000044060000}"/>
    <cellStyle name="Separador de milhares 2 2 29" xfId="1607" xr:uid="{00000000-0005-0000-0000-000045060000}"/>
    <cellStyle name="Separador de milhares 2 2 3" xfId="1608" xr:uid="{00000000-0005-0000-0000-000046060000}"/>
    <cellStyle name="Separador de milhares 2 2 3 2" xfId="1609" xr:uid="{00000000-0005-0000-0000-000047060000}"/>
    <cellStyle name="Separador de milhares 2 2 3 2 2" xfId="1610" xr:uid="{00000000-0005-0000-0000-000048060000}"/>
    <cellStyle name="Separador de milhares 2 2 3 3" xfId="1611" xr:uid="{00000000-0005-0000-0000-000049060000}"/>
    <cellStyle name="Separador de milhares 2 2 4" xfId="1612" xr:uid="{00000000-0005-0000-0000-00004A060000}"/>
    <cellStyle name="Separador de milhares 2 2 4 2" xfId="1613" xr:uid="{00000000-0005-0000-0000-00004B060000}"/>
    <cellStyle name="Separador de milhares 2 2 4 2 2" xfId="1614" xr:uid="{00000000-0005-0000-0000-00004C060000}"/>
    <cellStyle name="Separador de milhares 2 2 4 3" xfId="1615" xr:uid="{00000000-0005-0000-0000-00004D060000}"/>
    <cellStyle name="Separador de milhares 2 2 5" xfId="1616" xr:uid="{00000000-0005-0000-0000-00004E060000}"/>
    <cellStyle name="Separador de milhares 2 2 5 2" xfId="1617" xr:uid="{00000000-0005-0000-0000-00004F060000}"/>
    <cellStyle name="Separador de milhares 2 2 5 2 2" xfId="1618" xr:uid="{00000000-0005-0000-0000-000050060000}"/>
    <cellStyle name="Separador de milhares 2 2 5 3" xfId="1619" xr:uid="{00000000-0005-0000-0000-000051060000}"/>
    <cellStyle name="Separador de milhares 2 2 6" xfId="1620" xr:uid="{00000000-0005-0000-0000-000052060000}"/>
    <cellStyle name="Separador de milhares 2 2 6 2" xfId="1621" xr:uid="{00000000-0005-0000-0000-000053060000}"/>
    <cellStyle name="Separador de milhares 2 2 6 2 2" xfId="1622" xr:uid="{00000000-0005-0000-0000-000054060000}"/>
    <cellStyle name="Separador de milhares 2 2 6 3" xfId="1623" xr:uid="{00000000-0005-0000-0000-000055060000}"/>
    <cellStyle name="Separador de milhares 2 2 7" xfId="1624" xr:uid="{00000000-0005-0000-0000-000056060000}"/>
    <cellStyle name="Separador de milhares 2 2 8" xfId="1625" xr:uid="{00000000-0005-0000-0000-000057060000}"/>
    <cellStyle name="Separador de milhares 2 2 9" xfId="1626" xr:uid="{00000000-0005-0000-0000-000058060000}"/>
    <cellStyle name="Separador de milhares 2 20" xfId="1627" xr:uid="{00000000-0005-0000-0000-000059060000}"/>
    <cellStyle name="Separador de milhares 2 21" xfId="1628" xr:uid="{00000000-0005-0000-0000-00005A060000}"/>
    <cellStyle name="Separador de milhares 2 22" xfId="1629" xr:uid="{00000000-0005-0000-0000-00005B060000}"/>
    <cellStyle name="Separador de milhares 2 23" xfId="1630" xr:uid="{00000000-0005-0000-0000-00005C060000}"/>
    <cellStyle name="Separador de milhares 2 24" xfId="1631" xr:uid="{00000000-0005-0000-0000-00005D060000}"/>
    <cellStyle name="Separador de milhares 2 25" xfId="1632" xr:uid="{00000000-0005-0000-0000-00005E060000}"/>
    <cellStyle name="Separador de milhares 2 26" xfId="1633" xr:uid="{00000000-0005-0000-0000-00005F060000}"/>
    <cellStyle name="Separador de milhares 2 27" xfId="1634" xr:uid="{00000000-0005-0000-0000-000060060000}"/>
    <cellStyle name="Separador de milhares 2 28" xfId="1635" xr:uid="{00000000-0005-0000-0000-000061060000}"/>
    <cellStyle name="Separador de milhares 2 29" xfId="1636" xr:uid="{00000000-0005-0000-0000-000062060000}"/>
    <cellStyle name="Separador de milhares 2 3" xfId="1637" xr:uid="{00000000-0005-0000-0000-000063060000}"/>
    <cellStyle name="Separador de milhares 2 3 2" xfId="1638" xr:uid="{00000000-0005-0000-0000-000064060000}"/>
    <cellStyle name="Separador de milhares 2 3 2 2" xfId="1639" xr:uid="{00000000-0005-0000-0000-000065060000}"/>
    <cellStyle name="Separador de milhares 2 3 2 2 2" xfId="1640" xr:uid="{00000000-0005-0000-0000-000066060000}"/>
    <cellStyle name="Separador de milhares 2 3 2 3" xfId="1641" xr:uid="{00000000-0005-0000-0000-000067060000}"/>
    <cellStyle name="Separador de milhares 2 3 3" xfId="1642" xr:uid="{00000000-0005-0000-0000-000068060000}"/>
    <cellStyle name="Separador de milhares 2 3 3 2" xfId="1643" xr:uid="{00000000-0005-0000-0000-000069060000}"/>
    <cellStyle name="Separador de milhares 2 3 4" xfId="1644" xr:uid="{00000000-0005-0000-0000-00006A060000}"/>
    <cellStyle name="Separador de milhares 2 3 5" xfId="1645" xr:uid="{00000000-0005-0000-0000-00006B060000}"/>
    <cellStyle name="Separador de milhares 2 30" xfId="1646" xr:uid="{00000000-0005-0000-0000-00006C060000}"/>
    <cellStyle name="Separador de milhares 2 31" xfId="1647" xr:uid="{00000000-0005-0000-0000-00006D060000}"/>
    <cellStyle name="Separador de milhares 2 32" xfId="1648" xr:uid="{00000000-0005-0000-0000-00006E060000}"/>
    <cellStyle name="Separador de milhares 2 33" xfId="1649" xr:uid="{00000000-0005-0000-0000-00006F060000}"/>
    <cellStyle name="Separador de milhares 2 34" xfId="1650" xr:uid="{00000000-0005-0000-0000-000070060000}"/>
    <cellStyle name="Separador de milhares 2 35" xfId="1651" xr:uid="{00000000-0005-0000-0000-000071060000}"/>
    <cellStyle name="Separador de milhares 2 36" xfId="1652" xr:uid="{00000000-0005-0000-0000-000072060000}"/>
    <cellStyle name="Separador de milhares 2 4" xfId="1653" xr:uid="{00000000-0005-0000-0000-000073060000}"/>
    <cellStyle name="Separador de milhares 2 4 2" xfId="1654" xr:uid="{00000000-0005-0000-0000-000074060000}"/>
    <cellStyle name="Separador de milhares 2 5" xfId="1655" xr:uid="{00000000-0005-0000-0000-000075060000}"/>
    <cellStyle name="Separador de milhares 2 5 2" xfId="1656" xr:uid="{00000000-0005-0000-0000-000076060000}"/>
    <cellStyle name="Separador de milhares 2 6" xfId="1657" xr:uid="{00000000-0005-0000-0000-000077060000}"/>
    <cellStyle name="Separador de milhares 2 6 2" xfId="1658" xr:uid="{00000000-0005-0000-0000-000078060000}"/>
    <cellStyle name="Separador de milhares 2 6 2 2" xfId="1659" xr:uid="{00000000-0005-0000-0000-000079060000}"/>
    <cellStyle name="Separador de milhares 2 6 3" xfId="1660" xr:uid="{00000000-0005-0000-0000-00007A060000}"/>
    <cellStyle name="Separador de milhares 2 7" xfId="1661" xr:uid="{00000000-0005-0000-0000-00007B060000}"/>
    <cellStyle name="Separador de milhares 2 7 2" xfId="1662" xr:uid="{00000000-0005-0000-0000-00007C060000}"/>
    <cellStyle name="Separador de milhares 2 7 2 2" xfId="1663" xr:uid="{00000000-0005-0000-0000-00007D060000}"/>
    <cellStyle name="Separador de milhares 2 7 3" xfId="1664" xr:uid="{00000000-0005-0000-0000-00007E060000}"/>
    <cellStyle name="Separador de milhares 2 8" xfId="1665" xr:uid="{00000000-0005-0000-0000-00007F060000}"/>
    <cellStyle name="Separador de milhares 2 8 2" xfId="1666" xr:uid="{00000000-0005-0000-0000-000080060000}"/>
    <cellStyle name="Separador de milhares 2 8 2 2" xfId="1667" xr:uid="{00000000-0005-0000-0000-000081060000}"/>
    <cellStyle name="Separador de milhares 2 8 3" xfId="1668" xr:uid="{00000000-0005-0000-0000-000082060000}"/>
    <cellStyle name="Separador de milhares 2 9" xfId="1669" xr:uid="{00000000-0005-0000-0000-000083060000}"/>
    <cellStyle name="Separador de milhares 2 9 2" xfId="1670" xr:uid="{00000000-0005-0000-0000-000084060000}"/>
    <cellStyle name="Separador de milhares 2 9 2 2" xfId="1671" xr:uid="{00000000-0005-0000-0000-000085060000}"/>
    <cellStyle name="Separador de milhares 2 9 3" xfId="1672" xr:uid="{00000000-0005-0000-0000-000086060000}"/>
    <cellStyle name="Separador de milhares 2_Cópia de Planilha da TRANSPETRO Rio Grande do Sul 3" xfId="1673" xr:uid="{00000000-0005-0000-0000-000087060000}"/>
    <cellStyle name="Separador de milhares 20" xfId="1674" xr:uid="{00000000-0005-0000-0000-000088060000}"/>
    <cellStyle name="Separador de milhares 21" xfId="1675" xr:uid="{00000000-0005-0000-0000-000089060000}"/>
    <cellStyle name="Separador de milhares 22" xfId="1676" xr:uid="{00000000-0005-0000-0000-00008A060000}"/>
    <cellStyle name="Separador de milhares 23" xfId="1677" xr:uid="{00000000-0005-0000-0000-00008B060000}"/>
    <cellStyle name="Separador de milhares 23 2" xfId="1678" xr:uid="{00000000-0005-0000-0000-00008C060000}"/>
    <cellStyle name="Separador de milhares 24" xfId="1679" xr:uid="{00000000-0005-0000-0000-00008D060000}"/>
    <cellStyle name="Separador de milhares 25" xfId="1680" xr:uid="{00000000-0005-0000-0000-00008E060000}"/>
    <cellStyle name="Separador de milhares 26" xfId="1681" xr:uid="{00000000-0005-0000-0000-00008F060000}"/>
    <cellStyle name="Separador de milhares 27" xfId="1682" xr:uid="{00000000-0005-0000-0000-000090060000}"/>
    <cellStyle name="Separador de milhares 3" xfId="1683" xr:uid="{00000000-0005-0000-0000-000091060000}"/>
    <cellStyle name="Separador de milhares 3 2" xfId="1684" xr:uid="{00000000-0005-0000-0000-000092060000}"/>
    <cellStyle name="Separador de milhares 3 2 2" xfId="1685" xr:uid="{00000000-0005-0000-0000-000093060000}"/>
    <cellStyle name="Separador de milhares 3 2 2 2" xfId="1686" xr:uid="{00000000-0005-0000-0000-000094060000}"/>
    <cellStyle name="Separador de milhares 3 2 2 3" xfId="1687" xr:uid="{00000000-0005-0000-0000-000095060000}"/>
    <cellStyle name="Separador de milhares 3 2 3" xfId="1688" xr:uid="{00000000-0005-0000-0000-000096060000}"/>
    <cellStyle name="Separador de milhares 3 2 4" xfId="1689" xr:uid="{00000000-0005-0000-0000-000097060000}"/>
    <cellStyle name="Separador de milhares 3 3" xfId="1690" xr:uid="{00000000-0005-0000-0000-000098060000}"/>
    <cellStyle name="Separador de milhares 3 3 2" xfId="1691" xr:uid="{00000000-0005-0000-0000-000099060000}"/>
    <cellStyle name="Separador de milhares 3 3 2 2" xfId="1692" xr:uid="{00000000-0005-0000-0000-00009A060000}"/>
    <cellStyle name="Separador de milhares 3 3 3" xfId="1693" xr:uid="{00000000-0005-0000-0000-00009B060000}"/>
    <cellStyle name="Separador de milhares 3 4" xfId="1694" xr:uid="{00000000-0005-0000-0000-00009C060000}"/>
    <cellStyle name="Separador de milhares 3 4 2" xfId="1695" xr:uid="{00000000-0005-0000-0000-00009D060000}"/>
    <cellStyle name="Separador de milhares 3 4 2 2" xfId="1696" xr:uid="{00000000-0005-0000-0000-00009E060000}"/>
    <cellStyle name="Separador de milhares 3 4 3" xfId="1697" xr:uid="{00000000-0005-0000-0000-00009F060000}"/>
    <cellStyle name="Separador de milhares 3 5" xfId="1698" xr:uid="{00000000-0005-0000-0000-0000A0060000}"/>
    <cellStyle name="Separador de milhares 3 5 2" xfId="1699" xr:uid="{00000000-0005-0000-0000-0000A1060000}"/>
    <cellStyle name="Separador de milhares 3 5 2 2" xfId="1700" xr:uid="{00000000-0005-0000-0000-0000A2060000}"/>
    <cellStyle name="Separador de milhares 3 5 3" xfId="1701" xr:uid="{00000000-0005-0000-0000-0000A3060000}"/>
    <cellStyle name="Separador de milhares 3 6" xfId="1702" xr:uid="{00000000-0005-0000-0000-0000A4060000}"/>
    <cellStyle name="Separador de milhares 3 6 2" xfId="1703" xr:uid="{00000000-0005-0000-0000-0000A5060000}"/>
    <cellStyle name="Separador de milhares 3 6 2 2" xfId="1704" xr:uid="{00000000-0005-0000-0000-0000A6060000}"/>
    <cellStyle name="Separador de milhares 3 6 3" xfId="1705" xr:uid="{00000000-0005-0000-0000-0000A7060000}"/>
    <cellStyle name="Separador de milhares 3 7" xfId="1706" xr:uid="{00000000-0005-0000-0000-0000A8060000}"/>
    <cellStyle name="Separador de milhares 3 7 2" xfId="1707" xr:uid="{00000000-0005-0000-0000-0000A9060000}"/>
    <cellStyle name="Separador de milhares 3 7 2 2" xfId="1708" xr:uid="{00000000-0005-0000-0000-0000AA060000}"/>
    <cellStyle name="Separador de milhares 3 7 2 2 2" xfId="1709" xr:uid="{00000000-0005-0000-0000-0000AB060000}"/>
    <cellStyle name="Separador de milhares 3 7 2 3" xfId="1710" xr:uid="{00000000-0005-0000-0000-0000AC060000}"/>
    <cellStyle name="Separador de milhares 3 8" xfId="1711" xr:uid="{00000000-0005-0000-0000-0000AD060000}"/>
    <cellStyle name="Separador de milhares 3 9" xfId="1712" xr:uid="{00000000-0005-0000-0000-0000AE060000}"/>
    <cellStyle name="Separador de milhares 30" xfId="1713" xr:uid="{00000000-0005-0000-0000-0000AF060000}"/>
    <cellStyle name="Separador de milhares 4" xfId="1714" xr:uid="{00000000-0005-0000-0000-0000B0060000}"/>
    <cellStyle name="Separador de milhares 4 2" xfId="1715" xr:uid="{00000000-0005-0000-0000-0000B1060000}"/>
    <cellStyle name="Separador de milhares 4 3" xfId="1716" xr:uid="{00000000-0005-0000-0000-0000B2060000}"/>
    <cellStyle name="Separador de milhares 5" xfId="1717" xr:uid="{00000000-0005-0000-0000-0000B3060000}"/>
    <cellStyle name="Separador de milhares 5 2" xfId="1718" xr:uid="{00000000-0005-0000-0000-0000B4060000}"/>
    <cellStyle name="Separador de milhares 5 2 2" xfId="1719" xr:uid="{00000000-0005-0000-0000-0000B5060000}"/>
    <cellStyle name="Separador de milhares 5 2 2 2" xfId="1720" xr:uid="{00000000-0005-0000-0000-0000B6060000}"/>
    <cellStyle name="Separador de milhares 5 2 2 2 2" xfId="1721" xr:uid="{00000000-0005-0000-0000-0000B7060000}"/>
    <cellStyle name="Separador de milhares 5 2 2 2 2 2" xfId="1722" xr:uid="{00000000-0005-0000-0000-0000B8060000}"/>
    <cellStyle name="Separador de milhares 5 2 2 2 3" xfId="1723" xr:uid="{00000000-0005-0000-0000-0000B9060000}"/>
    <cellStyle name="Separador de milhares 5 2 2 3" xfId="1724" xr:uid="{00000000-0005-0000-0000-0000BA060000}"/>
    <cellStyle name="Separador de milhares 5 2 2 3 2" xfId="1725" xr:uid="{00000000-0005-0000-0000-0000BB060000}"/>
    <cellStyle name="Separador de milhares 5 2 2 4" xfId="1726" xr:uid="{00000000-0005-0000-0000-0000BC060000}"/>
    <cellStyle name="Separador de milhares 5 2 3" xfId="1727" xr:uid="{00000000-0005-0000-0000-0000BD060000}"/>
    <cellStyle name="Separador de milhares 5 2 3 2" xfId="1728" xr:uid="{00000000-0005-0000-0000-0000BE060000}"/>
    <cellStyle name="Separador de milhares 5 2 4" xfId="1729" xr:uid="{00000000-0005-0000-0000-0000BF060000}"/>
    <cellStyle name="Separador de milhares 5 3" xfId="1730" xr:uid="{00000000-0005-0000-0000-0000C0060000}"/>
    <cellStyle name="Separador de milhares 5 3 2" xfId="1731" xr:uid="{00000000-0005-0000-0000-0000C1060000}"/>
    <cellStyle name="Separador de milhares 5 3 2 2" xfId="1732" xr:uid="{00000000-0005-0000-0000-0000C2060000}"/>
    <cellStyle name="Separador de milhares 5 3 3" xfId="1733" xr:uid="{00000000-0005-0000-0000-0000C3060000}"/>
    <cellStyle name="Separador de milhares 5 4" xfId="1734" xr:uid="{00000000-0005-0000-0000-0000C4060000}"/>
    <cellStyle name="Separador de milhares 5 4 2" xfId="1735" xr:uid="{00000000-0005-0000-0000-0000C5060000}"/>
    <cellStyle name="Separador de milhares 5 4 2 2" xfId="1736" xr:uid="{00000000-0005-0000-0000-0000C6060000}"/>
    <cellStyle name="Separador de milhares 5 4 3" xfId="1737" xr:uid="{00000000-0005-0000-0000-0000C7060000}"/>
    <cellStyle name="Separador de milhares 5 5" xfId="1738" xr:uid="{00000000-0005-0000-0000-0000C8060000}"/>
    <cellStyle name="Separador de milhares 5 5 2" xfId="1739" xr:uid="{00000000-0005-0000-0000-0000C9060000}"/>
    <cellStyle name="Separador de milhares 5 5 2 2" xfId="1740" xr:uid="{00000000-0005-0000-0000-0000CA060000}"/>
    <cellStyle name="Separador de milhares 5 5 3" xfId="1741" xr:uid="{00000000-0005-0000-0000-0000CB060000}"/>
    <cellStyle name="Separador de milhares 5 6" xfId="1742" xr:uid="{00000000-0005-0000-0000-0000CC060000}"/>
    <cellStyle name="Separador de milhares 5 6 2" xfId="1743" xr:uid="{00000000-0005-0000-0000-0000CD060000}"/>
    <cellStyle name="Separador de milhares 5 6 2 2" xfId="1744" xr:uid="{00000000-0005-0000-0000-0000CE060000}"/>
    <cellStyle name="Separador de milhares 5 6 3" xfId="1745" xr:uid="{00000000-0005-0000-0000-0000CF060000}"/>
    <cellStyle name="Separador de milhares 5 7" xfId="1746" xr:uid="{00000000-0005-0000-0000-0000D0060000}"/>
    <cellStyle name="Separador de milhares 5 7 10" xfId="1747" xr:uid="{00000000-0005-0000-0000-0000D1060000}"/>
    <cellStyle name="Separador de milhares 5 7 10 2" xfId="1748" xr:uid="{00000000-0005-0000-0000-0000D2060000}"/>
    <cellStyle name="Separador de milhares 5 7 11" xfId="1749" xr:uid="{00000000-0005-0000-0000-0000D3060000}"/>
    <cellStyle name="Separador de milhares 5 7 2" xfId="1750" xr:uid="{00000000-0005-0000-0000-0000D4060000}"/>
    <cellStyle name="Separador de milhares 5 7 2 2" xfId="1751" xr:uid="{00000000-0005-0000-0000-0000D5060000}"/>
    <cellStyle name="Separador de milhares 5 7 2 2 2" xfId="1752" xr:uid="{00000000-0005-0000-0000-0000D6060000}"/>
    <cellStyle name="Separador de milhares 5 7 2 2 2 2" xfId="1753" xr:uid="{00000000-0005-0000-0000-0000D7060000}"/>
    <cellStyle name="Separador de milhares 5 7 2 2 3" xfId="1754" xr:uid="{00000000-0005-0000-0000-0000D8060000}"/>
    <cellStyle name="Separador de milhares 5 7 2 3" xfId="1755" xr:uid="{00000000-0005-0000-0000-0000D9060000}"/>
    <cellStyle name="Separador de milhares 5 7 2 3 2" xfId="1756" xr:uid="{00000000-0005-0000-0000-0000DA060000}"/>
    <cellStyle name="Separador de milhares 5 7 2 3 2 2" xfId="1757" xr:uid="{00000000-0005-0000-0000-0000DB060000}"/>
    <cellStyle name="Separador de milhares 5 7 2 3 3" xfId="1758" xr:uid="{00000000-0005-0000-0000-0000DC060000}"/>
    <cellStyle name="Separador de milhares 5 7 2 4" xfId="1759" xr:uid="{00000000-0005-0000-0000-0000DD060000}"/>
    <cellStyle name="Separador de milhares 5 7 2 4 2" xfId="1760" xr:uid="{00000000-0005-0000-0000-0000DE060000}"/>
    <cellStyle name="Separador de milhares 5 7 2 5" xfId="1761" xr:uid="{00000000-0005-0000-0000-0000DF060000}"/>
    <cellStyle name="Separador de milhares 5 7 3" xfId="1762" xr:uid="{00000000-0005-0000-0000-0000E0060000}"/>
    <cellStyle name="Separador de milhares 5 7 3 2" xfId="1763" xr:uid="{00000000-0005-0000-0000-0000E1060000}"/>
    <cellStyle name="Separador de milhares 5 7 3 2 2" xfId="1764" xr:uid="{00000000-0005-0000-0000-0000E2060000}"/>
    <cellStyle name="Separador de milhares 5 7 3 3" xfId="1765" xr:uid="{00000000-0005-0000-0000-0000E3060000}"/>
    <cellStyle name="Separador de milhares 5 7 4" xfId="1766" xr:uid="{00000000-0005-0000-0000-0000E4060000}"/>
    <cellStyle name="Separador de milhares 5 7 4 2" xfId="1767" xr:uid="{00000000-0005-0000-0000-0000E5060000}"/>
    <cellStyle name="Separador de milhares 5 7 4 2 2" xfId="1768" xr:uid="{00000000-0005-0000-0000-0000E6060000}"/>
    <cellStyle name="Separador de milhares 5 7 4 3" xfId="1769" xr:uid="{00000000-0005-0000-0000-0000E7060000}"/>
    <cellStyle name="Separador de milhares 5 7 5" xfId="1770" xr:uid="{00000000-0005-0000-0000-0000E8060000}"/>
    <cellStyle name="Separador de milhares 5 7 5 2" xfId="1771" xr:uid="{00000000-0005-0000-0000-0000E9060000}"/>
    <cellStyle name="Separador de milhares 5 7 5 2 2" xfId="1772" xr:uid="{00000000-0005-0000-0000-0000EA060000}"/>
    <cellStyle name="Separador de milhares 5 7 5 3" xfId="1773" xr:uid="{00000000-0005-0000-0000-0000EB060000}"/>
    <cellStyle name="Separador de milhares 5 7 6" xfId="1774" xr:uid="{00000000-0005-0000-0000-0000EC060000}"/>
    <cellStyle name="Separador de milhares 5 7 6 2" xfId="1775" xr:uid="{00000000-0005-0000-0000-0000ED060000}"/>
    <cellStyle name="Separador de milhares 5 7 6 2 2" xfId="1776" xr:uid="{00000000-0005-0000-0000-0000EE060000}"/>
    <cellStyle name="Separador de milhares 5 7 6 3" xfId="1777" xr:uid="{00000000-0005-0000-0000-0000EF060000}"/>
    <cellStyle name="Separador de milhares 5 7 7" xfId="1778" xr:uid="{00000000-0005-0000-0000-0000F0060000}"/>
    <cellStyle name="Separador de milhares 5 7 7 2" xfId="1779" xr:uid="{00000000-0005-0000-0000-0000F1060000}"/>
    <cellStyle name="Separador de milhares 5 7 7 2 2" xfId="1780" xr:uid="{00000000-0005-0000-0000-0000F2060000}"/>
    <cellStyle name="Separador de milhares 5 7 7 3" xfId="1781" xr:uid="{00000000-0005-0000-0000-0000F3060000}"/>
    <cellStyle name="Separador de milhares 5 7 8" xfId="1782" xr:uid="{00000000-0005-0000-0000-0000F4060000}"/>
    <cellStyle name="Separador de milhares 5 7 8 2" xfId="1783" xr:uid="{00000000-0005-0000-0000-0000F5060000}"/>
    <cellStyle name="Separador de milhares 5 7 8 2 2" xfId="1784" xr:uid="{00000000-0005-0000-0000-0000F6060000}"/>
    <cellStyle name="Separador de milhares 5 7 8 3" xfId="1785" xr:uid="{00000000-0005-0000-0000-0000F7060000}"/>
    <cellStyle name="Separador de milhares 5 7 9" xfId="1786" xr:uid="{00000000-0005-0000-0000-0000F8060000}"/>
    <cellStyle name="Separador de milhares 5 7 9 2" xfId="1787" xr:uid="{00000000-0005-0000-0000-0000F9060000}"/>
    <cellStyle name="Separador de milhares 5 7 9 2 2" xfId="1788" xr:uid="{00000000-0005-0000-0000-0000FA060000}"/>
    <cellStyle name="Separador de milhares 5 7 9 2 2 2" xfId="1789" xr:uid="{00000000-0005-0000-0000-0000FB060000}"/>
    <cellStyle name="Separador de milhares 5 7 9 2 2 2 2" xfId="1790" xr:uid="{00000000-0005-0000-0000-0000FC060000}"/>
    <cellStyle name="Separador de milhares 5 7 9 2 2 3" xfId="1791" xr:uid="{00000000-0005-0000-0000-0000FD060000}"/>
    <cellStyle name="Separador de milhares 5 7 9 2 3" xfId="1792" xr:uid="{00000000-0005-0000-0000-0000FE060000}"/>
    <cellStyle name="Separador de milhares 5 7 9 2 3 2" xfId="1793" xr:uid="{00000000-0005-0000-0000-0000FF060000}"/>
    <cellStyle name="Separador de milhares 5 7 9 2 4" xfId="1794" xr:uid="{00000000-0005-0000-0000-000000070000}"/>
    <cellStyle name="Separador de milhares 5 7 9 3" xfId="1795" xr:uid="{00000000-0005-0000-0000-000001070000}"/>
    <cellStyle name="Separador de milhares 5 7 9 3 2" xfId="1796" xr:uid="{00000000-0005-0000-0000-000002070000}"/>
    <cellStyle name="Separador de milhares 5 7 9 4" xfId="1797" xr:uid="{00000000-0005-0000-0000-000003070000}"/>
    <cellStyle name="Separador de milhares 5 8" xfId="1798" xr:uid="{00000000-0005-0000-0000-000004070000}"/>
    <cellStyle name="Separador de milhares 5 8 2" xfId="1799" xr:uid="{00000000-0005-0000-0000-000005070000}"/>
    <cellStyle name="Separador de milhares 5 8 2 2" xfId="1800" xr:uid="{00000000-0005-0000-0000-000006070000}"/>
    <cellStyle name="Separador de milhares 5 8 3" xfId="1801" xr:uid="{00000000-0005-0000-0000-000007070000}"/>
    <cellStyle name="Separador de milhares 5 9" xfId="1802" xr:uid="{00000000-0005-0000-0000-000008070000}"/>
    <cellStyle name="Separador de milhares 6" xfId="1803" xr:uid="{00000000-0005-0000-0000-000009070000}"/>
    <cellStyle name="Separador de milhares 6 2" xfId="1804" xr:uid="{00000000-0005-0000-0000-00000A070000}"/>
    <cellStyle name="Separador de milhares 6 2 2" xfId="1805" xr:uid="{00000000-0005-0000-0000-00000B070000}"/>
    <cellStyle name="Separador de milhares 6 3" xfId="1806" xr:uid="{00000000-0005-0000-0000-00000C070000}"/>
    <cellStyle name="Separador de milhares 6 3 2" xfId="1807" xr:uid="{00000000-0005-0000-0000-00000D070000}"/>
    <cellStyle name="Separador de milhares 6 4" xfId="1808" xr:uid="{00000000-0005-0000-0000-00000E070000}"/>
    <cellStyle name="Separador de milhares 6 5" xfId="1809" xr:uid="{00000000-0005-0000-0000-00000F070000}"/>
    <cellStyle name="Separador de milhares 7" xfId="1810" xr:uid="{00000000-0005-0000-0000-000010070000}"/>
    <cellStyle name="Separador de milhares 7 2" xfId="1811" xr:uid="{00000000-0005-0000-0000-000011070000}"/>
    <cellStyle name="Separador de milhares 7 2 2" xfId="1812" xr:uid="{00000000-0005-0000-0000-000012070000}"/>
    <cellStyle name="Separador de milhares 7 3" xfId="1813" xr:uid="{00000000-0005-0000-0000-000013070000}"/>
    <cellStyle name="Separador de milhares 7 4" xfId="1814" xr:uid="{00000000-0005-0000-0000-000014070000}"/>
    <cellStyle name="Separador de milhares 7_Salarios" xfId="1815" xr:uid="{00000000-0005-0000-0000-000015070000}"/>
    <cellStyle name="Separador de milhares 8" xfId="1816" xr:uid="{00000000-0005-0000-0000-000016070000}"/>
    <cellStyle name="Separador de milhares 8 2" xfId="1817" xr:uid="{00000000-0005-0000-0000-000017070000}"/>
    <cellStyle name="Separador de milhares 8 2 2" xfId="1818" xr:uid="{00000000-0005-0000-0000-000018070000}"/>
    <cellStyle name="Separador de milhares 8 3" xfId="1819" xr:uid="{00000000-0005-0000-0000-000019070000}"/>
    <cellStyle name="Separador de milhares 8 4" xfId="1820" xr:uid="{00000000-0005-0000-0000-00001A070000}"/>
    <cellStyle name="Separador de milhares 8_PR 0582-10-1 RPBC Parada UPN18 e UGNl negociação" xfId="1821" xr:uid="{00000000-0005-0000-0000-00001B070000}"/>
    <cellStyle name="Separador de milhares 9" xfId="1822" xr:uid="{00000000-0005-0000-0000-00001C070000}"/>
    <cellStyle name="Separador de milhares 9 2" xfId="1823" xr:uid="{00000000-0005-0000-0000-00001D070000}"/>
    <cellStyle name="Separador de milhares 9 3" xfId="1824" xr:uid="{00000000-0005-0000-0000-00001E070000}"/>
    <cellStyle name="Separador de milhares 9 4" xfId="1825" xr:uid="{00000000-0005-0000-0000-00001F070000}"/>
    <cellStyle name="Separador de milhares 9 5" xfId="1826" xr:uid="{00000000-0005-0000-0000-000020070000}"/>
    <cellStyle name="Separador de milhares 9 6" xfId="1827" xr:uid="{00000000-0005-0000-0000-000021070000}"/>
    <cellStyle name="Separador de milhares 9 7" xfId="1828" xr:uid="{00000000-0005-0000-0000-000022070000}"/>
    <cellStyle name="Separador de milhares 9 8" xfId="1829" xr:uid="{00000000-0005-0000-0000-000023070000}"/>
    <cellStyle name="Separador de milhares 9 9" xfId="1830" xr:uid="{00000000-0005-0000-0000-000024070000}"/>
    <cellStyle name="Separador de milhares 9_PR 950 01 1 REFAP CONVITE 0019601108 C4 negociação" xfId="1831" xr:uid="{00000000-0005-0000-0000-000025070000}"/>
    <cellStyle name="Sheet Title" xfId="1832" xr:uid="{00000000-0005-0000-0000-000026070000}"/>
    <cellStyle name="Standard 2" xfId="1833" xr:uid="{00000000-0005-0000-0000-000027070000}"/>
    <cellStyle name="Standard_BS14" xfId="1834" xr:uid="{00000000-0005-0000-0000-000028070000}"/>
    <cellStyle name="Style 1" xfId="1835" xr:uid="{00000000-0005-0000-0000-000029070000}"/>
    <cellStyle name="Style 2" xfId="1836" xr:uid="{00000000-0005-0000-0000-00002A070000}"/>
    <cellStyle name="texto" xfId="1837" xr:uid="{00000000-0005-0000-0000-00002B070000}"/>
    <cellStyle name="Texto de Aviso 10" xfId="1838" xr:uid="{00000000-0005-0000-0000-00002C070000}"/>
    <cellStyle name="Texto de Aviso 11" xfId="1839" xr:uid="{00000000-0005-0000-0000-00002D070000}"/>
    <cellStyle name="Texto de Aviso 12" xfId="1840" xr:uid="{00000000-0005-0000-0000-00002E070000}"/>
    <cellStyle name="Texto de Aviso 13" xfId="1841" xr:uid="{00000000-0005-0000-0000-00002F070000}"/>
    <cellStyle name="Texto de Aviso 14" xfId="1842" xr:uid="{00000000-0005-0000-0000-000030070000}"/>
    <cellStyle name="Texto de Aviso 15" xfId="1843" xr:uid="{00000000-0005-0000-0000-000031070000}"/>
    <cellStyle name="Texto de Aviso 16" xfId="1844" xr:uid="{00000000-0005-0000-0000-000032070000}"/>
    <cellStyle name="Texto de Aviso 2" xfId="1845" xr:uid="{00000000-0005-0000-0000-000033070000}"/>
    <cellStyle name="Texto de Aviso 2 2" xfId="1846" xr:uid="{00000000-0005-0000-0000-000034070000}"/>
    <cellStyle name="Texto de Aviso 3" xfId="1847" xr:uid="{00000000-0005-0000-0000-000035070000}"/>
    <cellStyle name="Texto de Aviso 4" xfId="1848" xr:uid="{00000000-0005-0000-0000-000036070000}"/>
    <cellStyle name="Texto de Aviso 5" xfId="1849" xr:uid="{00000000-0005-0000-0000-000037070000}"/>
    <cellStyle name="Texto de Aviso 6" xfId="1850" xr:uid="{00000000-0005-0000-0000-000038070000}"/>
    <cellStyle name="Texto de Aviso 7" xfId="1851" xr:uid="{00000000-0005-0000-0000-000039070000}"/>
    <cellStyle name="Texto de Aviso 8" xfId="1852" xr:uid="{00000000-0005-0000-0000-00003A070000}"/>
    <cellStyle name="Texto de Aviso 9" xfId="1853" xr:uid="{00000000-0005-0000-0000-00003B070000}"/>
    <cellStyle name="Texto Explicativo 10" xfId="1854" xr:uid="{00000000-0005-0000-0000-00003C070000}"/>
    <cellStyle name="Texto Explicativo 11" xfId="1855" xr:uid="{00000000-0005-0000-0000-00003D070000}"/>
    <cellStyle name="Texto Explicativo 12" xfId="1856" xr:uid="{00000000-0005-0000-0000-00003E070000}"/>
    <cellStyle name="Texto Explicativo 13" xfId="1857" xr:uid="{00000000-0005-0000-0000-00003F070000}"/>
    <cellStyle name="Texto Explicativo 14" xfId="1858" xr:uid="{00000000-0005-0000-0000-000040070000}"/>
    <cellStyle name="Texto Explicativo 15" xfId="1859" xr:uid="{00000000-0005-0000-0000-000041070000}"/>
    <cellStyle name="Texto Explicativo 16" xfId="1860" xr:uid="{00000000-0005-0000-0000-000042070000}"/>
    <cellStyle name="Texto Explicativo 2" xfId="1861" xr:uid="{00000000-0005-0000-0000-000043070000}"/>
    <cellStyle name="Texto Explicativo 2 2" xfId="1862" xr:uid="{00000000-0005-0000-0000-000044070000}"/>
    <cellStyle name="Texto Explicativo 3" xfId="1863" xr:uid="{00000000-0005-0000-0000-000045070000}"/>
    <cellStyle name="Texto Explicativo 4" xfId="1864" xr:uid="{00000000-0005-0000-0000-000046070000}"/>
    <cellStyle name="Texto Explicativo 5" xfId="1865" xr:uid="{00000000-0005-0000-0000-000047070000}"/>
    <cellStyle name="Texto Explicativo 6" xfId="1866" xr:uid="{00000000-0005-0000-0000-000048070000}"/>
    <cellStyle name="Texto Explicativo 7" xfId="1867" xr:uid="{00000000-0005-0000-0000-000049070000}"/>
    <cellStyle name="Texto Explicativo 8" xfId="1868" xr:uid="{00000000-0005-0000-0000-00004A070000}"/>
    <cellStyle name="Texto Explicativo 9" xfId="1869" xr:uid="{00000000-0005-0000-0000-00004B070000}"/>
    <cellStyle name="titulo" xfId="1870" xr:uid="{00000000-0005-0000-0000-00004C070000}"/>
    <cellStyle name="Título 1 1" xfId="1871" xr:uid="{00000000-0005-0000-0000-00004D070000}"/>
    <cellStyle name="Título 1 10" xfId="1872" xr:uid="{00000000-0005-0000-0000-00004E070000}"/>
    <cellStyle name="Título 1 11" xfId="1873" xr:uid="{00000000-0005-0000-0000-00004F070000}"/>
    <cellStyle name="Título 1 12" xfId="1874" xr:uid="{00000000-0005-0000-0000-000050070000}"/>
    <cellStyle name="Título 1 13" xfId="1875" xr:uid="{00000000-0005-0000-0000-000051070000}"/>
    <cellStyle name="Título 1 14" xfId="1876" xr:uid="{00000000-0005-0000-0000-000052070000}"/>
    <cellStyle name="Título 1 15" xfId="1877" xr:uid="{00000000-0005-0000-0000-000053070000}"/>
    <cellStyle name="Título 1 16" xfId="1878" xr:uid="{00000000-0005-0000-0000-000054070000}"/>
    <cellStyle name="Título 1 2" xfId="1879" xr:uid="{00000000-0005-0000-0000-000055070000}"/>
    <cellStyle name="Título 1 2 2" xfId="1880" xr:uid="{00000000-0005-0000-0000-000056070000}"/>
    <cellStyle name="Título 1 3" xfId="1881" xr:uid="{00000000-0005-0000-0000-000057070000}"/>
    <cellStyle name="Título 1 4" xfId="1882" xr:uid="{00000000-0005-0000-0000-000058070000}"/>
    <cellStyle name="Título 1 5" xfId="1883" xr:uid="{00000000-0005-0000-0000-000059070000}"/>
    <cellStyle name="Título 1 6" xfId="1884" xr:uid="{00000000-0005-0000-0000-00005A070000}"/>
    <cellStyle name="Título 1 7" xfId="1885" xr:uid="{00000000-0005-0000-0000-00005B070000}"/>
    <cellStyle name="Título 1 8" xfId="1886" xr:uid="{00000000-0005-0000-0000-00005C070000}"/>
    <cellStyle name="Título 1 9" xfId="1887" xr:uid="{00000000-0005-0000-0000-00005D070000}"/>
    <cellStyle name="Título 10" xfId="1888" xr:uid="{00000000-0005-0000-0000-00005E070000}"/>
    <cellStyle name="Título 11" xfId="1889" xr:uid="{00000000-0005-0000-0000-00005F070000}"/>
    <cellStyle name="Título 12" xfId="1890" xr:uid="{00000000-0005-0000-0000-000060070000}"/>
    <cellStyle name="Título 13" xfId="1891" xr:uid="{00000000-0005-0000-0000-000061070000}"/>
    <cellStyle name="Título 14" xfId="1892" xr:uid="{00000000-0005-0000-0000-000062070000}"/>
    <cellStyle name="Título 15" xfId="1893" xr:uid="{00000000-0005-0000-0000-000063070000}"/>
    <cellStyle name="Título 16" xfId="1894" xr:uid="{00000000-0005-0000-0000-000064070000}"/>
    <cellStyle name="Título 17" xfId="1895" xr:uid="{00000000-0005-0000-0000-000065070000}"/>
    <cellStyle name="Título 18" xfId="1896" xr:uid="{00000000-0005-0000-0000-000066070000}"/>
    <cellStyle name="Título 19" xfId="1897" xr:uid="{00000000-0005-0000-0000-000067070000}"/>
    <cellStyle name="Título 2 10" xfId="1898" xr:uid="{00000000-0005-0000-0000-000068070000}"/>
    <cellStyle name="Título 2 11" xfId="1899" xr:uid="{00000000-0005-0000-0000-000069070000}"/>
    <cellStyle name="Título 2 12" xfId="1900" xr:uid="{00000000-0005-0000-0000-00006A070000}"/>
    <cellStyle name="Título 2 13" xfId="1901" xr:uid="{00000000-0005-0000-0000-00006B070000}"/>
    <cellStyle name="Título 2 14" xfId="1902" xr:uid="{00000000-0005-0000-0000-00006C070000}"/>
    <cellStyle name="Título 2 15" xfId="1903" xr:uid="{00000000-0005-0000-0000-00006D070000}"/>
    <cellStyle name="Título 2 16" xfId="1904" xr:uid="{00000000-0005-0000-0000-00006E070000}"/>
    <cellStyle name="Título 2 2" xfId="1905" xr:uid="{00000000-0005-0000-0000-00006F070000}"/>
    <cellStyle name="Título 2 2 2" xfId="1906" xr:uid="{00000000-0005-0000-0000-000070070000}"/>
    <cellStyle name="Título 2 3" xfId="1907" xr:uid="{00000000-0005-0000-0000-000071070000}"/>
    <cellStyle name="Título 2 4" xfId="1908" xr:uid="{00000000-0005-0000-0000-000072070000}"/>
    <cellStyle name="Título 2 5" xfId="1909" xr:uid="{00000000-0005-0000-0000-000073070000}"/>
    <cellStyle name="Título 2 6" xfId="1910" xr:uid="{00000000-0005-0000-0000-000074070000}"/>
    <cellStyle name="Título 2 7" xfId="1911" xr:uid="{00000000-0005-0000-0000-000075070000}"/>
    <cellStyle name="Título 2 8" xfId="1912" xr:uid="{00000000-0005-0000-0000-000076070000}"/>
    <cellStyle name="Título 2 9" xfId="1913" xr:uid="{00000000-0005-0000-0000-000077070000}"/>
    <cellStyle name="Título 3 10" xfId="1914" xr:uid="{00000000-0005-0000-0000-000078070000}"/>
    <cellStyle name="Título 3 11" xfId="1915" xr:uid="{00000000-0005-0000-0000-000079070000}"/>
    <cellStyle name="Título 3 12" xfId="1916" xr:uid="{00000000-0005-0000-0000-00007A070000}"/>
    <cellStyle name="Título 3 13" xfId="1917" xr:uid="{00000000-0005-0000-0000-00007B070000}"/>
    <cellStyle name="Título 3 14" xfId="1918" xr:uid="{00000000-0005-0000-0000-00007C070000}"/>
    <cellStyle name="Título 3 15" xfId="1919" xr:uid="{00000000-0005-0000-0000-00007D070000}"/>
    <cellStyle name="Título 3 16" xfId="1920" xr:uid="{00000000-0005-0000-0000-00007E070000}"/>
    <cellStyle name="Título 3 2" xfId="1921" xr:uid="{00000000-0005-0000-0000-00007F070000}"/>
    <cellStyle name="Título 3 2 2" xfId="1922" xr:uid="{00000000-0005-0000-0000-000080070000}"/>
    <cellStyle name="Título 3 3" xfId="1923" xr:uid="{00000000-0005-0000-0000-000081070000}"/>
    <cellStyle name="Título 3 4" xfId="1924" xr:uid="{00000000-0005-0000-0000-000082070000}"/>
    <cellStyle name="Título 3 5" xfId="1925" xr:uid="{00000000-0005-0000-0000-000083070000}"/>
    <cellStyle name="Título 3 6" xfId="1926" xr:uid="{00000000-0005-0000-0000-000084070000}"/>
    <cellStyle name="Título 3 7" xfId="1927" xr:uid="{00000000-0005-0000-0000-000085070000}"/>
    <cellStyle name="Título 3 8" xfId="1928" xr:uid="{00000000-0005-0000-0000-000086070000}"/>
    <cellStyle name="Título 3 9" xfId="1929" xr:uid="{00000000-0005-0000-0000-000087070000}"/>
    <cellStyle name="Título 4 10" xfId="1930" xr:uid="{00000000-0005-0000-0000-000088070000}"/>
    <cellStyle name="Título 4 11" xfId="1931" xr:uid="{00000000-0005-0000-0000-000089070000}"/>
    <cellStyle name="Título 4 12" xfId="1932" xr:uid="{00000000-0005-0000-0000-00008A070000}"/>
    <cellStyle name="Título 4 13" xfId="1933" xr:uid="{00000000-0005-0000-0000-00008B070000}"/>
    <cellStyle name="Título 4 14" xfId="1934" xr:uid="{00000000-0005-0000-0000-00008C070000}"/>
    <cellStyle name="Título 4 15" xfId="1935" xr:uid="{00000000-0005-0000-0000-00008D070000}"/>
    <cellStyle name="Título 4 16" xfId="1936" xr:uid="{00000000-0005-0000-0000-00008E070000}"/>
    <cellStyle name="Título 4 2" xfId="1937" xr:uid="{00000000-0005-0000-0000-00008F070000}"/>
    <cellStyle name="Título 4 2 2" xfId="1938" xr:uid="{00000000-0005-0000-0000-000090070000}"/>
    <cellStyle name="Título 4 3" xfId="1939" xr:uid="{00000000-0005-0000-0000-000091070000}"/>
    <cellStyle name="Título 4 4" xfId="1940" xr:uid="{00000000-0005-0000-0000-000092070000}"/>
    <cellStyle name="Título 4 5" xfId="1941" xr:uid="{00000000-0005-0000-0000-000093070000}"/>
    <cellStyle name="Título 4 6" xfId="1942" xr:uid="{00000000-0005-0000-0000-000094070000}"/>
    <cellStyle name="Título 4 7" xfId="1943" xr:uid="{00000000-0005-0000-0000-000095070000}"/>
    <cellStyle name="Título 4 8" xfId="1944" xr:uid="{00000000-0005-0000-0000-000096070000}"/>
    <cellStyle name="Título 4 9" xfId="1945" xr:uid="{00000000-0005-0000-0000-000097070000}"/>
    <cellStyle name="Título 5" xfId="1946" xr:uid="{00000000-0005-0000-0000-000098070000}"/>
    <cellStyle name="Título 5 2" xfId="1947" xr:uid="{00000000-0005-0000-0000-000099070000}"/>
    <cellStyle name="Título 6" xfId="1948" xr:uid="{00000000-0005-0000-0000-00009A070000}"/>
    <cellStyle name="Título 7" xfId="1949" xr:uid="{00000000-0005-0000-0000-00009B070000}"/>
    <cellStyle name="Título 8" xfId="1950" xr:uid="{00000000-0005-0000-0000-00009C070000}"/>
    <cellStyle name="Título 9" xfId="1951" xr:uid="{00000000-0005-0000-0000-00009D070000}"/>
    <cellStyle name="Titulo1" xfId="1952" xr:uid="{00000000-0005-0000-0000-00009E070000}"/>
    <cellStyle name="Titulo2" xfId="1953" xr:uid="{00000000-0005-0000-0000-00009F070000}"/>
    <cellStyle name="Total 10" xfId="1954" xr:uid="{00000000-0005-0000-0000-0000A0070000}"/>
    <cellStyle name="Total 11" xfId="1955" xr:uid="{00000000-0005-0000-0000-0000A1070000}"/>
    <cellStyle name="Total 12" xfId="1956" xr:uid="{00000000-0005-0000-0000-0000A2070000}"/>
    <cellStyle name="Total 13" xfId="1957" xr:uid="{00000000-0005-0000-0000-0000A3070000}"/>
    <cellStyle name="Total 14" xfId="1958" xr:uid="{00000000-0005-0000-0000-0000A4070000}"/>
    <cellStyle name="Total 15" xfId="1959" xr:uid="{00000000-0005-0000-0000-0000A5070000}"/>
    <cellStyle name="Total 16" xfId="1960" xr:uid="{00000000-0005-0000-0000-0000A6070000}"/>
    <cellStyle name="Total 2" xfId="1961" xr:uid="{00000000-0005-0000-0000-0000A7070000}"/>
    <cellStyle name="Total 2 2" xfId="1962" xr:uid="{00000000-0005-0000-0000-0000A8070000}"/>
    <cellStyle name="Total 3" xfId="1963" xr:uid="{00000000-0005-0000-0000-0000A9070000}"/>
    <cellStyle name="Total 3 2" xfId="1964" xr:uid="{00000000-0005-0000-0000-0000AA070000}"/>
    <cellStyle name="Total 4" xfId="1965" xr:uid="{00000000-0005-0000-0000-0000AB070000}"/>
    <cellStyle name="Total 5" xfId="1966" xr:uid="{00000000-0005-0000-0000-0000AC070000}"/>
    <cellStyle name="Total 6" xfId="1967" xr:uid="{00000000-0005-0000-0000-0000AD070000}"/>
    <cellStyle name="Total 7" xfId="1968" xr:uid="{00000000-0005-0000-0000-0000AE070000}"/>
    <cellStyle name="Total 8" xfId="1969" xr:uid="{00000000-0005-0000-0000-0000AF070000}"/>
    <cellStyle name="Total 9" xfId="1970" xr:uid="{00000000-0005-0000-0000-0000B0070000}"/>
    <cellStyle name="Tusenskille [0]_Ark1" xfId="1971" xr:uid="{00000000-0005-0000-0000-0000B1070000}"/>
    <cellStyle name="Tusenskille_Ark1" xfId="1972" xr:uid="{00000000-0005-0000-0000-0000B2070000}"/>
    <cellStyle name="Überschrift" xfId="1973" xr:uid="{00000000-0005-0000-0000-0000B3070000}"/>
    <cellStyle name="Überschrift 1" xfId="1974" xr:uid="{00000000-0005-0000-0000-0000B4070000}"/>
    <cellStyle name="Überschrift 2" xfId="1975" xr:uid="{00000000-0005-0000-0000-0000B5070000}"/>
    <cellStyle name="Überschrift 3" xfId="1976" xr:uid="{00000000-0005-0000-0000-0000B6070000}"/>
    <cellStyle name="Überschrift 4" xfId="1977" xr:uid="{00000000-0005-0000-0000-0000B7070000}"/>
    <cellStyle name="valor" xfId="1978" xr:uid="{00000000-0005-0000-0000-0000B8070000}"/>
    <cellStyle name="Valuta [0]_Ark1" xfId="1979" xr:uid="{00000000-0005-0000-0000-0000B9070000}"/>
    <cellStyle name="Valuta_Ark1" xfId="1980" xr:uid="{00000000-0005-0000-0000-0000BA070000}"/>
    <cellStyle name="Verificar Célula" xfId="1981" xr:uid="{00000000-0005-0000-0000-0000BB070000}"/>
    <cellStyle name="Verknüpfte Zelle" xfId="1982" xr:uid="{00000000-0005-0000-0000-0000BC070000}"/>
    <cellStyle name="Vírgula" xfId="1" builtinId="3"/>
    <cellStyle name="Vírgula 2" xfId="1983" xr:uid="{00000000-0005-0000-0000-0000BE070000}"/>
    <cellStyle name="Vírgula 2 2" xfId="1984" xr:uid="{00000000-0005-0000-0000-0000BF070000}"/>
    <cellStyle name="Vírgula 2 2 2" xfId="1985" xr:uid="{00000000-0005-0000-0000-0000C0070000}"/>
    <cellStyle name="Vírgula 2 2 2 2" xfId="1986" xr:uid="{00000000-0005-0000-0000-0000C1070000}"/>
    <cellStyle name="Vírgula 2 3" xfId="3" xr:uid="{00000000-0005-0000-0000-0000C2070000}"/>
    <cellStyle name="Vírgula 3" xfId="1987" xr:uid="{00000000-0005-0000-0000-0000C3070000}"/>
    <cellStyle name="Vírgula 3 2" xfId="1988" xr:uid="{00000000-0005-0000-0000-0000C4070000}"/>
    <cellStyle name="Vírgula 4" xfId="1989" xr:uid="{00000000-0005-0000-0000-0000C5070000}"/>
    <cellStyle name="Vírgula 5" xfId="1990" xr:uid="{00000000-0005-0000-0000-0000C6070000}"/>
    <cellStyle name="Vírgula 5 2" xfId="1991" xr:uid="{00000000-0005-0000-0000-0000C7070000}"/>
    <cellStyle name="Vírgula 5 2 2" xfId="1992" xr:uid="{00000000-0005-0000-0000-0000C8070000}"/>
    <cellStyle name="Warnender Text" xfId="1993" xr:uid="{00000000-0005-0000-0000-0000C9070000}"/>
    <cellStyle name="Warning Text" xfId="1994" xr:uid="{00000000-0005-0000-0000-0000CA070000}"/>
    <cellStyle name="Zelle überprüfen" xfId="1995" xr:uid="{00000000-0005-0000-0000-0000CB070000}"/>
    <cellStyle name="標準_Sheet1" xfId="1996" xr:uid="{00000000-0005-0000-0000-0000CC070000}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uvio%20F.%20Oliveira/AppData/Local/Microsoft/Windows/Temporary%20Internet%20Files/Content.Outlook/PD4F0Q2U/Geral/Obras/Bahia%20Pulp%20-%20P&#225;tio%20de%20Madeira/Planilha/Cron%20Basico%20e%20H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Fuvio%20F.%20Oliveira\AppData\Local\Microsoft\Windows\Temporary%20Internet%20Files\Content.Outlook\PD4F0Q2U\Geral\Obras\Bahia%20Pulp%20-%20P&#225;tio%20de%20Madeira\Planilha\Bahia%20Pulp%20-%20EAP%20Patio%20de%20Madeira%20-%20Rev%200%20-%20H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MERCIAL\Propostas\Matriz\2015\Ambient\PDE_ACS_130A_15_Amplia&#231;&#227;o%20ETE%20Ribeir&#227;o\PDE_ACS_130A_15_Rev03_R1_(AMBIENT_ETE_RIBEIR&#195;O)_FINAME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Fuvio%20F.%20Oliveira/AppData/Local/Microsoft/Windows/Temporary%20Internet%20Files/Content.Outlook/PD4F0Q2U/Geral/Proposta/2009/2009%20-%2001%20-%20Salobo%20I/Rev%202%20-%20Fevereiro%202009/Diversos/MB_VALE%20_%20Proj.%20Salobo-RAC.xls?76389793" TargetMode="External"/><Relationship Id="rId1" Type="http://schemas.openxmlformats.org/officeDocument/2006/relationships/externalLinkPath" Target="file:///\\76389793\MB_VALE%20_%20Proj.%20Salobo-R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 Bas 2.10"/>
      <sheetName val="Plan2.7"/>
      <sheetName val="SSMA"/>
      <sheetName val="2-Visão Geral Campo"/>
      <sheetName val="Base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.7"/>
      <sheetName val="Plan2.7 (2)"/>
      <sheetName val="Cron Bas 2.10"/>
      <sheetName val="Cronograma de Montagem"/>
      <sheetName val="EAP Completa Mes Hh"/>
      <sheetName val="Curva - Mes Hh"/>
      <sheetName val="EAP Completa Semana Hh"/>
      <sheetName val="Curva - Semana Hh"/>
      <sheetName val="EAP para Apresentação Hh"/>
      <sheetName val="Semana"/>
      <sheetName val="Mes"/>
      <sheetName val="50%"/>
      <sheetName val="40%"/>
      <sheetName val="Módulo2"/>
      <sheetName val="Módulo4"/>
      <sheetName val="Módulo6"/>
      <sheetName val="Módulo8"/>
      <sheetName val="Módulo10"/>
    </sheetNames>
    <sheetDataSet>
      <sheetData sheetId="0" refreshError="1"/>
      <sheetData sheetId="1" refreshError="1"/>
      <sheetData sheetId="2">
        <row r="12">
          <cell r="F12">
            <v>1</v>
          </cell>
          <cell r="G12">
            <v>2</v>
          </cell>
          <cell r="H12">
            <v>3</v>
          </cell>
          <cell r="I12">
            <v>4</v>
          </cell>
          <cell r="J12">
            <v>5</v>
          </cell>
          <cell r="K12">
            <v>6</v>
          </cell>
          <cell r="L12">
            <v>7</v>
          </cell>
          <cell r="M12">
            <v>8</v>
          </cell>
          <cell r="N12">
            <v>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F Authomathika"/>
      <sheetName val="Mestre"/>
      <sheetName val="Tab Din MI"/>
      <sheetName val="Calc Eng"/>
      <sheetName val="Retorno"/>
      <sheetName val="Apresentação Valores"/>
      <sheetName val="FFF"/>
      <sheetName val="Impostos_Taxas"/>
      <sheetName val="Horas Automação"/>
      <sheetName val="Custo_Engenharia"/>
      <sheetName val="I_O Ampliação"/>
      <sheetName val="I_Os existentes"/>
      <sheetName val="MOP"/>
      <sheetName val="Típicos Montagem"/>
      <sheetName val="Resumo_Custos ATK "/>
      <sheetName val="Histogramas_Graficos_Estima"/>
      <sheetName val="MOB_ATK"/>
      <sheetName val="LOG _ATK"/>
      <sheetName val="SSMA"/>
      <sheetName val="O.S."/>
      <sheetName val="ACV"/>
      <sheetName val="Pareto Metas"/>
      <sheetName val="Metas MOB_LOG_SSMA_TRS"/>
      <sheetName val="Metas_Extras"/>
      <sheetName val="Metas_Mão de Obra"/>
      <sheetName val="Metas_Mercadoria"/>
      <sheetName val="Custo_MI_Device"/>
      <sheetName val="Insumos_Device"/>
      <sheetName val="Insumos_Infra_"/>
      <sheetName val="Custo_MI_Infra"/>
      <sheetName val="Valores HH_D_Km"/>
      <sheetName val="Plan1"/>
      <sheetName val="Custos de HH_LOG"/>
      <sheetName val="Controle Usuários"/>
      <sheetName val="Ajuda Custo_FC014_04_04"/>
      <sheetName val="Pareto_Calculo Meta"/>
    </sheetNames>
    <sheetDataSet>
      <sheetData sheetId="0"/>
      <sheetData sheetId="1"/>
      <sheetData sheetId="2"/>
      <sheetData sheetId="3">
        <row r="3">
          <cell r="B3">
            <v>69.638889585277767</v>
          </cell>
        </row>
        <row r="4">
          <cell r="B4">
            <v>208.91666875583331</v>
          </cell>
          <cell r="H4">
            <v>17421.070152269582</v>
          </cell>
        </row>
        <row r="5">
          <cell r="B5">
            <v>137.74102503402497</v>
          </cell>
          <cell r="H5">
            <v>26226.950780314361</v>
          </cell>
        </row>
        <row r="6">
          <cell r="B6">
            <v>114.78418752835414</v>
          </cell>
          <cell r="H6">
            <v>0</v>
          </cell>
        </row>
        <row r="7">
          <cell r="B7">
            <v>30.430505566434459</v>
          </cell>
        </row>
        <row r="8">
          <cell r="B8">
            <v>1.4061391941391941</v>
          </cell>
        </row>
        <row r="9">
          <cell r="B9">
            <v>2.4640988494460565</v>
          </cell>
          <cell r="H9">
            <v>6303.2413335651927</v>
          </cell>
        </row>
        <row r="10">
          <cell r="H10">
            <v>8750</v>
          </cell>
        </row>
        <row r="11">
          <cell r="H11">
            <v>0</v>
          </cell>
        </row>
        <row r="13">
          <cell r="H13">
            <v>4962.6192615574937</v>
          </cell>
        </row>
        <row r="14">
          <cell r="R14">
            <v>1</v>
          </cell>
        </row>
        <row r="18">
          <cell r="B18">
            <v>2.7</v>
          </cell>
        </row>
        <row r="21">
          <cell r="H21">
            <v>0</v>
          </cell>
        </row>
        <row r="23">
          <cell r="B23">
            <v>16</v>
          </cell>
        </row>
        <row r="24">
          <cell r="B24">
            <v>0</v>
          </cell>
          <cell r="H24">
            <v>19</v>
          </cell>
        </row>
        <row r="25">
          <cell r="B25">
            <v>0</v>
          </cell>
          <cell r="H25">
            <v>0</v>
          </cell>
        </row>
        <row r="26">
          <cell r="B26">
            <v>0</v>
          </cell>
          <cell r="H26">
            <v>23</v>
          </cell>
        </row>
        <row r="27">
          <cell r="H27">
            <v>8</v>
          </cell>
        </row>
        <row r="28">
          <cell r="B28">
            <v>1</v>
          </cell>
        </row>
        <row r="29">
          <cell r="B29">
            <v>9.5</v>
          </cell>
          <cell r="H29">
            <v>0</v>
          </cell>
        </row>
        <row r="30">
          <cell r="B30">
            <v>83.951201548845106</v>
          </cell>
          <cell r="H30">
            <v>8</v>
          </cell>
        </row>
        <row r="31">
          <cell r="B31">
            <v>0.5</v>
          </cell>
          <cell r="H31">
            <v>0</v>
          </cell>
        </row>
        <row r="32">
          <cell r="B32">
            <v>5</v>
          </cell>
          <cell r="H32">
            <v>1</v>
          </cell>
        </row>
        <row r="33">
          <cell r="B33">
            <v>5</v>
          </cell>
          <cell r="H33">
            <v>4</v>
          </cell>
        </row>
        <row r="34">
          <cell r="B34">
            <v>1</v>
          </cell>
          <cell r="H34">
            <v>2</v>
          </cell>
        </row>
        <row r="35">
          <cell r="B35">
            <v>34.929061784897023</v>
          </cell>
        </row>
        <row r="36">
          <cell r="B36">
            <v>6.9858123569794044</v>
          </cell>
        </row>
        <row r="37">
          <cell r="B37">
            <v>24</v>
          </cell>
        </row>
        <row r="38">
          <cell r="B38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942.78644176930766</v>
          </cell>
        </row>
        <row r="43">
          <cell r="B43">
            <v>1.4553775743707094</v>
          </cell>
        </row>
        <row r="44">
          <cell r="B44">
            <v>700</v>
          </cell>
          <cell r="Q44">
            <v>0</v>
          </cell>
        </row>
        <row r="45">
          <cell r="B45">
            <v>40.32852183368631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318</v>
          </cell>
        </row>
        <row r="49">
          <cell r="B49">
            <v>31.8</v>
          </cell>
        </row>
        <row r="50">
          <cell r="B50">
            <v>271.89</v>
          </cell>
        </row>
        <row r="51">
          <cell r="B51">
            <v>0.1</v>
          </cell>
        </row>
        <row r="52">
          <cell r="B52">
            <v>4.5000000000000005E-2</v>
          </cell>
          <cell r="L52">
            <v>0</v>
          </cell>
          <cell r="O52">
            <v>8750</v>
          </cell>
        </row>
        <row r="53">
          <cell r="B53">
            <v>0.85499999999999998</v>
          </cell>
        </row>
        <row r="54">
          <cell r="B54">
            <v>14.310000000000002</v>
          </cell>
        </row>
        <row r="56">
          <cell r="B56">
            <v>0</v>
          </cell>
          <cell r="O56">
            <v>245.56418422600359</v>
          </cell>
        </row>
        <row r="57">
          <cell r="B57">
            <v>0</v>
          </cell>
        </row>
        <row r="58">
          <cell r="B58">
            <v>88</v>
          </cell>
        </row>
        <row r="59">
          <cell r="B59">
            <v>290</v>
          </cell>
        </row>
        <row r="60">
          <cell r="B60">
            <v>10</v>
          </cell>
        </row>
        <row r="61">
          <cell r="B61">
            <v>6</v>
          </cell>
          <cell r="M61">
            <v>318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62.176231854545478</v>
          </cell>
        </row>
        <row r="78">
          <cell r="A78" t="str">
            <v>Sim</v>
          </cell>
          <cell r="H78" t="str">
            <v>GS INIMA - Ambient</v>
          </cell>
        </row>
        <row r="79">
          <cell r="A79" t="str">
            <v>Não</v>
          </cell>
          <cell r="H79" t="str">
            <v>Ribeirão Preto</v>
          </cell>
          <cell r="J79" t="str">
            <v>SP</v>
          </cell>
        </row>
        <row r="82">
          <cell r="P82">
            <v>3</v>
          </cell>
        </row>
        <row r="83">
          <cell r="P83">
            <v>1</v>
          </cell>
        </row>
        <row r="90">
          <cell r="L90">
            <v>5.8155421636240073E-7</v>
          </cell>
        </row>
        <row r="100">
          <cell r="K100" t="str">
            <v>Não</v>
          </cell>
        </row>
        <row r="101">
          <cell r="I101">
            <v>5</v>
          </cell>
        </row>
        <row r="128">
          <cell r="DA128">
            <v>26.5</v>
          </cell>
        </row>
        <row r="136">
          <cell r="AB136">
            <v>79.815375000000017</v>
          </cell>
        </row>
        <row r="162">
          <cell r="ER162">
            <v>74.418440560241379</v>
          </cell>
        </row>
        <row r="163">
          <cell r="ER163">
            <v>62.176231854545478</v>
          </cell>
        </row>
        <row r="164">
          <cell r="ER164">
            <v>96.817382405860869</v>
          </cell>
        </row>
        <row r="165">
          <cell r="ER165">
            <v>91.534681889096902</v>
          </cell>
        </row>
        <row r="166">
          <cell r="ER166">
            <v>68.393855040000034</v>
          </cell>
        </row>
        <row r="167">
          <cell r="ER167">
            <v>62.176231854545478</v>
          </cell>
        </row>
        <row r="168">
          <cell r="ER168">
            <v>74.491312191136373</v>
          </cell>
        </row>
        <row r="169">
          <cell r="ER169">
            <v>96.817382405860869</v>
          </cell>
        </row>
        <row r="170">
          <cell r="ER170">
            <v>57.114107889856307</v>
          </cell>
        </row>
        <row r="172">
          <cell r="ER172">
            <v>72.426814792482986</v>
          </cell>
        </row>
      </sheetData>
      <sheetData sheetId="4">
        <row r="6">
          <cell r="GP6">
            <v>1</v>
          </cell>
        </row>
        <row r="31">
          <cell r="K31">
            <v>604393.91681957454</v>
          </cell>
        </row>
        <row r="34">
          <cell r="C34">
            <v>1.6383086271861957</v>
          </cell>
        </row>
        <row r="43">
          <cell r="C43">
            <v>3325277.7181996405</v>
          </cell>
        </row>
        <row r="49">
          <cell r="C49">
            <v>4093980</v>
          </cell>
        </row>
        <row r="51">
          <cell r="C51">
            <v>3489586.0831804257</v>
          </cell>
        </row>
        <row r="54">
          <cell r="C54">
            <v>0.18776405400132865</v>
          </cell>
        </row>
      </sheetData>
      <sheetData sheetId="5"/>
      <sheetData sheetId="6"/>
      <sheetData sheetId="7">
        <row r="4">
          <cell r="H4">
            <v>0.12</v>
          </cell>
        </row>
        <row r="8">
          <cell r="K8">
            <v>0.12</v>
          </cell>
        </row>
        <row r="9">
          <cell r="H9">
            <v>1.6500000000000001E-2</v>
          </cell>
        </row>
        <row r="10">
          <cell r="H10">
            <v>7.5999999999999998E-2</v>
          </cell>
        </row>
        <row r="11">
          <cell r="H11">
            <v>1.6500000000000001E-2</v>
          </cell>
        </row>
        <row r="12">
          <cell r="H12">
            <v>7.5999999999999998E-2</v>
          </cell>
        </row>
        <row r="13">
          <cell r="H13">
            <v>1.4999999999999999E-2</v>
          </cell>
        </row>
        <row r="14">
          <cell r="H14">
            <v>0.02</v>
          </cell>
        </row>
        <row r="20">
          <cell r="H20">
            <v>0.02</v>
          </cell>
        </row>
        <row r="24">
          <cell r="H24">
            <v>1.6500000000000001E-2</v>
          </cell>
        </row>
        <row r="25">
          <cell r="K25">
            <v>0.03</v>
          </cell>
        </row>
        <row r="26">
          <cell r="H26">
            <v>0.02</v>
          </cell>
        </row>
        <row r="27">
          <cell r="H27">
            <v>1.2E-2</v>
          </cell>
        </row>
        <row r="28">
          <cell r="H28">
            <v>7.1999999999999998E-3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B3">
            <v>7228.8255401470578</v>
          </cell>
        </row>
        <row r="4">
          <cell r="B4">
            <v>70095.04594560001</v>
          </cell>
        </row>
        <row r="5">
          <cell r="B5">
            <v>185321.96130864706</v>
          </cell>
        </row>
        <row r="6">
          <cell r="B6">
            <v>1967.3180169882357</v>
          </cell>
        </row>
        <row r="7">
          <cell r="B7">
            <v>365.57916547764711</v>
          </cell>
        </row>
        <row r="8">
          <cell r="B8">
            <v>10002.642483660129</v>
          </cell>
        </row>
        <row r="9">
          <cell r="B9">
            <v>27202.892944780913</v>
          </cell>
        </row>
        <row r="10">
          <cell r="B10">
            <v>41999.501014077934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0">
          <cell r="K20">
            <v>26.5</v>
          </cell>
        </row>
      </sheetData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 2.8"/>
      <sheetName val="Mapa"/>
      <sheetName val="Fec-2.9"/>
      <sheetName val="Plan2.5"/>
      <sheetName val="CPU's apres"/>
      <sheetName val="alojamento"/>
      <sheetName val="tabelas 2.4"/>
      <sheetName val="Fluxo"/>
      <sheetName val="Resumo do Orcam"/>
      <sheetName val="Resumo_Obras"/>
      <sheetName val="Tab Din ABC DET"/>
      <sheetName val="Tab Din ABC RES"/>
      <sheetName val="Tab Din ABC (Fechamento)"/>
      <sheetName val="Curva_ABC (Detalhada)"/>
      <sheetName val="Curva ABC (Fechamento)"/>
      <sheetName val="Módulo2"/>
      <sheetName val="Módulo4"/>
      <sheetName val="Módulo6"/>
      <sheetName val="Módulo8"/>
      <sheetName val="Módulo10"/>
      <sheetName val="MB_VALE _ Proj. Salobo-RA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>
        <row r="694">
          <cell r="G694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4293865738" createdVersion="5" refreshedVersion="5" minRefreshableVersion="3" recordCount="1852" xr:uid="{00000000-000A-0000-FFFF-FFFF00000000}">
  <cacheSource type="worksheet">
    <worksheetSource ref="A2:O1854" sheet="Insumos_Device"/>
  </cacheSource>
  <cacheFields count="17">
    <cacheField name="CÓDIGO AUT" numFmtId="0">
      <sharedItems containsSemiMixedTypes="0" containsString="0" containsNumber="1" containsInteger="1" minValue="83" maxValue="9670"/>
    </cacheField>
    <cacheField name="ISA" numFmtId="0">
      <sharedItems/>
    </cacheField>
    <cacheField name="TIPO" numFmtId="0">
      <sharedItems/>
    </cacheField>
    <cacheField name="NCM" numFmtId="0">
      <sharedItems containsString="0" containsBlank="1" containsNumber="1" containsInteger="1" minValue="0" maxValue="90269020"/>
    </cacheField>
    <cacheField name="DESCRIÇÃO DOS MATERIAIS" numFmtId="0">
      <sharedItems count="94">
        <s v="BUCHA ACABAMENTO ALUMINIO 2BSP BU-200-B DAISA"/>
        <s v="BUCHA ACABAMENTO ALUMÍNIO 3/4&quot;BSP"/>
        <s v="BUCHA REDUÇÃO ALUMÍNIO 1&quot; X 1/2&quot;BSP"/>
        <s v="BUCHA REDUÇÃO ALUMÍNIO 1&quot; X 3/4&quot;BSP"/>
        <s v="BUCHA REDUCAO, ALUMINIO, 3/4 X 1/2 BSP"/>
        <s v="BUCHA REDUCAO, EX-D, FERRO NODULAR, GF, 3/4 X 1/2 NPT, TELBRA"/>
        <s v="BUCHA REDUÇÃO EX-D FERRO NODULAR GF 3/4&quot; X 1/2&quot; NPT"/>
        <s v="BUCHA REDUÇÃO GF CL 150 2&quot; X 1/2&quot; BSP"/>
        <s v="BUJÃO C/ REBAIXO SEXTAVADO LATÃO 1/2&quot;BSP"/>
        <s v="BUJÃO C/ REBORDO GF CL 150 1/2&quot;BSP"/>
        <s v="CABO COAXIAL 50 OHMS RGC58"/>
        <s v="CABO INSTRUMENTAÇÃO 300V, ISOL. PVC PRETO, BLIND. ELETROST. FIO DRENO, TEMP 70C, NBR 10300, CL 2 1 X 2 X 1,00mm"/>
        <s v="CABO INSTRUMENTAÇÃO BF, ISOL PVC/E 105°C, NBR 10300, C/ BLIND. ELETROST. COLETIVA FIO DRENO 1X2X2,50MM²"/>
        <s v="CABO INSTRUMENTAÇÃO BF, ISOL PVC/E 105°C, NBR 10300, C/ BLIND. ELETROST. COLETIVA FIO DRENO 3X2X0,75MM²"/>
        <s v="CABO INSTRUMENTAÇÃO BF, ISOL PVC/E 105°C, NBR 10300, C/ BLIND. ELETROST. COLETIVA FIO DRENO 8X2X0,75MM²"/>
        <s v="CABO INSTRUMENTAÇÃO BFIC, ITA, PVC/E 105°C, NBR 10300, C/ BLIND. ELETROST. COLETIVA, FIO DRENO, 14X2X0,75MM²"/>
        <s v="CABO PROFIBUS PA, 300V, 105§C, CAPA PVC AZUL, BELDFOIL, FIO DRENO EM COBRE ESTANHADO 2 X 18AWG B3076F-BLUE BELDEN"/>
        <s v="CANTONEIRA, ACO A36, ABAS IGUAIS, 1.1/2 X 1/4 X 6.000MM, GERDAU"/>
        <s v="CONDUÍTE METÁLICO FLEXÍVEL, REVESTIDO PVC PRETO 105ºC, SEALTUBO SEALFLEX 3/4&quot;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ONDULETE ROSCÁVEL EM ALUMÍNIO C/ TAMPA 2&quot;BSP TIPO &quot;LB&quot;"/>
        <s v="CONDULETE ROSCAVEL EM ALUMINIO C/ TAMPA 3/4BSP TIPO C DVRT 034-BSP-C DAISA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CONDULETE ROSCÁVEL EM ALUMÍNIO C/ TAMPA 3/4&quot;BSP TIPO &quot;X&quot;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ECTOR ENGATE RAPIDO P/ TUBO PU 8MM, SEXT. INTERNO E EXTERNO, ROSCA 1/2NPT AZ C01250848 NORGREN"/>
        <s v="CONECTOR MACHO ZC DE LATÃO GIRATÓRIO 3/4&quot;NPT"/>
        <s v="CONECTOR RETO MACHO ASTM A276 INOX 316 TP C CL 6500 PSI 1/2&quot;OD X 1/2&quot;NPT"/>
        <s v="CONECTOR RETO SOLDA ASTM A276 INOX 316 TP C CL 6500 PSI 1/2&quot;OD X 1/2&quot;SW"/>
        <s v="CONECTOR RETO UNIÃO ASTM A276 INOX 316 TP C CL 6500 PSI 1/2&quot;OD X 1/2&quot;OD"/>
        <s v="CONECTOR TEE MACHO ASTM A351 INOX 316 TP C CL 6500PSI CF8M MICROF. LATERAIS 1/2&quot;OD X CENTRAL 1/2&quot;NPT"/>
        <s v="CONECTOR TEE UNIÃO ASTM A351 INOX 316 TP C CL 6500PSI CF8M MICROFUNDIDO 1/2&quot;OD"/>
        <s v="COTOVELO GF CL 150 1/2&quot; BSP 45°"/>
        <s v="COTOVELO GF CL 150 1/2&quot; BSP 90°"/>
        <s v="ELETRODUTO PESADO C/ LUVA AÇO CARBONO GF EX-D NBR 5597 3/4&quot; X 3000MM NPT"/>
        <s v="ELETRODUTO PESADO C/ LUVA AÇO CARBONO GF NBR 5598 1&quot; X 3000MM BSP"/>
        <s v="ELETRODUTO PESADO C/ LUVA AÇO CARBONO GF NBR 5598 2&quot; X 3000MM BSP"/>
        <s v="ELETRODUTO PESADO C/ LUVA AÇO CARBONO GF NBR 5598 3/4&quot; X 3000MM BSP"/>
        <s v="LUVA GF CL 150 1/2&quot;BSP"/>
        <s v="LUVA GF P/ ELETRODUTO 1&quot;BSP"/>
        <s v="LUVA GF P/ ELETRODUTO 3/4&quot;BSP"/>
        <s v="MEIA LUVA 3000PSI A-105  1/2&quot; SW AÇO CARBONO"/>
        <s v="NIPLE DUPLO SEXTAVADO ASTM A276 INOX 316 TP C CL 6500 PSI 1/2&quot;NPT"/>
        <s v="NIPLE LONGO EX-D AÇO 1010/1020 GF CERT. 1/2&quot;NPT"/>
        <s v="PARAFUSO CABEÇA REDONDA FENDA ZC 3/16&quot; X 1/2&quot;"/>
        <s v="PERFILADO PERFURADO GF 16AWG 19 X 38 X 6000MM"/>
        <s v="PORCA ACABAMENTO ALUMÍNIO 1&quot;BSP"/>
        <s v="PORCA ACABAMENTO ALUMÍNIO 2&quot;BSP"/>
        <s v="PORCA ACABAMENTO ALUMÍNIO 3/4&quot;BSP"/>
        <s v="PORCA SEXTAVADA ZC 1/4&quot;"/>
        <s v="PORCA SEXTAVADA ZC 3/16&quot;"/>
        <s v="POTE SELAGEM 3&quot; A-106, SCH-80, 3000 PSI, 3 TOM. 1/2&quot; NPT, LÍQ PEN, PINT ALUM ALTA TEMP, TH 200KG/CM²"/>
        <s v="POTE SELAGEM 3&quot; A-182 F11, SCH-160, 6000 PSI, 2 TOM. 1/2&quot; NPT, 1 TOM. 1/2&quot; SW, PINT ALUM ALTA TEMP, TH 200KG/CM²"/>
        <s v="POTE SELAGEM 3&quot; A-335 P22, SCH-160, 6000 PSI, 3 TOM. 1/2&quot; NPT, 1 TOM. 1/2&quot; SW, PINT ALUM ALTA TEMP, TH 200KG/CM"/>
        <s v="PRENSA CABO HSK-K CZ RAL 7035 POLIAMIDA S/ CONTRA PORCA 1/2&quot;NPT"/>
        <s v="SUPORTE P/ INSTRUMENTOS EM AÇO A-36 2&quot; AZUL RAL 5002 TIPO &quot;L&quot;"/>
        <s v="TAMPÃO CAPTIVO P/ CONEXÃO 1/2&quot;OD ASTM A276 INOX 316 TP CL 6500 PSI  8-P-316"/>
        <s v="TAMPÃO SEXTAVADO GF CL 150 2&quot;BSP"/>
        <s v="TEE GF CL 150 2&quot;BSP"/>
        <s v="TEE REDUÇÃO GF CL 150 2&quot; X 1/2&quot;BSP"/>
        <s v="TUBO AÇO CARBONO GF, C/ COSTURA, ATÉ 300 LBS, NBR 5580 M/ DIN 2440, DN. 12,7, 1/2&quot;BSP X 6000MM"/>
        <s v="TUBO ACO INOX AISI 316L A-269 TREFILADO S/ COSTURA 3063 PSI A 38 øC 12,7 X 1,24MM TI-127124-316 TRIUNION"/>
        <s v="TUBO FLEXIVEL POLIURETANO AZUL 8MM EXTERNO / 5,5MM INTERNO PU050 08 00 NORGREN"/>
        <s v="TUBO FLEXÍVEL SANFONIZADO TOMBACK EX-D MACHO / UNIÃO FÊMEA 1/2&quot;NPT X 400MM"/>
        <s v="TUBO SIFÃO TIPO TROMBETA ASTM A-105 1/2&quot; NPT (M)  X 1/2&quot;NPT (F) "/>
        <s v="UNIÃO ASSENTO CÔNICO BRONZE GF CL 150 1/2&quot;BSP"/>
        <s v="UNIDADE SELADORA VERT. / HOR. EX-D ALUMÍNIO REFORÇADO G.F CERT. NBR 5363 1/2&quot; NPT"/>
        <s v="VALVULA AGULHA, ASTM A351, INOX 316, MICROFUNDIDO CF8M, CL 7000PSI, 1/2OD, F. MASTER"/>
        <s v="VALVULA ESFERA TRIPARTIDA,CL 300 CORPO E TP A 216 WCB, ESFERA ASTM A351 CF8, PASS. REDUZIDA,VED.PTFE ROSCA 1/2 BSP  MGA"/>
        <s v="VÁLVULA MANIFOLD 2 VIAS INOX 316 ROSCA X ROSCA 6000PSI 1/2&quot;NPT"/>
        <s v="ABRACADEIRA VERGALHAO GRAMPO U ZC 1/2 X 1/4 DP 634-1 DISPAN"/>
        <s v="ABRACADEIRA VERGALHAO GRAMPO U ZC 1/4 X 1/4 DP 634-0 DISPAN"/>
        <s v="ABRACADEIRA VERGALHAO GRAMPO U ZC 2 X 1/4 DP 634-6 DISPAN"/>
        <s v="ABRACADEIRA VERGALHAO GRAMPO U ZC 3/4 X 1/4 DP 634-2 DISPAN"/>
        <s v="ABRACADEIRA, NYLON PRETA, 2,5 X 101MM, T-18 R, HELLERMANN"/>
        <s v="ARRUELA ACABAMENTO, ALUMINIO, 1 BSP"/>
        <s v="ARRUELA ACABAMENTO, ALUMINIO, 2 BSP"/>
        <s v="ARRUELA LISA ZC  1/4&quot;"/>
        <s v="ARRUELA LISA ZC  3/16&quot;"/>
        <s v="BUCHA ACABAMENTO, ALUMINIO, 1 BSP"/>
        <s v="CABO INSTRUMENTACAO BF, ISOL PVC/E 105øC, NBR 10300, C/ BLIND.ELETROST.COLETIVA FIO DRENO 1X2X0,75MMý 900400 ENERGIFLEX"/>
        <s v="CABO INSTRUMENTACAO AF, ISOL PVC/E, 105 C, NBR 10300, C/ BLIND. ELETROST. COLETIVA E FIO DRENO, 3 X 0,75 MM, KMP"/>
        <s v="CABO PROFIBUS DP, 300V, ISOL. PVC VIOLETA, SHIELD, TEMP. 75 G, 22AWG, B3079A-7#, BELDEN"/>
        <s v="CABO REDE ASI, REDONDO, CAPA EXT. PVC AMARELO, COND. AZUL E MARROM, 2 X 1,50MM, CB-ASI-0802-1,5-Y, 5000005853, SENSE"/>
        <s v="CABO TERMOPAR EXTENSAO TC K, ISOL. SILICONE AMARELO, SEM BLINDAGEM, IEC, 2 X 20AWG, CFC-C-K-2-20-SS-I-X, CONSISTEC"/>
      </sharedItems>
    </cacheField>
    <cacheField name="MODELO" numFmtId="0">
      <sharedItems containsMixedTypes="1" containsNumber="1" containsInteger="1" minValue="0" maxValue="5000005853"/>
    </cacheField>
    <cacheField name="QTDE" numFmtId="2">
      <sharedItems containsSemiMixedTypes="0" containsString="0" containsNumber="1" minValue="0" maxValue="200"/>
    </cacheField>
    <cacheField name="UNID" numFmtId="0">
      <sharedItems containsBlank="1"/>
    </cacheField>
    <cacheField name="FABRICANTE" numFmtId="0">
      <sharedItems containsMixedTypes="1" containsNumber="1" containsInteger="1" minValue="0" maxValue="0"/>
    </cacheField>
    <cacheField name="VALOR UNITARIO R$" numFmtId="2">
      <sharedItems containsSemiMixedTypes="0" containsString="0" containsNumber="1" minValue="3.1200000000000002E-2" maxValue="1560"/>
    </cacheField>
    <cacheField name="VALOR TOTAL R$" numFmtId="2">
      <sharedItems containsSemiMixedTypes="0" containsString="0" containsNumber="1" minValue="0" maxValue="1456"/>
    </cacheField>
    <cacheField name="CÓDIGO NOTA" numFmtId="0">
      <sharedItems containsMixedTypes="1" containsNumber="1" containsInteger="1" minValue="90" maxValue="5000005853"/>
    </cacheField>
    <cacheField name="QTD DEVICE" numFmtId="0">
      <sharedItems containsSemiMixedTypes="0" containsString="0" containsNumber="1" containsInteger="1" minValue="0" maxValue="67"/>
    </cacheField>
    <cacheField name="QTDE2" numFmtId="0">
      <sharedItems containsSemiMixedTypes="0" containsString="0" containsNumber="1" containsInteger="1" minValue="0" maxValue="1608"/>
    </cacheField>
    <cacheField name="CUSTO TOTAL" numFmtId="0">
      <sharedItems containsSemiMixedTypes="0" containsString="0" containsNumber="1" minValue="0" maxValue="2438.7999999999997"/>
    </cacheField>
    <cacheField name="HH UN" numFmtId="0">
      <sharedItems containsString="0" containsBlank="1" containsNumber="1" minValue="0.11" maxValue="2.0999999999999996"/>
    </cacheField>
    <cacheField name="HHTT" numFmtId="0">
      <sharedItems containsSemiMixedTypes="0" containsString="0" containsNumber="1" minValue="0" maxValue="53.54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509108796" createdVersion="5" refreshedVersion="5" minRefreshableVersion="3" recordCount="260" xr:uid="{00000000-000A-0000-FFFF-FFFF01000000}">
  <cacheSource type="worksheet">
    <worksheetSource ref="A2:P262" sheet="Insumos_Infra"/>
  </cacheSource>
  <cacheFields count="16">
    <cacheField name="Código" numFmtId="0">
      <sharedItems containsSemiMixedTypes="0" containsString="0" containsNumber="1" containsInteger="1" minValue="69" maxValue="7087"/>
    </cacheField>
    <cacheField name="Tipo" numFmtId="0">
      <sharedItems/>
    </cacheField>
    <cacheField name="NCM" numFmtId="167">
      <sharedItems containsSemiMixedTypes="0" containsString="0" containsNumber="1" containsInteger="1" minValue="0" maxValue="84818095"/>
    </cacheField>
    <cacheField name="Descrição dos Materiais" numFmtId="0">
      <sharedItems count="205">
        <s v="ABRAÇADEIRA VERGALHÃO GRAMPO &quot;U&quot; ZC 1&quot; X 1/4&quot;"/>
        <s v="ARRUELA ACABAMENTO ALUMÍNIO 1&quot;BSP"/>
        <s v="BUCHA ACABAMENTO ALUMÍNIO 1&quot;BSP"/>
        <s v="CANTONEIRA AÇO ABAS IGUAIS 1.1/2&quot; X 1/4&quot; X 6.000MM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URVA P/ ELETRODUTO PESADO AÇO CARBONO GF NBR 5598 1&quot;"/>
        <s v="ELETRODUTO PESADO C/ LUVA AÇO CARBONO GF NBR 5598 1&quot; X 3000MM BSP"/>
        <s v="ARRUELA ACABAMENTO EX-D FERRO NODULAR GF 1&quot; NPT"/>
        <s v="BUCHA ACABAMENTO EX-D FERRO NODULAR GF 1&quot; NPT"/>
        <s v="BUCHA REDUÇÃO EX-D FERRO NODULAR GF 1&quot; X 1/2&quot; NPT"/>
        <s v="BUCHA REDUÇÃO EX-D FERRO NODULAR GF 1&quot; X 3/4&quot; NPT"/>
        <s v="CONDULETE ROSCÁVEL EM ALUMÍNIO FUNDIDO EX-D C/ TAMPA 1&quot;NPT TIPO &quot;C&quot;"/>
        <s v="CONDULETE ROSCÁVEL EM ALUMÍNIO FUNDIDO EX-D C/ TAMPA 1&quot;NPT TIPO &quot;LB&quot;"/>
        <s v="CONDULETE ROSCÁVEL EM ALUMÍNIO FUNDIDO EX-D C/ TAMPA 1&quot;NPT TIPO &quot;LL&quot;"/>
        <s v="CONDULETE ROSCÁVEL EM ALUMÍNIO FUNDIDO EX-D C/ TAMPA 1&quot;NPT TIPO &quot;LR&quot;"/>
        <s v="CONDULETE ROSCÁVEL EM ALUMÍNIO FUNDIDO EX-D C/ TAMPA 1&quot;NPT TIPO &quot;T&quot;"/>
        <s v="ELETRODUTO PESADO C/ LUVA AÇO CARBONO GF EX-D NBR 5597 1&quot; X 3000MM NPT"/>
        <s v="ABRAÇADEIRA VERGALHÃO GRAMPO &quot;U&quot; ZC 1.1/2&quot; X 1/4&quot;"/>
        <s v="ARRUELA ACABAMENTO ALUMÍNIO 1.1/2&quot;BSP"/>
        <s v="ARRUELA LISA ZC  1/4&quot;"/>
        <s v="BUCHA ACABAMENTO ALUMÍNIO 1.1/2&quot;BSP"/>
        <s v="BUCHA REDUÇÃO ALUMÍNIO 1.1/2&quot; X 1&quot;BSP"/>
        <s v="BUCHA REDUÇÃO ALUMÍNIO 1.1/2&quot; X 1/2&quot;BSP"/>
        <s v="BUCHA REDUÇÃO ALUMÍNIO 1.1/2&quot; X 3/4&quot;BSP"/>
        <s v="CONDULETE ROSCÁVEL EM ALUMÍNIO C/ TAMPA 1.1/2&quot;BSP TIPO &quot;C&quot;"/>
        <s v="CONDULETE ROSCÁVEL EM ALUMÍNIO C/ TAMPA 1.1/2&quot;BSP TIPO &quot;LB&quot;"/>
        <s v="CONDULETE ROSCÁVEL EM ALUMÍNIO C/ TAMPA 1.1/2&quot;BSP TIPO &quot;LL&quot;"/>
        <s v="CONDULETE ROSCÁVEL EM ALUMÍNIO C/ TAMPA 1.1/2&quot;BSP TIPO &quot;LR&quot;"/>
        <s v="CONDULETE ROSCÁVEL EM ALUMÍNIO C/ TAMPA 1.1/2&quot;BSP TIPO &quot;T&quot;"/>
        <s v="ELETRODUTO PESADO C/ LUVA AÇO CARBONO GF NBR 5598 1.1/2&quot; X 3000MM BSP"/>
        <s v="LUVA GF P/ ELETRODUTO 1.1/2&quot;BSP"/>
        <s v="PORCA ACABAMENTO ALUMÍNIO 1.1/2&quot;BSP"/>
        <s v="PORCA SEXTAVADA ZC 1/4&quot;"/>
        <s v="ARRUELA ACABAMENTO EX-D FERRO NODULAR GF 1.1/2&quot; NPT"/>
        <s v="BUCHA ACABAMENTO EX-D FERRO NODULAR GF 1.1/2&quot; NPT"/>
        <s v="BUCHA REDUÇÃO EX-D FERRO NODULAR GF 1.1/2&quot; X 1&quot; NPT"/>
        <s v="BUCHA REDUÇÃO EX-D FERRO NODULAR GF 1.1/2&quot; X 1/2&quot; NPT"/>
        <s v="BUCHA REDUÇÃO EX-D FERRO NODULAR GF 1.1/2&quot; X 3/4&quot; NPT"/>
        <s v="CONDULETE ROSCÁVEL EM ALUMÍNIO FUNDIDO EX-D C/ TAMPA 1.1/2&quot;NPT TIPO &quot;LB&quot;"/>
        <s v="CONDULETE ROSCÁVEL EM ALUMÍNIO FUNDIDO EX-D C/ TAMPA 1.1/2&quot;NPT TIPO &quot;LL&quot;"/>
        <s v="CONDULETE ROSCÁVEL EM ALUMÍNIO FUNDIDO EX-D C/ TAMPA 1.1/2&quot;NPT TIPO &quot;LR&quot;"/>
        <s v="CONDULETE ROSCÁVEL EM ALUMÍNIO FUNDIDO EX-D C/ TAMPA 1.1/2&quot;NPT TIPO &quot;T&quot;"/>
        <s v="ELETRODUTO PESADO C/ LUVA AÇO CARBONO GF EX-D NBR 5597 1.1/2&quot; X 3000MM NPT"/>
        <s v="ABRAÇADEIRA VERGALHÃO GRAMPO &quot;U&quot; ZC 2&quot; X 1/4&quot;"/>
        <s v="ARRUELA ACABAMENTO ALUMÍNIO 2&quot;BSP"/>
        <s v="BUCHA ACABAMENTO ALUMÍNIO 2&quot;BSP"/>
        <s v="BUCHA REDUÇÃO ALUMÍNIO 2&quot; X 1&quot;BSP"/>
        <s v="BUCHA REDUÇÃO ALUMÍNIO 2&quot; X 1.1/2&quot;BSP"/>
        <s v="BUCHA REDUÇÃO ALUMÍNIO 2&quot; X 1/2&quot;BSP"/>
        <s v="BUCHA REDUÇÃO ALUMÍNIO 2&quot; X 3/4&quot;BSP"/>
        <s v="CONDULETE ROSCÁVEL EM ALUMÍNIO C/ TAMPA 2&quot;BSP TIPO &quot;C&quot;"/>
        <s v="CONDULETE ROSCÁVEL EM ALUMÍNIO C/ TAMPA 2&quot;BSP TIPO &quot;LB&quot;"/>
        <s v="CONDULETE ROSCÁVEL EM ALUMÍNIO C/ TAMPA 2&quot;BSP TIPO &quot;LL&quot;"/>
        <s v="CONDULETE ROSCÁVEL EM ALUMÍNIO C/ TAMPA 2&quot;BSP TIPO &quot;LR&quot;"/>
        <s v="CONDULETE ROSCÁVEL EM ALUMÍNIO C/ TAMPA 2&quot;BSP TIPO &quot;T&quot;"/>
        <s v="ELETRODUTO PESADO C/ LUVA AÇO CARBONO GF NBR 5598 2&quot; X 3000MM BSP"/>
        <s v="PORCA ACABAMENTO ALUMÍNIO 2&quot;BSP"/>
        <s v="ARRUELA ACABAMENTO EX-D FERRO NODULAR GF 2&quot; NPT"/>
        <s v="BUCHA ACABAMENTO EX-D FERRO NODULAR GF 2&quot; NPT"/>
        <s v="BUCHA REDUÇÃO EX-D FERRO NODULAR GF 2&quot; X 1&quot; NPT"/>
        <s v="BUCHA REDUÇÃO EX-D FERRO NODULAR GF 2&quot; X 1.1/2&quot; NPT"/>
        <s v="BUCHA REDUÇÃO EX-D FERRO NODULAR GF 2&quot; X 1/2&quot; NPT"/>
        <s v="BUCHA REDUÇÃO EX-D FERRO NODULAR GF 2&quot; X 3/4&quot; NPT"/>
        <s v="CONDULETE ROSCÁVEL EM ALUMÍNIO FUNDIDO EX-D C/ TAMPA 2&quot;NPT TIPO &quot;C&quot;"/>
        <s v="CONDULETE ROSCÁVEL EM ALUMÍNIO FUNDIDO EX-D C/ TAMPA 2&quot;NPT TIPO &quot;LB&quot;"/>
        <s v="CONDULETE ROSCÁVEL EM ALUMÍNIO FUNDIDO EX-D C/ TAMPA 2&quot;NPT TIPO &quot;LL&quot;"/>
        <s v="CONDULETE ROSCÁVEL EM ALUMÍNIO FUNDIDO EX-D C/ TAMPA 2&quot;NPT TIPO &quot;LR&quot;"/>
        <s v="CONDULETE ROSCÁVEL EM ALUMÍNIO FUNDIDO EX-D C/ TAMPA 2&quot;NPT TIPO &quot;T&quot;"/>
        <s v="ELETRODUTO PESADO C/ LUVA AÇO CARBONO GF EX-D NBR 5597 2&quot; X 3000MM NPT"/>
        <s v="ABRAÇADEIRA VERGALHÃO GRAMPO &quot;U&quot; ZC 3/4&quot; X 1/4&quot;"/>
        <s v="ARRUELA ACABAMENTO ALUMÍNIO 3/4&quot;BSP"/>
        <s v="BUCHA ACABAMENTO ALUMÍNIO 3/4&quot;BSP"/>
        <s v="BUCHA REDUÇÃO ALUMÍNIO 3/4&quot; X 1/2&quot;BSP"/>
        <s v="CONDULETE ROSCÁVEL EM ALUMÍNIO C/ TAMPA 3/4&quot;BSP TIPO &quot;C&quot;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ELETRODUTO PESADO C/ LUVA AÇO CARBONO GF NBR 5598 3/4&quot; X 3000MM BSP"/>
        <s v="LUVA GF P/ ELETRODUTO 3/4&quot;BSP"/>
        <s v="PORCA ACABAMENTO ALUMÍNIO 3/4&quot;BSP"/>
        <s v="ARRUELA ACABAMENTO EX-D FERRO NODULAR GF 3/4&quot; NPT"/>
        <s v="BUCHA ACABAMENTO EX-D FERRO NODULAR GF 3/4&quot; NPT"/>
        <s v="BUCHA REDUÇÃO EX-D FERRO NODULAR GF 3/4&quot; X 1/2&quot; NPT"/>
        <s v="CONDULETE ROSCÁVEL EM ALUMÍNIO FUNDIDO EX-D C/ TAMPA 3/4&quot;NPT TIPO &quot;C&quot;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DULETE ROSCÁVEL EM ALUMÍNIO FUNDIDO EX-D C/ TAMPA 3/4&quot;NPT TIPO &quot;T&quot;"/>
        <s v="ELETRODUTO PESADO C/ LUVA AÇO CARBONO GF EX-D NBR 5597 3/4&quot; X 3000MM NPT"/>
        <s v="ARRUELA LISA ZC  5/16&quot;"/>
        <s v="ARRUELA PRESSÃO ZC  1/4&quot;"/>
        <s v="ARRUELA PRESSÃO ZC  5/16&quot;"/>
        <s v="CURVA HORIZONTAL P/ ELETROCALHA, GF, 18AWG, 100 X 100MM 90º"/>
        <s v="CURVA VERTICAL EXTERNA P/ ELETROCALHA, GF, 18AWG, 100 X 100MM 90º"/>
        <s v="CURVA VERTICAL INTERNA P/ ELETROCALHA, GF, 18AWG, 100 X 100MM 90º"/>
        <s v="ELETROCALHA FUNDO PERFURADO C/ VIROLA LATERAL 18AWG GF, TAMPA PRESSÃO 2 ÁGUAS 100X100X3000MM"/>
        <s v="PARAFUSO CABEÇA LENTILHA AUTO-TRAVANTE ZC 1/4&quot; X 1/2&quot;"/>
        <s v="TALA P/ ELETROCALHA PERFURADA, GF, 18 AWG, 100 X 100MM"/>
        <s v="TAMPA P/ ELETROCALHA, 02 ÁGUAS, ENCAIXE PRESSÃO, GAVALUME, 100 X 3000MM "/>
        <s v="TEE HORIZONTAL P/ ELETROCALHA, GF, 18AWG, C/ TAMPA, 100 X 100MM 90º"/>
        <s v="TEE VERTICAL, DESCIDA LATERAL P/ ELETROCALHA, GF, 16AWG, 100 X 100MM 90º"/>
        <s v="VERGALHÃO ROSCA TOTAL ZC 5/16&quot; X 3000MM"/>
        <s v="CURVA HORIZONTAL P/ ELETROCALHA GF 18AWG 200 X 100MM 90º"/>
        <s v="CURVA VERTICAL EXTERNA P/ ELETROCALHA 18AWG 200 X 100MM 90º"/>
        <s v="CURVA VERTICAL INTERNA P/ ELETROCALHA 18AWG 200 X 100MM 90º"/>
        <s v="ELETROCALHA FUNDO PERFURADO C/ VIROLA LATERAL 18AWG GF, TAMPA PRESSÃO 2 ÁGUAS 200X100X3000MM"/>
        <s v="TAMPA P/ ELETROCALHA, 02 ÁGUAS, ENCAIXE PRESSÃO, GAVALUME, 200 X 3000MM "/>
        <s v="TEE HORIZONTAL P/ ELETROCALHA GF 18AWG C/ TAMPA 200 X 100MM 90º"/>
        <s v="CURVA HORIZONTAL P/ ELETROCALHA, GF, CHAPA 18AWG, 300 X 100MM, 90º"/>
        <s v="CURVA VERTICAL EXTERNA P/ ELETROCALHA, GF, CHAPA 18AWG, 300 X 100MM, 90º"/>
        <s v="CURVA VERTICAL INTERNA P/ ELETROCALHA, GF, CHAPA 18AWG, 300 X 100MM, 90º"/>
        <s v="ELETROCALHA FUNDO PERFURADO C/ VIROLA LATERAL 18AWG GF, TAMPA PRESSÃO 2 ÁGUAS 300X100X3000MM"/>
        <s v="TAMPA P/ ELETROCALHA, 02 ÁGUAS, ENCAIXE PRESSÃO, GAVALUME, 300 X 3000MM "/>
        <s v="TEE HORIZONTAL P/ ELETROCALHA, GF, CHAPA 18AWG, C/ TAMPA, 300 X 100MM, 90º"/>
        <s v="BUCHA REDUÇÃO GF CL 150 1&quot; X 1/2&quot;BSP"/>
        <s v="BUCHA REDUÇÃO GF CL 150 1&quot; X 3/4&quot;BSP"/>
        <s v="BUCHA REDUÇÃO GF CL 150 1&quot; X 3/8&quot;BSP"/>
        <s v="BUJÃO C/ REBORDO GF CL 150 1&quot;BSP"/>
        <s v="BUJÃO GF CL 150 1&quot;BSP"/>
        <s v="COTOVELO GF CL 150 1&quot; BSP 45°"/>
        <s v="COTOVELO GF CL 150 1&quot; BSP 90°"/>
        <s v="CRUZETA GF CL 150 1&quot;BSP"/>
        <s v="LUVA GF CL 150 1&quot;BSP"/>
        <s v="LUVA REDUÇÃO GF CL 150 1&quot; X 1/2&quot;BSP"/>
        <s v="LUVA REDUÇÃO GF CL 150 1&quot; X 3/4&quot;BSP"/>
        <s v="NIPLE DUPLO GF CL 150 1&quot;BSP"/>
        <s v="TAMPÃO REDONDO GF CL 150 1&quot;BSP"/>
        <s v="TAMPÃO SEXTAVADO GF CL 150 1&quot;BSP"/>
        <s v="TE REDUÇÃO  1&quot; X 1/2&quot; NPT GF CL150"/>
        <s v="TEE GF CL 150 1&quot;BSP"/>
        <s v="TUBO AÇO CARBONO GF, C/ COSTURA, ATÉ 300 LBS, NBR 5580 M/ DIN 2440, DN. 25, 1&quot;BSP X 6000MM"/>
        <s v="UNIÃO ASSENTO CÔNICO BRONZE GF CL 150 1&quot;BSP"/>
        <s v="VÁLVULA ESFERA TRIPARTIDA,CL 300 CORPO E TP A 216 WCB, ESFERA ASTM A351 CF8, PASS. REDUZIDA, VED. PTFE ROSCA 1&quot; BSP"/>
        <s v="ABRAÇADEIRA VERGALHÃO GRAMPO &quot;U&quot; ZC 1/2&quot; X 1/4&quot;"/>
        <s v="BUCHA REDUÇÃO GF CL 150 1/2&quot; X 1/4&quot;BSP"/>
        <s v="BUCHA REDUÇÃO GF CL 150 1/2&quot; X 3/8&quot;BSP"/>
        <s v="BUJÃO C/ REBORDO GF CL 150 1/2&quot;BSP"/>
        <s v="BUJÃO GF CL 150 1/2&quot;BSP"/>
        <s v="COTOVELO GF CL 150 1/2&quot; BSP 45°"/>
        <s v="COTOVELO GF CL 150 1/2&quot; BSP 90°"/>
        <s v="CRUZETA GF CL 150 1/2&quot;BSP"/>
        <s v="LUVA GF CL 150 1/2&quot;BSP"/>
        <s v="LUVA REDUÇÃO GF CL 150 1/2&quot; X 1/4&quot;BSP"/>
        <s v="LUVA REDUÇÃO GF CL 150 1/2&quot; X 3/8&quot;BSP"/>
        <s v="NIPLE DUPLO GF CL 150 1/2&quot;BSP"/>
        <s v="NIPLE DUPLO REDUÇÃO GF CL 150 1/2&quot; X 1/4&quot;BSP"/>
        <s v="TAMPÃO REDONDO GF CL 150 1/2&quot;BSP"/>
        <s v="TAMPÃO SEXTAVADO GF CL 150 1/2&quot;BSP"/>
        <s v="TE REDUÇÃO  1/2&quot; X 1/4&quot; GF CL150"/>
        <s v="TE REDUÇÃO  1/2&quot; X 3/8&quot; GF CL150"/>
        <s v="TEE GF CL 150 1/2&quot;BSP"/>
        <s v="TEE GF CL 150 1/2&quot;BSP 45°"/>
        <s v="TUBO AÇO CARBONO GF, C/ COSTURA, ATÉ 300 LBS, NBR 5580 M/ DIN 2440, DN. 12,7, 1/2&quot;BSP X 6000MM"/>
        <s v="UNIÃO ASSENTO CÔNICO BRONZE GF CL 150 1/2&quot;BSP"/>
        <s v="VÁLVULA ESFERA TRIPARTIDA,CL 300 CORPO E TP A 216 WCB, ESFERA ASTM A351 CF8, PASS. REDUZIDA, VED. PTFE ROSCA 1/2&quot; BSP"/>
        <s v="BUCHA REDUÇÃO GF CL 150 2&quot; X 1&quot;BSP"/>
        <s v="BUCHA REDUÇÃO GF CL 150 2&quot; X 1.1/2&quot;BSP"/>
        <s v="BUCHA REDUÇÃO GF CL 150 2&quot; X 1/2&quot; BSP"/>
        <s v="BUJÃO C/ REBORDO GF CL 150 2&quot;BSP"/>
        <s v="BUJÃO GF CL 150 2&quot;BSP"/>
        <s v="COTOVELO GF CL 150 2&quot; BSP 45°"/>
        <s v="COTOVELO GF CL 150 2&quot; BSP 90°"/>
        <s v="CRUZETA GF CL 150 2&quot;BSP"/>
        <s v="LUVA GF CL 150 2&quot;BSP"/>
        <s v="LUVA REDUÇÃO GF CL 150 2&quot; X 1&quot;BSP"/>
        <s v="LUVA REDUÇÃO GF CL 150 2&quot; X 1/2&quot;BSP"/>
        <s v="LUVA REDUÇÃO GF CL 150 2&quot; X 3/4&quot;BSP"/>
        <s v="NIPLE DUPLO GF CL 150 2&quot;BSP"/>
        <s v="TAMPÃO REDONDO GF CL 150 2&quot;BSP"/>
        <s v="TAMPÃO SEXTAVADO GF CL 150 2&quot;BSP"/>
        <s v="TE REDUÇÃO  2&quot; X 1.1/4&quot; GF CL150"/>
        <s v="TE REDUÇÃO  2&quot; X 3/4&quot; GF CL150"/>
        <s v="TEE GF CL 150 2&quot;BSP"/>
        <s v="TEE REDUÇÃO GF CL 150 2&quot; X 1&quot;BSP"/>
        <s v="TEE REDUÇÃO GF CL 150 2&quot; X 1/2&quot;BSP"/>
        <s v="TUBO AÇO CARBONO GF, C/ COSTURA, ATÉ 300 LBS, NBR 5580 M/ DIN 2440, DN. 50, 2&quot;BSP X 6000MM"/>
        <s v="UNIÃO ASSENTO CÔNICO BRONZE GF CL 150 2&quot;BSP"/>
        <s v="VALVULA ESFERA TRIPARTIDA,CL 300 CORPO E TP A 216 WCB, ESFERA ASTM A351 CF8, HASTE AISI 304, VED. PTFE ROSCA 2&quot; BSP"/>
        <s v="BUCHA REDUÇÃO GF CL 150 3/4&quot; X 1/2&quot;BSP"/>
        <s v="BUCHA REDUÇÃO GF CL 150 3/4&quot; X 1/4&quot;BSP"/>
        <s v="BUCHA REDUÇÃO GF CL 150 3/4&quot; X 3/8&quot;BSP"/>
        <s v="BUJÃO C/ REBORDO GF CL 150 3/4&quot;BSP"/>
        <s v="BUJÃO GF CL 150 3/4&quot;BSP"/>
        <s v="COTOVELO GF CL 150 3/4&quot; BSP 45°"/>
        <s v="COTOVELO GF CL 150 3/4&quot; BSP 90°"/>
        <s v="CRUZETA GF CL 150 3/4&quot;BSP"/>
        <s v="LUVA GF CL 150 3/4&quot;BSP"/>
        <s v="LUVA REDUÇÃO GF CL 150 3/4&quot; X 1/2&quot;BSP"/>
        <s v="LUVA REDUÇÃO GF CL 150 3/4&quot; X 1/4&quot;BSP"/>
        <s v="LUVA REDUÇÃO GF CL 150 3/4&quot; X 3/8&quot;BSP"/>
        <s v="NIPLE DUPLO GF CL 150 3/4&quot;BSP"/>
        <s v="TAMPÃO REDONDO GF CL 150 3/4&quot;BSP"/>
        <s v="TAMPÃO SEXTAVADO GF CL 150 3/4&quot;BSP"/>
        <s v="TE REDUÇÃO  3/4&quot; X 1/2&quot; GF CL150"/>
        <s v="TE REDUÇÃO  3/4&quot; X 3/8&quot; GF CL150"/>
        <s v="TEE GF CL 150 3/4&quot;BSP"/>
        <s v="TEE GF CL 150 3/4&quot;BSP 45°"/>
        <s v="TUBO AÇO CARBONO GF, C/ COSTURA, ATÉ 300 LBS, NBR 5580 M/ DIN 2440, DN. 20, 3/4&quot;BSP X 6000MM"/>
        <s v="UNIÃO ASSENTO CÔNICO BRONZE GF CL 150 3/4&quot;BSP"/>
        <s v="VALVULA ESFERA TRIPARTIDA,CL 300 CORPO E TP A 216 WCB, ESFERA ASTM A351 CF8, HASTE AISI 304, VED. PTFE ROSCA 3/4&quot; BSP"/>
      </sharedItems>
    </cacheField>
    <cacheField name="Modelo" numFmtId="0">
      <sharedItems containsMixedTypes="1" containsNumber="1" containsInteger="1" minValue="0" maxValue="342"/>
    </cacheField>
    <cacheField name="QTDE" numFmtId="0">
      <sharedItems containsSemiMixedTypes="0" containsString="0" containsNumber="1" minValue="0.5" maxValue="120"/>
    </cacheField>
    <cacheField name="UNID" numFmtId="0">
      <sharedItems/>
    </cacheField>
    <cacheField name="Fabricante" numFmtId="0">
      <sharedItems/>
    </cacheField>
    <cacheField name="Valor Unit" numFmtId="164">
      <sharedItems containsSemiMixedTypes="0" containsString="0" containsNumber="1" minValue="0.05" maxValue="224.84"/>
    </cacheField>
    <cacheField name="Valor Total" numFmtId="168">
      <sharedItems containsSemiMixedTypes="0" containsString="0" containsNumber="1" minValue="0.4" maxValue="1349.04"/>
    </cacheField>
    <cacheField name="Código Nota" numFmtId="0">
      <sharedItems containsMixedTypes="1" containsNumber="1" containsInteger="1" minValue="90" maxValue="342"/>
    </cacheField>
    <cacheField name="Quantidade por Metro" numFmtId="2">
      <sharedItems containsSemiMixedTypes="0" containsString="0" containsNumber="1" minValue="1.3888888888888888E-2" maxValue="6.666666666666667"/>
    </cacheField>
    <cacheField name="Custo Por Metro" numFmtId="4">
      <sharedItems containsSemiMixedTypes="0" containsString="0" containsNumber="1" minValue="1.1111111111111112E-2" maxValue="74.946666666666658"/>
    </cacheField>
    <cacheField name="Quant Metro" numFmtId="4">
      <sharedItems containsSemiMixedTypes="0" containsString="0" containsNumber="1" containsInteger="1" minValue="0" maxValue="150"/>
    </cacheField>
    <cacheField name="Quantidade" numFmtId="0">
      <sharedItems containsSemiMixedTypes="0" containsString="0" containsNumber="1" minValue="0" maxValue="522"/>
    </cacheField>
    <cacheField name="Valor Total2" numFmtId="4">
      <sharedItems containsSemiMixedTypes="0" containsString="0" containsNumber="1" minValue="0" maxValue="2347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6137384257" createdVersion="5" refreshedVersion="5" minRefreshableVersion="3" recordCount="299" xr:uid="{00000000-000A-0000-FFFF-FFFF02000000}">
  <cacheSource type="worksheet">
    <worksheetSource ref="A1:A300" sheet="Geral"/>
  </cacheSource>
  <cacheFields count="1">
    <cacheField name="Rótulos de Linha" numFmtId="0">
      <sharedItems count="265">
        <s v="ABRACADEIRA VERGALHAO GRAMPO U ZC 1/2 X 1/4 DP 634-1 DISPAN"/>
        <s v="ABRACADEIRA VERGALHAO GRAMPO U ZC 1/4 X 1/4 DP 634-0 DISPAN"/>
        <s v="ABRACADEIRA VERGALHAO GRAMPO U ZC 2 X 1/4 DP 634-6 DISPAN"/>
        <s v="ABRACADEIRA VERGALHAO GRAMPO U ZC 3/4 X 1/4 DP 634-2 DISPAN"/>
        <s v="ABRACADEIRA, NYLON PRETA, 2,5 X 101MM, T-18 R, HELLERMANN"/>
        <s v="ARRUELA ACABAMENTO, ALUMINIO, 1 BSP"/>
        <s v="ARRUELA ACABAMENTO, ALUMINIO, 2 BSP"/>
        <s v="ARRUELA LISA ZC  1/4&quot;"/>
        <s v="ARRUELA LISA ZC  3/16&quot;"/>
        <s v="BUCHA ACABAMENTO ALUMINIO 2BSP BU-200-B DAISA"/>
        <s v="BUCHA ACABAMENTO ALUMÍNIO 3/4&quot;BSP"/>
        <s v="BUCHA ACABAMENTO, ALUMINIO, 1 BSP"/>
        <s v="BUCHA REDUÇÃO ALUMÍNIO 1&quot; X 1/2&quot;BSP"/>
        <s v="BUCHA REDUÇÃO ALUMÍNIO 1&quot; X 3/4&quot;BSP"/>
        <s v="BUCHA REDUÇÃO EX-D FERRO NODULAR GF 3/4&quot; X 1/2&quot; NPT"/>
        <s v="BUCHA REDUÇÃO GF CL 150 2&quot; X 1/2&quot; BSP"/>
        <s v="BUCHA REDUCAO, ALUMINIO, 3/4 X 1/2 BSP"/>
        <s v="BUCHA REDUCAO, EX-D, FERRO NODULAR, GF, 3/4 X 1/2 NPT, TELBRA"/>
        <s v="BUJÃO C/ REBAIXO SEXTAVADO LATÃO 1/2&quot;BSP"/>
        <s v="BUJÃO C/ REBORDO GF CL 150 1/2&quot;BSP"/>
        <s v="CABO COAXIAL 50 OHMS RGC58"/>
        <s v="CABO INSTRUMENTAÇÃO 300V, ISOL. PVC PRETO, BLIND. ELETROST. FIO DRENO, TEMP 70C, NBR 10300, CL 2 1 X 2 X 1,00mm"/>
        <s v="CABO INSTRUMENTACAO AF, ISOL PVC/E, 105 C, NBR 10300, C/ BLIND. ELETROST. COLETIVA E FIO DRENO, 3 X 0,75 MM, KMP"/>
        <s v="CABO INSTRUMENTAÇÃO BF, ISOL PVC/E 105°C, NBR 10300, C/ BLIND. ELETROST. COLETIVA FIO DRENO 1X2X2,50MM²"/>
        <s v="CABO INSTRUMENTAÇÃO BF, ISOL PVC/E 105°C, NBR 10300, C/ BLIND. ELETROST. COLETIVA FIO DRENO 3X2X0,75MM²"/>
        <s v="CABO INSTRUMENTAÇÃO BF, ISOL PVC/E 105°C, NBR 10300, C/ BLIND. ELETROST. COLETIVA FIO DRENO 8X2X0,75MM²"/>
        <s v="CABO INSTRUMENTACAO BF, ISOL PVC/E 105øC, NBR 10300, C/ BLIND.ELETROST.COLETIVA FIO DRENO 1X2X0,75MMý 900400 ENERGIFLEX"/>
        <s v="CABO INSTRUMENTAÇÃO BFIC, ITA, PVC/E 105°C, NBR 10300, C/ BLIND. ELETROST. COLETIVA, FIO DRENO, 14X2X0,75MM²"/>
        <s v="CABO PROFIBUS DP, 300V, ISOL. PVC VIOLETA, SHIELD, TEMP. 75 G, 22AWG, B3079A-7#, BELDEN"/>
        <s v="CABO PROFIBUS PA, 300V, 105§C, CAPA PVC AZUL, BELDFOIL, FIO DRENO EM COBRE ESTANHADO 2 X 18AWG B3076F-BLUE BELDEN"/>
        <s v="CABO REDE ASI, REDONDO, CAPA EXT. PVC AMARELO, COND. AZUL E MARROM, 2 X 1,50MM, CB-ASI-0802-1,5-Y, 5000005853, SENSE"/>
        <s v="CABO TERMOPAR EXTENSAO TC K, ISOL. SILICONE AMARELO, SEM BLINDAGEM, IEC, 2 X 20AWG, CFC-C-K-2-20-SS-I-X, CONSISTEC"/>
        <s v="CANTONEIRA, ACO A36, ABAS IGUAIS, 1.1/2 X 1/4 X 6.000MM, GERDAU"/>
        <s v="CONDUÍTE METÁLICO FLEXÍVEL, REVESTIDO PVC PRETO 105ºC, SEALTUBO SEALFLEX 3/4&quot;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ONDULETE ROSCÁVEL EM ALUMÍNIO C/ TAMPA 2&quot;BSP TIPO &quot;LB&quot;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CONDULETE ROSCÁVEL EM ALUMÍNIO C/ TAMPA 3/4&quot;BSP TIPO &quot;X&quot;"/>
        <s v="CONDULETE ROSCAVEL EM ALUMINIO C/ TAMPA 3/4BSP TIPO C DVRT 034-BSP-C DAISA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ECTOR ENGATE RAPIDO P/ TUBO PU 8MM, SEXT. INTERNO E EXTERNO, ROSCA 1/2NPT AZ C01250848 NORGREN"/>
        <s v="CONECTOR MACHO ZC DE LATÃO GIRATÓRIO 3/4&quot;NPT"/>
        <s v="CONECTOR RETO MACHO ASTM A276 INOX 316 TP C CL 6500 PSI 1/2&quot;OD X 1/2&quot;NPT"/>
        <s v="CONECTOR RETO SOLDA ASTM A276 INOX 316 TP C CL 6500 PSI 1/2&quot;OD X 1/2&quot;SW"/>
        <s v="CONECTOR RETO UNIÃO ASTM A276 INOX 316 TP C CL 6500 PSI 1/2&quot;OD X 1/2&quot;OD"/>
        <s v="CONECTOR TEE MACHO ASTM A351 INOX 316 TP C CL 6500PSI CF8M MICROF. LATERAIS 1/2&quot;OD X CENTRAL 1/2&quot;NPT"/>
        <s v="CONECTOR TEE UNIÃO ASTM A351 INOX 316 TP C CL 6500PSI CF8M MICROFUNDIDO 1/2&quot;OD"/>
        <s v="COTOVELO GF CL 150 1/2&quot; BSP 45°"/>
        <s v="COTOVELO GF CL 150 1/2&quot; BSP 90°"/>
        <s v="ELETRODUTO PESADO C/ LUVA AÇO CARBONO GF EX-D NBR 5597 3/4&quot; X 3000MM NPT"/>
        <s v="ELETRODUTO PESADO C/ LUVA AÇO CARBONO GF NBR 5598 1&quot; X 3000MM BSP"/>
        <s v="ELETRODUTO PESADO C/ LUVA AÇO CARBONO GF NBR 5598 2&quot; X 3000MM BSP"/>
        <s v="ELETRODUTO PESADO C/ LUVA AÇO CARBONO GF NBR 5598 3/4&quot; X 3000MM BSP"/>
        <s v="LUVA GF CL 150 1/2&quot;BSP"/>
        <s v="LUVA GF P/ ELETRODUTO 1&quot;BSP"/>
        <s v="LUVA GF P/ ELETRODUTO 3/4&quot;BSP"/>
        <s v="MEIA LUVA 3000PSI A-105  1/2&quot; SW AÇO CARBONO"/>
        <s v="NIPLE DUPLO SEXTAVADO ASTM A276 INOX 316 TP C CL 6500 PSI 1/2&quot;NPT"/>
        <s v="NIPLE LONGO EX-D AÇO 1010/1020 GF CERT. 1/2&quot;NPT"/>
        <s v="PARAFUSO CABEÇA REDONDA FENDA ZC 3/16&quot; X 1/2&quot;"/>
        <s v="PERFILADO PERFURADO GF 16AWG 19 X 38 X 6000MM"/>
        <s v="PORCA ACABAMENTO ALUMÍNIO 1&quot;BSP"/>
        <s v="PORCA ACABAMENTO ALUMÍNIO 2&quot;BSP"/>
        <s v="PORCA ACABAMENTO ALUMÍNIO 3/4&quot;BSP"/>
        <s v="PORCA SEXTAVADA ZC 1/4&quot;"/>
        <s v="PORCA SEXTAVADA ZC 3/16&quot;"/>
        <s v="POTE SELAGEM 3&quot; A-106, SCH-80, 3000 PSI, 3 TOM. 1/2&quot; NPT, LÍQ PEN, PINT ALUM ALTA TEMP, TH 200KG/CM²"/>
        <s v="POTE SELAGEM 3&quot; A-182 F11, SCH-160, 6000 PSI, 2 TOM. 1/2&quot; NPT, 1 TOM. 1/2&quot; SW, PINT ALUM ALTA TEMP, TH 200KG/CM²"/>
        <s v="POTE SELAGEM 3&quot; A-335 P22, SCH-160, 6000 PSI, 3 TOM. 1/2&quot; NPT, 1 TOM. 1/2&quot; SW, PINT ALUM ALTA TEMP, TH 200KG/CM"/>
        <s v="PRENSA CABO HSK-K CZ RAL 7035 POLIAMIDA S/ CONTRA PORCA 1/2&quot;NPT"/>
        <s v="SUPORTE P/ INSTRUMENTOS EM AÇO A-36 2&quot; AZUL RAL 5002 TIPO &quot;L&quot;"/>
        <s v="TAMPÃO CAPTIVO P/ CONEXÃO 1/2&quot;OD ASTM A276 INOX 316 TP CL 6500 PSI  8-P-316"/>
        <s v="TAMPÃO SEXTAVADO GF CL 150 2&quot;BSP"/>
        <s v="TEE GF CL 150 2&quot;BSP"/>
        <s v="TEE REDUÇÃO GF CL 150 2&quot; X 1/2&quot;BSP"/>
        <s v="TUBO AÇO CARBONO GF, C/ COSTURA, ATÉ 300 LBS, NBR 5580 M/ DIN 2440, DN. 12,7, 1/2&quot;BSP X 6000MM"/>
        <s v="TUBO ACO INOX AISI 316L A-269 TREFILADO S/ COSTURA 3063 PSI A 38 øC 12,7 X 1,24MM TI-127124-316 TRIUNION"/>
        <s v="TUBO FLEXIVEL POLIURETANO AZUL 8MM EXTERNO / 5,5MM INTERNO PU050 08 00 NORGREN"/>
        <s v="TUBO FLEXÍVEL SANFONIZADO TOMBACK EX-D MACHO / UNIÃO FÊMEA 1/2&quot;NPT X 400MM"/>
        <s v="TUBO SIFÃO TIPO TROMBETA ASTM A-105 1/2&quot; NPT (M)  X 1/2&quot;NPT (F) "/>
        <s v="UNIÃO ASSENTO CÔNICO BRONZE GF CL 150 1/2&quot;BSP"/>
        <s v="UNIDADE SELADORA VERT. / HOR. EX-D ALUMÍNIO REFORÇADO G.F CERT. NBR 5363 1/2&quot; NPT"/>
        <s v="VALVULA AGULHA, ASTM A351, INOX 316, MICROFUNDIDO CF8M, CL 7000PSI, 1/2OD, F. MASTER"/>
        <s v="VALVULA ESFERA TRIPARTIDA,CL 300 CORPO E TP A 216 WCB, ESFERA ASTM A351 CF8, PASS. REDUZIDA,VED.PTFE ROSCA 1/2 BSP  MGA"/>
        <s v="VÁLVULA MANIFOLD 2 VIAS INOX 316 ROSCA X ROSCA 6000PSI 1/2&quot;NPT"/>
        <s v="ABRAÇADEIRA VERGALHÃO GRAMPO &quot;U&quot; ZC 1&quot; X 1/4&quot;"/>
        <s v="ABRAÇADEIRA VERGALHÃO GRAMPO &quot;U&quot; ZC 1.1/2&quot; X 1/4&quot;"/>
        <s v="ABRAÇADEIRA VERGALHÃO GRAMPO &quot;U&quot; ZC 1/2&quot; X 1/4&quot;"/>
        <s v="ABRAÇADEIRA VERGALHÃO GRAMPO &quot;U&quot; ZC 2&quot; X 1/4&quot;"/>
        <s v="ABRAÇADEIRA VERGALHÃO GRAMPO &quot;U&quot; ZC 3/4&quot; X 1/4&quot;"/>
        <s v="ARRUELA ACABAMENTO ALUMÍNIO 1&quot;BSP"/>
        <s v="ARRUELA ACABAMENTO ALUMÍNIO 1.1/2&quot;BSP"/>
        <s v="ARRUELA ACABAMENTO ALUMÍNIO 2&quot;BSP"/>
        <s v="ARRUELA ACABAMENTO ALUMÍNIO 3/4&quot;BSP"/>
        <s v="ARRUELA ACABAMENTO EX-D FERRO NODULAR GF 1&quot; NPT"/>
        <s v="ARRUELA ACABAMENTO EX-D FERRO NODULAR GF 1.1/2&quot; NPT"/>
        <s v="ARRUELA ACABAMENTO EX-D FERRO NODULAR GF 2&quot; NPT"/>
        <s v="ARRUELA ACABAMENTO EX-D FERRO NODULAR GF 3/4&quot; NPT"/>
        <s v="ARRUELA LISA ZC  5/16&quot;"/>
        <s v="ARRUELA PRESSÃO ZC  1/4&quot;"/>
        <s v="ARRUELA PRESSÃO ZC  5/16&quot;"/>
        <s v="BUCHA ACABAMENTO ALUMÍNIO 1&quot;BSP"/>
        <s v="BUCHA ACABAMENTO ALUMÍNIO 1.1/2&quot;BSP"/>
        <s v="BUCHA ACABAMENTO ALUMÍNIO 2&quot;BSP"/>
        <s v="BUCHA ACABAMENTO EX-D FERRO NODULAR GF 1&quot; NPT"/>
        <s v="BUCHA ACABAMENTO EX-D FERRO NODULAR GF 1.1/2&quot; NPT"/>
        <s v="BUCHA ACABAMENTO EX-D FERRO NODULAR GF 2&quot; NPT"/>
        <s v="BUCHA ACABAMENTO EX-D FERRO NODULAR GF 3/4&quot; NPT"/>
        <s v="BUCHA REDUÇÃO ALUMÍNIO 1.1/2&quot; X 1&quot;BSP"/>
        <s v="BUCHA REDUÇÃO ALUMÍNIO 1.1/2&quot; X 1/2&quot;BSP"/>
        <s v="BUCHA REDUÇÃO ALUMÍNIO 1.1/2&quot; X 3/4&quot;BSP"/>
        <s v="BUCHA REDUÇÃO ALUMÍNIO 2&quot; X 1&quot;BSP"/>
        <s v="BUCHA REDUÇÃO ALUMÍNIO 2&quot; X 1.1/2&quot;BSP"/>
        <s v="BUCHA REDUÇÃO ALUMÍNIO 2&quot; X 1/2&quot;BSP"/>
        <s v="BUCHA REDUÇÃO ALUMÍNIO 2&quot; X 3/4&quot;BSP"/>
        <s v="BUCHA REDUÇÃO ALUMÍNIO 3/4&quot; X 1/2&quot;BSP"/>
        <s v="BUCHA REDUÇÃO EX-D FERRO NODULAR GF 1&quot; X 1/2&quot; NPT"/>
        <s v="BUCHA REDUÇÃO EX-D FERRO NODULAR GF 1&quot; X 3/4&quot; NPT"/>
        <s v="BUCHA REDUÇÃO EX-D FERRO NODULAR GF 1.1/2&quot; X 1&quot; NPT"/>
        <s v="BUCHA REDUÇÃO EX-D FERRO NODULAR GF 1.1/2&quot; X 1/2&quot; NPT"/>
        <s v="BUCHA REDUÇÃO EX-D FERRO NODULAR GF 1.1/2&quot; X 3/4&quot; NPT"/>
        <s v="BUCHA REDUÇÃO EX-D FERRO NODULAR GF 2&quot; X 1&quot; NPT"/>
        <s v="BUCHA REDUÇÃO EX-D FERRO NODULAR GF 2&quot; X 1.1/2&quot; NPT"/>
        <s v="BUCHA REDUÇÃO EX-D FERRO NODULAR GF 2&quot; X 1/2&quot; NPT"/>
        <s v="BUCHA REDUÇÃO EX-D FERRO NODULAR GF 2&quot; X 3/4&quot; NPT"/>
        <s v="BUCHA REDUÇÃO GF CL 150 1&quot; X 1/2&quot;BSP"/>
        <s v="BUCHA REDUÇÃO GF CL 150 1&quot; X 3/4&quot;BSP"/>
        <s v="BUCHA REDUÇÃO GF CL 150 1&quot; X 3/8&quot;BSP"/>
        <s v="BUCHA REDUÇÃO GF CL 150 1/2&quot; X 1/4&quot;BSP"/>
        <s v="BUCHA REDUÇÃO GF CL 150 1/2&quot; X 3/8&quot;BSP"/>
        <s v="BUCHA REDUÇÃO GF CL 150 2&quot; X 1&quot;BSP"/>
        <s v="BUCHA REDUÇÃO GF CL 150 2&quot; X 1.1/2&quot;BSP"/>
        <s v="BUCHA REDUÇÃO GF CL 150 3/4&quot; X 1/2&quot;BSP"/>
        <s v="BUCHA REDUÇÃO GF CL 150 3/4&quot; X 1/4&quot;BSP"/>
        <s v="BUCHA REDUÇÃO GF CL 150 3/4&quot; X 3/8&quot;BSP"/>
        <s v="BUJÃO C/ REBORDO GF CL 150 1&quot;BSP"/>
        <s v="BUJÃO C/ REBORDO GF CL 150 2&quot;BSP"/>
        <s v="BUJÃO C/ REBORDO GF CL 150 3/4&quot;BSP"/>
        <s v="BUJÃO GF CL 150 1&quot;BSP"/>
        <s v="BUJÃO GF CL 150 1/2&quot;BSP"/>
        <s v="BUJÃO GF CL 150 2&quot;BSP"/>
        <s v="BUJÃO GF CL 150 3/4&quot;BSP"/>
        <s v="CANTONEIRA AÇO ABAS IGUAIS 1.1/2&quot; X 1/4&quot; X 6.000MM"/>
        <s v="CONDULETE ROSCÁVEL EM ALUMÍNIO C/ TAMPA 1.1/2&quot;BSP TIPO &quot;C&quot;"/>
        <s v="CONDULETE ROSCÁVEL EM ALUMÍNIO C/ TAMPA 1.1/2&quot;BSP TIPO &quot;LB&quot;"/>
        <s v="CONDULETE ROSCÁVEL EM ALUMÍNIO C/ TAMPA 1.1/2&quot;BSP TIPO &quot;LL&quot;"/>
        <s v="CONDULETE ROSCÁVEL EM ALUMÍNIO C/ TAMPA 1.1/2&quot;BSP TIPO &quot;LR&quot;"/>
        <s v="CONDULETE ROSCÁVEL EM ALUMÍNIO C/ TAMPA 1.1/2&quot;BSP TIPO &quot;T&quot;"/>
        <s v="CONDULETE ROSCÁVEL EM ALUMÍNIO C/ TAMPA 2&quot;BSP TIPO &quot;C&quot;"/>
        <s v="CONDULETE ROSCÁVEL EM ALUMÍNIO C/ TAMPA 2&quot;BSP TIPO &quot;LL&quot;"/>
        <s v="CONDULETE ROSCÁVEL EM ALUMÍNIO C/ TAMPA 2&quot;BSP TIPO &quot;LR&quot;"/>
        <s v="CONDULETE ROSCÁVEL EM ALUMÍNIO C/ TAMPA 2&quot;BSP TIPO &quot;T&quot;"/>
        <s v="CONDULETE ROSCÁVEL EM ALUMÍNIO C/ TAMPA 3/4&quot;BSP TIPO &quot;C&quot;"/>
        <s v="CONDULETE ROSCÁVEL EM ALUMÍNIO FUNDIDO EX-D C/ TAMPA 1&quot;NPT TIPO &quot;C&quot;"/>
        <s v="CONDULETE ROSCÁVEL EM ALUMÍNIO FUNDIDO EX-D C/ TAMPA 1&quot;NPT TIPO &quot;LB&quot;"/>
        <s v="CONDULETE ROSCÁVEL EM ALUMÍNIO FUNDIDO EX-D C/ TAMPA 1&quot;NPT TIPO &quot;LL&quot;"/>
        <s v="CONDULETE ROSCÁVEL EM ALUMÍNIO FUNDIDO EX-D C/ TAMPA 1&quot;NPT TIPO &quot;LR&quot;"/>
        <s v="CONDULETE ROSCÁVEL EM ALUMÍNIO FUNDIDO EX-D C/ TAMPA 1&quot;NPT TIPO &quot;T&quot;"/>
        <s v="CONDULETE ROSCÁVEL EM ALUMÍNIO FUNDIDO EX-D C/ TAMPA 1.1/2&quot;NPT TIPO &quot;LB&quot;"/>
        <s v="CONDULETE ROSCÁVEL EM ALUMÍNIO FUNDIDO EX-D C/ TAMPA 1.1/2&quot;NPT TIPO &quot;LL&quot;"/>
        <s v="CONDULETE ROSCÁVEL EM ALUMÍNIO FUNDIDO EX-D C/ TAMPA 1.1/2&quot;NPT TIPO &quot;LR&quot;"/>
        <s v="CONDULETE ROSCÁVEL EM ALUMÍNIO FUNDIDO EX-D C/ TAMPA 1.1/2&quot;NPT TIPO &quot;T&quot;"/>
        <s v="CONDULETE ROSCÁVEL EM ALUMÍNIO FUNDIDO EX-D C/ TAMPA 2&quot;NPT TIPO &quot;C&quot;"/>
        <s v="CONDULETE ROSCÁVEL EM ALUMÍNIO FUNDIDO EX-D C/ TAMPA 2&quot;NPT TIPO &quot;LB&quot;"/>
        <s v="CONDULETE ROSCÁVEL EM ALUMÍNIO FUNDIDO EX-D C/ TAMPA 2&quot;NPT TIPO &quot;LL&quot;"/>
        <s v="CONDULETE ROSCÁVEL EM ALUMÍNIO FUNDIDO EX-D C/ TAMPA 2&quot;NPT TIPO &quot;LR&quot;"/>
        <s v="CONDULETE ROSCÁVEL EM ALUMÍNIO FUNDIDO EX-D C/ TAMPA 2&quot;NPT TIPO &quot;T&quot;"/>
        <s v="CONDULETE ROSCÁVEL EM ALUMÍNIO FUNDIDO EX-D C/ TAMPA 3/4&quot;NPT TIPO &quot;C&quot;"/>
        <s v="CONDULETE ROSCÁVEL EM ALUMÍNIO FUNDIDO EX-D C/ TAMPA 3/4&quot;NPT TIPO &quot;T&quot;"/>
        <s v="COTOVELO GF CL 150 1&quot; BSP 45°"/>
        <s v="COTOVELO GF CL 150 1&quot; BSP 90°"/>
        <s v="COTOVELO GF CL 150 2&quot; BSP 45°"/>
        <s v="COTOVELO GF CL 150 2&quot; BSP 90°"/>
        <s v="COTOVELO GF CL 150 3/4&quot; BSP 45°"/>
        <s v="COTOVELO GF CL 150 3/4&quot; BSP 90°"/>
        <s v="CRUZETA GF CL 150 1&quot;BSP"/>
        <s v="CRUZETA GF CL 150 1/2&quot;BSP"/>
        <s v="CRUZETA GF CL 150 2&quot;BSP"/>
        <s v="CRUZETA GF CL 150 3/4&quot;BSP"/>
        <s v="CURVA HORIZONTAL P/ ELETROCALHA GF 18AWG 200 X 100MM 90º"/>
        <s v="CURVA HORIZONTAL P/ ELETROCALHA, GF, 18AWG, 100 X 100MM 90º"/>
        <s v="CURVA HORIZONTAL P/ ELETROCALHA, GF, CHAPA 18AWG, 300 X 100MM, 90º"/>
        <s v="CURVA P/ ELETRODUTO PESADO AÇO CARBONO GF NBR 5598 1&quot;"/>
        <s v="CURVA VERTICAL EXTERNA P/ ELETROCALHA 18AWG 200 X 100MM 90º"/>
        <s v="CURVA VERTICAL EXTERNA P/ ELETROCALHA, GF, 18AWG, 100 X 100MM 90º"/>
        <s v="CURVA VERTICAL EXTERNA P/ ELETROCALHA, GF, CHAPA 18AWG, 300 X 100MM, 90º"/>
        <s v="CURVA VERTICAL INTERNA P/ ELETROCALHA 18AWG 200 X 100MM 90º"/>
        <s v="CURVA VERTICAL INTERNA P/ ELETROCALHA, GF, 18AWG, 100 X 100MM 90º"/>
        <s v="CURVA VERTICAL INTERNA P/ ELETROCALHA, GF, CHAPA 18AWG, 300 X 100MM, 90º"/>
        <s v="ELETROCALHA FUNDO PERFURADO C/ VIROLA LATERAL 18AWG GF, TAMPA PRESSÃO 2 ÁGUAS 100X100X3000MM"/>
        <s v="ELETROCALHA FUNDO PERFURADO C/ VIROLA LATERAL 18AWG GF, TAMPA PRESSÃO 2 ÁGUAS 200X100X3000MM"/>
        <s v="ELETROCALHA FUNDO PERFURADO C/ VIROLA LATERAL 18AWG GF, TAMPA PRESSÃO 2 ÁGUAS 300X100X3000MM"/>
        <s v="ELETRODUTO PESADO C/ LUVA AÇO CARBONO GF EX-D NBR 5597 1&quot; X 3000MM NPT"/>
        <s v="ELETRODUTO PESADO C/ LUVA AÇO CARBONO GF EX-D NBR 5597 1.1/2&quot; X 3000MM NPT"/>
        <s v="ELETRODUTO PESADO C/ LUVA AÇO CARBONO GF EX-D NBR 5597 2&quot; X 3000MM NPT"/>
        <s v="ELETRODUTO PESADO C/ LUVA AÇO CARBONO GF NBR 5598 1.1/2&quot; X 3000MM BSP"/>
        <s v="LUVA GF CL 150 1&quot;BSP"/>
        <s v="LUVA GF CL 150 2&quot;BSP"/>
        <s v="LUVA GF CL 150 3/4&quot;BSP"/>
        <s v="LUVA GF P/ ELETRODUTO 1.1/2&quot;BSP"/>
        <s v="LUVA REDUÇÃO GF CL 150 1&quot; X 1/2&quot;BSP"/>
        <s v="LUVA REDUÇÃO GF CL 150 1&quot; X 3/4&quot;BSP"/>
        <s v="LUVA REDUÇÃO GF CL 150 1/2&quot; X 1/4&quot;BSP"/>
        <s v="LUVA REDUÇÃO GF CL 150 1/2&quot; X 3/8&quot;BSP"/>
        <s v="LUVA REDUÇÃO GF CL 150 2&quot; X 1&quot;BSP"/>
        <s v="LUVA REDUÇÃO GF CL 150 2&quot; X 1/2&quot;BSP"/>
        <s v="LUVA REDUÇÃO GF CL 150 2&quot; X 3/4&quot;BSP"/>
        <s v="LUVA REDUÇÃO GF CL 150 3/4&quot; X 1/2&quot;BSP"/>
        <s v="LUVA REDUÇÃO GF CL 150 3/4&quot; X 1/4&quot;BSP"/>
        <s v="LUVA REDUÇÃO GF CL 150 3/4&quot; X 3/8&quot;BSP"/>
        <s v="NIPLE DUPLO GF CL 150 1&quot;BSP"/>
        <s v="NIPLE DUPLO GF CL 150 1/2&quot;BSP"/>
        <s v="NIPLE DUPLO GF CL 150 2&quot;BSP"/>
        <s v="NIPLE DUPLO GF CL 150 3/4&quot;BSP"/>
        <s v="NIPLE DUPLO REDUÇÃO GF CL 150 1/2&quot; X 1/4&quot;BSP"/>
        <s v="PARAFUSO CABEÇA LENTILHA AUTO-TRAVANTE ZC 1/4&quot; X 1/2&quot;"/>
        <s v="PORCA ACABAMENTO ALUMÍNIO 1.1/2&quot;BSP"/>
        <s v="TALA P/ ELETROCALHA PERFURADA, GF, 18 AWG, 100 X 100MM"/>
        <s v="TAMPA P/ ELETROCALHA, 02 ÁGUAS, ENCAIXE PRESSÃO, GAVALUME, 100 X 3000MM "/>
        <s v="TAMPA P/ ELETROCALHA, 02 ÁGUAS, ENCAIXE PRESSÃO, GAVALUME, 200 X 3000MM "/>
        <s v="TAMPA P/ ELETROCALHA, 02 ÁGUAS, ENCAIXE PRESSÃO, GAVALUME, 300 X 3000MM "/>
        <s v="TAMPÃO REDONDO GF CL 150 1&quot;BSP"/>
        <s v="TAMPÃO REDONDO GF CL 150 1/2&quot;BSP"/>
        <s v="TAMPÃO REDONDO GF CL 150 2&quot;BSP"/>
        <s v="TAMPÃO REDONDO GF CL 150 3/4&quot;BSP"/>
        <s v="TAMPÃO SEXTAVADO GF CL 150 1&quot;BSP"/>
        <s v="TAMPÃO SEXTAVADO GF CL 150 1/2&quot;BSP"/>
        <s v="TAMPÃO SEXTAVADO GF CL 150 3/4&quot;BSP"/>
        <s v="TE REDUÇÃO  1&quot; X 1/2&quot; NPT GF CL150"/>
        <s v="TE REDUÇÃO  1/2&quot; X 1/4&quot; GF CL150"/>
        <s v="TE REDUÇÃO  1/2&quot; X 3/8&quot; GF CL150"/>
        <s v="TE REDUÇÃO  2&quot; X 1.1/4&quot; GF CL150"/>
        <s v="TE REDUÇÃO  2&quot; X 3/4&quot; GF CL150"/>
        <s v="TE REDUÇÃO  3/4&quot; X 1/2&quot; GF CL150"/>
        <s v="TE REDUÇÃO  3/4&quot; X 3/8&quot; GF CL150"/>
        <s v="TEE GF CL 150 1&quot;BSP"/>
        <s v="TEE GF CL 150 1/2&quot;BSP"/>
        <s v="TEE GF CL 150 1/2&quot;BSP 45°"/>
        <s v="TEE GF CL 150 3/4&quot;BSP"/>
        <s v="TEE GF CL 150 3/4&quot;BSP 45°"/>
        <s v="TEE HORIZONTAL P/ ELETROCALHA GF 18AWG C/ TAMPA 200 X 100MM 90º"/>
        <s v="TEE HORIZONTAL P/ ELETROCALHA, GF, 18AWG, C/ TAMPA, 100 X 100MM 90º"/>
        <s v="TEE HORIZONTAL P/ ELETROCALHA, GF, CHAPA 18AWG, C/ TAMPA, 300 X 100MM, 90º"/>
        <s v="TEE REDUÇÃO GF CL 150 2&quot; X 1&quot;BSP"/>
        <s v="TEE VERTICAL, DESCIDA LATERAL P/ ELETROCALHA, GF, 16AWG, 100 X 100MM 90º"/>
        <s v="TUBO AÇO CARBONO GF, C/ COSTURA, ATÉ 300 LBS, NBR 5580 M/ DIN 2440, DN. 20, 3/4&quot;BSP X 6000MM"/>
        <s v="TUBO AÇO CARBONO GF, C/ COSTURA, ATÉ 300 LBS, NBR 5580 M/ DIN 2440, DN. 25, 1&quot;BSP X 6000MM"/>
        <s v="TUBO AÇO CARBONO GF, C/ COSTURA, ATÉ 300 LBS, NBR 5580 M/ DIN 2440, DN. 50, 2&quot;BSP X 6000MM"/>
        <s v="UNIÃO ASSENTO CÔNICO BRONZE GF CL 150 1&quot;BSP"/>
        <s v="UNIÃO ASSENTO CÔNICO BRONZE GF CL 150 2&quot;BSP"/>
        <s v="UNIÃO ASSENTO CÔNICO BRONZE GF CL 150 3/4&quot;BSP"/>
        <s v="VALVULA ESFERA TRIPARTIDA,CL 300 CORPO E TP A 216 WCB, ESFERA ASTM A351 CF8, HASTE AISI 304, VED. PTFE ROSCA 2&quot; BSP"/>
        <s v="VALVULA ESFERA TRIPARTIDA,CL 300 CORPO E TP A 216 WCB, ESFERA ASTM A351 CF8, HASTE AISI 304, VED. PTFE ROSCA 3/4&quot; BSP"/>
        <s v="VÁLVULA ESFERA TRIPARTIDA,CL 300 CORPO E TP A 216 WCB, ESFERA ASTM A351 CF8, PASS. REDUZIDA, VED. PTFE ROSCA 1&quot; BSP"/>
        <s v="VÁLVULA ESFERA TRIPARTIDA,CL 300 CORPO E TP A 216 WCB, ESFERA ASTM A351 CF8, PASS. REDUZIDA, VED. PTFE ROSCA 1/2&quot; BSP"/>
        <s v="VERGALHÃO ROSCA TOTAL ZC 5/16&quot; X 3000M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2">
  <r>
    <n v="3482"/>
    <s v="JB"/>
    <s v="Juncion Box  - PA"/>
    <n v="73071100"/>
    <x v="0"/>
    <s v="BU-200-B"/>
    <n v="8"/>
    <s v="PC"/>
    <s v="DAISA"/>
    <n v="0.35"/>
    <n v="2.8"/>
    <s v="BU-200-B"/>
    <n v="0"/>
    <n v="0"/>
    <n v="0"/>
    <m/>
    <n v="0"/>
  </r>
  <r>
    <n v="3482"/>
    <s v="JB"/>
    <s v="Juncion Box  - I/O Fisico"/>
    <n v="73071100"/>
    <x v="0"/>
    <s v="BU-200-B"/>
    <n v="8"/>
    <s v="PC"/>
    <s v="DAISA"/>
    <n v="2.8808000000000002"/>
    <n v="23.046400000000002"/>
    <s v="BU-200-B"/>
    <n v="0"/>
    <n v="0"/>
    <n v="0"/>
    <m/>
    <n v="0"/>
  </r>
  <r>
    <n v="2607"/>
    <s v="LSLL"/>
    <s v="Chave Nivel - Caldeira"/>
    <n v="73071100"/>
    <x v="1"/>
    <s v="BU-034-B"/>
    <n v="2"/>
    <s v="PC"/>
    <s v="DAISA"/>
    <n v="0.74880000000000002"/>
    <n v="1.4976"/>
    <s v="BU-034-B"/>
    <n v="0"/>
    <n v="0"/>
    <n v="0"/>
    <m/>
    <n v="0"/>
  </r>
  <r>
    <n v="1115"/>
    <s v="CFTV"/>
    <s v="Cameras de CFTV"/>
    <m/>
    <x v="2"/>
    <s v="BRR 100 X 012"/>
    <n v="1"/>
    <s v="PC"/>
    <s v="DAISA"/>
    <n v="1.976"/>
    <n v="1.976"/>
    <s v="BRR 100 X 012"/>
    <n v="0"/>
    <n v="0"/>
    <n v="0"/>
    <m/>
    <n v="0"/>
  </r>
  <r>
    <n v="230"/>
    <s v="CFTV"/>
    <s v="Cameras de CFTV"/>
    <m/>
    <x v="3"/>
    <s v="BRR 100 X 034"/>
    <n v="1"/>
    <s v="PC"/>
    <s v="DAISA"/>
    <n v="3.7232000000000003"/>
    <n v="3.7232000000000003"/>
    <s v="BRR 100 X 034"/>
    <n v="0"/>
    <n v="0"/>
    <n v="0"/>
    <m/>
    <n v="0"/>
  </r>
  <r>
    <n v="1117"/>
    <s v="XV"/>
    <s v="Válv. On/Off Discreto"/>
    <m/>
    <x v="4"/>
    <s v="BRR 034 X 012"/>
    <n v="1"/>
    <s v="PC"/>
    <s v="DAISA"/>
    <n v="1.05"/>
    <n v="1.05"/>
    <s v="BRR 034 X 012"/>
    <n v="67"/>
    <n v="67"/>
    <n v="70.350000000000009"/>
    <m/>
    <n v="0"/>
  </r>
  <r>
    <n v="1117"/>
    <s v="XV"/>
    <s v="Válv. On/Off AS-i"/>
    <m/>
    <x v="4"/>
    <s v="BRR 034 X 012"/>
    <n v="1"/>
    <s v="PC"/>
    <s v="DAISA"/>
    <n v="1.05"/>
    <n v="1.05"/>
    <s v="BRR 034 X 012"/>
    <n v="0"/>
    <n v="0"/>
    <n v="0"/>
    <m/>
    <n v="0"/>
  </r>
  <r>
    <n v="1117"/>
    <s v="MV"/>
    <s v="Válv. Motorizada Profibus DP"/>
    <m/>
    <x v="4"/>
    <s v="BRR 034 X 012"/>
    <n v="1"/>
    <s v="PC"/>
    <s v="DAISA"/>
    <n v="1.05"/>
    <n v="1.05"/>
    <s v="BRR 034 X 012"/>
    <n v="0"/>
    <n v="0"/>
    <n v="0"/>
    <m/>
    <n v="0"/>
  </r>
  <r>
    <n v="1117"/>
    <s v="MV"/>
    <s v="Válv. Motorizada I/O"/>
    <m/>
    <x v="4"/>
    <s v="BRR 034 X 012"/>
    <n v="1"/>
    <s v="PC"/>
    <s v="DAISA"/>
    <n v="1.05"/>
    <n v="1.05"/>
    <s v="BRR 034 X 012"/>
    <n v="0"/>
    <n v="0"/>
    <n v="0"/>
    <m/>
    <n v="0"/>
  </r>
  <r>
    <n v="1117"/>
    <s v="CV"/>
    <s v="Válv. Controle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CV"/>
    <s v="Válv. Controle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TT "/>
    <s v="TT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T "/>
    <s v="TT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Termopar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Termopar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Pt-100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Pt-100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ZS"/>
    <s v="Sensores Discretos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PIT"/>
    <s v="PIT Vapor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Vapor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Tri Clamp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Tri Clamp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Manometr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Manometrico - Hart"/>
    <m/>
    <x v="4"/>
    <s v="BRR 034 X 012"/>
    <n v="1"/>
    <s v="PC"/>
    <s v="DAISA"/>
    <n v="1.05"/>
    <n v="1.05"/>
    <s v="BRR 034 X 012"/>
    <n v="3"/>
    <n v="3"/>
    <n v="3.1500000000000004"/>
    <m/>
    <n v="0"/>
  </r>
  <r>
    <n v="1117"/>
    <s v="PIT"/>
    <s v="PIT Gases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Gases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Diferenci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Diferencial - HART"/>
    <m/>
    <x v="4"/>
    <s v="BRR 034 X 012"/>
    <n v="1"/>
    <s v="PC"/>
    <s v="DAISA"/>
    <n v="1.05"/>
    <n v="1.05"/>
    <s v="BRR 034 X 012"/>
    <n v="2"/>
    <n v="2"/>
    <n v="2.1"/>
    <m/>
    <n v="0"/>
  </r>
  <r>
    <n v="1117"/>
    <s v="PIT"/>
    <s v="PIT Ar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r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gua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gua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"/>
    <s v="Manometro - Tubulão - Caldeir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Ultrasson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Ultrassonico -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LIT"/>
    <s v="LIT Tubulão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ubulão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q. Descarg. Continu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q. Descarg. Continu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Manometr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Manometric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Fechad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Fechado -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LIT"/>
    <s v="LIT Flang. Tq. Abert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Abert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orn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orn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iferenci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iferencial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esaerador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esaerador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GTW"/>
    <s v="Gateway DP/PA"/>
    <m/>
    <x v="4"/>
    <s v="BRR 034 X 012"/>
    <n v="2"/>
    <s v="PC"/>
    <s v="DAISA"/>
    <n v="1.05"/>
    <n v="2.1"/>
    <s v="BRR 034 X 012"/>
    <n v="0"/>
    <n v="0"/>
    <n v="0"/>
    <m/>
    <n v="0"/>
  </r>
  <r>
    <n v="1117"/>
    <s v="GTW"/>
    <s v="Gateway DP/AS-i"/>
    <m/>
    <x v="4"/>
    <s v="BRR 034 X 012"/>
    <n v="2"/>
    <s v="PC"/>
    <s v="DAISA"/>
    <n v="1.05"/>
    <n v="2.1"/>
    <s v="BRR 034 X 012"/>
    <n v="0"/>
    <n v="0"/>
    <n v="0"/>
    <m/>
    <n v="0"/>
  </r>
  <r>
    <n v="1117"/>
    <s v="FIT"/>
    <s v="FIT Vapor P22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P22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F11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F11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Remot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Remot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Integr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Integral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Diferencial Águ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Diferencial Águ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SLL"/>
    <s v="Chave Nivel - Caldeira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CFTV"/>
    <s v="Cameras de CFTV"/>
    <m/>
    <x v="4"/>
    <s v="BRR 034 X 012"/>
    <n v="2"/>
    <s v="PC"/>
    <s v="DAISA"/>
    <n v="1.05"/>
    <n v="2.1"/>
    <s v="BRR 034 X 012"/>
    <n v="0"/>
    <n v="0"/>
    <n v="0"/>
    <m/>
    <n v="0"/>
  </r>
  <r>
    <n v="1117"/>
    <s v="XV"/>
    <s v="Atuador Damper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XV"/>
    <s v="Atuador Damper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PA - 4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PA - 4 Fios - Tanque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Hart - 4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Hart - 4 Fios - Tanque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Hart - 2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Hart - 2 Fios - Tanque"/>
    <m/>
    <x v="4"/>
    <s v="BRR 034 X 012"/>
    <n v="1"/>
    <s v="PC"/>
    <s v="DAISA"/>
    <n v="1.05"/>
    <n v="1.05"/>
    <s v="BRR 034 X 012"/>
    <n v="0"/>
    <n v="0"/>
    <n v="0"/>
    <m/>
    <n v="0"/>
  </r>
  <r>
    <n v="83"/>
    <s v="XV"/>
    <s v="Válv. On/Off Discreto Exd"/>
    <m/>
    <x v="5"/>
    <s v="CX / BRD-21 FG"/>
    <n v="1"/>
    <s v="PC"/>
    <s v="TELBRA"/>
    <n v="6.3"/>
    <n v="6.3"/>
    <s v="CX / BRD-21 FG"/>
    <n v="0"/>
    <n v="0"/>
    <n v="0"/>
    <m/>
    <n v="0"/>
  </r>
  <r>
    <n v="83"/>
    <s v="XV"/>
    <s v="Válv. On/Off AS-i Exd"/>
    <m/>
    <x v="6"/>
    <s v="CX / BRD-21 FG"/>
    <n v="1"/>
    <s v="PC"/>
    <s v="TELBRA"/>
    <n v="6.3"/>
    <n v="6.3"/>
    <s v="CX / BRD-21 FG"/>
    <n v="0"/>
    <n v="0"/>
    <n v="0"/>
    <m/>
    <n v="0"/>
  </r>
  <r>
    <n v="83"/>
    <s v="CV"/>
    <s v="Válv. Controle Exd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CV"/>
    <s v="Válv. Controle Exd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TT "/>
    <s v="TT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TT "/>
    <s v="TT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ZS"/>
    <s v="Sensores Discretos Exd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Tri Clamp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Tri Clamp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Manometrico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Manometrico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Diferencial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Diferencial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Ultrassonico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Ultrassonico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Manometrico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Manometrico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Flang. Tq. Fechado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Flang. Tq. Fechado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Diferencial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Diferencial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Remoto Exd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Remoto Exd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Integral Exd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Integral Exd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Diferencial Água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Diferencial Água Exd - Hart"/>
    <n v="31"/>
    <x v="6"/>
    <s v="CX / BRD-21 FG"/>
    <n v="1"/>
    <s v="PC"/>
    <s v="TELBRA"/>
    <n v="6.3"/>
    <n v="6.3"/>
    <s v="CX / BRD-21 FG"/>
    <n v="0"/>
    <n v="0"/>
    <n v="0"/>
    <m/>
    <n v="0"/>
  </r>
  <r>
    <n v="1303"/>
    <s v="PIT"/>
    <s v="PIT Gases Caldeira - PA"/>
    <m/>
    <x v="7"/>
    <n v="241"/>
    <n v="2"/>
    <s v="PC"/>
    <s v="TUPY"/>
    <n v="13.156000000000001"/>
    <n v="26.312000000000001"/>
    <n v="241"/>
    <n v="0"/>
    <n v="0"/>
    <n v="0"/>
    <m/>
    <n v="0"/>
  </r>
  <r>
    <n v="1303"/>
    <s v="PIT"/>
    <s v="PIT Gases Caldeira - Hart"/>
    <n v="73071910"/>
    <x v="7"/>
    <n v="241"/>
    <n v="2"/>
    <s v="PC"/>
    <s v="TUPY"/>
    <n v="13.156000000000001"/>
    <n v="26.312000000000001"/>
    <n v="241"/>
    <n v="0"/>
    <n v="0"/>
    <n v="0"/>
    <m/>
    <n v="0"/>
  </r>
  <r>
    <n v="1303"/>
    <s v="PIT"/>
    <s v="PIT Ar Caldeira - PA"/>
    <n v="73071910"/>
    <x v="7"/>
    <n v="241"/>
    <n v="1"/>
    <s v="PC"/>
    <s v="TUPY"/>
    <n v="13.156000000000001"/>
    <n v="13.156000000000001"/>
    <n v="241"/>
    <n v="0"/>
    <n v="0"/>
    <n v="0"/>
    <m/>
    <n v="0"/>
  </r>
  <r>
    <n v="1303"/>
    <s v="PIT"/>
    <s v="PIT Ar Caldeira - Hart"/>
    <n v="73071910"/>
    <x v="7"/>
    <n v="241"/>
    <n v="1"/>
    <s v="PC"/>
    <s v="TUPY"/>
    <n v="13.156000000000001"/>
    <n v="13.156000000000001"/>
    <n v="241"/>
    <n v="0"/>
    <n v="0"/>
    <n v="0"/>
    <m/>
    <n v="0"/>
  </r>
  <r>
    <n v="3080"/>
    <s v="PIT"/>
    <s v="PIT Vapor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Vapor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Hart"/>
    <n v="74122000"/>
    <x v="8"/>
    <s v="K008344-BC-02M"/>
    <n v="1"/>
    <s v="PC"/>
    <s v="NORGREN"/>
    <n v="4.6800000000000006"/>
    <n v="4.6800000000000006"/>
    <s v="K008344-BC-02M"/>
    <n v="3"/>
    <n v="3"/>
    <n v="14.040000000000003"/>
    <m/>
    <n v="0"/>
  </r>
  <r>
    <n v="3080"/>
    <s v="PIT"/>
    <s v="PIT Manometrico -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Gases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Gases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- HART"/>
    <n v="74122000"/>
    <x v="8"/>
    <s v="K008344-BC-02M"/>
    <n v="1"/>
    <s v="PC"/>
    <s v="NORGREN"/>
    <n v="4.6800000000000006"/>
    <n v="4.6800000000000006"/>
    <s v="K008344-BC-02M"/>
    <n v="2"/>
    <n v="2"/>
    <n v="9.3600000000000012"/>
    <m/>
    <n v="0"/>
  </r>
  <r>
    <n v="3080"/>
    <s v="PIT"/>
    <s v="PIT Ar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r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gua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gua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ubulão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ubulão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q. Descarg. Continu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q. Descarg. Continu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- Hart"/>
    <n v="74122000"/>
    <x v="8"/>
    <s v="K008344-BC-02M"/>
    <n v="1"/>
    <s v="PC"/>
    <s v="NORGREN"/>
    <n v="4.6800000000000006"/>
    <n v="4.6800000000000006"/>
    <s v="K008344-BC-02M"/>
    <n v="4"/>
    <n v="4"/>
    <n v="18.720000000000002"/>
    <m/>
    <n v="0"/>
  </r>
  <r>
    <n v="3080"/>
    <s v="LIT"/>
    <s v="LIT Flang. Tq. Aberto - PA"/>
    <n v="74122000"/>
    <x v="8"/>
    <s v="K008344-BC-02M"/>
    <n v="2"/>
    <s v="PC"/>
    <s v="NORGREN"/>
    <n v="4.6800000000000006"/>
    <n v="9.3600000000000012"/>
    <s v="K008344-BC-02M"/>
    <n v="0"/>
    <n v="0"/>
    <n v="0"/>
    <m/>
    <n v="0"/>
  </r>
  <r>
    <n v="3080"/>
    <s v="LIT"/>
    <s v="LIT Flang. Tq. Aberto - Hart"/>
    <n v="74122000"/>
    <x v="8"/>
    <s v="K008344-BC-02M"/>
    <n v="2"/>
    <s v="PC"/>
    <s v="NORGREN"/>
    <n v="4.6800000000000006"/>
    <n v="9.3600000000000012"/>
    <s v="K008344-BC-02M"/>
    <n v="0"/>
    <n v="0"/>
    <n v="0"/>
    <m/>
    <n v="0"/>
  </r>
  <r>
    <n v="3080"/>
    <s v="LIT"/>
    <s v="LIT Dorn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orn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esaerador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esaerador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P22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P22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F11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F11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Exd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Exd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Exd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Exd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185"/>
    <s v="PIT"/>
    <s v="PIT Gases Caldeira - PA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Gases Caldeira - Hart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Ar Caldeira - PA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Ar Caldeira - Hart"/>
    <n v="73071910"/>
    <x v="9"/>
    <n v="290"/>
    <n v="1"/>
    <s v="PC"/>
    <s v="TUPY"/>
    <n v="2.028"/>
    <n v="2.028"/>
    <n v="290"/>
    <n v="0"/>
    <n v="0"/>
    <n v="0"/>
    <m/>
    <n v="0"/>
  </r>
  <r>
    <n v="4839"/>
    <s v="CFTV"/>
    <s v="Cameras de CFTV"/>
    <n v="85442000"/>
    <x v="10"/>
    <n v="0"/>
    <n v="10"/>
    <s v="M"/>
    <n v="0"/>
    <n v="3.1200000000000006"/>
    <n v="31.200000000000006"/>
    <s v="AUT-4839"/>
    <n v="0"/>
    <n v="0"/>
    <n v="0"/>
    <n v="0.11"/>
    <n v="0"/>
  </r>
  <r>
    <n v="4371"/>
    <s v="GTW"/>
    <s v="Gateway DP/PA"/>
    <n v="85444900"/>
    <x v="11"/>
    <n v="0"/>
    <n v="200"/>
    <s v="PC"/>
    <s v="SPAR-FLEX"/>
    <n v="2.028"/>
    <n v="405.6"/>
    <s v="AUT-4371"/>
    <n v="0"/>
    <n v="0"/>
    <n v="0"/>
    <n v="0.11"/>
    <n v="22"/>
  </r>
  <r>
    <n v="4371"/>
    <s v="GTW"/>
    <s v="Gateway DP/AS-i"/>
    <n v="85444900"/>
    <x v="11"/>
    <n v="0"/>
    <n v="200"/>
    <s v="PC"/>
    <s v="SPAR-FLEX"/>
    <n v="2.028"/>
    <n v="405.6"/>
    <s v="AUT-4371"/>
    <n v="0"/>
    <n v="0"/>
    <n v="0"/>
    <n v="0.11"/>
    <n v="22"/>
  </r>
  <r>
    <n v="4371"/>
    <s v="CFTV"/>
    <s v="Cameras de CFTV"/>
    <n v="85444900"/>
    <x v="11"/>
    <n v="0"/>
    <n v="100"/>
    <s v="PC"/>
    <s v="SPAR-FLEX"/>
    <n v="2.028"/>
    <n v="202.8"/>
    <s v="AUT-4371"/>
    <n v="0"/>
    <n v="0"/>
    <n v="0"/>
    <n v="0.11"/>
    <n v="0"/>
  </r>
  <r>
    <n v="4054"/>
    <s v="FIT"/>
    <s v="FIT Magnético Remoto Exd- PA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Exd- Hart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- PA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- Hart"/>
    <n v="85444900"/>
    <x v="12"/>
    <n v="900550"/>
    <n v="40"/>
    <s v="M"/>
    <s v="ENERGIFLEX"/>
    <n v="3.24"/>
    <n v="129.60000000000002"/>
    <n v="900550"/>
    <n v="0"/>
    <n v="0"/>
    <n v="0"/>
    <n v="0.11"/>
    <n v="0"/>
  </r>
  <r>
    <n v="4054"/>
    <s v="AIT"/>
    <s v="AIT PA - 4 Fios - Tubul.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AIT"/>
    <s v="AIT PA - 4 Fios - Tanque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AIT"/>
    <s v="AIT Hart - 4 Fios - Tubul."/>
    <n v="85444900"/>
    <x v="12"/>
    <n v="900550"/>
    <n v="40"/>
    <s v="M"/>
    <s v="ENERGIFLEX"/>
    <n v="3.24"/>
    <n v="129.60000000000002"/>
    <n v="900550"/>
    <n v="0"/>
    <n v="0"/>
    <n v="0"/>
    <n v="0.11"/>
    <n v="0"/>
  </r>
  <r>
    <n v="4054"/>
    <s v="AIT"/>
    <s v="AIT Hart - 4 Fios - Tanque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87"/>
    <s v="XV"/>
    <s v="Válv. On/Off Discreto Exd"/>
    <n v="85444900"/>
    <x v="13"/>
    <n v="900402"/>
    <n v="0"/>
    <s v="M"/>
    <s v="ENERGIFLEX"/>
    <n v="3.8480000000000008"/>
    <n v="0"/>
    <n v="900402"/>
    <n v="0"/>
    <n v="0"/>
    <n v="0"/>
    <m/>
    <n v="0"/>
  </r>
  <r>
    <n v="4087"/>
    <s v="XV"/>
    <s v="Válv. On/Off Discreto"/>
    <n v="85444900"/>
    <x v="13"/>
    <n v="900402"/>
    <n v="0"/>
    <s v="M"/>
    <s v="ENERGIFLEX"/>
    <n v="3.8480000000000008"/>
    <n v="0"/>
    <n v="900402"/>
    <n v="67"/>
    <n v="0"/>
    <n v="0"/>
    <m/>
    <n v="0"/>
  </r>
  <r>
    <n v="2961"/>
    <s v="MV"/>
    <s v="Válv. Motorizada I/O"/>
    <n v="85444900"/>
    <x v="14"/>
    <n v="900407"/>
    <n v="40"/>
    <s v="M"/>
    <s v="ENERGIFLEX"/>
    <n v="12.646400000000002"/>
    <n v="505.85600000000005"/>
    <n v="900407"/>
    <n v="0"/>
    <n v="0"/>
    <n v="0"/>
    <n v="0.11"/>
    <n v="0"/>
  </r>
  <r>
    <n v="6966"/>
    <s v="JB"/>
    <s v="Juncion Box  - I/O Fisico"/>
    <n v="85444900"/>
    <x v="15"/>
    <n v="0"/>
    <n v="50"/>
    <s v="M"/>
    <s v="SPAR FLEX"/>
    <n v="29.12"/>
    <n v="1456"/>
    <s v="AUT-6966"/>
    <n v="0"/>
    <n v="0"/>
    <n v="0"/>
    <m/>
    <n v="0"/>
  </r>
  <r>
    <n v="5139"/>
    <s v="CV"/>
    <s v="Válv. Controle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CV"/>
    <s v="Válv. Controle Exd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T "/>
    <s v="TT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T "/>
    <s v="TT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IT"/>
    <s v="TIT - Termopar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IT"/>
    <s v="TIT - Pt-100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Vapor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Tri Clamp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Tri Clamp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Manometr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Manometrico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Gases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Diferencial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Diferenci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Ar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Agua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Ultrasson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Tubulão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Tq. Descarg. Continu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Manometr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Manometrico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Fechado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Fechad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Abert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orn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iferencial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iferenci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esaerador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JB"/>
    <s v="Juncion Box 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GTW"/>
    <s v="Gateway DP/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GTW"/>
    <s v="Gateway DP/AS-i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Vapor P22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Vapor F11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Remoto Exd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Remot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Integral Exd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Integr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Diferencial Água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Diferencial Águ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XV"/>
    <s v="Atuador Damper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AIT"/>
    <s v="AIT PA - 4 Fios - Tubul.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AIT"/>
    <s v="AIT PA - 4 Fios - Tanque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2805"/>
    <s v="XV"/>
    <s v="Válv. On/Off Discreto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Válv. On/Off Discreto"/>
    <n v="72162100"/>
    <x v="17"/>
    <n v="0"/>
    <n v="2.9"/>
    <s v="KG"/>
    <s v="GERDAU"/>
    <n v="2.67"/>
    <n v="7.7429999999999994"/>
    <s v="AUT-2805"/>
    <n v="67"/>
    <n v="195"/>
    <n v="520.65"/>
    <n v="0.13"/>
    <n v="25.35"/>
  </r>
  <r>
    <n v="2805"/>
    <s v="XV"/>
    <s v="Válv. On/Off AS-i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Válv. On/Off AS-i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Hart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CV"/>
    <s v="Válv. Controle Exd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Exd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Hart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TT "/>
    <s v="TT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Termopar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Termopar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Pt-100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Pt-100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ZS"/>
    <s v="Sensores Discretos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ZS"/>
    <s v="Sensores Discretos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PIT"/>
    <s v="PIT Vapor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Vapor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Hart"/>
    <n v="72162100"/>
    <x v="17"/>
    <n v="0"/>
    <n v="2.9"/>
    <s v="KG"/>
    <s v="GERDAU"/>
    <n v="2.67"/>
    <n v="7.7429999999999994"/>
    <s v="AUT-2805"/>
    <n v="3"/>
    <n v="9"/>
    <n v="24.03"/>
    <n v="0.13"/>
    <n v="1.17"/>
  </r>
  <r>
    <n v="2805"/>
    <s v="PIT"/>
    <s v="PIT Manometrico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Gases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Gases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- HART"/>
    <n v="72162100"/>
    <x v="17"/>
    <n v="0"/>
    <n v="2.9"/>
    <s v="KG"/>
    <s v="GERDAU"/>
    <n v="2.67"/>
    <n v="7.7429999999999994"/>
    <s v="AUT-2805"/>
    <n v="2"/>
    <n v="6"/>
    <n v="16.02"/>
    <n v="0.12"/>
    <n v="0.34799999999999998"/>
  </r>
  <r>
    <n v="2805"/>
    <s v="PIT"/>
    <s v="PIT Ar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r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gua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gua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"/>
    <s v="Manometro - Tubulão - Caldeir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- Hart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LIT"/>
    <s v="LIT Tubulão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ubulão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q. Descarg. Continu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q. Descarg. Continu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- Hart"/>
    <n v="72162100"/>
    <x v="17"/>
    <n v="0"/>
    <n v="2.9"/>
    <s v="KG"/>
    <s v="GERDAU"/>
    <n v="2.67"/>
    <n v="7.7429999999999994"/>
    <s v="AUT-2805"/>
    <n v="4"/>
    <n v="12"/>
    <n v="32.04"/>
    <n v="0.12"/>
    <n v="0.34799999999999998"/>
  </r>
  <r>
    <n v="2805"/>
    <s v="LIT"/>
    <s v="LIT Flang. Tq. Abert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Aberto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orn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orn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esaerador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esaerador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JB"/>
    <s v="Juncion Box 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JB"/>
    <s v="Juncion Box  - I/O Fisico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GTW"/>
    <s v="Gateway DP/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GTW"/>
    <s v="Gateway DP/AS-i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P22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P22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F11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F11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Exd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Exd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- Hart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FIT"/>
    <s v="FIT Magnético Integral Exd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Exd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SLL"/>
    <s v="Chave Nivel - Caldeir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FTV"/>
    <s v="Cameras de CFTV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XV"/>
    <s v="Atuador Damper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Atuador Damper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PA - 4 Fios - Tubul.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PA - 4 Fios - Tanque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Hart - 4 Fios - Tubul.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AIT"/>
    <s v="AIT Hart - 4 Fios - Tanque"/>
    <n v="72162100"/>
    <x v="17"/>
    <n v="0"/>
    <n v="2.9"/>
    <s v="KG"/>
    <s v="GERDAU"/>
    <n v="2.67"/>
    <n v="7.7429999999999994"/>
    <s v="AUT-2805"/>
    <n v="0"/>
    <n v="0"/>
    <n v="0"/>
    <m/>
    <n v="0"/>
  </r>
  <r>
    <n v="2805"/>
    <s v="AIT"/>
    <s v="AIT Hart - 2 Fios - Tubul."/>
    <n v="72162100"/>
    <x v="17"/>
    <n v="0"/>
    <n v="2.9"/>
    <s v="KG"/>
    <s v="GERDAU"/>
    <n v="2.67"/>
    <n v="7.7429999999999994"/>
    <s v="AUT-2805"/>
    <n v="0"/>
    <n v="0"/>
    <n v="0"/>
    <m/>
    <n v="0"/>
  </r>
  <r>
    <n v="2805"/>
    <s v="AIT"/>
    <s v="AIT Hart - 2 Fios - Tanque"/>
    <n v="72162100"/>
    <x v="17"/>
    <n v="0"/>
    <n v="2.9"/>
    <s v="KG"/>
    <s v="GERDAU"/>
    <n v="2.67"/>
    <n v="7.7429999999999994"/>
    <s v="AUT-2805"/>
    <n v="0"/>
    <n v="0"/>
    <n v="0"/>
    <m/>
    <n v="0"/>
  </r>
  <r>
    <n v="1783"/>
    <s v="MV"/>
    <s v="Válv. Motorizada Profibus DP"/>
    <n v="83071090"/>
    <x v="18"/>
    <s v="SSP-10534"/>
    <n v="2"/>
    <s v="M"/>
    <s v="S.P.T.F"/>
    <n v="7.2176000000000009"/>
    <n v="14.435200000000002"/>
    <s v="SSP-10534"/>
    <n v="0"/>
    <n v="0"/>
    <n v="0"/>
    <m/>
    <n v="0"/>
  </r>
  <r>
    <n v="1783"/>
    <s v="MV"/>
    <s v="Válv. Motorizada I/O"/>
    <n v="83071090"/>
    <x v="18"/>
    <s v="SSP-10534"/>
    <n v="2"/>
    <s v="M"/>
    <s v="S.P.T.F"/>
    <n v="7.2176000000000009"/>
    <n v="14.435200000000002"/>
    <s v="SSP-10534"/>
    <n v="0"/>
    <n v="0"/>
    <n v="0"/>
    <m/>
    <n v="0"/>
  </r>
  <r>
    <n v="3500"/>
    <s v="CFTV"/>
    <s v="Cameras de CFTV"/>
    <n v="76090000"/>
    <x v="19"/>
    <s v="DVRT 100-BSP-C"/>
    <n v="1"/>
    <s v="PC"/>
    <s v="DAISA"/>
    <n v="8.9440000000000008"/>
    <n v="8.9440000000000008"/>
    <s v="DVRT 100-BSP-C"/>
    <n v="0"/>
    <n v="0"/>
    <n v="0"/>
    <m/>
    <n v="0"/>
  </r>
  <r>
    <n v="4869"/>
    <s v="CFTV"/>
    <s v="Cameras de CFTV"/>
    <n v="76090000"/>
    <x v="20"/>
    <s v="DVRT 100-BSP-LB"/>
    <n v="1"/>
    <s v="PC"/>
    <s v="DAISA"/>
    <n v="8.9440000000000008"/>
    <n v="8.9440000000000008"/>
    <s v="DVRT 100-BSP-LB"/>
    <n v="0"/>
    <n v="0"/>
    <n v="0"/>
    <m/>
    <n v="0"/>
  </r>
  <r>
    <n v="203"/>
    <s v="CFTV"/>
    <s v="Cameras de CFTV"/>
    <n v="76090000"/>
    <x v="21"/>
    <s v="DVRT 100-BSP-LL"/>
    <n v="1"/>
    <s v="PC"/>
    <s v="DAISA"/>
    <n v="8.9440000000000008"/>
    <n v="8.9440000000000008"/>
    <s v="DVRT 100-BSP-LL"/>
    <n v="0"/>
    <n v="0"/>
    <n v="0"/>
    <m/>
    <n v="0"/>
  </r>
  <r>
    <n v="2547"/>
    <s v="CFTV"/>
    <s v="Cameras de CFTV"/>
    <n v="76090000"/>
    <x v="22"/>
    <s v="DVRT 100-BSP-LR"/>
    <n v="1"/>
    <s v="PC"/>
    <s v="DAISA"/>
    <n v="9.2560000000000002"/>
    <n v="9.2560000000000002"/>
    <s v="DVRT 100-BSP-LR"/>
    <n v="0"/>
    <n v="0"/>
    <n v="0"/>
    <m/>
    <n v="0"/>
  </r>
  <r>
    <n v="4625"/>
    <s v="CFTV"/>
    <s v="Cameras de CFTV"/>
    <n v="76090000"/>
    <x v="23"/>
    <s v="DVRT 100-BSP-T"/>
    <n v="1"/>
    <s v="PC"/>
    <s v="DAISA"/>
    <n v="10.171200000000001"/>
    <n v="10.171200000000001"/>
    <s v="DVRT 100-BSP-T"/>
    <n v="0"/>
    <n v="0"/>
    <n v="0"/>
    <m/>
    <n v="0"/>
  </r>
  <r>
    <n v="4646"/>
    <s v="JB"/>
    <s v="Juncion Box  - PA"/>
    <n v="76090000"/>
    <x v="24"/>
    <s v="DIIRT 200-BSP-LB"/>
    <n v="3"/>
    <s v="PC"/>
    <s v="DAISA"/>
    <n v="25.916800000000002"/>
    <n v="77.750400000000013"/>
    <s v="DIIRT 200-BSP-LB"/>
    <n v="0"/>
    <n v="0"/>
    <n v="0"/>
    <m/>
    <n v="0"/>
  </r>
  <r>
    <n v="4646"/>
    <s v="JB"/>
    <s v="Juncion Box  - I/O Fisico"/>
    <n v="76090000"/>
    <x v="24"/>
    <s v="DIIRT 200-BSP-LB"/>
    <n v="3"/>
    <s v="PC"/>
    <s v="DAISA"/>
    <n v="25.916800000000002"/>
    <n v="77.750400000000013"/>
    <s v="DIIRT 200-BSP-LB"/>
    <n v="0"/>
    <n v="0"/>
    <n v="0"/>
    <m/>
    <n v="0"/>
  </r>
  <r>
    <n v="3436"/>
    <s v="XV"/>
    <s v="Válv. On/Off Discreto"/>
    <n v="76090000"/>
    <x v="25"/>
    <s v="DIIRT 034-BSP-C"/>
    <n v="1"/>
    <s v="PC"/>
    <s v="DAISA"/>
    <n v="6.0424000000000007"/>
    <n v="6.0424000000000007"/>
    <s v="DIIRT 034-BSP-C"/>
    <n v="67"/>
    <n v="67"/>
    <n v="404.84080000000006"/>
    <m/>
    <n v="0"/>
  </r>
  <r>
    <n v="3436"/>
    <s v="XV"/>
    <s v="Válv. On/Off AS-i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MV"/>
    <s v="Válv. Motorizada Profibus DP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MV"/>
    <s v="Válv. Motorizada I/O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V"/>
    <s v="Válv. Controle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V"/>
    <s v="Válv. Controle Hart"/>
    <n v="76090000"/>
    <x v="25"/>
    <s v="DIIRT 034-BSP-C"/>
    <n v="1"/>
    <s v="PC"/>
    <s v="DAISA"/>
    <n v="6.0424000000000007"/>
    <n v="6.0424000000000007"/>
    <s v="DIIRT 034-BSP-C"/>
    <n v="4"/>
    <n v="4"/>
    <n v="24.169600000000003"/>
    <m/>
    <n v="0"/>
  </r>
  <r>
    <n v="3436"/>
    <s v="TT "/>
    <s v="TT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T "/>
    <s v="TT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Termopar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Termopar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Pt-100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Pt-100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GTW"/>
    <s v="Gateway DP/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GTW"/>
    <s v="Gateway DP/AS-i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FTV"/>
    <s v="Cameras de CFTV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XV"/>
    <s v="Atuador Damper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XV"/>
    <s v="Atuador Damper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PA - 4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PA - 4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4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4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2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2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2904"/>
    <s v="ZS"/>
    <s v="Sensores Discretos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PIT"/>
    <s v="PIT Vapor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Vapor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Tri Clamp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Tri Clamp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Manometr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Manometrico - Hart"/>
    <n v="76090000"/>
    <x v="26"/>
    <s v="DVRT 034-BSP-LB"/>
    <n v="0.75"/>
    <s v="PC"/>
    <s v="DAISA"/>
    <n v="6.0424000000000007"/>
    <n v="4.5318000000000005"/>
    <s v="DVRT 034-BSP-LB"/>
    <n v="3"/>
    <n v="3"/>
    <n v="18.127200000000002"/>
    <m/>
    <n v="0"/>
  </r>
  <r>
    <n v="2904"/>
    <s v="PIT"/>
    <s v="PIT Gases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Gases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Diferenci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Diferencial - HART"/>
    <n v="76090000"/>
    <x v="26"/>
    <s v="DVRT 034-BSP-LB"/>
    <n v="0.75"/>
    <s v="PC"/>
    <s v="DAISA"/>
    <n v="6.0424000000000007"/>
    <n v="4.5318000000000005"/>
    <s v="DVRT 034-BSP-LB"/>
    <n v="2"/>
    <n v="2"/>
    <n v="12.084800000000001"/>
    <m/>
    <n v="0"/>
  </r>
  <r>
    <n v="2904"/>
    <s v="PIT"/>
    <s v="PIT Ar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r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gua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gua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Ultrasson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Ultrassonico - Hart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LIT"/>
    <s v="LIT Tubulão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ubulão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q. Descarg. Continu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q. Descarg. Continu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Manometr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Manometric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Fechad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Fechado - Hart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LIT"/>
    <s v="LIT Flang. Tq. Abert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Abert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orn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orn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iferenci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iferencial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esaerador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esaerador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GTW"/>
    <s v="Gateway DP/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GTW"/>
    <s v="Gateway DP/AS-i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P22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P22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F11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F11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Remot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Remot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Integr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Integral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Diferencial Águ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Diferencial Águ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SLL"/>
    <s v="Chave Nivel - Caldeir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CFTV"/>
    <s v="Cameras de CFTV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11"/>
    <s v="ZS"/>
    <s v="Sensores Discretos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PIT"/>
    <s v="PIT Vapor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Vapor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Tri Clamp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Tri Clamp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Manometr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Manometrico - Hart"/>
    <n v="76090000"/>
    <x v="27"/>
    <s v="DIIRT 034-BSP-LL"/>
    <n v="0.75"/>
    <s v="PC"/>
    <s v="DAISA"/>
    <n v="6.0424000000000007"/>
    <n v="4.5318000000000005"/>
    <s v="DIIRT 034-BSP-LL"/>
    <n v="3"/>
    <n v="3"/>
    <n v="18.127200000000002"/>
    <m/>
    <n v="0"/>
  </r>
  <r>
    <n v="2911"/>
    <s v="PIT"/>
    <s v="PIT Gases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Gases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Diferenci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Diferencial - HART"/>
    <n v="76090000"/>
    <x v="27"/>
    <s v="DIIRT 034-BSP-LL"/>
    <n v="0.75"/>
    <s v="PC"/>
    <s v="DAISA"/>
    <n v="6.0424000000000007"/>
    <n v="4.5318000000000005"/>
    <s v="DIIRT 034-BSP-LL"/>
    <n v="2"/>
    <n v="2"/>
    <n v="12.084800000000001"/>
    <m/>
    <n v="0"/>
  </r>
  <r>
    <n v="2911"/>
    <s v="PIT"/>
    <s v="PIT Ar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r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gua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gua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Ultrasson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Ultrassonico - Hart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LIT"/>
    <s v="LIT Tubulão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ubulão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q. Descarg. Continu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q. Descarg. Continu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Manometr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Manometric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Fechad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Fechado - Hart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LIT"/>
    <s v="LIT Flang. Tq. Abert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Abert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orn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orn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iferenci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iferencial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esaerador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esaerador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GTW"/>
    <s v="Gateway DP/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GTW"/>
    <s v="Gateway DP/AS-i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P22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P22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F11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F11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Remot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Remot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Integr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Integral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Diferencial Águ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Diferencial Águ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SLL"/>
    <s v="Chave Nivel - Caldeir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CFTV"/>
    <s v="Cameras de CFTV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4823"/>
    <s v="XV"/>
    <s v="Válv. On/Off Discreto"/>
    <n v="76090000"/>
    <x v="28"/>
    <s v="DVRT 034-BSP-LR"/>
    <n v="0.75"/>
    <s v="PC"/>
    <s v="DAISA"/>
    <n v="6.0424000000000007"/>
    <n v="4.5318000000000005"/>
    <s v="DVRT 034-BSP-LR"/>
    <n v="67"/>
    <n v="51"/>
    <n v="308.16240000000005"/>
    <m/>
    <n v="0"/>
  </r>
  <r>
    <n v="4823"/>
    <s v="XV"/>
    <s v="Válv. On/Off AS-i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MV"/>
    <s v="Válv. Motorizada Profibus DP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MV"/>
    <s v="Válv. Motorizada I/O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V"/>
    <s v="Válv. Controle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V"/>
    <s v="Válv. Controle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TT "/>
    <s v="TT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T "/>
    <s v="TT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Termopar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Termopar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Pt-100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Pt-100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ZS"/>
    <s v="Sensores Discretos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PIT"/>
    <s v="PIT Vapor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Vapor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Tri Clamp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Tri Clamp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Manometr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Manometrico - Hart"/>
    <n v="76090000"/>
    <x v="28"/>
    <s v="DVRT 034-BSP-LR"/>
    <n v="0.75"/>
    <s v="PC"/>
    <s v="DAISA"/>
    <n v="6.0424000000000007"/>
    <n v="4.5318000000000005"/>
    <s v="DVRT 034-BSP-LR"/>
    <n v="3"/>
    <n v="3"/>
    <n v="18.127200000000002"/>
    <m/>
    <n v="0"/>
  </r>
  <r>
    <n v="4823"/>
    <s v="PIT"/>
    <s v="PIT Gases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Gases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Diferenci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Diferencial - HART"/>
    <n v="76090000"/>
    <x v="28"/>
    <s v="DVRT 034-BSP-LR"/>
    <n v="0.75"/>
    <s v="PC"/>
    <s v="DAISA"/>
    <n v="6.0424000000000007"/>
    <n v="4.5318000000000005"/>
    <s v="DVRT 034-BSP-LR"/>
    <n v="2"/>
    <n v="2"/>
    <n v="12.084800000000001"/>
    <m/>
    <n v="0"/>
  </r>
  <r>
    <n v="4823"/>
    <s v="PIT"/>
    <s v="PIT Ar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r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gua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gua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Ultrasson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Ultrassonico -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LIT"/>
    <s v="LIT Tubulão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ubulão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q. Descarg. Continu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q. Descarg. Continu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Manometr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Manometric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Fechad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Fechado -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LIT"/>
    <s v="LIT Flang. Tq. Abert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Abert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orn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orn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iferenci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iferencial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esaerador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esaerador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GTW"/>
    <s v="Gateway DP/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GTW"/>
    <s v="Gateway DP/AS-i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P22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P22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F11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F11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Remot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Remot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Integr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Integral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Diferencial Águ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Diferencial Águ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SLL"/>
    <s v="Chave Nivel - Caldeir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FTV"/>
    <s v="Cameras de CFTV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XV"/>
    <s v="Atuador Damper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XV"/>
    <s v="Atuador Damper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PA - 4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PA - 4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4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4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2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2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2912"/>
    <s v="XV"/>
    <s v="Válv. On/Off Discreto"/>
    <n v="76090000"/>
    <x v="29"/>
    <s v="DIIRT 034-BSP-T"/>
    <n v="0.5"/>
    <s v="PC"/>
    <s v="DAISA"/>
    <n v="9.6720000000000024"/>
    <n v="4.8360000000000012"/>
    <s v="DIIRT 034-BSP-T"/>
    <n v="67"/>
    <n v="34"/>
    <n v="328.84800000000007"/>
    <m/>
    <n v="0"/>
  </r>
  <r>
    <n v="2912"/>
    <s v="XV"/>
    <s v="Válv. On/Off AS-i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MV"/>
    <s v="Válv. Motorizada Profibus DP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MV"/>
    <s v="Válv. Motorizada I/O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CV"/>
    <s v="Válv. Controle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CV"/>
    <s v="Válv. Controle Hart"/>
    <n v="76090000"/>
    <x v="29"/>
    <s v="DIIRT 034-BSP-T"/>
    <n v="0.5"/>
    <s v="PC"/>
    <s v="DAISA"/>
    <n v="9.6720000000000024"/>
    <n v="4.8360000000000012"/>
    <s v="DIIRT 034-BSP-T"/>
    <n v="4"/>
    <n v="2"/>
    <n v="19.344000000000005"/>
    <m/>
    <n v="0"/>
  </r>
  <r>
    <n v="2912"/>
    <s v="TT "/>
    <s v="TT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T "/>
    <s v="TT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Termopar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Termopar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Pt-100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Pt-100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GTW"/>
    <s v="Gateway DP/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GTW"/>
    <s v="Gateway DP/AS-i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LSLL"/>
    <s v="Chave Nivel - Caldeira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CFTV"/>
    <s v="Cameras de CFTV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XV"/>
    <s v="Atuador Damper PA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XV"/>
    <s v="Atuador Damper Hart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PA - 4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PA - 4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4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4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2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2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06"/>
    <s v="LSLL"/>
    <s v="Chave Nivel - Caldeira"/>
    <n v="76090000"/>
    <x v="30"/>
    <s v="DIIRT 034-BSP-X"/>
    <n v="1"/>
    <s v="PC"/>
    <s v="DAISA"/>
    <n v="11.138400000000003"/>
    <n v="11.138400000000003"/>
    <s v="DIIRT 034-BSP-X"/>
    <n v="0"/>
    <n v="0"/>
    <n v="0"/>
    <m/>
    <n v="0"/>
  </r>
  <r>
    <n v="3738"/>
    <s v="XV"/>
    <s v="Válv. On/Off Discreto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XV"/>
    <s v="Válv. On/Off AS-i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CV"/>
    <s v="Válv. Controle Exd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CV"/>
    <s v="Válv. Controle Exd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TT "/>
    <s v="TT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TT "/>
    <s v="TT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ZS"/>
    <s v="Sensores Discretos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Tri Clamp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Tri Clamp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Manometrico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Manometrico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Diferencial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Diferencial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Ultrassonico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Ultrassonico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Manometrico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Manometrico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Flang. Tq. Fechado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Flang. Tq. Fechado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Diferencial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Diferencial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Remoto Exd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Remoto Exd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Integral Exd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Integral Exd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Diferencial Água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Diferencial Água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1710"/>
    <s v="XV"/>
    <s v="Válv. On/Off Discreto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XV"/>
    <s v="Válv. On/Off AS-i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CV"/>
    <s v="Válv. Controle Exd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CV"/>
    <s v="Válv. Controle Exd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TT "/>
    <s v="TT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TT "/>
    <s v="TT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ZS"/>
    <s v="Sensores Discretos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Tri Clamp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Tri Clamp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Manometrico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Manometrico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Diferencial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Diferencial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Ultrassonico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Ultrassonico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Manometrico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Manometrico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Flang. Tq. Fechado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Flang. Tq. Fechado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Diferencial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Diferencial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Remoto Exd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Remoto Exd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Integral Exd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Integral Exd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Diferencial Água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Diferencial Água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5"/>
    <s v="XV"/>
    <s v="Válv. On/Off Discreto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XV"/>
    <s v="Válv. On/Off AS-i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CV"/>
    <s v="Válv. Controle Exd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CV"/>
    <s v="Válv. Controle Exd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TT "/>
    <s v="TT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TT "/>
    <s v="TT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ZS"/>
    <s v="Sensores Discretos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Tri Clamp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Tri Clamp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Manometrico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Manometrico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Diferencial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Diferencial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Ultrassonico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Ultrassonico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Manometrico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Manometrico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Flang. Tq. Fechado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Flang. Tq. Fechado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Diferencial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Diferencial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Remoto Exd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Remoto Exd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Integral Exd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Integral Exd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Diferencial Água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Diferencial Água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3566"/>
    <s v="XV"/>
    <s v="Válv. On/Off Discreto Exd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Discreto"/>
    <n v="74122000"/>
    <x v="34"/>
    <s v="C01250848"/>
    <n v="1"/>
    <s v="PC"/>
    <s v="NORGREN"/>
    <n v="3.74"/>
    <n v="3.74"/>
    <s v="C01250848"/>
    <n v="67"/>
    <n v="67"/>
    <n v="250.58"/>
    <m/>
    <n v="0"/>
  </r>
  <r>
    <n v="3566"/>
    <s v="XV"/>
    <s v="Válv. On/Off AS-i Exd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AS-i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Hart"/>
    <n v="74122000"/>
    <x v="34"/>
    <s v="C01250848"/>
    <n v="1"/>
    <s v="PC"/>
    <s v="NORGREN"/>
    <n v="3.74"/>
    <n v="3.74"/>
    <s v="C01250848"/>
    <n v="4"/>
    <n v="4"/>
    <n v="14.96"/>
    <m/>
    <n v="0"/>
  </r>
  <r>
    <n v="3566"/>
    <s v="CV"/>
    <s v="Válv. Controle Exd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Exd Hart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Atuador Damper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Atuador Damper Hart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Discreto Exd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Válv. On/Off Discreto"/>
    <n v="74122000"/>
    <x v="34"/>
    <s v="C01250828"/>
    <n v="1"/>
    <s v="PC"/>
    <s v="NORGREN"/>
    <n v="3.74"/>
    <n v="3.74"/>
    <s v="C01250828"/>
    <n v="67"/>
    <n v="67"/>
    <n v="250.58"/>
    <m/>
    <n v="0"/>
  </r>
  <r>
    <n v="3566"/>
    <s v="XV"/>
    <s v="Válv. On/Off AS-i Exd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Válv. On/Off AS-i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Hart"/>
    <n v="74122000"/>
    <x v="34"/>
    <s v="C01250828"/>
    <n v="1"/>
    <s v="PC"/>
    <s v="NORGREN"/>
    <n v="3.74"/>
    <n v="3.74"/>
    <s v="C01250828"/>
    <n v="4"/>
    <n v="4"/>
    <n v="14.96"/>
    <m/>
    <n v="0"/>
  </r>
  <r>
    <n v="3566"/>
    <s v="CV"/>
    <s v="Válv. Controle Exd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Exd Hart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Atuador Damper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Atuador Damper Hart"/>
    <n v="74122000"/>
    <x v="34"/>
    <s v="C01250828"/>
    <n v="1"/>
    <s v="PC"/>
    <s v="NORGREN"/>
    <n v="3.74"/>
    <n v="3.74"/>
    <s v="C01250828"/>
    <n v="0"/>
    <n v="0"/>
    <n v="0"/>
    <m/>
    <n v="0"/>
  </r>
  <r>
    <n v="158"/>
    <s v="MV"/>
    <s v="Válv. Motorizada Profibus DP"/>
    <n v="76090000"/>
    <x v="35"/>
    <s v="CMZGL-34"/>
    <n v="2"/>
    <s v="PC"/>
    <s v="S.P.T.F"/>
    <n v="8.9648000000000003"/>
    <n v="17.929600000000001"/>
    <s v="CMZGL-34"/>
    <n v="0"/>
    <n v="0"/>
    <n v="0"/>
    <m/>
    <n v="0"/>
  </r>
  <r>
    <n v="158"/>
    <s v="MV"/>
    <s v="Válv. Motorizada I/O"/>
    <n v="76090000"/>
    <x v="35"/>
    <s v="CMZGL-34"/>
    <n v="2"/>
    <s v="PC"/>
    <s v="S.P.T.F"/>
    <n v="8.9648000000000003"/>
    <n v="17.929600000000001"/>
    <s v="CMZGL-34"/>
    <n v="0"/>
    <n v="0"/>
    <n v="0"/>
    <m/>
    <n v="0"/>
  </r>
  <r>
    <n v="2909"/>
    <s v="PIT"/>
    <s v="PIT Vapor Caldeir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PIT"/>
    <s v="PIT Vapor Caldeir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PIT"/>
    <s v="PIT Manometrico -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Manometrico -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Gases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Gases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Diferencial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- HART"/>
    <n v="73072200"/>
    <x v="36"/>
    <s v="8-CM-8-316"/>
    <n v="4"/>
    <s v="PC"/>
    <s v="TRIUNION"/>
    <n v="29.12"/>
    <n v="116.48"/>
    <s v="8-CM-8-316"/>
    <n v="2"/>
    <n v="8"/>
    <n v="232.96"/>
    <m/>
    <n v="0"/>
  </r>
  <r>
    <n v="2909"/>
    <s v="PIT"/>
    <s v="PIT Ar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r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gua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gua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"/>
    <s v="Manometro - Tubulão - Caldeir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Tubulão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Tubulão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Tq. Descarg. Continua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Tq. Descarg. Continua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Manometrico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Exd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Exd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Flang. Tq. Fechado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- Hart"/>
    <n v="73072200"/>
    <x v="36"/>
    <s v="8-CM-8-316"/>
    <n v="4"/>
    <s v="PC"/>
    <s v="TRIUNION"/>
    <n v="29.12"/>
    <n v="116.48"/>
    <s v="8-CM-8-316"/>
    <n v="4"/>
    <n v="16"/>
    <n v="465.92"/>
    <m/>
    <n v="0"/>
  </r>
  <r>
    <n v="2909"/>
    <s v="LIT"/>
    <s v="LIT Dorn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Dorn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Diferencial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esaerador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Desaerador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FIT"/>
    <s v="FIT Vapor P22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P22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F11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F11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Diferencial Água Exd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Exd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AIT"/>
    <s v="AIT PA - 4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2909"/>
    <s v="AIT"/>
    <s v="AIT Hart - 4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2909"/>
    <s v="AIT"/>
    <s v="AIT Hart - 2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1535"/>
    <s v="PIT"/>
    <s v="PIT Manometrico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PIT"/>
    <s v="PIT Manometrico - Hart"/>
    <n v="73072200"/>
    <x v="37"/>
    <n v="0"/>
    <n v="2"/>
    <s v="PC"/>
    <s v="F. MASTER"/>
    <n v="30.992000000000004"/>
    <n v="61.984000000000009"/>
    <s v="AUT-1535"/>
    <n v="3"/>
    <n v="6"/>
    <n v="185.95200000000003"/>
    <m/>
    <n v="0"/>
  </r>
  <r>
    <n v="1535"/>
    <s v="PIT"/>
    <s v="PIT Agua Caldeira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PIT"/>
    <s v="PIT Agua Caldeira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Tubulão Caldeira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Tubulão Caldeira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Desaerador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LIT"/>
    <s v="LIT Desaerador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Desaerador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LIT"/>
    <s v="LIT Desaerador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FIT"/>
    <s v="FIT Diferencial Água Exd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Exd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2300"/>
    <s v="PIT"/>
    <s v="PIT Vapor Caldeir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Vapor Caldeira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Manometrico -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Manometrico -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Gases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Gases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Ar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Ar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"/>
    <s v="Manometro - Tubulão - Caldeir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Tubulão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LIT"/>
    <s v="LIT Tubulão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LIT"/>
    <s v="LIT Tq. Descarg. Continu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Tq. Descarg. Continua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- Hart"/>
    <n v="73072200"/>
    <x v="38"/>
    <s v="8-U-316"/>
    <n v="1"/>
    <s v="PC"/>
    <s v="TRIUNION"/>
    <n v="44.72"/>
    <n v="44.72"/>
    <s v="8-U-316"/>
    <n v="4"/>
    <n v="4"/>
    <n v="178.88"/>
    <m/>
    <n v="0"/>
  </r>
  <r>
    <n v="2300"/>
    <s v="LIT"/>
    <s v="LIT Diferencial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esaerador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esaerador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P22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P22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F11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F11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- Hart"/>
    <n v="73072200"/>
    <x v="38"/>
    <s v="8-U-316"/>
    <n v="1"/>
    <s v="PC"/>
    <s v="TRIUNION"/>
    <n v="44.72"/>
    <n v="44.72"/>
    <s v="8-U-316"/>
    <n v="0"/>
    <n v="0"/>
    <n v="0"/>
    <m/>
    <n v="0"/>
  </r>
  <r>
    <n v="7163"/>
    <s v="PIT"/>
    <s v="PIT Manometrico - PA"/>
    <n v="73072200"/>
    <x v="39"/>
    <n v="0"/>
    <n v="1"/>
    <s v="PC"/>
    <s v="F. MASTER"/>
    <n v="66.56"/>
    <n v="66.56"/>
    <s v="AUT-7163"/>
    <n v="0"/>
    <n v="0"/>
    <n v="0"/>
    <m/>
    <n v="0"/>
  </r>
  <r>
    <n v="7163"/>
    <s v="PIT"/>
    <s v="PIT Manometrico - Hart"/>
    <n v="73072200"/>
    <x v="39"/>
    <n v="0"/>
    <n v="1"/>
    <s v="PC"/>
    <s v="F. MASTER"/>
    <n v="66.56"/>
    <n v="66.56"/>
    <s v="AUT-7163"/>
    <n v="3"/>
    <n v="3"/>
    <n v="199.68"/>
    <m/>
    <n v="0"/>
  </r>
  <r>
    <n v="7163"/>
    <s v="PIT"/>
    <s v="PIT Manometrico -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Manometrico -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Gases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Gases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Diferencial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- HART"/>
    <n v="73072200"/>
    <x v="39"/>
    <n v="0"/>
    <n v="4"/>
    <s v="PC"/>
    <s v="F. MASTER"/>
    <n v="66.56"/>
    <n v="266.24"/>
    <s v="AUT-7163"/>
    <n v="2"/>
    <n v="8"/>
    <n v="532.48"/>
    <m/>
    <n v="0"/>
  </r>
  <r>
    <n v="7163"/>
    <s v="PIT"/>
    <s v="PIT Ar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r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gua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gua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Tubulão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Tubulão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Flang. Tq. Fechado Exd - PA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Exd - Hart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- PA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- Hart"/>
    <n v="73072200"/>
    <x v="39"/>
    <n v="0"/>
    <n v="3"/>
    <s v="PC"/>
    <s v="F. MASTER"/>
    <n v="66.56"/>
    <n v="199.68"/>
    <s v="AUT-7163"/>
    <n v="4"/>
    <n v="12"/>
    <n v="798.72"/>
    <m/>
    <n v="0"/>
  </r>
  <r>
    <n v="7163"/>
    <s v="LIT"/>
    <s v="LIT Desaerador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Desaerador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FIT"/>
    <s v="FIT Diferencial Água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- Hart"/>
    <n v="73072200"/>
    <x v="39"/>
    <n v="0"/>
    <n v="4"/>
    <s v="PC"/>
    <s v="F. MASTER"/>
    <n v="66.56"/>
    <n v="266.24"/>
    <s v="AUT-7163"/>
    <n v="0"/>
    <n v="0"/>
    <n v="0"/>
    <m/>
    <n v="0"/>
  </r>
  <r>
    <n v="2864"/>
    <s v="LIT"/>
    <s v="LIT Tq. Descarg. Continua - PA"/>
    <n v="73072200"/>
    <x v="40"/>
    <n v="0"/>
    <n v="3"/>
    <s v="PC"/>
    <s v="F. MASTER"/>
    <n v="79.040000000000006"/>
    <n v="237.12"/>
    <s v="AUT-2864"/>
    <n v="0"/>
    <n v="0"/>
    <n v="0"/>
    <m/>
    <n v="0"/>
  </r>
  <r>
    <n v="2864"/>
    <s v="LIT"/>
    <s v="LIT Tq. Descarg. Continua - Hart"/>
    <n v="73072200"/>
    <x v="40"/>
    <n v="0"/>
    <n v="3"/>
    <s v="PC"/>
    <s v="F. MASTER"/>
    <n v="79.040000000000006"/>
    <n v="237.12"/>
    <s v="AUT-2864"/>
    <n v="0"/>
    <n v="0"/>
    <n v="0"/>
    <m/>
    <n v="0"/>
  </r>
  <r>
    <n v="2864"/>
    <s v="LIT"/>
    <s v="LIT Diferencial Exd - PA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Exd - Hart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- PA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- Hart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941"/>
    <s v="FIT"/>
    <s v="FIT Vapor P22 - PA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P22 - Hart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F11 - PA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F11 - Hart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752"/>
    <s v="LIT"/>
    <s v="LIT Dorna - PA"/>
    <n v="73071900"/>
    <x v="41"/>
    <n v="120"/>
    <n v="1"/>
    <s v="PC"/>
    <s v="TUPY"/>
    <n v="4.6176000000000013"/>
    <n v="4.6176000000000013"/>
    <n v="120"/>
    <n v="0"/>
    <n v="0"/>
    <n v="0"/>
    <m/>
    <n v="0"/>
  </r>
  <r>
    <n v="752"/>
    <s v="LIT"/>
    <s v="LIT Dorna - Hart"/>
    <n v="73071900"/>
    <x v="41"/>
    <n v="120"/>
    <n v="1"/>
    <s v="PC"/>
    <s v="TUPY"/>
    <n v="4.6176000000000013"/>
    <n v="4.6176000000000013"/>
    <n v="120"/>
    <n v="0"/>
    <n v="0"/>
    <n v="0"/>
    <m/>
    <n v="0"/>
  </r>
  <r>
    <n v="2079"/>
    <s v="LIT"/>
    <s v="LIT Dorna - PA"/>
    <n v="73071900"/>
    <x v="42"/>
    <n v="90"/>
    <n v="3"/>
    <s v="PC"/>
    <s v="TUPY"/>
    <n v="3.1824000000000003"/>
    <n v="9.5472000000000001"/>
    <n v="90"/>
    <n v="0"/>
    <n v="0"/>
    <n v="0"/>
    <m/>
    <n v="0"/>
  </r>
  <r>
    <n v="2079"/>
    <s v="LIT"/>
    <s v="LIT Dorna - Hart"/>
    <n v="73071900"/>
    <x v="42"/>
    <n v="90"/>
    <n v="3"/>
    <s v="PC"/>
    <s v="TUPY"/>
    <n v="3.1824000000000003"/>
    <n v="9.5472000000000001"/>
    <n v="90"/>
    <n v="0"/>
    <n v="0"/>
    <n v="0"/>
    <m/>
    <n v="0"/>
  </r>
  <r>
    <n v="3417"/>
    <s v="XV"/>
    <s v="Válv. On/Off Discreto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XV"/>
    <s v="Válv. On/Off AS-i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CV"/>
    <s v="Válv. Controle Exd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CV"/>
    <s v="Válv. Controle Exd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TT "/>
    <s v="TT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TT "/>
    <s v="TT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ZS"/>
    <s v="Sensores Discretos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Tri Clamp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Tri Clamp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Manometrico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Manometrico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Diferencial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Diferencial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Ultrassonico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Ultrassonico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Manometrico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Manometrico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Flang. Tq. Fechado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Flang. Tq. Fechado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Diferencial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Diferencial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Remoto Exd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Remoto Exd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Integral Exd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Integral Exd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Diferencial Água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Diferencial Água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2894"/>
    <s v="CFTV"/>
    <s v="Cameras de CFTV"/>
    <n v="73063000"/>
    <x v="44"/>
    <n v="0"/>
    <n v="2"/>
    <s v="BR"/>
    <s v="CARBINOX"/>
    <n v="40.986400000000003"/>
    <n v="81.972800000000007"/>
    <s v="AUT-2894"/>
    <n v="0"/>
    <n v="0"/>
    <n v="0"/>
    <n v="0.3"/>
    <n v="0"/>
  </r>
  <r>
    <n v="4307"/>
    <s v="JB"/>
    <s v="Juncion Box  - PA"/>
    <n v="73063000"/>
    <x v="45"/>
    <n v="0"/>
    <n v="4"/>
    <s v="BR"/>
    <s v="CARBINOX"/>
    <n v="75.3"/>
    <n v="301.2"/>
    <s v="AUT-4307"/>
    <n v="0"/>
    <n v="0"/>
    <n v="0"/>
    <m/>
    <n v="0"/>
  </r>
  <r>
    <n v="4307"/>
    <s v="JB"/>
    <s v="Juncion Box  - I/O Fisico"/>
    <n v="73063000"/>
    <x v="45"/>
    <n v="0"/>
    <n v="4"/>
    <s v="BR"/>
    <s v="CARBINOX"/>
    <n v="75.3"/>
    <n v="301.2"/>
    <s v="AUT-4307"/>
    <n v="0"/>
    <n v="0"/>
    <n v="0"/>
    <m/>
    <n v="0"/>
  </r>
  <r>
    <n v="4307"/>
    <s v="AIT"/>
    <s v="AIT PA - 4 Fios - Tanque"/>
    <n v="73063000"/>
    <x v="45"/>
    <n v="0"/>
    <n v="0"/>
    <s v="BR"/>
    <s v="CARBINOX"/>
    <n v="75.3"/>
    <n v="0"/>
    <s v="AUT-4307"/>
    <n v="0"/>
    <n v="0"/>
    <n v="0"/>
    <m/>
    <n v="0"/>
  </r>
  <r>
    <n v="4307"/>
    <s v="AIT"/>
    <s v="AIT Hart - 4 Fios - Tanque"/>
    <n v="73063000"/>
    <x v="45"/>
    <n v="0"/>
    <n v="0"/>
    <s v="BR"/>
    <s v="CARBINOX"/>
    <n v="75.3"/>
    <n v="0"/>
    <s v="AUT-4307"/>
    <n v="0"/>
    <n v="0"/>
    <n v="0"/>
    <m/>
    <n v="0"/>
  </r>
  <r>
    <n v="4307"/>
    <s v="AIT"/>
    <s v="AIT Hart - 2 Fios - Tanque"/>
    <n v="73063000"/>
    <x v="45"/>
    <n v="0"/>
    <n v="0"/>
    <s v="BR"/>
    <s v="CARBINOX"/>
    <n v="75.3"/>
    <n v="0"/>
    <s v="AUT-4307"/>
    <n v="0"/>
    <n v="0"/>
    <n v="0"/>
    <m/>
    <n v="0"/>
  </r>
  <r>
    <n v="4306"/>
    <s v="XV"/>
    <s v="Válv. On/Off Discreto"/>
    <n v="73063000"/>
    <x v="46"/>
    <n v="0"/>
    <n v="0.75"/>
    <s v="BR"/>
    <s v="CARBINOX"/>
    <n v="32.799999999999997"/>
    <n v="24.599999999999998"/>
    <s v="AUT-4306"/>
    <n v="67"/>
    <n v="51"/>
    <n v="1672.8"/>
    <n v="1.0499999999999998"/>
    <n v="53.54999999999999"/>
  </r>
  <r>
    <n v="4306"/>
    <s v="XV"/>
    <s v="Válv. On/Off AS-i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MV"/>
    <s v="Válv. Motorizada Profibus DP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MV"/>
    <s v="Válv. Motorizada I/O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CV"/>
    <s v="Válv. Controle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CV"/>
    <s v="Válv. Controle Hart"/>
    <n v="73063000"/>
    <x v="46"/>
    <n v="0"/>
    <n v="2"/>
    <s v="BR"/>
    <s v="CARBINOX"/>
    <n v="32.799999999999997"/>
    <n v="65.599999999999994"/>
    <s v="AUT-4306"/>
    <n v="4"/>
    <n v="8"/>
    <n v="262.39999999999998"/>
    <n v="1.0499999999999998"/>
    <n v="8.3999999999999986"/>
  </r>
  <r>
    <n v="4306"/>
    <s v="TT "/>
    <s v="TT - P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TT "/>
    <s v="TT - Hart"/>
    <n v="73063000"/>
    <x v="46"/>
    <n v="0"/>
    <n v="3"/>
    <s v="BR"/>
    <s v="CARBINOX"/>
    <n v="32.799999999999997"/>
    <n v="98.399999999999991"/>
    <s v="AUT-4306"/>
    <n v="0"/>
    <n v="0"/>
    <n v="0"/>
    <n v="1.0499999999999998"/>
    <n v="0"/>
  </r>
  <r>
    <n v="4306"/>
    <s v="TIT"/>
    <s v="TIT - Termopar - PA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Termopar - Hart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Pt-100 - PA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Pt-100 - Hart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ZS"/>
    <s v="Sensores Discretos"/>
    <n v="73063000"/>
    <x v="46"/>
    <n v="0"/>
    <n v="0.75"/>
    <s v="BR"/>
    <s v="CARBINOX"/>
    <n v="32.799999999999997"/>
    <n v="24.599999999999998"/>
    <s v="AUT-4306"/>
    <n v="4"/>
    <n v="3"/>
    <n v="98.399999999999991"/>
    <n v="1.0499999999999998"/>
    <n v="3.1499999999999995"/>
  </r>
  <r>
    <n v="4306"/>
    <s v="PIT"/>
    <s v="PIT Vapor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Vapor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Tri Clamp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Tri Clamp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Manometr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Manometrico - Hart"/>
    <n v="73063000"/>
    <x v="46"/>
    <n v="0"/>
    <n v="2"/>
    <s v="BR"/>
    <s v="CARBINOX"/>
    <n v="32.799999999999997"/>
    <n v="65.599999999999994"/>
    <s v="AUT-4306"/>
    <n v="3"/>
    <n v="6"/>
    <n v="196.79999999999998"/>
    <n v="1.0499999999999998"/>
    <n v="6.2999999999999989"/>
  </r>
  <r>
    <n v="4306"/>
    <s v="PIT"/>
    <s v="PIT Gases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Gases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Diferenci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Diferencial - HART"/>
    <n v="73063000"/>
    <x v="46"/>
    <n v="0"/>
    <n v="2"/>
    <s v="BR"/>
    <s v="CARBINOX"/>
    <n v="32.799999999999997"/>
    <n v="65.599999999999994"/>
    <s v="AUT-4306"/>
    <n v="2"/>
    <n v="4"/>
    <n v="131.19999999999999"/>
    <m/>
    <n v="0"/>
  </r>
  <r>
    <n v="4306"/>
    <s v="PIT"/>
    <s v="PIT Ar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r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gua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gua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Ultrasson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Ultrassonico - Hart"/>
    <n v="73063000"/>
    <x v="46"/>
    <n v="0"/>
    <n v="2"/>
    <s v="BR"/>
    <s v="CARBINOX"/>
    <n v="32.799999999999997"/>
    <n v="65.599999999999994"/>
    <s v="AUT-4306"/>
    <n v="4"/>
    <n v="8"/>
    <n v="262.39999999999998"/>
    <n v="1.0499999999999998"/>
    <n v="8.3999999999999986"/>
  </r>
  <r>
    <n v="4306"/>
    <s v="LIT"/>
    <s v="LIT Tubulão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ubulão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q. Descarg. Continu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q. Descarg. Continu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Manometr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Manometrico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Fechad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Fechado - Hart"/>
    <n v="73063000"/>
    <x v="46"/>
    <n v="0"/>
    <n v="2"/>
    <s v="BR"/>
    <s v="CARBINOX"/>
    <n v="32.799999999999997"/>
    <n v="65.599999999999994"/>
    <s v="AUT-4306"/>
    <n v="4"/>
    <n v="8"/>
    <n v="262.39999999999998"/>
    <m/>
    <n v="0"/>
  </r>
  <r>
    <n v="4306"/>
    <s v="LIT"/>
    <s v="LIT Flang. Tq. Abert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Aberto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orn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orn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iferenci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iferencial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esaerador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esaerador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GTW"/>
    <s v="Gateway DP/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GTW"/>
    <s v="Gateway DP/AS-i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P22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P22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F11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F11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Remot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Remoto - Hart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FIT"/>
    <s v="FIT Magnético Integr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Integral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Diferencial Águ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Diferencial Águ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SLL"/>
    <s v="Chave Nivel - Caldeir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CFTV"/>
    <s v="Cameras de CFTV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XV"/>
    <s v="Atuador Damper P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XV"/>
    <s v="Atuador Damper Hart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AIT"/>
    <s v="AIT PA - 4 Fios - Tubul.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PA - 4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4 Fios - Tubul.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AIT"/>
    <s v="AIT Hart - 4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2 Fios - Tubul.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2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2979"/>
    <s v="LIT"/>
    <s v="LIT Dorna - PA"/>
    <n v="73071910"/>
    <x v="47"/>
    <n v="270"/>
    <n v="2"/>
    <s v="PC"/>
    <s v="TUPY"/>
    <n v="2.8080000000000003"/>
    <n v="5.6160000000000005"/>
    <n v="270"/>
    <n v="0"/>
    <n v="0"/>
    <n v="0"/>
    <m/>
    <n v="0"/>
  </r>
  <r>
    <n v="2979"/>
    <s v="LIT"/>
    <s v="LIT Dorna - Hart"/>
    <n v="73071910"/>
    <x v="47"/>
    <n v="270"/>
    <n v="2"/>
    <s v="PC"/>
    <s v="TUPY"/>
    <n v="2.8080000000000003"/>
    <n v="5.6160000000000005"/>
    <n v="270"/>
    <n v="0"/>
    <n v="0"/>
    <n v="0"/>
    <m/>
    <n v="0"/>
  </r>
  <r>
    <n v="4518"/>
    <s v="CFTV"/>
    <s v="Cameras de CFTV"/>
    <n v="73072900"/>
    <x v="48"/>
    <n v="0"/>
    <n v="1"/>
    <s v="PC"/>
    <s v="CARBINOX"/>
    <n v="2.7040000000000006"/>
    <n v="2.7040000000000006"/>
    <s v="AUT-4518"/>
    <n v="0"/>
    <n v="0"/>
    <n v="0"/>
    <m/>
    <n v="0"/>
  </r>
  <r>
    <n v="4867"/>
    <s v="TT "/>
    <s v="TT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T "/>
    <s v="TT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Termopar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Termopar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Pt-100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Pt-100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GTW"/>
    <s v="Gateway DP/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GTW"/>
    <s v="Gateway DP/AS-i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CFTV"/>
    <s v="Cameras de CFTV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3316"/>
    <s v="TT "/>
    <s v="TT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T "/>
    <s v="TT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Termopar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Termopar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Pt-100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Pt-100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Manometrico - Exd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Manometrico - Exd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Agua Caldeira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Agua Caldeira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Tq. Descarg. Continua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Tq. Descarg. Continua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Manometrico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Exd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Exd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Flang. Tq. Fechado Exd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Exd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- Hart"/>
    <n v="0"/>
    <x v="50"/>
    <s v="AÇO CARBONO"/>
    <n v="2"/>
    <s v="PC"/>
    <s v="DIVERSOS"/>
    <n v="13.291200000000002"/>
    <n v="26.582400000000003"/>
    <s v="AÇO CARBONO"/>
    <n v="4"/>
    <n v="8"/>
    <n v="106.32960000000001"/>
    <m/>
    <n v="0"/>
  </r>
  <r>
    <n v="3316"/>
    <s v="LIT"/>
    <s v="LIT Dorna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Dorna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Diferencial Exd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Exd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1900"/>
    <s v="PIT"/>
    <s v="PIT Vapor Caldeira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Vapor Caldeira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Manometrico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Manometrico - Hart"/>
    <n v="73072200"/>
    <x v="51"/>
    <s v="8-NI-316"/>
    <n v="1"/>
    <s v="PC"/>
    <s v="TRIUNION"/>
    <n v="17.659200000000002"/>
    <n v="17.659200000000002"/>
    <s v="8-NI-316"/>
    <n v="3"/>
    <n v="3"/>
    <n v="52.97760000000001"/>
    <m/>
    <n v="0"/>
  </r>
  <r>
    <n v="1900"/>
    <s v="PIT"/>
    <s v="PIT Manometrico -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Manometrico -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- HART"/>
    <n v="73072200"/>
    <x v="51"/>
    <s v="8-NI-316"/>
    <n v="2"/>
    <s v="PC"/>
    <s v="TRIUNION"/>
    <n v="17.659200000000002"/>
    <n v="35.318400000000004"/>
    <s v="8-NI-316"/>
    <n v="2"/>
    <n v="4"/>
    <n v="70.636800000000008"/>
    <m/>
    <n v="0"/>
  </r>
  <r>
    <n v="1900"/>
    <s v="PIT"/>
    <s v="PIT Agua Caldeira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PIT"/>
    <s v="PIT Agua Caldeira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Manometrico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Exd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Exd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Flang. Tq. Fechado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- Hart"/>
    <n v="73072200"/>
    <x v="51"/>
    <s v="8-NI-316"/>
    <n v="2"/>
    <s v="PC"/>
    <s v="TRIUNION"/>
    <n v="17.659200000000002"/>
    <n v="35.318400000000004"/>
    <s v="8-NI-316"/>
    <n v="4"/>
    <n v="8"/>
    <n v="141.27360000000002"/>
    <m/>
    <n v="0"/>
  </r>
  <r>
    <n v="1900"/>
    <s v="LIT"/>
    <s v="LIT Diferencial Exd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Exd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AIT"/>
    <s v="AIT PA - 4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AIT"/>
    <s v="AIT Hart - 4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AIT"/>
    <s v="AIT Hart - 2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65"/>
    <s v="XV"/>
    <s v="Válv. On/Off Discreto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XV"/>
    <s v="Válv. On/Off AS-i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CV"/>
    <s v="Válv. Controle Exd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CV"/>
    <s v="Válv. Controle Exd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TT "/>
    <s v="TT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TT "/>
    <s v="TT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ZS"/>
    <s v="Sensores Discretos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Tri Clamp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Tri Clamp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Manometrico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Manometrico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Diferencial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Diferencial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Ultrassonico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Ultrassonico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Manometrico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Manometrico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Flang. Tq. Fechado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Flang. Tq. Fechado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Diferencial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Diferencial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Remoto Exd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Remoto Exd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Integral Exd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Integral Exd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Diferencial Água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Diferencial Água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2618"/>
    <s v="PI"/>
    <s v="Manometro - Tubulão - Caldeira"/>
    <n v="73181500"/>
    <x v="53"/>
    <s v="DP 615"/>
    <n v="3"/>
    <s v="PC"/>
    <s v="DISPAN"/>
    <n v="0.20800000000000002"/>
    <n v="0.62400000000000011"/>
    <s v="DP 615"/>
    <n v="0"/>
    <n v="0"/>
    <n v="0"/>
    <m/>
    <n v="0"/>
  </r>
  <r>
    <n v="2564"/>
    <s v="AIT"/>
    <s v="AIT PA - 4 Fios - Tanque"/>
    <n v="73145000"/>
    <x v="54"/>
    <s v="DP 504"/>
    <n v="6"/>
    <s v="M"/>
    <s v="DISPAN"/>
    <n v="63.44"/>
    <n v="380.64"/>
    <s v="DP 504"/>
    <n v="0"/>
    <n v="0"/>
    <n v="0"/>
    <m/>
    <n v="0"/>
  </r>
  <r>
    <n v="2564"/>
    <s v="AIT"/>
    <s v="AIT Hart - 4 Fios - Tanque"/>
    <n v="73145000"/>
    <x v="54"/>
    <s v="DP 504"/>
    <n v="6"/>
    <s v="M"/>
    <s v="DISPAN"/>
    <n v="63.44"/>
    <n v="380.64"/>
    <s v="DP 504"/>
    <n v="0"/>
    <n v="0"/>
    <n v="0"/>
    <m/>
    <n v="0"/>
  </r>
  <r>
    <n v="2564"/>
    <s v="AIT"/>
    <s v="AIT Hart - 2 Fios - Tanque"/>
    <n v="73145000"/>
    <x v="54"/>
    <s v="DP 504"/>
    <n v="6"/>
    <s v="M"/>
    <s v="DISPAN"/>
    <n v="63.44"/>
    <n v="380.64"/>
    <s v="DP 504"/>
    <n v="0"/>
    <n v="0"/>
    <n v="0"/>
    <m/>
    <n v="0"/>
  </r>
  <r>
    <n v="1871"/>
    <s v="CFTV"/>
    <s v="Cameras de CFTV"/>
    <n v="73071910"/>
    <x v="55"/>
    <s v="PU-100-BSP"/>
    <n v="2"/>
    <s v="PC"/>
    <s v="DAISA"/>
    <n v="1.196"/>
    <n v="2.3919999999999999"/>
    <s v="PU-100-BSP"/>
    <n v="0"/>
    <n v="0"/>
    <n v="0"/>
    <m/>
    <n v="0"/>
  </r>
  <r>
    <n v="2831"/>
    <s v="JB"/>
    <s v="Juncion Box  - PA"/>
    <n v="73071910"/>
    <x v="56"/>
    <s v="PU-200-BSP"/>
    <n v="8"/>
    <s v="PC"/>
    <s v="DAISA"/>
    <n v="2.8808000000000002"/>
    <n v="23.046400000000002"/>
    <s v="PU-200-BSP"/>
    <n v="0"/>
    <n v="0"/>
    <n v="0"/>
    <m/>
    <n v="0"/>
  </r>
  <r>
    <n v="2831"/>
    <s v="JB"/>
    <s v="Juncion Box  - I/O Fisico"/>
    <n v="73071910"/>
    <x v="56"/>
    <s v="PU-200-BSP"/>
    <n v="8"/>
    <s v="PC"/>
    <s v="DAISA"/>
    <n v="2.8808000000000002"/>
    <n v="23.046400000000002"/>
    <s v="PU-200-BSP"/>
    <n v="0"/>
    <n v="0"/>
    <n v="0"/>
    <m/>
    <n v="0"/>
  </r>
  <r>
    <n v="2609"/>
    <s v="LSLL"/>
    <s v="Chave Nivel - Caldeira"/>
    <n v="73071910"/>
    <x v="57"/>
    <s v="PU-034-BSP"/>
    <n v="2"/>
    <s v="PC"/>
    <s v="DAISA"/>
    <n v="0.59279999999999999"/>
    <n v="1.1856"/>
    <s v="PU-034-BSP"/>
    <n v="0"/>
    <n v="0"/>
    <n v="0"/>
    <m/>
    <n v="0"/>
  </r>
  <r>
    <n v="3274"/>
    <s v="XV"/>
    <s v="Válv. On/Off Discreto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Válv. On/Off Discreto"/>
    <n v="73181500"/>
    <x v="58"/>
    <s v="DP 618"/>
    <n v="24"/>
    <s v="PC"/>
    <s v="DISPAN"/>
    <n v="0.10400000000000001"/>
    <n v="2.4960000000000004"/>
    <s v="DP 618"/>
    <n v="67"/>
    <n v="1608"/>
    <n v="167.23200000000003"/>
    <m/>
    <n v="0"/>
  </r>
  <r>
    <n v="3274"/>
    <s v="XV"/>
    <s v="Válv. On/Off AS-i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Válv. On/Off AS-i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MV"/>
    <s v="Válv. Motorizada Profibus DP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MV"/>
    <s v="Válv. Motorizada I/O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CV"/>
    <s v="Válv. Controle Exd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Exd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T "/>
    <s v="TT - PA"/>
    <n v="73181500"/>
    <x v="58"/>
    <s v="DP 618"/>
    <n v="36"/>
    <s v="PC"/>
    <s v="DISPAN"/>
    <n v="0.10400000000000001"/>
    <n v="3.7440000000000002"/>
    <s v="DP 618"/>
    <n v="0"/>
    <n v="0"/>
    <n v="0"/>
    <m/>
    <n v="0"/>
  </r>
  <r>
    <n v="3274"/>
    <s v="TT "/>
    <s v="TT - Hart"/>
    <n v="73181500"/>
    <x v="58"/>
    <s v="DP 618"/>
    <n v="36"/>
    <s v="PC"/>
    <s v="DISPAN"/>
    <n v="0.10400000000000001"/>
    <n v="3.7440000000000002"/>
    <s v="DP 618"/>
    <n v="0"/>
    <n v="0"/>
    <n v="0"/>
    <m/>
    <n v="0"/>
  </r>
  <r>
    <n v="3274"/>
    <s v="TT "/>
    <s v="TT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T "/>
    <s v="TT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Termopar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Termopar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Pt-100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Pt-100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ZS"/>
    <s v="Sensores Discretos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ZS"/>
    <s v="Sensores Discretos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PIT"/>
    <s v="PIT Vapor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Vapor Caldeir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PIT"/>
    <s v="PIT Vapor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Vapor Caldeir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PIT"/>
    <s v="PIT Tri Clamp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Hart"/>
    <n v="73181500"/>
    <x v="58"/>
    <s v="DP 618"/>
    <n v="24"/>
    <s v="PC"/>
    <s v="DISPAN"/>
    <n v="0.10400000000000001"/>
    <n v="2.4960000000000004"/>
    <s v="DP 618"/>
    <n v="3"/>
    <n v="72"/>
    <n v="7.4880000000000004"/>
    <m/>
    <n v="0"/>
  </r>
  <r>
    <n v="3274"/>
    <s v="PIT"/>
    <s v="PIT Manometrico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Gases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Gases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- HART"/>
    <n v="73181500"/>
    <x v="58"/>
    <s v="DP 618"/>
    <n v="24"/>
    <s v="PC"/>
    <s v="DISPAN"/>
    <n v="0.10400000000000001"/>
    <n v="2.4960000000000004"/>
    <s v="DP 618"/>
    <n v="2"/>
    <n v="48"/>
    <n v="4.9920000000000009"/>
    <m/>
    <n v="0"/>
  </r>
  <r>
    <n v="3274"/>
    <s v="PIT"/>
    <s v="PIT Ar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r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gua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gua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"/>
    <s v="Manometro - Tubulão - Caldeir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-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LIT"/>
    <s v="LIT Tubulão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ubulão Caldeir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ubulão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ubulão Caldeir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q. Descarg. Continu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q. Descarg. Continu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q. Descarg. Continu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q. Descarg. Continu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Manometr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-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LIT"/>
    <s v="LIT Flang. Tq. Abert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Abert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orn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orn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esaerador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esaerador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esaerador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esaerador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JB"/>
    <s v="Juncion Box  - PA"/>
    <n v="73181500"/>
    <x v="58"/>
    <s v="DP 618"/>
    <n v="32"/>
    <s v="PC"/>
    <s v="DISPAN"/>
    <n v="0.10400000000000001"/>
    <n v="3.3280000000000003"/>
    <s v="DP 618"/>
    <n v="0"/>
    <n v="0"/>
    <n v="0"/>
    <m/>
    <n v="0"/>
  </r>
  <r>
    <n v="3274"/>
    <s v="JB"/>
    <s v="Juncion Box  - I/O Fisico"/>
    <n v="73181500"/>
    <x v="58"/>
    <s v="DP 618"/>
    <n v="32"/>
    <s v="PC"/>
    <s v="DISPAN"/>
    <n v="0.10400000000000001"/>
    <n v="3.3280000000000003"/>
    <s v="DP 618"/>
    <n v="0"/>
    <n v="0"/>
    <n v="0"/>
    <m/>
    <n v="0"/>
  </r>
  <r>
    <n v="3274"/>
    <s v="GTW"/>
    <s v="Gateway DP/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GTW"/>
    <s v="Gateway DP/AS-i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P22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F11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F11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F11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F11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Magnético Remoto Exd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Exd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Exd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Exd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SLL"/>
    <s v="Chave Nivel - Caldeir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CFTV"/>
    <s v="Cameras de CFTV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Atuador Damper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XV"/>
    <s v="Atuador Damper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AIT"/>
    <s v="AIT PA - 4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PA - 4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3274"/>
    <s v="AIT"/>
    <s v="AIT Hart - 4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Hart - 4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3274"/>
    <s v="AIT"/>
    <s v="AIT Hart - 2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Hart - 2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2818"/>
    <s v="PI"/>
    <s v="Manometro - Tubulão - Caldeira"/>
    <n v="73181500"/>
    <x v="59"/>
    <s v="DP 618"/>
    <n v="3"/>
    <s v="PC"/>
    <s v="DISPAN"/>
    <n v="0.10400000000000001"/>
    <n v="0.31200000000000006"/>
    <s v="DP 618"/>
    <n v="0"/>
    <n v="0"/>
    <n v="0"/>
    <m/>
    <n v="0"/>
  </r>
  <r>
    <n v="3199"/>
    <s v="PIT"/>
    <s v="PIT Manometrico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PIT"/>
    <s v="PIT Manometrico - Hart"/>
    <n v="90262090"/>
    <x v="60"/>
    <n v="0"/>
    <n v="0"/>
    <s v="PC"/>
    <s v="F. MASTER"/>
    <n v="332.8"/>
    <n v="0"/>
    <s v="AUT-3199"/>
    <n v="3"/>
    <n v="0"/>
    <n v="0"/>
    <m/>
    <n v="0"/>
  </r>
  <r>
    <n v="3199"/>
    <s v="PIT"/>
    <s v="PIT Manometrico - Exd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PIT"/>
    <s v="PIT Manometrico - Exd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Exd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Exd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esaerador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esaerador - Hart"/>
    <n v="90262090"/>
    <x v="60"/>
    <n v="0"/>
    <n v="0"/>
    <s v="PC"/>
    <s v="F. MASTER"/>
    <n v="332.8"/>
    <n v="0"/>
    <s v="AUT-3199"/>
    <n v="0"/>
    <n v="0"/>
    <n v="0"/>
    <m/>
    <n v="0"/>
  </r>
  <r>
    <n v="2388"/>
    <s v="FIT"/>
    <s v="FIT Vapor F11 - PA"/>
    <n v="90262090"/>
    <x v="61"/>
    <n v="0"/>
    <n v="0"/>
    <s v="PC"/>
    <s v="ITUFLUX"/>
    <n v="936"/>
    <n v="0"/>
    <s v="AUT-2388"/>
    <n v="0"/>
    <n v="0"/>
    <n v="0"/>
    <m/>
    <n v="0"/>
  </r>
  <r>
    <n v="2388"/>
    <s v="FIT"/>
    <s v="FIT Vapor F11 - Hart"/>
    <n v="90262090"/>
    <x v="61"/>
    <n v="0"/>
    <n v="0"/>
    <s v="PC"/>
    <s v="ITUFLUX"/>
    <n v="936"/>
    <n v="0"/>
    <s v="AUT-2388"/>
    <n v="0"/>
    <n v="0"/>
    <n v="0"/>
    <m/>
    <n v="0"/>
  </r>
  <r>
    <n v="6767"/>
    <s v="PIT"/>
    <s v="PIT Vapor Caldeira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PIT"/>
    <s v="PIT Vapor Caldeira - Hart"/>
    <n v="90262090"/>
    <x v="62"/>
    <n v="0"/>
    <n v="0"/>
    <s v="PC"/>
    <s v="F. MASTER"/>
    <n v="1560"/>
    <n v="0"/>
    <s v="AUT-6767"/>
    <n v="0"/>
    <n v="0"/>
    <n v="0"/>
    <m/>
    <n v="0"/>
  </r>
  <r>
    <n v="6767"/>
    <s v="LIT"/>
    <s v="LIT Tubulão Caldeira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LIT"/>
    <s v="LIT Tubulão Caldeira - Hart"/>
    <n v="90262090"/>
    <x v="62"/>
    <n v="0"/>
    <n v="0"/>
    <s v="PC"/>
    <s v="F. MASTER"/>
    <n v="1560"/>
    <n v="0"/>
    <s v="AUT-6767"/>
    <n v="0"/>
    <n v="0"/>
    <n v="0"/>
    <m/>
    <n v="0"/>
  </r>
  <r>
    <n v="6767"/>
    <s v="FIT"/>
    <s v="FIT Vapor P22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FIT"/>
    <s v="FIT Vapor P22 - Hart"/>
    <n v="90262090"/>
    <x v="62"/>
    <n v="0"/>
    <n v="0"/>
    <s v="PC"/>
    <s v="F. MASTER"/>
    <n v="1560"/>
    <n v="0"/>
    <s v="AUT-6767"/>
    <n v="0"/>
    <n v="0"/>
    <n v="0"/>
    <m/>
    <n v="0"/>
  </r>
  <r>
    <n v="1611"/>
    <s v="XV"/>
    <s v="Válv. On/Off Discreto"/>
    <n v="39174090"/>
    <x v="63"/>
    <s v="1.209.1200.71"/>
    <n v="2"/>
    <s v="PC"/>
    <s v="HUMMEL"/>
    <n v="6.2400000000000011"/>
    <n v="12.480000000000002"/>
    <s v="1.209.1200.71"/>
    <n v="67"/>
    <n v="134"/>
    <n v="836.1600000000002"/>
    <m/>
    <n v="0"/>
  </r>
  <r>
    <n v="1611"/>
    <s v="XV"/>
    <s v="Válv. On/Off AS-i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CV"/>
    <s v="Válv. Controle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CV"/>
    <s v="Válv. Controle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TT "/>
    <s v="TT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T "/>
    <s v="TT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Termopar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Termopar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Pt-100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Pt-100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ZS"/>
    <s v="Sensores Discretos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PIT"/>
    <s v="PIT Vapor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Vapor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Tri Clamp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Tri Clamp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Manometr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Manometrico - Hart"/>
    <n v="39174090"/>
    <x v="63"/>
    <s v="1.209.1200.71"/>
    <n v="2"/>
    <s v="PC"/>
    <s v="HUMMEL"/>
    <n v="6.2400000000000011"/>
    <n v="12.480000000000002"/>
    <s v="1.209.1200.71"/>
    <n v="3"/>
    <n v="6"/>
    <n v="37.440000000000005"/>
    <m/>
    <n v="0"/>
  </r>
  <r>
    <n v="1611"/>
    <s v="PIT"/>
    <s v="PIT Gases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Gases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Diferenci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Diferencial - HART"/>
    <n v="39174090"/>
    <x v="63"/>
    <s v="1.209.1200.71"/>
    <n v="2"/>
    <s v="PC"/>
    <s v="HUMMEL"/>
    <n v="6.2400000000000011"/>
    <n v="12.480000000000002"/>
    <s v="1.209.1200.71"/>
    <n v="2"/>
    <n v="4"/>
    <n v="24.960000000000004"/>
    <m/>
    <n v="0"/>
  </r>
  <r>
    <n v="1611"/>
    <s v="PIT"/>
    <s v="PIT Ar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r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gua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gua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Ultrasson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Ultrassonico -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LIT"/>
    <s v="LIT Tubulão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ubulão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q. Descarg. Continu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q. Descarg. Continu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Manometr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Manometric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Fechad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Fechado -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LIT"/>
    <s v="LIT Flang. Tq. Abert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Abert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orn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orn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iferenci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iferencial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esaerador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esaerador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GTW"/>
    <s v="Gateway DP/PA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GTW"/>
    <s v="Gateway DP/AS-i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FIT"/>
    <s v="FIT Vapor P22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P22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F11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F11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Remot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Remot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Integr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Integral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Diferencial Águ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Diferencial Águ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SLL"/>
    <s v="Chave Nivel - Caldeira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CFTV"/>
    <s v="Cameras de CFTV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XV"/>
    <s v="Atuador Damper PA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XV"/>
    <s v="Atuador Damper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XV"/>
    <s v="Atuador Damper Hart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XV"/>
    <s v="Atuador Damper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PA - 4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PA - 4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Hart - 4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Hart - 4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Hart - 2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Hart - 2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5081"/>
    <s v="TIT"/>
    <s v="TIT - Termopar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Termopar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Pt-100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Pt-100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ZS"/>
    <s v="Sensores Discretos Exd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Vapor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Vapor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Tri Clamp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Tri Clamp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Hart"/>
    <n v="73145000"/>
    <x v="64"/>
    <n v="0"/>
    <n v="1"/>
    <s v="PC"/>
    <s v="BRUMEC"/>
    <n v="36.4"/>
    <n v="36.4"/>
    <s v="AUT-5081"/>
    <n v="3"/>
    <n v="3"/>
    <n v="109.19999999999999"/>
    <n v="1"/>
    <n v="3"/>
  </r>
  <r>
    <n v="5081"/>
    <s v="PIT"/>
    <s v="PIT Manometrico -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Gases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Gases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- HART"/>
    <n v="73145000"/>
    <x v="64"/>
    <n v="0"/>
    <n v="1"/>
    <s v="PC"/>
    <s v="BRUMEC"/>
    <n v="36.4"/>
    <n v="36.4"/>
    <s v="AUT-5081"/>
    <n v="2"/>
    <n v="2"/>
    <n v="72.8"/>
    <m/>
    <n v="0"/>
  </r>
  <r>
    <n v="5081"/>
    <s v="PIT"/>
    <s v="PIT Ar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r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gua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gua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Ultrassonico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Ultrassonico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ubulão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ubulão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q. Descarg. Continu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q. Descarg. Continu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esaerador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esaerador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P22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P22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F11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F11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Remoto Exd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Remoto Exd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Integral Exd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Integral Exd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SLL"/>
    <s v="Chave Nivel - Caldeira"/>
    <n v="73145000"/>
    <x v="64"/>
    <n v="0"/>
    <n v="3"/>
    <s v="PC"/>
    <s v="BRUMEC"/>
    <n v="36.4"/>
    <n v="109.19999999999999"/>
    <s v="AUT-5081"/>
    <n v="0"/>
    <n v="0"/>
    <n v="0"/>
    <m/>
    <n v="0"/>
  </r>
  <r>
    <n v="5081"/>
    <s v="AIT"/>
    <s v="AIT PA - 4 Fios - Tubul.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PA - 4 Fios - Tanque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4 Fios - Tubul."/>
    <n v="73145000"/>
    <x v="64"/>
    <n v="0"/>
    <n v="1"/>
    <s v="PC"/>
    <s v="BRUMEC"/>
    <n v="36.4"/>
    <n v="36.4"/>
    <s v="AUT-5081"/>
    <n v="0"/>
    <n v="0"/>
    <n v="0"/>
    <n v="1"/>
    <n v="0"/>
  </r>
  <r>
    <n v="5081"/>
    <s v="AIT"/>
    <s v="AIT Hart - 4 Fios - Tanque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2 Fios - Tubul.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2 Fios - Tanque"/>
    <n v="73145000"/>
    <x v="64"/>
    <n v="0"/>
    <n v="1"/>
    <s v="PC"/>
    <s v="BRUMEC"/>
    <n v="36.4"/>
    <n v="36.4"/>
    <s v="AUT-5081"/>
    <n v="0"/>
    <n v="0"/>
    <n v="0"/>
    <m/>
    <n v="0"/>
  </r>
  <r>
    <n v="2973"/>
    <s v="PIT"/>
    <s v="PIT Vapor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Vapor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Hart"/>
    <n v="73072200"/>
    <x v="65"/>
    <s v="8-P-316"/>
    <n v="1"/>
    <s v="PC"/>
    <s v="TRIUNION"/>
    <n v="10.358400000000003"/>
    <n v="10.358400000000003"/>
    <s v="8-P-316"/>
    <n v="3"/>
    <n v="3"/>
    <n v="31.075200000000009"/>
    <m/>
    <n v="0"/>
  </r>
  <r>
    <n v="2973"/>
    <s v="PIT"/>
    <s v="PIT Manometrico - Exd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Exd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Gases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Gases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Diferencial Exd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Exd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- HART"/>
    <n v="73072200"/>
    <x v="65"/>
    <s v="8-P-316"/>
    <n v="4"/>
    <s v="PC"/>
    <s v="TRIUNION"/>
    <n v="10.358400000000003"/>
    <n v="41.433600000000013"/>
    <s v="8-P-316"/>
    <n v="2"/>
    <n v="8"/>
    <n v="82.867200000000025"/>
    <m/>
    <n v="0"/>
  </r>
  <r>
    <n v="2973"/>
    <s v="PIT"/>
    <s v="PIT Ar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Ar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Agua Caldeira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PIT"/>
    <s v="PIT Agua Caldeira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ubulão Caldeira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ubulão Caldeira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q. Descarg. Continua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Tq. Descarg. Continua - Hart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Exd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Exd - Hart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- Hart"/>
    <n v="73072200"/>
    <x v="65"/>
    <s v="8-P-316"/>
    <n v="3"/>
    <s v="PC"/>
    <s v="TRIUNION"/>
    <n v="10.358400000000003"/>
    <n v="31.075200000000009"/>
    <s v="8-P-316"/>
    <n v="4"/>
    <n v="12"/>
    <n v="124.30080000000004"/>
    <m/>
    <n v="0"/>
  </r>
  <r>
    <n v="2973"/>
    <s v="LIT"/>
    <s v="LIT Diferencial Exd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Exd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esaerador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esaerador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P22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P22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F11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F11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Diferencial Água Exd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Exd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5044"/>
    <s v="PIT"/>
    <s v="PIT Gases Caldeira - PA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Gases Caldeira - Hart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Ar Caldeira - PA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Ar Caldeira - Hart"/>
    <n v="73071100"/>
    <x v="66"/>
    <n v="300"/>
    <n v="1"/>
    <m/>
    <s v="TUPY"/>
    <n v="14.622400000000003"/>
    <n v="14.622400000000003"/>
    <n v="300"/>
    <n v="0"/>
    <n v="0"/>
    <n v="0"/>
    <m/>
    <n v="0"/>
  </r>
  <r>
    <n v="4579"/>
    <s v="PIT"/>
    <s v="PIT Gases Caldeira - PA"/>
    <n v="73071100"/>
    <x v="67"/>
    <n v="130"/>
    <n v="1"/>
    <s v="PC"/>
    <s v="TUPY"/>
    <n v="35.588799999999999"/>
    <n v="35.588799999999999"/>
    <n v="130"/>
    <n v="0"/>
    <n v="0"/>
    <n v="0"/>
    <m/>
    <n v="0"/>
  </r>
  <r>
    <n v="4579"/>
    <s v="PIT"/>
    <s v="PIT Gases Caldeira - Hart"/>
    <n v="73071100"/>
    <x v="67"/>
    <n v="130"/>
    <n v="1"/>
    <s v="PC"/>
    <s v="TUPY"/>
    <n v="35.588799999999999"/>
    <n v="35.588799999999999"/>
    <n v="130"/>
    <n v="0"/>
    <n v="0"/>
    <n v="0"/>
    <m/>
    <n v="0"/>
  </r>
  <r>
    <n v="3345"/>
    <s v="PIT"/>
    <s v="PIT Ar Caldeira - PA"/>
    <n v="73071100"/>
    <x v="68"/>
    <s v="130R"/>
    <n v="1"/>
    <s v="PC"/>
    <s v="TUPY"/>
    <n v="35.588799999999999"/>
    <n v="35.588799999999999"/>
    <s v="130R"/>
    <n v="0"/>
    <n v="0"/>
    <n v="0"/>
    <m/>
    <n v="0"/>
  </r>
  <r>
    <n v="3345"/>
    <s v="PIT"/>
    <s v="PIT Ar Caldeira - Hart"/>
    <n v="73071100"/>
    <x v="68"/>
    <s v="130R"/>
    <n v="1"/>
    <s v="PC"/>
    <s v="TUPY"/>
    <n v="35.588799999999999"/>
    <n v="35.588799999999999"/>
    <s v="130R"/>
    <n v="0"/>
    <n v="0"/>
    <n v="0"/>
    <m/>
    <n v="0"/>
  </r>
  <r>
    <n v="2538"/>
    <s v="LIT"/>
    <s v="LIT Dorna - PA"/>
    <n v="73063000"/>
    <x v="69"/>
    <n v="0"/>
    <n v="4"/>
    <s v="BR"/>
    <s v="CARBINOX"/>
    <n v="51.802400000000006"/>
    <n v="207.20960000000002"/>
    <s v="AUT-2538"/>
    <n v="0"/>
    <n v="0"/>
    <n v="0"/>
    <m/>
    <n v="0"/>
  </r>
  <r>
    <n v="2538"/>
    <s v="LIT"/>
    <s v="LIT Dorna - Hart"/>
    <n v="73063000"/>
    <x v="69"/>
    <n v="0"/>
    <n v="4"/>
    <s v="BR"/>
    <s v="CARBINOX"/>
    <n v="51.802400000000006"/>
    <n v="207.20960000000002"/>
    <s v="AUT-2538"/>
    <n v="0"/>
    <n v="0"/>
    <n v="0"/>
    <m/>
    <n v="0"/>
  </r>
  <r>
    <n v="2538"/>
    <s v="XV"/>
    <s v="Atuador Damper PA"/>
    <n v="73063000"/>
    <x v="69"/>
    <n v="0"/>
    <n v="2"/>
    <s v="BR"/>
    <s v="CARBINOX"/>
    <n v="51.802400000000006"/>
    <n v="103.60480000000001"/>
    <s v="AUT-2538"/>
    <n v="0"/>
    <n v="0"/>
    <n v="0"/>
    <m/>
    <n v="0"/>
  </r>
  <r>
    <n v="2538"/>
    <s v="XV"/>
    <s v="Atuador Damper Hart"/>
    <n v="73063000"/>
    <x v="69"/>
    <n v="0"/>
    <n v="2"/>
    <s v="BR"/>
    <s v="CARBINOX"/>
    <n v="51.802400000000006"/>
    <n v="103.60480000000001"/>
    <s v="AUT-2538"/>
    <n v="0"/>
    <n v="0"/>
    <n v="0"/>
    <m/>
    <n v="0"/>
  </r>
  <r>
    <n v="5194"/>
    <s v="AIT"/>
    <s v="AIT Hart - 4 Fios - Tubul."/>
    <n v="73041010"/>
    <x v="70"/>
    <s v="TI-127124-316"/>
    <n v="1"/>
    <s v="BR"/>
    <s v="TRIUNION"/>
    <n v="205.92000000000004"/>
    <n v="205.92000000000004"/>
    <s v="TI-127124-316"/>
    <n v="0"/>
    <n v="0"/>
    <n v="0"/>
    <n v="2.0999999999999996"/>
    <n v="0"/>
  </r>
  <r>
    <n v="5194"/>
    <s v="AIT"/>
    <s v="AIT Hart - 2 Fios - Tubul.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PIT"/>
    <s v="PIT Vapor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Vapor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Hart"/>
    <n v="73041010"/>
    <x v="70"/>
    <s v="TI-127124-316"/>
    <n v="2"/>
    <s v="BR"/>
    <s v="TRIUNION"/>
    <n v="205.92000000000004"/>
    <n v="411.84000000000009"/>
    <s v="TI-127124-316"/>
    <n v="3"/>
    <n v="6"/>
    <n v="1235.5200000000002"/>
    <n v="2.0999999999999996"/>
    <n v="12.599999999999998"/>
  </r>
  <r>
    <n v="5194"/>
    <s v="PIT"/>
    <s v="PIT Manometrico -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Gases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Gases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- HART"/>
    <n v="73041010"/>
    <x v="70"/>
    <s v="TI-127124-316"/>
    <n v="2"/>
    <s v="BR"/>
    <s v="TRIUNION"/>
    <n v="205.92000000000004"/>
    <n v="411.84000000000009"/>
    <s v="TI-127124-316"/>
    <n v="2"/>
    <n v="4"/>
    <n v="823.68000000000018"/>
    <m/>
    <n v="0"/>
  </r>
  <r>
    <n v="5194"/>
    <s v="PIT"/>
    <s v="PIT Ar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r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gua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gua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"/>
    <s v="Manometro - Tubulão - Caldeir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Tubulão Caldeira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LIT"/>
    <s v="LIT Tubulão Caldeira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LIT"/>
    <s v="LIT Tq. Descarg. Continu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Tq. Descarg. Continu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Manometrico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Exd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Exd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Flang. Tq. Fechado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- Hart"/>
    <n v="73041010"/>
    <x v="70"/>
    <s v="TI-127124-316"/>
    <n v="2"/>
    <s v="BR"/>
    <s v="TRIUNION"/>
    <n v="205.92000000000004"/>
    <n v="411.84000000000009"/>
    <s v="TI-127124-316"/>
    <n v="4"/>
    <n v="8"/>
    <n v="1647.3600000000004"/>
    <m/>
    <n v="0"/>
  </r>
  <r>
    <n v="5194"/>
    <s v="LIT"/>
    <s v="LIT Dorna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Dorna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Diferencial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esaerador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esaerador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FIT"/>
    <s v="FIT Vapor P22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P22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F11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F11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Exd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Exd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AIT"/>
    <s v="AIT PA - 4 Fios - Tubul.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2844"/>
    <s v="XV"/>
    <s v="Válv. On/Off Discreto Exd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Válv. On/Off Discreto"/>
    <n v="73069090"/>
    <x v="71"/>
    <s v="PU050 08 00"/>
    <n v="2"/>
    <s v="M"/>
    <s v="NORGREN"/>
    <n v="1.95"/>
    <n v="3.9"/>
    <s v="PU050 08 00"/>
    <n v="67"/>
    <n v="134"/>
    <n v="261.3"/>
    <n v="0.2"/>
    <n v="26.8"/>
  </r>
  <r>
    <n v="2844"/>
    <s v="XV"/>
    <s v="Válv. On/Off AS-i Exd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Válv. On/Off AS-i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Hart"/>
    <n v="73069090"/>
    <x v="71"/>
    <s v="PU050 08 00"/>
    <n v="2"/>
    <s v="M"/>
    <s v="NORGREN"/>
    <n v="1.95"/>
    <n v="3.9"/>
    <s v="PU050 08 00"/>
    <n v="4"/>
    <n v="8"/>
    <n v="15.6"/>
    <n v="0.2"/>
    <n v="1.6"/>
  </r>
  <r>
    <n v="2844"/>
    <s v="CV"/>
    <s v="Válv. Controle Exd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Exd Hart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Atuador Damper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Atuador Damper Hart"/>
    <n v="73069090"/>
    <x v="71"/>
    <s v="PU050 08 00"/>
    <n v="2"/>
    <s v="M"/>
    <s v="NORGREN"/>
    <n v="1.95"/>
    <n v="3.9"/>
    <s v="PU050 08 00"/>
    <n v="0"/>
    <n v="0"/>
    <n v="0"/>
    <m/>
    <n v="0"/>
  </r>
  <r>
    <n v="5147"/>
    <s v="XV"/>
    <s v="Válv. On/Off Discreto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XV"/>
    <s v="Válv. On/Off AS-i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CV"/>
    <s v="Válv. Controle Exd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CV"/>
    <s v="Válv. Controle Exd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TT "/>
    <s v="TT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TT "/>
    <s v="TT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ZS"/>
    <s v="Sensores Discretos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Tri Clamp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Tri Clamp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Manometrico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Manometrico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Diferencial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Diferencial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Ultrassonico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Ultrassonico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Manometrico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Manometrico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Flang. Tq. Fechado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Flang. Tq. Fechado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Diferencial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Diferencial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Remoto Exd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Remoto Exd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Integral Exd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Integral Exd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Diferencial Água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Diferencial Água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4965"/>
    <s v="PI"/>
    <s v="Manometro - Tubulão - Caldeira"/>
    <n v="90269020"/>
    <x v="73"/>
    <n v="0"/>
    <n v="1"/>
    <s v="BR"/>
    <s v="WIKA"/>
    <n v="205.92000000000004"/>
    <n v="205.92000000000004"/>
    <s v="AUT-4965"/>
    <n v="0"/>
    <n v="0"/>
    <n v="0"/>
    <m/>
    <n v="0"/>
  </r>
  <r>
    <n v="2892"/>
    <s v="LIT"/>
    <s v="LIT Dorna - PA"/>
    <n v="73071100"/>
    <x v="74"/>
    <n v="342"/>
    <n v="1"/>
    <s v="PC"/>
    <s v="TUPY"/>
    <n v="28.797600000000003"/>
    <n v="28.797600000000003"/>
    <n v="342"/>
    <n v="0"/>
    <n v="0"/>
    <n v="0"/>
    <m/>
    <n v="0"/>
  </r>
  <r>
    <n v="2892"/>
    <s v="LIT"/>
    <s v="LIT Dorna - Hart"/>
    <n v="73071100"/>
    <x v="74"/>
    <n v="342"/>
    <n v="1"/>
    <s v="PC"/>
    <s v="TUPY"/>
    <n v="28.797600000000003"/>
    <n v="28.797600000000003"/>
    <n v="342"/>
    <n v="0"/>
    <n v="0"/>
    <n v="0"/>
    <m/>
    <n v="0"/>
  </r>
  <r>
    <n v="4834"/>
    <s v="XV"/>
    <s v="Válv. On/Off Discreto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XV"/>
    <s v="Válv. On/Off AS-i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CV"/>
    <s v="Válv. Controle Exd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CV"/>
    <s v="Válv. Controle Exd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TT "/>
    <s v="TT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TT "/>
    <s v="TT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ZS"/>
    <s v="Sensores Discretos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Tri Clamp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Tri Clamp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Manometrico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Manometrico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Diferencial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Diferencial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Ultrassonico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Ultrassonico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Manometrico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Manometrico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Flang. Tq. Fechado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Flang. Tq. Fechado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Diferencial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Diferencial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Remoto Exd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Remoto Exd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Integral Exd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Integral Exd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Diferencial Água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Diferencial Água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2125"/>
    <s v="PIT"/>
    <s v="PIT Vapor Caldeira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Vapor Caldeira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Manometrico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Manometrico - Hart"/>
    <n v="84818039"/>
    <x v="76"/>
    <n v="0"/>
    <n v="1"/>
    <s v="PC"/>
    <s v="F. MASTER"/>
    <n v="175"/>
    <n v="175"/>
    <s v="AUT-2125"/>
    <n v="3"/>
    <n v="3"/>
    <n v="525"/>
    <n v="0.2"/>
    <n v="0.60000000000000009"/>
  </r>
  <r>
    <n v="2125"/>
    <s v="PIT"/>
    <s v="PIT Manometrico -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Manometrico -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- HART"/>
    <n v="84818039"/>
    <x v="76"/>
    <n v="0"/>
    <n v="2"/>
    <s v="PC"/>
    <s v="F. MASTER"/>
    <n v="175"/>
    <n v="350"/>
    <s v="AUT-2125"/>
    <n v="2"/>
    <n v="4"/>
    <n v="700"/>
    <m/>
    <n v="0"/>
  </r>
  <r>
    <n v="2125"/>
    <s v="PIT"/>
    <s v="PIT Agua Caldeira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Agua Caldeira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Tubulão Caldeir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ubulão Caldeira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q. Descarg. Continu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q. Descarg. Continua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Manometrico - Exd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Manometrico - Exd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Flang. Tq. Fechado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- Hart"/>
    <n v="84818039"/>
    <x v="76"/>
    <n v="0"/>
    <n v="2"/>
    <s v="PC"/>
    <s v="F. MASTER"/>
    <n v="175"/>
    <n v="350"/>
    <s v="AUT-2125"/>
    <n v="4"/>
    <n v="8"/>
    <n v="1400"/>
    <m/>
    <n v="0"/>
  </r>
  <r>
    <n v="2125"/>
    <s v="LIT"/>
    <s v="LIT Diferencial Exd - PA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Exd - Hart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- PA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- Hart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esaerador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Desaerador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P22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P22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F11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F11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- Hart"/>
    <n v="84818039"/>
    <x v="76"/>
    <n v="0"/>
    <n v="2"/>
    <s v="PC"/>
    <s v="F. MASTER"/>
    <n v="175"/>
    <n v="350"/>
    <s v="AUT-2125"/>
    <n v="0"/>
    <n v="0"/>
    <n v="0"/>
    <m/>
    <n v="0"/>
  </r>
  <r>
    <n v="2567"/>
    <s v="XV"/>
    <s v="Válv. On/Off Discreto Exd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Válv. On/Off Discreto"/>
    <n v="84818095"/>
    <x v="77"/>
    <n v="0"/>
    <n v="1"/>
    <s v="PC"/>
    <s v="MGA"/>
    <n v="36.4"/>
    <n v="36.4"/>
    <s v="AUT-2567"/>
    <n v="67"/>
    <n v="67"/>
    <n v="2438.7999999999997"/>
    <n v="0.2"/>
    <n v="13.4"/>
  </r>
  <r>
    <n v="2567"/>
    <s v="XV"/>
    <s v="Válv. On/Off AS-i Exd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Válv. On/Off AS-i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PA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Hart"/>
    <n v="84818095"/>
    <x v="77"/>
    <n v="0"/>
    <n v="1"/>
    <s v="PC"/>
    <s v="MGA"/>
    <n v="36.4"/>
    <n v="36.4"/>
    <s v="AUT-2567"/>
    <n v="4"/>
    <n v="4"/>
    <n v="145.6"/>
    <n v="0.2"/>
    <n v="0.8"/>
  </r>
  <r>
    <n v="2567"/>
    <s v="CV"/>
    <s v="Válv. Controle Exd PA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Exd Hart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Gases Caldeira - PA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Gases Caldeira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Diferencial Exd - PA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Exd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- PA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- HART"/>
    <n v="84818095"/>
    <x v="77"/>
    <n v="0"/>
    <n v="2"/>
    <s v="PC"/>
    <s v="MGA"/>
    <n v="36.4"/>
    <n v="72.8"/>
    <s v="AUT-2567"/>
    <n v="2"/>
    <n v="4"/>
    <n v="145.6"/>
    <m/>
    <n v="0"/>
  </r>
  <r>
    <n v="2567"/>
    <s v="PIT"/>
    <s v="PIT Ar Caldeira - PA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Ar Caldeira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Tq. Descarg. Continua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Tq. Descarg. Continua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Manometrico - PA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Manometrico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Flang. Tq. Fechado Exd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Exd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- Hart"/>
    <n v="84818095"/>
    <x v="77"/>
    <n v="0"/>
    <n v="2"/>
    <s v="PC"/>
    <s v="MGA"/>
    <n v="36.4"/>
    <n v="72.8"/>
    <s v="AUT-2567"/>
    <n v="4"/>
    <n v="8"/>
    <n v="291.2"/>
    <m/>
    <n v="0"/>
  </r>
  <r>
    <n v="2567"/>
    <s v="LIT"/>
    <s v="LIT Dorna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Dorna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XV"/>
    <s v="Atuador Damper PA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Atuador Damper Hart"/>
    <n v="84818095"/>
    <x v="77"/>
    <n v="0"/>
    <n v="1"/>
    <s v="PC"/>
    <s v="MGA"/>
    <n v="36.4"/>
    <n v="36.4"/>
    <s v="AUT-2567"/>
    <n v="0"/>
    <n v="0"/>
    <n v="0"/>
    <m/>
    <n v="0"/>
  </r>
  <r>
    <n v="2567"/>
    <s v="AIT"/>
    <s v="AIT PA - 4 Fios - Tubul."/>
    <n v="84818095"/>
    <x v="77"/>
    <n v="0"/>
    <n v="1"/>
    <s v="PC"/>
    <s v="MGA"/>
    <n v="36.4"/>
    <n v="36.4"/>
    <s v="AUT-2567"/>
    <n v="0"/>
    <n v="0"/>
    <n v="0"/>
    <m/>
    <n v="0"/>
  </r>
  <r>
    <n v="2567"/>
    <s v="AIT"/>
    <s v="AIT Hart - 4 Fios - Tubul."/>
    <n v="84818095"/>
    <x v="77"/>
    <n v="0"/>
    <n v="1"/>
    <s v="PC"/>
    <s v="MGA"/>
    <n v="36.4"/>
    <n v="36.4"/>
    <s v="AUT-2567"/>
    <n v="0"/>
    <n v="0"/>
    <n v="0"/>
    <n v="0.2"/>
    <n v="0"/>
  </r>
  <r>
    <n v="2567"/>
    <s v="AIT"/>
    <s v="AIT Hart - 2 Fios - Tubul."/>
    <n v="84818095"/>
    <x v="77"/>
    <n v="0"/>
    <n v="1"/>
    <s v="PC"/>
    <s v="MGA"/>
    <n v="36.4"/>
    <n v="36.4"/>
    <s v="AUT-2567"/>
    <n v="0"/>
    <n v="0"/>
    <n v="0"/>
    <m/>
    <n v="0"/>
  </r>
  <r>
    <n v="3429"/>
    <s v="PI"/>
    <s v="Manometro - Tubulão - Caldeira"/>
    <n v="84818099"/>
    <x v="78"/>
    <n v="0"/>
    <n v="1"/>
    <s v="PC"/>
    <s v="F. MASTER"/>
    <n v="254.8"/>
    <n v="254.8"/>
    <s v="AUT-3429"/>
    <n v="0"/>
    <n v="0"/>
    <n v="0"/>
    <m/>
    <n v="0"/>
  </r>
  <r>
    <n v="117"/>
    <s v="XV"/>
    <s v="Atuador Damper PA"/>
    <n v="73072900"/>
    <x v="79"/>
    <s v="DP 634-1"/>
    <n v="24"/>
    <s v="PC"/>
    <s v="DISPAN"/>
    <n v="0.4"/>
    <n v="9.6000000000000014"/>
    <s v="DP 634-1"/>
    <n v="0"/>
    <n v="0"/>
    <n v="0"/>
    <m/>
    <n v="0"/>
  </r>
  <r>
    <n v="117"/>
    <s v="XV"/>
    <s v="Atuador Damper Hart"/>
    <n v="73072900"/>
    <x v="79"/>
    <s v="DP 634-1"/>
    <n v="24"/>
    <s v="PC"/>
    <s v="DISPAN"/>
    <n v="0.4"/>
    <n v="9.6000000000000014"/>
    <s v="DP 634-1"/>
    <n v="0"/>
    <n v="0"/>
    <n v="0"/>
    <m/>
    <n v="0"/>
  </r>
  <r>
    <n v="3778"/>
    <s v="PIT"/>
    <s v="PIT Vapor Caldeir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PIT"/>
    <s v="PIT Vapor Caldeir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PIT"/>
    <s v="PIT Manometrico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Manometrico - Hart"/>
    <n v="73072900"/>
    <x v="80"/>
    <s v="DP 634-0"/>
    <n v="12"/>
    <s v="PC"/>
    <s v="DISPAN"/>
    <n v="0.46"/>
    <n v="5.5200000000000005"/>
    <s v="DP 634-0"/>
    <n v="3"/>
    <n v="36"/>
    <n v="16.560000000000002"/>
    <m/>
    <n v="0"/>
  </r>
  <r>
    <n v="3778"/>
    <s v="PIT"/>
    <s v="PIT Diferencial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Diferencial - HART"/>
    <n v="73072900"/>
    <x v="80"/>
    <s v="DP 634-0"/>
    <n v="12"/>
    <s v="PC"/>
    <s v="DISPAN"/>
    <n v="0.46"/>
    <n v="5.5200000000000005"/>
    <s v="DP 634-0"/>
    <n v="2"/>
    <n v="24"/>
    <n v="11.040000000000001"/>
    <m/>
    <n v="0"/>
  </r>
  <r>
    <n v="3778"/>
    <s v="PIT"/>
    <s v="PIT Agua Caldeira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Agua Caldeira - Hart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"/>
    <s v="Manometro - Tubulão - Caldeir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LIT"/>
    <s v="LIT Tubulão Caldeir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ubulão Caldeir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q. Descarg. Continu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q. Descarg. Continu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Exd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Exd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esaerador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esaerador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P22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P22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F11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F11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2566"/>
    <s v="JB"/>
    <s v="Juncion Box  - PA"/>
    <n v="73072900"/>
    <x v="81"/>
    <s v="DP 634-6"/>
    <n v="16"/>
    <s v="PC"/>
    <s v="DISPAN"/>
    <n v="1.4"/>
    <n v="22.4"/>
    <s v="DP 634-6"/>
    <n v="0"/>
    <n v="0"/>
    <n v="0"/>
    <m/>
    <n v="0"/>
  </r>
  <r>
    <n v="2566"/>
    <s v="JB"/>
    <s v="Juncion Box  - I/O Fisico"/>
    <n v="73072900"/>
    <x v="81"/>
    <s v="DP 634-6"/>
    <n v="16"/>
    <s v="PC"/>
    <s v="DISPAN"/>
    <n v="1.4"/>
    <n v="22.4"/>
    <s v="DP 634-6"/>
    <n v="0"/>
    <n v="0"/>
    <n v="0"/>
    <m/>
    <n v="0"/>
  </r>
  <r>
    <n v="2566"/>
    <s v="AIT"/>
    <s v="AIT PA - 4 Fios - Tanque"/>
    <n v="73072900"/>
    <x v="81"/>
    <s v="DP 634-6"/>
    <n v="2"/>
    <s v="PC"/>
    <s v="DISPAN"/>
    <n v="1.4"/>
    <n v="2.8"/>
    <s v="DP 634-6"/>
    <n v="0"/>
    <n v="0"/>
    <n v="0"/>
    <m/>
    <n v="0"/>
  </r>
  <r>
    <n v="2566"/>
    <s v="AIT"/>
    <s v="AIT Hart - 4 Fios - Tanque"/>
    <n v="73072900"/>
    <x v="81"/>
    <s v="DP 634-6"/>
    <n v="2"/>
    <s v="PC"/>
    <s v="DISPAN"/>
    <n v="1.4"/>
    <n v="2.8"/>
    <s v="DP 634-6"/>
    <n v="0"/>
    <n v="0"/>
    <n v="0"/>
    <m/>
    <n v="0"/>
  </r>
  <r>
    <n v="2566"/>
    <s v="AIT"/>
    <s v="AIT Hart - 2 Fios - Tanque"/>
    <n v="73072900"/>
    <x v="81"/>
    <s v="DP 634-6"/>
    <n v="2"/>
    <s v="PC"/>
    <s v="DISPAN"/>
    <n v="1.4"/>
    <n v="2.8"/>
    <s v="DP 634-6"/>
    <n v="0"/>
    <n v="0"/>
    <n v="0"/>
    <m/>
    <n v="0"/>
  </r>
  <r>
    <n v="2534"/>
    <s v="XV"/>
    <s v="Válv. On/Off Discreto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Válv. On/Off Discreto"/>
    <n v="73072900"/>
    <x v="82"/>
    <s v="DP 634-2"/>
    <n v="12"/>
    <s v="PC"/>
    <s v="DISPAN"/>
    <n v="0.46"/>
    <n v="5.5200000000000005"/>
    <s v="DP 634-2"/>
    <n v="67"/>
    <n v="804"/>
    <n v="369.84000000000003"/>
    <m/>
    <n v="0"/>
  </r>
  <r>
    <n v="2534"/>
    <s v="XV"/>
    <s v="Válv. On/Off AS-i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Válv. On/Off AS-i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MV"/>
    <s v="Válv. Motorizada Profibus DP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MV"/>
    <s v="Válv. Motorizada I/O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CV"/>
    <s v="Válv. Controle Exd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Exd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T "/>
    <s v="TT - PA"/>
    <n v="73072900"/>
    <x v="82"/>
    <s v="DP 634-2"/>
    <n v="18"/>
    <s v="PC"/>
    <s v="DISPAN"/>
    <n v="0.46"/>
    <n v="8.2800000000000011"/>
    <s v="DP 634-2"/>
    <n v="0"/>
    <n v="0"/>
    <n v="0"/>
    <m/>
    <n v="0"/>
  </r>
  <r>
    <n v="2534"/>
    <s v="TT "/>
    <s v="TT - Hart"/>
    <n v="73072900"/>
    <x v="82"/>
    <s v="DP 634-2"/>
    <n v="18"/>
    <s v="PC"/>
    <s v="DISPAN"/>
    <n v="0.46"/>
    <n v="8.2800000000000011"/>
    <s v="DP 634-2"/>
    <n v="0"/>
    <n v="0"/>
    <n v="0"/>
    <m/>
    <n v="0"/>
  </r>
  <r>
    <n v="2534"/>
    <s v="TT "/>
    <s v="TT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T "/>
    <s v="TT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Termopar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Termopar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Pt-100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Pt-100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ZS"/>
    <s v="Sensores Discretos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ZS"/>
    <s v="Sensores Discretos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PIT"/>
    <s v="PIT Vapor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Vapor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Hart"/>
    <n v="73072900"/>
    <x v="82"/>
    <s v="DP 634-2"/>
    <n v="12"/>
    <s v="PC"/>
    <s v="DISPAN"/>
    <n v="0.46"/>
    <n v="5.5200000000000005"/>
    <s v="DP 634-2"/>
    <n v="3"/>
    <n v="36"/>
    <n v="16.560000000000002"/>
    <m/>
    <n v="0"/>
  </r>
  <r>
    <n v="2534"/>
    <s v="PIT"/>
    <s v="PIT Manometrico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Gases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Gases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- HART"/>
    <n v="73072900"/>
    <x v="82"/>
    <s v="DP 634-2"/>
    <n v="12"/>
    <s v="PC"/>
    <s v="DISPAN"/>
    <n v="0.46"/>
    <n v="5.5200000000000005"/>
    <s v="DP 634-2"/>
    <n v="2"/>
    <n v="24"/>
    <n v="11.040000000000001"/>
    <m/>
    <n v="0"/>
  </r>
  <r>
    <n v="2534"/>
    <s v="PIT"/>
    <s v="PIT Ar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r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gua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gua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-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LIT"/>
    <s v="LIT Tubulão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ubulão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q. Descarg. Continu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q. Descarg. Continu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-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LIT"/>
    <s v="LIT Flang. Tq. Abert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Abert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orn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orn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esaerador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esaerador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GTW"/>
    <s v="Gateway DP/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GTW"/>
    <s v="Gateway DP/AS-i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P22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P22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F11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F11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Exd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Exd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Exd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Exd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SLL"/>
    <s v="Chave Nivel - Caldeira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CFTV"/>
    <s v="Cameras de CFTV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Atuador Damper PA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XV"/>
    <s v="Atuador Damper Hart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AIT"/>
    <s v="AIT PA - 4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PA - 4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4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4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2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2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1669"/>
    <s v="XV"/>
    <s v="Válv. On/Off Discreto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Válv. On/Off Discreto"/>
    <n v="39269090"/>
    <x v="83"/>
    <s v="T-18 R"/>
    <n v="3"/>
    <s v="PC"/>
    <s v="HELLERMANN"/>
    <n v="3.1200000000000002E-2"/>
    <n v="9.3600000000000003E-2"/>
    <s v="T-18 R"/>
    <n v="67"/>
    <n v="201"/>
    <n v="6.2712000000000003"/>
    <m/>
    <n v="0"/>
  </r>
  <r>
    <n v="1669"/>
    <s v="XV"/>
    <s v="Válv. On/Off AS-i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Válv. On/Off AS-i"/>
    <n v="39269090"/>
    <x v="83"/>
    <s v="T-18 R"/>
    <n v="10"/>
    <s v="PC"/>
    <s v="HELLERMANN"/>
    <n v="3.1200000000000002E-2"/>
    <n v="0.312"/>
    <s v="T-18 R"/>
    <n v="0"/>
    <n v="0"/>
    <n v="0"/>
    <m/>
    <n v="0"/>
  </r>
  <r>
    <n v="1669"/>
    <s v="CV"/>
    <s v="Válv. Controle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CV"/>
    <s v="Válv. Controle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CV"/>
    <s v="Válv. Controle Exd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CV"/>
    <s v="Válv. Controle Exd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Termopar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Termopar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Pt-100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Pt-100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ZS"/>
    <s v="Sensores Discretos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ZS"/>
    <s v="Sensores Discretos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PIT"/>
    <s v="PIT Vapor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Vapor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Hart"/>
    <n v="39269090"/>
    <x v="83"/>
    <s v="T-18 R"/>
    <n v="3"/>
    <s v="PC"/>
    <s v="HELLERMANN"/>
    <n v="3.1200000000000002E-2"/>
    <n v="9.3600000000000003E-2"/>
    <s v="T-18 R"/>
    <n v="3"/>
    <n v="9"/>
    <n v="0.28079999999999999"/>
    <m/>
    <n v="0"/>
  </r>
  <r>
    <n v="1669"/>
    <s v="PIT"/>
    <s v="PIT Manometrico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Gases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Gases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- HART"/>
    <n v="39269090"/>
    <x v="83"/>
    <s v="T-18 R"/>
    <n v="3"/>
    <s v="PC"/>
    <s v="HELLERMANN"/>
    <n v="3.1200000000000002E-2"/>
    <n v="9.3600000000000003E-2"/>
    <s v="T-18 R"/>
    <n v="2"/>
    <n v="6"/>
    <n v="0.18720000000000001"/>
    <m/>
    <n v="0"/>
  </r>
  <r>
    <n v="1669"/>
    <s v="PIT"/>
    <s v="PIT Ar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r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gua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gua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-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LIT"/>
    <s v="LIT Tubulão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ubulão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q. Descarg. Continu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q. Descarg. Continu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-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LIT"/>
    <s v="LIT Flang. Tq. Abert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Abert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orn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orn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esaerador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esaerador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P22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P22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F11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F11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Exd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Exd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Exd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Exd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SLL"/>
    <s v="Chave Nivel - Caldeir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Atuador Damper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Atuador Damper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PA - 4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PA - 4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4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4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2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2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95"/>
    <s v="CFTV"/>
    <s v="Cameras de CFTV"/>
    <n v="73072900"/>
    <x v="84"/>
    <s v="AU 100 - BSP"/>
    <n v="2"/>
    <s v="PC"/>
    <s v="DAISA"/>
    <n v="0.57200000000000006"/>
    <n v="1.1440000000000001"/>
    <s v="AU 100 - BSP"/>
    <n v="0"/>
    <n v="0"/>
    <n v="0"/>
    <m/>
    <n v="0"/>
  </r>
  <r>
    <n v="2058"/>
    <s v="JB"/>
    <s v="Juncion Box  - PA"/>
    <n v="73072900"/>
    <x v="85"/>
    <s v="AU 200 - BSP"/>
    <n v="8"/>
    <s v="PC"/>
    <s v="DAISA"/>
    <n v="0.88"/>
    <n v="7.04"/>
    <s v="AU 200 - BSP"/>
    <n v="0"/>
    <n v="0"/>
    <n v="0"/>
    <m/>
    <n v="0"/>
  </r>
  <r>
    <n v="2058"/>
    <s v="JB"/>
    <s v="Juncion Box  - I/O Fisico"/>
    <n v="73072900"/>
    <x v="85"/>
    <s v="AU 200 - BSP"/>
    <n v="8"/>
    <s v="PC"/>
    <s v="DAISA"/>
    <n v="0.88"/>
    <n v="7.04"/>
    <s v="AU 200 - BSP"/>
    <n v="0"/>
    <n v="0"/>
    <n v="0"/>
    <m/>
    <n v="0"/>
  </r>
  <r>
    <n v="5091"/>
    <s v="XV"/>
    <s v="Válv. On/Off Discreto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Válv. On/Off Discreto"/>
    <n v="73181500"/>
    <x v="86"/>
    <s v="DP 619"/>
    <n v="24"/>
    <s v="PC"/>
    <s v="DISPAN"/>
    <n v="5.2000000000000005E-2"/>
    <n v="1.2480000000000002"/>
    <s v="DP 619"/>
    <n v="67"/>
    <n v="1608"/>
    <n v="83.616000000000014"/>
    <m/>
    <n v="0"/>
  </r>
  <r>
    <n v="5091"/>
    <s v="XV"/>
    <s v="Válv. On/Off AS-i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Válv. On/Off AS-i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MV"/>
    <s v="Válv. Motorizada Profibus DP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MV"/>
    <s v="Válv. Motorizada I/O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CV"/>
    <s v="Válv. Controle Exd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Exd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T "/>
    <s v="TT - PA"/>
    <n v="73181500"/>
    <x v="86"/>
    <s v="DP 619"/>
    <n v="36"/>
    <s v="PC"/>
    <s v="DISPAN"/>
    <n v="5.2000000000000005E-2"/>
    <n v="1.8720000000000001"/>
    <s v="DP 619"/>
    <n v="0"/>
    <n v="0"/>
    <n v="0"/>
    <m/>
    <n v="0"/>
  </r>
  <r>
    <n v="5091"/>
    <s v="TT "/>
    <s v="TT - Hart"/>
    <n v="73181500"/>
    <x v="86"/>
    <s v="DP 619"/>
    <n v="36"/>
    <s v="PC"/>
    <s v="DISPAN"/>
    <n v="5.2000000000000005E-2"/>
    <n v="1.8720000000000001"/>
    <s v="DP 619"/>
    <n v="0"/>
    <n v="0"/>
    <n v="0"/>
    <m/>
    <n v="0"/>
  </r>
  <r>
    <n v="5091"/>
    <s v="TT "/>
    <s v="TT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T "/>
    <s v="TT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Termopar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Termopar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Pt-100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Pt-100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ZS"/>
    <s v="Sensores Discretos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ZS"/>
    <s v="Sensores Discretos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PIT"/>
    <s v="PIT Vapor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Vapor Caldeir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PIT"/>
    <s v="PIT Vapor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Vapor Caldeir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PIT"/>
    <s v="PIT Tri Clamp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Hart"/>
    <n v="73181500"/>
    <x v="86"/>
    <s v="DP 619"/>
    <n v="24"/>
    <s v="PC"/>
    <s v="DISPAN"/>
    <n v="5.2000000000000005E-2"/>
    <n v="1.2480000000000002"/>
    <s v="DP 619"/>
    <n v="3"/>
    <n v="72"/>
    <n v="3.7440000000000002"/>
    <m/>
    <n v="0"/>
  </r>
  <r>
    <n v="5091"/>
    <s v="PIT"/>
    <s v="PIT Manometrico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Gases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Gases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- HART"/>
    <n v="73181500"/>
    <x v="86"/>
    <s v="DP 619"/>
    <n v="24"/>
    <s v="PC"/>
    <s v="DISPAN"/>
    <n v="5.2000000000000005E-2"/>
    <n v="1.2480000000000002"/>
    <s v="DP 619"/>
    <n v="2"/>
    <n v="48"/>
    <n v="2.4960000000000004"/>
    <m/>
    <n v="0"/>
  </r>
  <r>
    <n v="5091"/>
    <s v="PIT"/>
    <s v="PIT Ar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r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gua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gua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"/>
    <s v="Manometro - Tubulão - Caldeir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-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LIT"/>
    <s v="LIT Tubulão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ubulão Caldeir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ubulão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ubulão Caldeir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q. Descarg. Continu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q. Descarg. Continu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q. Descarg. Continu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q. Descarg. Continu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Manometr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-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LIT"/>
    <s v="LIT Flang. Tq. Abert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Abert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orn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orn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esaerador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esaerador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esaerador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esaerador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JB"/>
    <s v="Juncion Box  - PA"/>
    <n v="73181500"/>
    <x v="86"/>
    <s v="DP 619"/>
    <n v="32"/>
    <s v="PC"/>
    <s v="DISPAN"/>
    <n v="5.2000000000000005E-2"/>
    <n v="1.6640000000000001"/>
    <s v="DP 619"/>
    <n v="0"/>
    <n v="0"/>
    <n v="0"/>
    <m/>
    <n v="0"/>
  </r>
  <r>
    <n v="5091"/>
    <s v="JB"/>
    <s v="Juncion Box  - I/O Fisico"/>
    <n v="73181500"/>
    <x v="86"/>
    <s v="DP 619"/>
    <n v="32"/>
    <s v="PC"/>
    <s v="DISPAN"/>
    <n v="5.2000000000000005E-2"/>
    <n v="1.6640000000000001"/>
    <s v="DP 619"/>
    <n v="0"/>
    <n v="0"/>
    <n v="0"/>
    <m/>
    <n v="0"/>
  </r>
  <r>
    <n v="5091"/>
    <s v="GTW"/>
    <s v="Gateway DP/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GTW"/>
    <s v="Gateway DP/AS-i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P22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F11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F11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F11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F11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Magnético Remoto Exd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Exd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Exd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Exd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SLL"/>
    <s v="Chave Nivel - Caldeir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CFTV"/>
    <s v="Cameras de CFTV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Atuador Damper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XV"/>
    <s v="Atuador Damper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AIT"/>
    <s v="AIT PA - 4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PA - 4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5091"/>
    <s v="AIT"/>
    <s v="AIT Hart - 4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Hart - 4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5091"/>
    <s v="AIT"/>
    <s v="AIT Hart - 2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Hart - 2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4533"/>
    <s v="PI"/>
    <s v="Manometro - Tubulão - Caldeira"/>
    <n v="73181500"/>
    <x v="87"/>
    <s v="DP 619"/>
    <n v="3"/>
    <s v="PC"/>
    <s v="DISPAN"/>
    <n v="6.2400000000000004E-2"/>
    <n v="0.18720000000000001"/>
    <s v="DP 619"/>
    <n v="0"/>
    <n v="0"/>
    <n v="0"/>
    <m/>
    <n v="0"/>
  </r>
  <r>
    <n v="300"/>
    <s v="CFTV"/>
    <s v="Cameras de CFTV"/>
    <n v="73071100"/>
    <x v="88"/>
    <s v="BU-100-B"/>
    <n v="2"/>
    <s v="PC"/>
    <s v="DAISA"/>
    <n v="0.35"/>
    <n v="0.7"/>
    <s v="BU-100-B"/>
    <n v="0"/>
    <n v="0"/>
    <n v="0"/>
    <m/>
    <n v="0"/>
  </r>
  <r>
    <n v="3585"/>
    <s v="PIT"/>
    <s v="PIT Vapor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Tri Clamp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Tri Clamp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Manometrico - Hart"/>
    <n v="85444900"/>
    <x v="89"/>
    <n v="900400"/>
    <n v="0"/>
    <s v="M"/>
    <s v="ENERGIFLEX"/>
    <n v="1.4"/>
    <n v="0"/>
    <n v="900400"/>
    <n v="3"/>
    <n v="0"/>
    <n v="0"/>
    <n v="0.11"/>
    <n v="0"/>
  </r>
  <r>
    <n v="3585"/>
    <s v="PIT"/>
    <s v="PIT Manometrico -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Gases Caldeira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Diferencial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Diferencial - HART"/>
    <n v="85444900"/>
    <x v="89"/>
    <n v="900400"/>
    <n v="0"/>
    <s v="M"/>
    <s v="ENERGIFLEX"/>
    <n v="1.4"/>
    <n v="0"/>
    <n v="900400"/>
    <n v="2"/>
    <n v="0"/>
    <n v="0"/>
    <m/>
    <n v="0"/>
  </r>
  <r>
    <n v="3585"/>
    <s v="PIT"/>
    <s v="PIT Ar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Agua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Ultrassonico Exd - PA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Ultrassonico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Ultrassonico - Hart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LIT"/>
    <s v="LIT Tubulão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Tq. Descarg. Continu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Manometrico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Manometrico -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Flang. Tq. Fechado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Flang. Tq. Fechado - Hart"/>
    <n v="85444900"/>
    <x v="89"/>
    <n v="900400"/>
    <n v="0"/>
    <s v="M"/>
    <s v="ENERGIFLEX"/>
    <n v="1.4"/>
    <n v="0"/>
    <n v="900400"/>
    <n v="4"/>
    <n v="0"/>
    <n v="0"/>
    <m/>
    <n v="0"/>
  </r>
  <r>
    <n v="3585"/>
    <s v="LIT"/>
    <s v="LIT Flang. Tq. Aberto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Dorna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Diferencial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Diferencial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Desaerador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Vapor P22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Vapor F11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Magnético Remoto Exd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Magnético Remoto - Hart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FIT"/>
    <s v="FIT Magnético Integral Exd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Magnético Integral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Diferencial Água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Diferencial Águ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SLL"/>
    <s v="Chave Nivel - Caldeira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XV"/>
    <s v="Atuador Damper PA"/>
    <n v="85444900"/>
    <x v="89"/>
    <n v="900400"/>
    <n v="0"/>
    <s v="M"/>
    <s v="ENERGIFLEX"/>
    <n v="1.4"/>
    <n v="0"/>
    <n v="900400"/>
    <n v="0"/>
    <n v="0"/>
    <n v="0"/>
    <m/>
    <n v="0"/>
  </r>
  <r>
    <n v="3585"/>
    <s v="XV"/>
    <s v="Atuador Damper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AIT"/>
    <s v="AIT Hart - 4 Fios - Tubul.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AIT"/>
    <s v="AIT Hart - 4 Fios - Tanque"/>
    <n v="85444900"/>
    <x v="89"/>
    <n v="900400"/>
    <n v="0"/>
    <s v="M"/>
    <s v="ENERGIFLEX"/>
    <n v="1.4"/>
    <n v="0"/>
    <n v="900400"/>
    <n v="0"/>
    <n v="0"/>
    <n v="0"/>
    <m/>
    <n v="0"/>
  </r>
  <r>
    <n v="3585"/>
    <s v="AIT"/>
    <s v="AIT Hart - 2 Fios - Tubul."/>
    <n v="85444900"/>
    <x v="89"/>
    <n v="900400"/>
    <n v="0"/>
    <s v="M"/>
    <s v="ENERGIFLEX"/>
    <n v="1.4"/>
    <n v="0"/>
    <n v="900400"/>
    <n v="0"/>
    <n v="0"/>
    <n v="0"/>
    <m/>
    <n v="0"/>
  </r>
  <r>
    <n v="3585"/>
    <s v="AIT"/>
    <s v="AIT Hart - 2 Fios - Tanque"/>
    <n v="85444900"/>
    <x v="89"/>
    <n v="900400"/>
    <n v="0"/>
    <s v="M"/>
    <s v="ENERGIFLEX"/>
    <n v="1.4"/>
    <n v="0"/>
    <n v="900400"/>
    <n v="0"/>
    <n v="0"/>
    <n v="0"/>
    <m/>
    <n v="0"/>
  </r>
  <r>
    <n v="3585"/>
    <s v="MV"/>
    <s v="Válv. Motorizada I/O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CV"/>
    <s v="Válv. Controle Hart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CV"/>
    <s v="Válv. Controle Exd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T "/>
    <s v="TT - Hart"/>
    <n v="85444900"/>
    <x v="89"/>
    <n v="900400"/>
    <n v="50"/>
    <s v="M"/>
    <s v="ENERGIFLEX"/>
    <n v="1.4"/>
    <n v="70"/>
    <n v="900400"/>
    <n v="0"/>
    <n v="0"/>
    <n v="0"/>
    <n v="0.11"/>
    <n v="5.5"/>
  </r>
  <r>
    <n v="3585"/>
    <s v="TT "/>
    <s v="TT -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IT"/>
    <s v="TIT - Termopar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IT"/>
    <s v="TIT - Pt-100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ST"/>
    <s v="Status CCM"/>
    <n v="85444900"/>
    <x v="89"/>
    <n v="900400"/>
    <n v="10"/>
    <s v="M"/>
    <s v="ENERGIFLEX"/>
    <n v="1.4"/>
    <n v="14"/>
    <n v="900400"/>
    <n v="0"/>
    <n v="0"/>
    <n v="0"/>
    <m/>
    <n v="0"/>
  </r>
  <r>
    <n v="3585"/>
    <s v="ZS"/>
    <s v="Sensores Discretos Exd"/>
    <n v="85444900"/>
    <x v="89"/>
    <n v="900400"/>
    <n v="0"/>
    <s v="M"/>
    <s v="ENERGIFLEX"/>
    <n v="1.4"/>
    <n v="0"/>
    <n v="900400"/>
    <n v="0"/>
    <n v="0"/>
    <n v="0"/>
    <m/>
    <n v="0"/>
  </r>
  <r>
    <n v="3585"/>
    <s v="ZS"/>
    <s v="Sensores Discretos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MD"/>
    <s v="Motores Discretos (2 ED 1 SD 1 EA 1 AS)"/>
    <n v="85444900"/>
    <x v="89"/>
    <n v="900400"/>
    <n v="10"/>
    <s v="M"/>
    <s v="ENERGIFLEX"/>
    <n v="1.4"/>
    <n v="14"/>
    <n v="900400"/>
    <n v="0"/>
    <n v="0"/>
    <n v="0"/>
    <n v="0.11"/>
    <n v="0"/>
  </r>
  <r>
    <n v="9670"/>
    <s v="TIT"/>
    <s v="TIT - Pt-100 - PA"/>
    <n v="85444900"/>
    <x v="90"/>
    <n v="900900"/>
    <n v="30"/>
    <s v="M"/>
    <s v="ENERGIFLEX"/>
    <n v="1.95"/>
    <n v="58.5"/>
    <n v="900900"/>
    <n v="0"/>
    <n v="0"/>
    <n v="0"/>
    <m/>
    <n v="0"/>
  </r>
  <r>
    <n v="9670"/>
    <s v="TIT"/>
    <s v="TIT - Pt-100 - Hart"/>
    <n v="85444900"/>
    <x v="90"/>
    <n v="900900"/>
    <n v="50"/>
    <s v="M"/>
    <s v="ENERGIFLEX"/>
    <n v="1.95"/>
    <n v="97.5"/>
    <n v="900900"/>
    <n v="0"/>
    <n v="0"/>
    <n v="0"/>
    <m/>
    <n v="0"/>
  </r>
  <r>
    <n v="2023"/>
    <s v="MV"/>
    <s v="Válv. Motorizada Profibus DP"/>
    <n v="85444900"/>
    <x v="91"/>
    <s v="B3079A-7#"/>
    <n v="50"/>
    <s v="M"/>
    <s v="BELDEN"/>
    <n v="5.0999999999999996"/>
    <n v="254.99999999999997"/>
    <s v="B3079A-7#"/>
    <n v="0"/>
    <n v="0"/>
    <n v="0"/>
    <m/>
    <n v="0"/>
  </r>
  <r>
    <n v="2023"/>
    <s v="GTW"/>
    <s v="Gateway DP/PA"/>
    <n v="85444900"/>
    <x v="91"/>
    <s v="B3079A-7#"/>
    <n v="200"/>
    <s v="PC"/>
    <s v="BELDEN"/>
    <n v="5.0999999999999996"/>
    <n v="1019.9999999999999"/>
    <s v="B3079A-7#"/>
    <n v="0"/>
    <n v="0"/>
    <n v="0"/>
    <m/>
    <n v="0"/>
  </r>
  <r>
    <n v="2023"/>
    <s v="GTW"/>
    <s v="Gateway DP/AS-i"/>
    <n v="85444900"/>
    <x v="91"/>
    <s v="B3079A-7#"/>
    <n v="200"/>
    <s v="PC"/>
    <s v="BELDEN"/>
    <n v="5.0999999999999996"/>
    <n v="1019.9999999999999"/>
    <s v="B3079A-7#"/>
    <n v="0"/>
    <n v="0"/>
    <n v="0"/>
    <m/>
    <n v="0"/>
  </r>
  <r>
    <n v="2023"/>
    <s v="CCM"/>
    <s v="CCM em REDE DP"/>
    <n v="85444900"/>
    <x v="91"/>
    <s v="B3079A-7#"/>
    <n v="30"/>
    <s v="PC"/>
    <s v="BELDEN"/>
    <n v="5.0999999999999996"/>
    <n v="153"/>
    <s v="B3079A-7#"/>
    <n v="0"/>
    <n v="0"/>
    <n v="0"/>
    <n v="0.11"/>
    <n v="0"/>
  </r>
  <r>
    <n v="3369"/>
    <s v="XV"/>
    <s v="Válv. On/Off AS-i Exd"/>
    <n v="85444900"/>
    <x v="92"/>
    <n v="5000005853"/>
    <n v="10"/>
    <s v="M"/>
    <s v="SENSE"/>
    <n v="5.2"/>
    <n v="52"/>
    <n v="5000005853"/>
    <n v="0"/>
    <n v="0"/>
    <n v="0"/>
    <m/>
    <n v="0"/>
  </r>
  <r>
    <n v="3369"/>
    <s v="XV"/>
    <s v="Válv. On/Off AS-i"/>
    <n v="85444900"/>
    <x v="92"/>
    <n v="5000005853"/>
    <n v="10"/>
    <s v="M"/>
    <s v="SENSE"/>
    <n v="5.2"/>
    <n v="52"/>
    <n v="5000005853"/>
    <n v="0"/>
    <n v="0"/>
    <n v="0"/>
    <m/>
    <n v="0"/>
  </r>
  <r>
    <n v="4288"/>
    <s v="TIT"/>
    <s v="TIT - Termopar - PA"/>
    <n v="85444900"/>
    <x v="93"/>
    <s v="CFC-C-K-2-20-SS-I-X"/>
    <n v="30"/>
    <s v="M"/>
    <s v="CONSISTEC"/>
    <n v="17.899999999999999"/>
    <n v="537"/>
    <s v="CFC-C-K-2-20-SS-I-X"/>
    <n v="0"/>
    <n v="0"/>
    <n v="0"/>
    <m/>
    <n v="0"/>
  </r>
  <r>
    <n v="4288"/>
    <s v="TIT"/>
    <s v="TIT - Termopar - Hart"/>
    <n v="85444900"/>
    <x v="93"/>
    <s v="CFC-C-K-2-20-SS-I-X"/>
    <n v="50"/>
    <s v="M"/>
    <s v="CONSISTEC"/>
    <n v="17.899999999999999"/>
    <n v="894.99999999999989"/>
    <s v="CFC-C-K-2-20-SS-I-X"/>
    <n v="0"/>
    <n v="0"/>
    <n v="0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0">
  <r>
    <n v="118"/>
    <s v="Infra Eletrica de 1&quot;"/>
    <n v="73072900"/>
    <x v="0"/>
    <s v="DP 634-3"/>
    <n v="9"/>
    <s v="PC"/>
    <s v="DISPAN"/>
    <n v="1.1000000000000001"/>
    <n v="9.9"/>
    <s v="DP 634-3"/>
    <n v="0.5"/>
    <n v="0.55000000000000004"/>
    <n v="0"/>
    <n v="0"/>
    <n v="0"/>
  </r>
  <r>
    <n v="95"/>
    <s v="Infra Eletrica de 1&quot;"/>
    <n v="73072900"/>
    <x v="1"/>
    <s v="AU 100 - BSP"/>
    <n v="1"/>
    <s v="PC"/>
    <s v="DAISA"/>
    <n v="0.55000000000000004"/>
    <n v="0.55000000000000004"/>
    <s v="AU 100 - BSP"/>
    <n v="5.5555555555555552E-2"/>
    <n v="3.0555555555555558E-2"/>
    <n v="0"/>
    <n v="0"/>
    <n v="0"/>
  </r>
  <r>
    <n v="300"/>
    <s v="Infra Eletrica de 1&quot;"/>
    <n v="73071100"/>
    <x v="2"/>
    <s v="BU-100-B"/>
    <n v="1"/>
    <s v="PC"/>
    <s v="DAISA"/>
    <n v="1.17"/>
    <n v="1.17"/>
    <s v="BU-100-B"/>
    <n v="5.5555555555555552E-2"/>
    <n v="6.4999999999999988E-2"/>
    <n v="0"/>
    <n v="0"/>
    <n v="0"/>
  </r>
  <r>
    <n v="2805"/>
    <s v="Infra Eletrica de 1&quot;"/>
    <n v="72162100"/>
    <x v="3"/>
    <s v="L"/>
    <n v="3.48"/>
    <s v="KG"/>
    <s v="GERDAU"/>
    <n v="2.8"/>
    <n v="9.7439999999999998"/>
    <s v="AUT-2805"/>
    <n v="0.19333333333333333"/>
    <n v="0.54133333333333333"/>
    <n v="0"/>
    <n v="0"/>
    <n v="0"/>
  </r>
  <r>
    <n v="3500"/>
    <s v="Infra Eletrica de 1&quot;"/>
    <n v="76090000"/>
    <x v="4"/>
    <s v="DVRT 100-BSP-C"/>
    <n v="1"/>
    <s v="PC"/>
    <s v="DAISA"/>
    <n v="8.6"/>
    <n v="8.6"/>
    <s v="DVRT 100-BSP-C"/>
    <n v="5.5555555555555552E-2"/>
    <n v="0.47777777777777775"/>
    <n v="0"/>
    <n v="0"/>
    <n v="0"/>
  </r>
  <r>
    <n v="4869"/>
    <s v="Infra Eletrica de 1&quot;"/>
    <n v="76090000"/>
    <x v="5"/>
    <s v="DVRT 100-BSP-LB"/>
    <n v="2"/>
    <s v="PC"/>
    <s v="DAISA"/>
    <n v="8.6"/>
    <n v="17.2"/>
    <s v="DVRT 100-BSP-LB"/>
    <n v="0.1111111111111111"/>
    <n v="0.95555555555555549"/>
    <n v="0"/>
    <n v="0"/>
    <n v="0"/>
  </r>
  <r>
    <n v="203"/>
    <s v="Infra Eletrica de 1&quot;"/>
    <n v="76090000"/>
    <x v="6"/>
    <s v="DVRT 100-BSP-LL"/>
    <n v="2"/>
    <s v="PC"/>
    <s v="DAISA"/>
    <n v="8.6"/>
    <n v="17.2"/>
    <s v="DVRT 100-BSP-LL"/>
    <n v="0.1111111111111111"/>
    <n v="0.95555555555555549"/>
    <n v="0"/>
    <n v="0"/>
    <n v="0"/>
  </r>
  <r>
    <n v="2547"/>
    <s v="Infra Eletrica de 1&quot;"/>
    <n v="76090000"/>
    <x v="7"/>
    <s v="DVRT 100-BSP-LR"/>
    <n v="2"/>
    <s v="PC"/>
    <s v="DAISA"/>
    <n v="8.9"/>
    <n v="17.8"/>
    <s v="DVRT 100-BSP-LR"/>
    <n v="0.1111111111111111"/>
    <n v="0.98888888888888893"/>
    <n v="0"/>
    <n v="0"/>
    <n v="0"/>
  </r>
  <r>
    <n v="4625"/>
    <s v="Infra Eletrica de 1&quot;"/>
    <n v="76090000"/>
    <x v="8"/>
    <s v="DVRT 100-BSP-T"/>
    <n v="1"/>
    <s v="PC"/>
    <s v="DAISA"/>
    <n v="9.7799999999999994"/>
    <n v="9.7799999999999994"/>
    <s v="DVRT 100-BSP-T"/>
    <n v="5.5555555555555552E-2"/>
    <n v="0.54333333333333322"/>
    <n v="0"/>
    <n v="0"/>
    <n v="0"/>
  </r>
  <r>
    <n v="2894"/>
    <s v="Infra Eletrica de 1&quot;"/>
    <n v="73063000"/>
    <x v="9"/>
    <n v="0"/>
    <n v="1"/>
    <s v="PC"/>
    <s v="CARBINOX"/>
    <n v="13.136666666666665"/>
    <n v="13.136666666666665"/>
    <s v="AUT-2894"/>
    <n v="5.5555555555555552E-2"/>
    <n v="0.72981481481481469"/>
    <n v="0"/>
    <n v="0"/>
    <n v="0"/>
  </r>
  <r>
    <n v="2894"/>
    <s v="Infra Eletrica de 1&quot;"/>
    <n v="73063000"/>
    <x v="10"/>
    <n v="0"/>
    <n v="6"/>
    <s v="BR"/>
    <s v="CARBINOX"/>
    <n v="39.409999999999997"/>
    <n v="236.45999999999998"/>
    <s v="AUT-2894"/>
    <n v="0.33333333333333331"/>
    <n v="13.136666666666665"/>
    <n v="0"/>
    <n v="0"/>
    <n v="0"/>
  </r>
  <r>
    <n v="118"/>
    <s v="Infra Eletrica de 1&quot; Exd"/>
    <n v="73072900"/>
    <x v="0"/>
    <s v="DP 634-3"/>
    <n v="9"/>
    <s v="PC"/>
    <s v="DISPAN"/>
    <n v="1.1000000000000001"/>
    <n v="9.9"/>
    <s v="DP 634-3"/>
    <n v="0.5"/>
    <n v="0.55000000000000004"/>
    <n v="0"/>
    <n v="0"/>
    <n v="0"/>
  </r>
  <r>
    <n v="4928"/>
    <s v="Infra Eletrica de 1&quot; Exd"/>
    <n v="73072900"/>
    <x v="11"/>
    <s v="CX / AR-3 FG"/>
    <n v="1"/>
    <s v="PC"/>
    <s v="CONEX"/>
    <n v="4.16"/>
    <n v="4.16"/>
    <s v="CX / AR-3 FG"/>
    <n v="5.5555555555555552E-2"/>
    <n v="0.2311111111111111"/>
    <n v="0"/>
    <n v="0"/>
    <n v="0"/>
  </r>
  <r>
    <n v="96"/>
    <s v="Infra Eletrica de 1&quot; Exd"/>
    <n v="73071100"/>
    <x v="12"/>
    <s v="CX / BF-3 FG"/>
    <n v="1"/>
    <s v="PC"/>
    <s v="CONEX"/>
    <n v="5.85"/>
    <n v="5.85"/>
    <s v="CX / BF-3 FG"/>
    <n v="5.5555555555555552E-2"/>
    <n v="0.32499999999999996"/>
    <n v="0"/>
    <n v="0"/>
    <n v="0"/>
  </r>
  <r>
    <n v="74"/>
    <s v="Infra Eletrica de 1&quot; Exd"/>
    <n v="73071100"/>
    <x v="13"/>
    <s v="CX / BRD-31 FG"/>
    <n v="1"/>
    <s v="PC"/>
    <s v="CONEX"/>
    <n v="8.0500000000000007"/>
    <n v="8.0500000000000007"/>
    <s v="CX / BRD-31 FG"/>
    <n v="5.5555555555555552E-2"/>
    <n v="0.44722222222222224"/>
    <n v="0"/>
    <n v="0"/>
    <n v="0"/>
  </r>
  <r>
    <n v="320"/>
    <s v="Infra Eletrica de 1&quot; Exd"/>
    <n v="73071100"/>
    <x v="14"/>
    <s v="CX / BRD-32 FG"/>
    <n v="1"/>
    <s v="PC"/>
    <s v="CONEX"/>
    <n v="8.67"/>
    <n v="8.67"/>
    <s v="CX / BRD-32 FG"/>
    <n v="5.5555555555555552E-2"/>
    <n v="0.48166666666666663"/>
    <n v="0"/>
    <n v="0"/>
    <n v="0"/>
  </r>
  <r>
    <n v="2805"/>
    <s v="Infra Eletrica de 1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122"/>
    <s v="Infra Eletrica de 1&quot; Exd"/>
    <n v="73071100"/>
    <x v="15"/>
    <s v="TCLEX/3-C"/>
    <n v="1"/>
    <s v="PC"/>
    <s v="TELBRA"/>
    <n v="36.25"/>
    <n v="36.25"/>
    <s v="TCLEX/3-C"/>
    <n v="5.5555555555555552E-2"/>
    <n v="2.0138888888888888"/>
    <n v="0"/>
    <n v="0"/>
    <n v="0"/>
  </r>
  <r>
    <n v="124"/>
    <s v="Infra Eletrica de 1&quot; Exd"/>
    <n v="73071100"/>
    <x v="16"/>
    <s v="TCLEX/3-LB"/>
    <n v="1"/>
    <s v="PC"/>
    <s v="TELBRA"/>
    <n v="36.25"/>
    <n v="36.25"/>
    <s v="TCLEX/3-LB"/>
    <n v="5.5555555555555552E-2"/>
    <n v="2.0138888888888888"/>
    <n v="0"/>
    <n v="0"/>
    <n v="0"/>
  </r>
  <r>
    <n v="125"/>
    <s v="Infra Eletrica de 1&quot; Exd"/>
    <n v="73071100"/>
    <x v="17"/>
    <s v="TCLEX/3-LL"/>
    <n v="1"/>
    <s v="PC"/>
    <s v="TELBRA"/>
    <n v="36.25"/>
    <n v="36.25"/>
    <s v="TCLEX/3-LL"/>
    <n v="5.5555555555555552E-2"/>
    <n v="2.0138888888888888"/>
    <n v="0"/>
    <n v="0"/>
    <n v="0"/>
  </r>
  <r>
    <n v="126"/>
    <s v="Infra Eletrica de 1&quot; Exd"/>
    <n v="73071100"/>
    <x v="18"/>
    <s v="TCLEX/3-LR"/>
    <n v="1"/>
    <s v="PC"/>
    <s v="TELBRA"/>
    <n v="36.25"/>
    <n v="36.25"/>
    <s v="TCLEX/3-LR"/>
    <n v="5.5555555555555552E-2"/>
    <n v="2.0138888888888888"/>
    <n v="0"/>
    <n v="0"/>
    <n v="0"/>
  </r>
  <r>
    <n v="128"/>
    <s v="Infra Eletrica de 1&quot; Exd"/>
    <n v="73071100"/>
    <x v="19"/>
    <s v="TCLEX/3-T"/>
    <n v="1"/>
    <s v="PC"/>
    <s v="TELBRA"/>
    <n v="36.25"/>
    <n v="36.25"/>
    <s v="TCLEX/3-T"/>
    <n v="5.5555555555555552E-2"/>
    <n v="2.0138888888888888"/>
    <n v="0"/>
    <n v="0"/>
    <n v="0"/>
  </r>
  <r>
    <n v="3609"/>
    <s v="Infra Eletrica de 1&quot; Exd"/>
    <n v="73063000"/>
    <x v="20"/>
    <n v="0"/>
    <n v="6"/>
    <s v="BR"/>
    <s v="CARBINOX"/>
    <n v="42.47"/>
    <n v="254.82"/>
    <s v="AUT-3609"/>
    <n v="0.33333333333333331"/>
    <n v="14.156666666666666"/>
    <n v="0"/>
    <n v="0"/>
    <n v="0"/>
  </r>
  <r>
    <n v="3182"/>
    <s v="Infra Eletrica de 1.1/2&quot;"/>
    <n v="73072900"/>
    <x v="21"/>
    <s v="DP 634-5"/>
    <n v="12"/>
    <s v="PC"/>
    <s v="DISPAN"/>
    <n v="1.5"/>
    <n v="18"/>
    <s v="DP 634-5"/>
    <n v="0.66666666666666663"/>
    <n v="1"/>
    <n v="0"/>
    <n v="0"/>
    <n v="0"/>
  </r>
  <r>
    <n v="2608"/>
    <s v="Infra Eletrica de 1.1/2&quot;"/>
    <n v="73072900"/>
    <x v="22"/>
    <s v="AU 112 - BSP"/>
    <n v="1"/>
    <s v="PC"/>
    <s v="DAISA"/>
    <n v="0.9"/>
    <n v="0.9"/>
    <s v="AU 112 - BSP"/>
    <n v="5.5555555555555552E-2"/>
    <n v="4.9999999999999996E-2"/>
    <n v="0"/>
    <n v="0"/>
    <n v="0"/>
  </r>
  <r>
    <n v="5091"/>
    <s v="Infra Eletrica de 1.1/2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2606"/>
    <s v="Infra Eletrica de 1.1/2&quot;"/>
    <n v="73071100"/>
    <x v="24"/>
    <s v="BU-112-B"/>
    <n v="2"/>
    <s v="PC"/>
    <s v="DAISA"/>
    <n v="1.24"/>
    <n v="2.48"/>
    <s v="BU-112-B"/>
    <n v="0.1111111111111111"/>
    <n v="0.13777777777777778"/>
    <n v="0"/>
    <n v="0"/>
    <n v="0"/>
  </r>
  <r>
    <n v="1119"/>
    <s v="Infra Eletrica de 1.1/2&quot;"/>
    <n v="73071910"/>
    <x v="25"/>
    <s v="BRR 112 X 100"/>
    <n v="1"/>
    <s v="PC"/>
    <s v="DAISA"/>
    <n v="11.45"/>
    <n v="11.45"/>
    <s v="BRR 112 X 100"/>
    <n v="5.5555555555555552E-2"/>
    <n v="0.63611111111111107"/>
    <n v="0"/>
    <n v="0"/>
    <n v="0"/>
  </r>
  <r>
    <n v="4569"/>
    <s v="Infra Eletrica de 1.1/2&quot;"/>
    <n v="73071910"/>
    <x v="26"/>
    <s v="BRR 112 X 012"/>
    <n v="1"/>
    <s v="PC"/>
    <s v="DAISA"/>
    <n v="14.05"/>
    <n v="14.05"/>
    <s v="BRR 112 X 012"/>
    <n v="5.5555555555555552E-2"/>
    <n v="0.78055555555555556"/>
    <n v="0"/>
    <n v="0"/>
    <n v="0"/>
  </r>
  <r>
    <n v="3599"/>
    <s v="Infra Eletrica de 1.1/2&quot;"/>
    <n v="73071910"/>
    <x v="27"/>
    <s v="BRR 112 X 034"/>
    <n v="2"/>
    <s v="PC"/>
    <s v="DAISA"/>
    <n v="13.74"/>
    <n v="27.48"/>
    <s v="BRR 112 X 034"/>
    <n v="0.1111111111111111"/>
    <n v="1.5266666666666666"/>
    <n v="0"/>
    <n v="0"/>
    <n v="0"/>
  </r>
  <r>
    <n v="2805"/>
    <s v="Infra Eletrica de 1.1/2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597"/>
    <s v="Infra Eletrica de 1.1/2&quot;"/>
    <n v="76090000"/>
    <x v="28"/>
    <s v="DVRT 112-BSP-C"/>
    <n v="2"/>
    <s v="PC"/>
    <s v="DAISA"/>
    <n v="17.29"/>
    <n v="34.58"/>
    <s v="DVRT 112-BSP-C"/>
    <n v="0.1111111111111111"/>
    <n v="1.921111111111111"/>
    <n v="0"/>
    <n v="0"/>
    <n v="0"/>
  </r>
  <r>
    <n v="4648"/>
    <s v="Infra Eletrica de 1.1/2&quot;"/>
    <n v="76090000"/>
    <x v="29"/>
    <s v="DVRT 112-BSP-LB"/>
    <n v="1"/>
    <s v="PC"/>
    <s v="DAISA"/>
    <n v="17.29"/>
    <n v="17.29"/>
    <s v="DVRT 112-BSP-LB"/>
    <n v="5.5555555555555552E-2"/>
    <n v="0.9605555555555555"/>
    <n v="0"/>
    <n v="0"/>
    <n v="0"/>
  </r>
  <r>
    <n v="202"/>
    <s v="Infra Eletrica de 1.1/2&quot;"/>
    <n v="76090000"/>
    <x v="30"/>
    <s v="DVRT 112-BSP-LL"/>
    <n v="1"/>
    <s v="PC"/>
    <s v="DAISA"/>
    <n v="17.29"/>
    <n v="17.29"/>
    <s v="DVRT 112-BSP-LL"/>
    <n v="5.5555555555555552E-2"/>
    <n v="0.9605555555555555"/>
    <n v="0"/>
    <n v="0"/>
    <n v="0"/>
  </r>
  <r>
    <n v="4584"/>
    <s v="Infra Eletrica de 1.1/2&quot;"/>
    <n v="76090000"/>
    <x v="31"/>
    <s v="DVRT 112-BSP-LR"/>
    <n v="1"/>
    <s v="PC"/>
    <s v="DAISA"/>
    <n v="17.29"/>
    <n v="17.29"/>
    <s v="DVRT 112-BSP-LR"/>
    <n v="5.5555555555555552E-2"/>
    <n v="0.9605555555555555"/>
    <n v="0"/>
    <n v="0"/>
    <n v="0"/>
  </r>
  <r>
    <n v="444"/>
    <s v="Infra Eletrica de 1.1/2&quot;"/>
    <n v="76090000"/>
    <x v="32"/>
    <s v="DVRT 112-BSP-T"/>
    <n v="1"/>
    <s v="PC"/>
    <s v="DAISA"/>
    <n v="21.6"/>
    <n v="21.6"/>
    <s v="DVRT 112-BSP-T"/>
    <n v="5.5555555555555552E-2"/>
    <n v="1.2"/>
    <n v="0"/>
    <n v="0"/>
    <n v="0"/>
  </r>
  <r>
    <n v="2833"/>
    <s v="Infra Eletrica de 1.1/2&quot;"/>
    <n v="73063000"/>
    <x v="33"/>
    <n v="0"/>
    <n v="6"/>
    <s v="BR"/>
    <s v="CARBINOX"/>
    <n v="70.12"/>
    <n v="420.72"/>
    <s v="AUT-2833"/>
    <n v="0.33333333333333331"/>
    <n v="23.373333333333335"/>
    <n v="0"/>
    <n v="0"/>
    <n v="0"/>
  </r>
  <r>
    <n v="3014"/>
    <s v="Infra Eletrica de 1.1/2&quot;"/>
    <n v="73072900"/>
    <x v="34"/>
    <n v="0"/>
    <n v="2"/>
    <s v="PC"/>
    <s v="CARBINOX"/>
    <n v="5.39"/>
    <n v="10.78"/>
    <s v="AUT-3014"/>
    <n v="0.1111111111111111"/>
    <n v="0.5988888888888888"/>
    <n v="0"/>
    <n v="0"/>
    <n v="0"/>
  </r>
  <r>
    <n v="3666"/>
    <s v="Infra Eletrica de 1.1/2&quot;"/>
    <n v="73071910"/>
    <x v="35"/>
    <s v="PU-112-BSP"/>
    <n v="2"/>
    <s v="PC"/>
    <s v="DAISA"/>
    <n v="1.8"/>
    <n v="3.6"/>
    <s v="PU-112-BSP"/>
    <n v="0.1111111111111111"/>
    <n v="0.19999999999999998"/>
    <n v="0"/>
    <n v="0"/>
    <n v="0"/>
  </r>
  <r>
    <n v="3274"/>
    <s v="Infra Eletrica de 1.1/2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3182"/>
    <s v="Infra Eletrica de 1.1/2&quot; Exd"/>
    <n v="73072900"/>
    <x v="21"/>
    <s v="DP 634-5"/>
    <n v="12"/>
    <s v="PC"/>
    <s v="DISPAN"/>
    <n v="1.5"/>
    <n v="18"/>
    <s v="DP 634-5"/>
    <n v="0.66666666666666663"/>
    <n v="1"/>
    <n v="0"/>
    <n v="0"/>
    <n v="0"/>
  </r>
  <r>
    <n v="4929"/>
    <s v="Infra Eletrica de 1.1/2&quot; Exd"/>
    <n v="73072900"/>
    <x v="37"/>
    <s v="CX / AR-5 FG"/>
    <n v="2"/>
    <s v="PC"/>
    <s v="CONEX"/>
    <n v="7.28"/>
    <n v="14.56"/>
    <s v="CX / AR-5 FG"/>
    <n v="0.1111111111111111"/>
    <n v="0.80888888888888888"/>
    <n v="0"/>
    <n v="0"/>
    <n v="0"/>
  </r>
  <r>
    <n v="5091"/>
    <s v="Infra Eletrica de 1.1/2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4932"/>
    <s v="Infra Eletrica de 1.1/2&quot; Exd"/>
    <n v="73071100"/>
    <x v="38"/>
    <s v="CX / BF-4 FG"/>
    <n v="2"/>
    <s v="PC"/>
    <s v="CONEX"/>
    <n v="8.64"/>
    <n v="17.28"/>
    <s v="CX / BF-4 FG"/>
    <n v="0.1111111111111111"/>
    <n v="0.96"/>
    <n v="0"/>
    <n v="0"/>
    <n v="0"/>
  </r>
  <r>
    <n v="4569"/>
    <s v="Infra Eletrica de 1.1/2&quot; Exd"/>
    <n v="73071910"/>
    <x v="26"/>
    <s v="BRR 112 X 012"/>
    <n v="1"/>
    <s v="PC"/>
    <s v="DAISA"/>
    <n v="14.05"/>
    <n v="14.05"/>
    <s v="BRR 112 X 012"/>
    <n v="5.5555555555555552E-2"/>
    <n v="0.78055555555555556"/>
    <n v="0"/>
    <n v="0"/>
    <n v="0"/>
  </r>
  <r>
    <n v="4849"/>
    <s v="Infra Eletrica de 1.1/2&quot; Exd"/>
    <n v="73071100"/>
    <x v="39"/>
    <s v="CX / BRD-53 FG"/>
    <n v="1"/>
    <s v="PC"/>
    <s v="CONEX"/>
    <n v="19.8"/>
    <n v="19.8"/>
    <s v="CX / BRD-53 FG"/>
    <n v="5.5555555555555552E-2"/>
    <n v="1.1000000000000001"/>
    <n v="0"/>
    <n v="0"/>
    <n v="0"/>
  </r>
  <r>
    <n v="4852"/>
    <s v="Infra Eletrica de 1.1/2&quot; Exd"/>
    <n v="73071100"/>
    <x v="40"/>
    <s v="CX / BRD-51 FG"/>
    <n v="1"/>
    <s v="PC"/>
    <s v="CONEX"/>
    <n v="19.8"/>
    <n v="19.8"/>
    <s v="CX / BRD-51 FG"/>
    <n v="5.5555555555555552E-2"/>
    <n v="1.1000000000000001"/>
    <n v="0"/>
    <n v="0"/>
    <n v="0"/>
  </r>
  <r>
    <n v="4851"/>
    <s v="Infra Eletrica de 1.1/2&quot; Exd"/>
    <n v="73071100"/>
    <x v="41"/>
    <s v="CX / BRD-52 FG"/>
    <n v="2"/>
    <s v="PC"/>
    <s v="CONEX"/>
    <n v="19.8"/>
    <n v="39.6"/>
    <s v="CX / BRD-52 FG"/>
    <n v="0.1111111111111111"/>
    <n v="2.2000000000000002"/>
    <n v="0"/>
    <n v="0"/>
    <n v="0"/>
  </r>
  <r>
    <n v="2805"/>
    <s v="Infra Eletrica de 1.1/2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597"/>
    <s v="Infra Eletrica de 1.1/2&quot; Exd"/>
    <n v="76090000"/>
    <x v="28"/>
    <s v="DVRT 112-BSP-C"/>
    <n v="2"/>
    <s v="PC"/>
    <s v="DAISA"/>
    <n v="17.29"/>
    <n v="34.58"/>
    <s v="DVRT 112-BSP-C"/>
    <n v="0.1111111111111111"/>
    <n v="1.921111111111111"/>
    <n v="0"/>
    <n v="0"/>
    <n v="0"/>
  </r>
  <r>
    <n v="134"/>
    <s v="Infra Eletrica de 1.1/2&quot; Exd"/>
    <n v="73071100"/>
    <x v="42"/>
    <s v="TCLX/5-LB"/>
    <n v="1"/>
    <s v="PC"/>
    <s v="TELBRA"/>
    <n v="72.5"/>
    <n v="72.5"/>
    <s v="TCLX/5-LB"/>
    <n v="5.5555555555555552E-2"/>
    <n v="4.0277777777777777"/>
    <n v="0"/>
    <n v="0"/>
    <n v="0"/>
  </r>
  <r>
    <n v="146"/>
    <s v="Infra Eletrica de 1.1/2&quot; Exd"/>
    <n v="73071100"/>
    <x v="43"/>
    <s v="TCLX/5-LL"/>
    <n v="1"/>
    <s v="PC"/>
    <s v="TELBRA"/>
    <n v="72.5"/>
    <n v="72.5"/>
    <s v="TCLX/5-LL"/>
    <n v="5.5555555555555552E-2"/>
    <n v="4.0277777777777777"/>
    <n v="0"/>
    <n v="0"/>
    <n v="0"/>
  </r>
  <r>
    <n v="147"/>
    <s v="Infra Eletrica de 1.1/2&quot; Exd"/>
    <n v="73071100"/>
    <x v="44"/>
    <s v="TCLX/5-LR"/>
    <n v="1"/>
    <s v="PC"/>
    <s v="TELBRA"/>
    <n v="72.5"/>
    <n v="72.5"/>
    <s v="TCLX/5-LR"/>
    <n v="5.5555555555555552E-2"/>
    <n v="4.0277777777777777"/>
    <n v="0"/>
    <n v="0"/>
    <n v="0"/>
  </r>
  <r>
    <n v="150"/>
    <s v="Infra Eletrica de 1.1/2&quot; Exd"/>
    <n v="73071100"/>
    <x v="45"/>
    <s v="TCLX/5-T"/>
    <n v="1"/>
    <s v="PC"/>
    <s v="TELBRA"/>
    <n v="72.5"/>
    <n v="72.5"/>
    <s v="TCLX/5-T"/>
    <n v="5.5555555555555552E-2"/>
    <n v="4.0277777777777777"/>
    <n v="0"/>
    <n v="0"/>
    <n v="0"/>
  </r>
  <r>
    <n v="3608"/>
    <s v="Infra Eletrica de 1.1/2&quot; Exd"/>
    <n v="73063000"/>
    <x v="46"/>
    <n v="0"/>
    <n v="6"/>
    <s v="BR"/>
    <s v="CARBINOX"/>
    <n v="78.12"/>
    <n v="468.72"/>
    <s v="AUT-3608"/>
    <n v="0.33333333333333331"/>
    <n v="26.04"/>
    <n v="0"/>
    <n v="0"/>
    <n v="0"/>
  </r>
  <r>
    <n v="3014"/>
    <s v="Infra Eletrica de 1.1/2&quot; Exd"/>
    <n v="73072900"/>
    <x v="34"/>
    <n v="0"/>
    <n v="2"/>
    <s v="PC"/>
    <s v="CARBINOX"/>
    <n v="5.39"/>
    <n v="10.78"/>
    <s v="AUT-3014"/>
    <n v="0.1111111111111111"/>
    <n v="0.5988888888888888"/>
    <n v="0"/>
    <n v="0"/>
    <n v="0"/>
  </r>
  <r>
    <n v="3274"/>
    <s v="Infra Eletrica de 1.1/2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66"/>
    <s v="Infra Eletrica de 2&quot;"/>
    <n v="73072900"/>
    <x v="47"/>
    <s v="DP 634-6"/>
    <n v="12"/>
    <s v="PC"/>
    <s v="DISPAN"/>
    <n v="1.8"/>
    <n v="21.6"/>
    <s v="DP 634-6"/>
    <n v="0.5"/>
    <n v="0.9"/>
    <n v="0"/>
    <n v="0"/>
    <n v="0"/>
  </r>
  <r>
    <n v="2058"/>
    <s v="Infra Eletrica de 2&quot;"/>
    <n v="73072900"/>
    <x v="48"/>
    <s v="AU 200 - BSP"/>
    <n v="2"/>
    <s v="PC"/>
    <s v="DAISA"/>
    <n v="1.36"/>
    <n v="2.72"/>
    <s v="AU 200 - BSP"/>
    <n v="0.1111111111111111"/>
    <n v="0.15111111111111111"/>
    <n v="0"/>
    <n v="0"/>
    <n v="0"/>
  </r>
  <r>
    <n v="5091"/>
    <s v="Infra Eletrica de 2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3482"/>
    <s v="Infra Eletrica de 2&quot;"/>
    <n v="73071100"/>
    <x v="49"/>
    <s v="BU-200-B"/>
    <n v="2"/>
    <s v="PC"/>
    <s v="DAISA"/>
    <n v="2.77"/>
    <n v="5.54"/>
    <s v="BU-200-B"/>
    <n v="0.1111111111111111"/>
    <n v="0.30777777777777776"/>
    <n v="0"/>
    <n v="0"/>
    <n v="0"/>
  </r>
  <r>
    <n v="1120"/>
    <s v="Infra Eletrica de 2&quot;"/>
    <n v="73071910"/>
    <x v="50"/>
    <s v="BRR 200 X 100"/>
    <n v="1"/>
    <s v="PC"/>
    <s v="DAISA"/>
    <n v="11.75"/>
    <n v="11.75"/>
    <s v="BRR 200 X 100"/>
    <n v="5.5555555555555552E-2"/>
    <n v="0.65277777777777779"/>
    <n v="0"/>
    <n v="0"/>
    <n v="0"/>
  </r>
  <r>
    <n v="1118"/>
    <s v="Infra Eletrica de 2&quot;"/>
    <n v="73071910"/>
    <x v="51"/>
    <s v="BRR 200 X 112"/>
    <n v="1"/>
    <s v="PC"/>
    <s v="DAISA"/>
    <n v="22.58"/>
    <n v="22.58"/>
    <s v="BRR 200 X 112"/>
    <n v="5.5555555555555552E-2"/>
    <n v="1.2544444444444443"/>
    <n v="0"/>
    <n v="0"/>
    <n v="0"/>
  </r>
  <r>
    <n v="312"/>
    <s v="Infra Eletrica de 2&quot;"/>
    <n v="73071910"/>
    <x v="52"/>
    <s v="BRR 200 X 012"/>
    <n v="2"/>
    <s v="PC"/>
    <s v="DAISA"/>
    <n v="26.13"/>
    <n v="52.26"/>
    <s v="BRR 200 X 012"/>
    <n v="0.1111111111111111"/>
    <n v="2.9033333333333329"/>
    <n v="0"/>
    <n v="0"/>
    <n v="0"/>
  </r>
  <r>
    <n v="120"/>
    <s v="Infra Eletrica de 2&quot;"/>
    <n v="73071910"/>
    <x v="53"/>
    <s v="BRR 200 X 034"/>
    <n v="1"/>
    <s v="PC"/>
    <s v="DAISA"/>
    <n v="11.75"/>
    <n v="11.75"/>
    <s v="BRR 200 X 034"/>
    <n v="5.5555555555555552E-2"/>
    <n v="0.65277777777777779"/>
    <n v="0"/>
    <n v="0"/>
    <n v="0"/>
  </r>
  <r>
    <n v="2805"/>
    <s v="Infra Eletrica de 2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69"/>
    <s v="Infra Eletrica de 2&quot;"/>
    <n v="76090000"/>
    <x v="54"/>
    <s v="DIIRT 200-BSP-C"/>
    <n v="2"/>
    <s v="PC"/>
    <s v="DAISA"/>
    <n v="24.92"/>
    <n v="49.84"/>
    <s v="DIIRT 200-BSP-C"/>
    <n v="0.1111111111111111"/>
    <n v="2.7688888888888887"/>
    <n v="0"/>
    <n v="0"/>
    <n v="0"/>
  </r>
  <r>
    <n v="4646"/>
    <s v="Infra Eletrica de 2&quot;"/>
    <n v="76090000"/>
    <x v="55"/>
    <s v="DIIRT 200-BSP-LB"/>
    <n v="1"/>
    <s v="PC"/>
    <s v="DAISA"/>
    <n v="24.92"/>
    <n v="24.92"/>
    <s v="DIIRT 200-BSP-LB"/>
    <n v="5.5555555555555552E-2"/>
    <n v="1.3844444444444444"/>
    <n v="0"/>
    <n v="0"/>
    <n v="0"/>
  </r>
  <r>
    <n v="2617"/>
    <s v="Infra Eletrica de 2&quot;"/>
    <n v="76090000"/>
    <x v="56"/>
    <s v="DVRT 200-BSP-LL"/>
    <n v="1"/>
    <s v="PC"/>
    <s v="DAISA"/>
    <n v="24.92"/>
    <n v="24.92"/>
    <s v="DVRT 200-BSP-LL"/>
    <n v="5.5555555555555552E-2"/>
    <n v="1.3844444444444444"/>
    <n v="0"/>
    <n v="0"/>
    <n v="0"/>
  </r>
  <r>
    <n v="4532"/>
    <s v="Infra Eletrica de 2&quot;"/>
    <n v="76090000"/>
    <x v="57"/>
    <s v="DVRT 200-BSP-LR"/>
    <n v="1"/>
    <s v="PC"/>
    <s v="DAISA"/>
    <n v="24.92"/>
    <n v="24.92"/>
    <s v="DVRT 200-BSP-LR"/>
    <n v="5.5555555555555552E-2"/>
    <n v="1.3844444444444444"/>
    <n v="0"/>
    <n v="0"/>
    <n v="0"/>
  </r>
  <r>
    <n v="4824"/>
    <s v="Infra Eletrica de 2&quot;"/>
    <n v="76090000"/>
    <x v="58"/>
    <s v="DVRT 200-BSP-T"/>
    <n v="1"/>
    <s v="PC"/>
    <s v="DAISA"/>
    <n v="27.93"/>
    <n v="27.93"/>
    <s v="DVRT 200-BSP-T"/>
    <n v="5.5555555555555552E-2"/>
    <n v="1.5516666666666665"/>
    <n v="0"/>
    <n v="0"/>
    <n v="0"/>
  </r>
  <r>
    <n v="4307"/>
    <s v="Infra Eletrica de 2&quot;"/>
    <n v="73063000"/>
    <x v="59"/>
    <n v="0"/>
    <n v="6"/>
    <s v="BR"/>
    <s v="CARBINOX"/>
    <n v="86.63"/>
    <n v="519.78"/>
    <s v="AUT-4307"/>
    <n v="0.33333333333333331"/>
    <n v="28.876666666666665"/>
    <n v="0"/>
    <n v="0"/>
    <n v="0"/>
  </r>
  <r>
    <n v="2831"/>
    <s v="Infra Eletrica de 2&quot;"/>
    <n v="73071910"/>
    <x v="60"/>
    <s v="PU-200-BSP"/>
    <n v="2"/>
    <s v="PC"/>
    <s v="DAISA"/>
    <n v="2.77"/>
    <n v="5.54"/>
    <s v="PU-200-BSP"/>
    <n v="0.1111111111111111"/>
    <n v="0.30777777777777776"/>
    <n v="0"/>
    <n v="0"/>
    <n v="0"/>
  </r>
  <r>
    <n v="3274"/>
    <s v="Infra Eletrica de 2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66"/>
    <s v="Infra Eletrica de 2&quot; Exd"/>
    <n v="73072900"/>
    <x v="47"/>
    <s v="DP 634-6"/>
    <n v="12"/>
    <s v="PC"/>
    <s v="DISPAN"/>
    <n v="1.8"/>
    <n v="21.6"/>
    <s v="DP 634-6"/>
    <n v="0.66666666666666663"/>
    <n v="1.2"/>
    <n v="0"/>
    <n v="0"/>
    <n v="0"/>
  </r>
  <r>
    <n v="102"/>
    <s v="Infra Eletrica de 2&quot; Exd"/>
    <n v="73072900"/>
    <x v="61"/>
    <s v="CX / AR-6 FG"/>
    <n v="2"/>
    <s v="PC"/>
    <s v="CONEX"/>
    <n v="9.0299999999999994"/>
    <n v="18.059999999999999"/>
    <s v="CX / AR-6 FG"/>
    <n v="0.1111111111111111"/>
    <n v="1.0033333333333332"/>
    <n v="0"/>
    <n v="0"/>
    <n v="0"/>
  </r>
  <r>
    <n v="5091"/>
    <s v="Infra Eletrica de 2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94"/>
    <s v="Infra Eletrica de 2&quot; Exd"/>
    <n v="73071100"/>
    <x v="62"/>
    <s v="CX / BF-6 FG"/>
    <n v="2"/>
    <s v="PC"/>
    <s v="CONEX"/>
    <n v="11.83"/>
    <n v="23.66"/>
    <s v="CX / BF-6 FG"/>
    <n v="0.1111111111111111"/>
    <n v="1.3144444444444443"/>
    <n v="0"/>
    <n v="0"/>
    <n v="0"/>
  </r>
  <r>
    <n v="3323"/>
    <s v="Infra Eletrica de 2&quot; Exd"/>
    <n v="73071910"/>
    <x v="63"/>
    <s v="CX / BRD-63 FG"/>
    <n v="1"/>
    <s v="PC"/>
    <s v="CONEX"/>
    <n v="34.1"/>
    <n v="34.1"/>
    <s v="CX / BRD-63 FG"/>
    <n v="5.5555555555555552E-2"/>
    <n v="1.8944444444444444"/>
    <n v="0"/>
    <n v="0"/>
    <n v="0"/>
  </r>
  <r>
    <n v="4505"/>
    <s v="Infra Eletrica de 2&quot; Exd"/>
    <n v="73071100"/>
    <x v="64"/>
    <s v="CX / BRD-65 FG"/>
    <n v="1"/>
    <s v="PC"/>
    <s v="CONEX"/>
    <n v="34.1"/>
    <n v="34.1"/>
    <s v="CX / BRD-65 FG"/>
    <n v="5.5555555555555552E-2"/>
    <n v="1.8944444444444444"/>
    <n v="0"/>
    <n v="0"/>
    <n v="0"/>
  </r>
  <r>
    <n v="4176"/>
    <s v="Infra Eletrica de 2&quot; Exd"/>
    <n v="73071100"/>
    <x v="65"/>
    <s v="CX / BRD-61 FG"/>
    <n v="2"/>
    <s v="PC"/>
    <s v="CONEX"/>
    <n v="34.1"/>
    <n v="68.2"/>
    <s v="CX / BRD-61 FG"/>
    <n v="0.1111111111111111"/>
    <n v="3.7888888888888888"/>
    <n v="0"/>
    <n v="0"/>
    <n v="0"/>
  </r>
  <r>
    <n v="292"/>
    <s v="Infra Eletrica de 2&quot; Exd"/>
    <n v="73071100"/>
    <x v="66"/>
    <s v="CX / BRD-62 FG"/>
    <n v="1"/>
    <s v="PC"/>
    <s v="CONEX"/>
    <n v="34.1"/>
    <n v="34.1"/>
    <s v="CX / BRD-62 FG"/>
    <n v="5.5555555555555552E-2"/>
    <n v="1.8944444444444444"/>
    <n v="0"/>
    <n v="0"/>
    <n v="0"/>
  </r>
  <r>
    <n v="2805"/>
    <s v="Infra Eletrica de 2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153"/>
    <s v="Infra Eletrica de 2&quot; Exd"/>
    <n v="73071100"/>
    <x v="67"/>
    <s v="TCLX/6-C"/>
    <n v="2"/>
    <s v="PC"/>
    <s v="TELBRA"/>
    <n v="85"/>
    <n v="170"/>
    <s v="TCLX/6-C"/>
    <n v="0.1111111111111111"/>
    <n v="9.4444444444444446"/>
    <n v="0"/>
    <n v="0"/>
    <n v="0"/>
  </r>
  <r>
    <n v="85"/>
    <s v="Infra Eletrica de 2&quot; Exd"/>
    <n v="73071100"/>
    <x v="68"/>
    <s v="TCLX/6-LB"/>
    <n v="1"/>
    <s v="PC"/>
    <s v="TELBRA"/>
    <n v="85"/>
    <n v="85"/>
    <s v="TCLX/6-LB"/>
    <n v="5.5555555555555552E-2"/>
    <n v="4.7222222222222223"/>
    <n v="0"/>
    <n v="0"/>
    <n v="0"/>
  </r>
  <r>
    <n v="1705"/>
    <s v="Infra Eletrica de 2&quot; Exd"/>
    <n v="73071100"/>
    <x v="69"/>
    <s v="TCLX/6-LL"/>
    <n v="1"/>
    <s v="PC"/>
    <s v="TELBRA"/>
    <n v="85"/>
    <n v="85"/>
    <s v="TCLX/6-LL"/>
    <n v="5.5555555555555552E-2"/>
    <n v="4.7222222222222223"/>
    <n v="0"/>
    <n v="0"/>
    <n v="0"/>
  </r>
  <r>
    <n v="1706"/>
    <s v="Infra Eletrica de 2&quot; Exd"/>
    <n v="73071100"/>
    <x v="70"/>
    <s v="TCLX/6-LR"/>
    <n v="1"/>
    <s v="PC"/>
    <s v="TELBRA"/>
    <n v="85"/>
    <n v="85"/>
    <s v="TCLX/6-LR"/>
    <n v="5.5555555555555552E-2"/>
    <n v="4.7222222222222223"/>
    <n v="0"/>
    <n v="0"/>
    <n v="0"/>
  </r>
  <r>
    <n v="1712"/>
    <s v="Infra Eletrica de 2&quot; Exd"/>
    <n v="73071100"/>
    <x v="71"/>
    <s v="TCLX/6-T"/>
    <n v="1"/>
    <s v="PC"/>
    <s v="TELBRA"/>
    <n v="85"/>
    <n v="85"/>
    <s v="TCLX/6-T"/>
    <n v="5.5555555555555552E-2"/>
    <n v="4.7222222222222223"/>
    <n v="0"/>
    <n v="0"/>
    <n v="0"/>
  </r>
  <r>
    <n v="3445"/>
    <s v="Infra Eletrica de 2&quot; Exd"/>
    <n v="73063000"/>
    <x v="72"/>
    <n v="0"/>
    <n v="6"/>
    <s v="BR"/>
    <s v="CARBINOX"/>
    <n v="100.56"/>
    <n v="603.36"/>
    <s v="AUT-3445"/>
    <n v="0.33333333333333331"/>
    <n v="33.519999999999996"/>
    <n v="0"/>
    <n v="0"/>
    <n v="0"/>
  </r>
  <r>
    <n v="3274"/>
    <s v="Infra Eletrica de 2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34"/>
    <s v="Infra Eletrica de 3/4&quot;"/>
    <n v="73072900"/>
    <x v="73"/>
    <s v="DP 634-2"/>
    <n v="12"/>
    <s v="PC"/>
    <s v="DISPAN"/>
    <n v="1.1499999999999999"/>
    <n v="13.799999999999999"/>
    <s v="DP 634-2"/>
    <n v="0.66666666666666663"/>
    <n v="0.76666666666666661"/>
    <n v="0"/>
    <n v="0"/>
    <n v="0"/>
  </r>
  <r>
    <n v="3211"/>
    <s v="Infra Eletrica de 3/4&quot;"/>
    <n v="73072900"/>
    <x v="74"/>
    <s v="AU 034 - BSP"/>
    <n v="2"/>
    <s v="PC"/>
    <s v="DAISA"/>
    <n v="0.3"/>
    <n v="0.6"/>
    <s v="AU 034 - BSP"/>
    <n v="0.1111111111111111"/>
    <n v="3.3333333333333333E-2"/>
    <n v="0"/>
    <n v="0"/>
    <n v="0"/>
  </r>
  <r>
    <n v="5091"/>
    <s v="Infra Eletrica de 3/4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2607"/>
    <s v="Infra Eletrica de 3/4&quot;"/>
    <n v="73071100"/>
    <x v="75"/>
    <s v="BU-034-B"/>
    <n v="2"/>
    <s v="PC"/>
    <s v="DAISA"/>
    <n v="0.72"/>
    <n v="1.44"/>
    <s v="BU-034-B"/>
    <n v="0.1111111111111111"/>
    <n v="7.9999999999999988E-2"/>
    <n v="0"/>
    <n v="0"/>
    <n v="0"/>
  </r>
  <r>
    <n v="1117"/>
    <s v="Infra Eletrica de 3/4&quot;"/>
    <n v="73071910"/>
    <x v="76"/>
    <s v="BRR 034 X 012"/>
    <n v="1"/>
    <s v="PC"/>
    <s v="DAISA"/>
    <n v="3.58"/>
    <n v="3.58"/>
    <s v="BRR 034 X 012"/>
    <n v="5.5555555555555552E-2"/>
    <n v="0.19888888888888889"/>
    <n v="0"/>
    <n v="0"/>
    <n v="0"/>
  </r>
  <r>
    <n v="2805"/>
    <s v="Infra Eletrica de 3/4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3436"/>
    <s v="Infra Eletrica de 3/4&quot;"/>
    <n v="76090000"/>
    <x v="77"/>
    <s v="DIIRT 034-BSP-C"/>
    <n v="2"/>
    <s v="PC"/>
    <s v="DAISA"/>
    <n v="5.81"/>
    <n v="11.62"/>
    <s v="DIIRT 034-BSP-C"/>
    <n v="0.1111111111111111"/>
    <n v="0.64555555555555544"/>
    <n v="0"/>
    <n v="0"/>
    <n v="0"/>
  </r>
  <r>
    <n v="2904"/>
    <s v="Infra Eletrica de 3/4&quot;"/>
    <n v="76090000"/>
    <x v="78"/>
    <s v="DVRT 034-BSP-LB"/>
    <n v="1"/>
    <s v="PC"/>
    <s v="DAISA"/>
    <n v="5.81"/>
    <n v="5.81"/>
    <s v="DVRT 034-BSP-LB"/>
    <n v="5.5555555555555552E-2"/>
    <n v="0.32277777777777772"/>
    <n v="0"/>
    <n v="0"/>
    <n v="0"/>
  </r>
  <r>
    <n v="2911"/>
    <s v="Infra Eletrica de 3/4&quot;"/>
    <n v="76090000"/>
    <x v="79"/>
    <s v="DIIRT 034-BSP-LL"/>
    <n v="1"/>
    <s v="PC"/>
    <s v="DAISA"/>
    <n v="5.81"/>
    <n v="5.81"/>
    <s v="DIIRT 034-BSP-LL"/>
    <n v="5.5555555555555552E-2"/>
    <n v="0.32277777777777772"/>
    <n v="0"/>
    <n v="0"/>
    <n v="0"/>
  </r>
  <r>
    <n v="4823"/>
    <s v="Infra Eletrica de 3/4&quot;"/>
    <n v="76090000"/>
    <x v="80"/>
    <s v="DVRT 034-BSP-LR"/>
    <n v="1"/>
    <s v="PC"/>
    <s v="DAISA"/>
    <n v="5.81"/>
    <n v="5.81"/>
    <s v="DVRT 034-BSP-LR"/>
    <n v="5.5555555555555552E-2"/>
    <n v="0.32277777777777772"/>
    <n v="0"/>
    <n v="0"/>
    <n v="0"/>
  </r>
  <r>
    <n v="2912"/>
    <s v="Infra Eletrica de 3/4&quot;"/>
    <n v="76090000"/>
    <x v="81"/>
    <s v="DIIRT 034-BSP-T"/>
    <n v="1"/>
    <s v="PC"/>
    <s v="DAISA"/>
    <n v="9.3000000000000007"/>
    <n v="9.3000000000000007"/>
    <s v="DIIRT 034-BSP-T"/>
    <n v="5.5555555555555552E-2"/>
    <n v="0.51666666666666672"/>
    <n v="0"/>
    <n v="0"/>
    <n v="0"/>
  </r>
  <r>
    <n v="4306"/>
    <s v="Infra Eletrica de 3/4&quot;"/>
    <n v="73063000"/>
    <x v="82"/>
    <n v="0"/>
    <n v="6"/>
    <s v="BR"/>
    <s v="CARBINOX"/>
    <n v="28.9"/>
    <n v="173.39999999999998"/>
    <s v="AUT-4306"/>
    <n v="0.33333333333333331"/>
    <n v="9.6333333333333329"/>
    <n v="0"/>
    <n v="0"/>
    <n v="0"/>
  </r>
  <r>
    <n v="4867"/>
    <s v="Infra Eletrica de 3/4&quot;"/>
    <n v="73072900"/>
    <x v="83"/>
    <n v="0"/>
    <n v="2"/>
    <s v="PC"/>
    <s v="CARBINOX"/>
    <n v="2.2999999999999998"/>
    <n v="4.5999999999999996"/>
    <s v="AUT-4867"/>
    <n v="0.1111111111111111"/>
    <n v="0.25555555555555554"/>
    <n v="0"/>
    <n v="0"/>
    <n v="0"/>
  </r>
  <r>
    <n v="2609"/>
    <s v="Infra Eletrica de 3/4&quot;"/>
    <n v="73071910"/>
    <x v="84"/>
    <s v="PU-034-BSP"/>
    <n v="2"/>
    <s v="PC"/>
    <s v="DAISA"/>
    <n v="0.56999999999999995"/>
    <n v="1.1399999999999999"/>
    <s v="PU-034-BSP"/>
    <n v="0.1111111111111111"/>
    <n v="6.3333333333333325E-2"/>
    <n v="0"/>
    <n v="0"/>
    <n v="0"/>
  </r>
  <r>
    <n v="3274"/>
    <s v="Infra Eletrica de 3/4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34"/>
    <s v="Infra Eletrica de 3/4&quot; Exd"/>
    <n v="73072900"/>
    <x v="73"/>
    <s v="DP 634-2"/>
    <n v="12"/>
    <s v="PC"/>
    <s v="DISPAN"/>
    <n v="1.1499999999999999"/>
    <n v="13.799999999999999"/>
    <s v="DP 634-2"/>
    <n v="0.66666666666666663"/>
    <n v="0.76666666666666661"/>
    <n v="0"/>
    <n v="0"/>
    <n v="0"/>
  </r>
  <r>
    <n v="4930"/>
    <s v="Infra Eletrica de 3/4&quot; Exd"/>
    <n v="73072900"/>
    <x v="85"/>
    <s v="CX / AR-2 FG"/>
    <n v="2"/>
    <s v="PC"/>
    <s v="CONEX"/>
    <n v="2.8"/>
    <n v="5.6"/>
    <s v="CX / AR-2 FG"/>
    <n v="0.1111111111111111"/>
    <n v="0.31111111111111106"/>
    <n v="0"/>
    <n v="0"/>
    <n v="0"/>
  </r>
  <r>
    <n v="5091"/>
    <s v="Infra Eletrica de 3/4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4935"/>
    <s v="Infra Eletrica de 3/4&quot; Exd"/>
    <n v="73071100"/>
    <x v="86"/>
    <s v="CX / BF-2 FG"/>
    <n v="2"/>
    <s v="PC"/>
    <s v="CONEX"/>
    <n v="3.25"/>
    <n v="6.5"/>
    <s v="CX / BF-2 FG"/>
    <n v="0.1111111111111111"/>
    <n v="0.3611111111111111"/>
    <n v="0"/>
    <n v="0"/>
    <n v="0"/>
  </r>
  <r>
    <n v="311"/>
    <s v="Infra Eletrica de 3/4&quot; Exd"/>
    <n v="73071100"/>
    <x v="87"/>
    <s v="CX / BRD-21 FG"/>
    <n v="1"/>
    <s v="PC"/>
    <s v="CONEX"/>
    <n v="5.84"/>
    <n v="5.84"/>
    <s v="CX / BRD-21 FG"/>
    <n v="5.5555555555555552E-2"/>
    <n v="0.32444444444444442"/>
    <n v="0"/>
    <n v="0"/>
    <n v="0"/>
  </r>
  <r>
    <n v="2805"/>
    <s v="Infra Eletrica de 3/4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502"/>
    <s v="Infra Eletrica de 3/4&quot; Exd"/>
    <n v="73071100"/>
    <x v="88"/>
    <s v="TCLEX/2-C"/>
    <n v="2"/>
    <s v="PC"/>
    <s v="TELBRA"/>
    <n v="31.25"/>
    <n v="62.5"/>
    <s v="TCLEX/2-C"/>
    <n v="0.1111111111111111"/>
    <n v="3.4722222222222219"/>
    <n v="0"/>
    <n v="0"/>
    <n v="0"/>
  </r>
  <r>
    <n v="3738"/>
    <s v="Infra Eletrica de 3/4&quot; Exd"/>
    <n v="73071100"/>
    <x v="89"/>
    <s v="TCLEX/2-LB"/>
    <n v="1"/>
    <s v="PC"/>
    <s v="TELBRA"/>
    <n v="31.25"/>
    <n v="31.25"/>
    <s v="TCLEX/2-LB"/>
    <n v="5.5555555555555552E-2"/>
    <n v="1.7361111111111109"/>
    <n v="0"/>
    <n v="0"/>
    <n v="0"/>
  </r>
  <r>
    <n v="1710"/>
    <s v="Infra Eletrica de 3/4&quot; Exd"/>
    <n v="73071100"/>
    <x v="90"/>
    <s v="TCLEX/2-LL"/>
    <n v="1"/>
    <s v="PC"/>
    <s v="TELBRA"/>
    <n v="31.25"/>
    <n v="31.25"/>
    <s v="TCLEX/2-LL"/>
    <n v="5.5555555555555552E-2"/>
    <n v="1.7361111111111109"/>
    <n v="0"/>
    <n v="0"/>
    <n v="0"/>
  </r>
  <r>
    <n v="1715"/>
    <s v="Infra Eletrica de 3/4&quot; Exd"/>
    <n v="73071100"/>
    <x v="91"/>
    <s v="TCLEX/2-LR"/>
    <n v="1"/>
    <s v="PC"/>
    <s v="TELBRA"/>
    <n v="31.25"/>
    <n v="31.25"/>
    <s v="TCLEX/2-LR"/>
    <n v="5.5555555555555552E-2"/>
    <n v="1.7361111111111109"/>
    <n v="0"/>
    <n v="0"/>
    <n v="0"/>
  </r>
  <r>
    <n v="1929"/>
    <s v="Infra Eletrica de 3/4&quot; Exd"/>
    <n v="73071100"/>
    <x v="92"/>
    <s v="TCLEX/2-T"/>
    <n v="1"/>
    <s v="PC"/>
    <s v="TELBRA"/>
    <n v="31.25"/>
    <n v="31.25"/>
    <s v="TCLEX/2-T"/>
    <n v="5.5555555555555552E-2"/>
    <n v="1.7361111111111109"/>
    <n v="0"/>
    <n v="0"/>
    <n v="0"/>
  </r>
  <r>
    <n v="3417"/>
    <s v="Infra Eletrica de 3/4&quot; Exd"/>
    <n v="73063000"/>
    <x v="93"/>
    <n v="0"/>
    <n v="6"/>
    <s v="BR"/>
    <s v="CARBINOX"/>
    <n v="30.69"/>
    <n v="184.14000000000001"/>
    <s v="AUT-3417"/>
    <n v="0.33333333333333331"/>
    <n v="10.23"/>
    <n v="0"/>
    <n v="0"/>
    <n v="0"/>
  </r>
  <r>
    <n v="4867"/>
    <s v="Infra Eletrica de 3/4&quot; Exd"/>
    <n v="73072900"/>
    <x v="83"/>
    <n v="0"/>
    <n v="2"/>
    <s v="PC"/>
    <s v="CARBINOX"/>
    <n v="2.2999999999999998"/>
    <n v="4.5999999999999996"/>
    <s v="AUT-4867"/>
    <n v="0.1111111111111111"/>
    <n v="0.25555555555555554"/>
    <n v="0"/>
    <n v="0"/>
    <n v="0"/>
  </r>
  <r>
    <n v="3274"/>
    <s v="Infra Eletrica de 3/4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5091"/>
    <s v="Infra Eletrica de Eletrocalha de 1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1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1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1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1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103"/>
    <s v="Infra Eletrica de Eletrocalha de 100 mm"/>
    <n v="73089010"/>
    <x v="97"/>
    <s v="DP 710"/>
    <n v="2"/>
    <s v="PC"/>
    <s v="DISPAN"/>
    <n v="31.05"/>
    <n v="62.1"/>
    <s v="DP 710"/>
    <n v="0.1111111111111111"/>
    <n v="3.4499999999999997"/>
    <n v="0"/>
    <n v="0"/>
    <n v="0"/>
  </r>
  <r>
    <n v="3230"/>
    <s v="Infra Eletrica de Eletrocalha de 100 mm"/>
    <n v="73089010"/>
    <x v="98"/>
    <s v="DP 712"/>
    <n v="1"/>
    <s v="PC"/>
    <s v="DISPAN"/>
    <n v="33.64"/>
    <n v="33.64"/>
    <s v="DP 712"/>
    <n v="5.5555555555555552E-2"/>
    <n v="1.8688888888888888"/>
    <n v="0"/>
    <n v="0"/>
    <n v="0"/>
  </r>
  <r>
    <n v="3697"/>
    <s v="Infra Eletrica de Eletrocalha de 100 mm"/>
    <n v="73089010"/>
    <x v="99"/>
    <s v="DP 714"/>
    <n v="1"/>
    <s v="PC"/>
    <s v="DISPAN"/>
    <n v="33.64"/>
    <n v="33.64"/>
    <s v="DP 714"/>
    <n v="5.5555555555555552E-2"/>
    <n v="1.8688888888888888"/>
    <n v="0"/>
    <n v="0"/>
    <n v="0"/>
  </r>
  <r>
    <n v="4215"/>
    <s v="Infra Eletrica de Eletrocalha de 100 mm"/>
    <n v="73089010"/>
    <x v="100"/>
    <s v="DP 703"/>
    <n v="6"/>
    <s v="BR"/>
    <s v="DISPAN"/>
    <n v="129.19999999999999"/>
    <n v="775.19999999999993"/>
    <s v="DP 703"/>
    <n v="0.33333333333333331"/>
    <n v="43.066666666666663"/>
    <n v="0"/>
    <n v="0"/>
    <n v="0"/>
  </r>
  <r>
    <n v="5025"/>
    <s v="Infra Eletrica de Eletrocalha de 1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1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6848"/>
    <s v="Infra Eletrica de Eletrocalha de 100 mm"/>
    <n v="73089010"/>
    <x v="103"/>
    <n v="0"/>
    <n v="6"/>
    <s v="PC"/>
    <s v="DISPAN"/>
    <n v="40.56"/>
    <n v="243.36"/>
    <s v="AUT-6848"/>
    <n v="0.33333333333333331"/>
    <n v="13.52"/>
    <n v="0"/>
    <n v="0"/>
    <n v="0"/>
  </r>
  <r>
    <n v="4090"/>
    <s v="Infra Eletrica de Eletrocalha de 100 mm"/>
    <n v="73089010"/>
    <x v="104"/>
    <s v="DP 716"/>
    <n v="1"/>
    <s v="PC"/>
    <s v="DISPAN"/>
    <n v="45.6"/>
    <n v="45.6"/>
    <s v="DP 716"/>
    <n v="5.5555555555555552E-2"/>
    <n v="2.5333333333333332"/>
    <n v="0"/>
    <n v="0"/>
    <n v="0"/>
  </r>
  <r>
    <n v="6963"/>
    <s v="Infra Eletrica de Eletrocalha de 100 mm"/>
    <n v="73089010"/>
    <x v="105"/>
    <s v="DP 719"/>
    <n v="1"/>
    <s v="PC"/>
    <s v="DISPAN"/>
    <n v="49.17"/>
    <n v="49.17"/>
    <s v="DP 719"/>
    <n v="5.5555555555555552E-2"/>
    <n v="2.7316666666666665"/>
    <n v="0"/>
    <n v="0"/>
    <n v="0"/>
  </r>
  <r>
    <n v="2866"/>
    <s v="Infra Eletrica de Eletrocalha de 1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5091"/>
    <s v="Infra Eletrica de Eletrocalha de 2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2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2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2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2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5023"/>
    <s v="Infra Eletrica de Eletrocalha de 200 mm"/>
    <n v="73089010"/>
    <x v="107"/>
    <s v="DP 710"/>
    <n v="2"/>
    <s v="PC"/>
    <s v="DISPAN"/>
    <n v="39.92"/>
    <n v="79.84"/>
    <s v="DP 710"/>
    <n v="0.1111111111111111"/>
    <n v="4.4355555555555553"/>
    <n v="0"/>
    <n v="0"/>
    <n v="0"/>
  </r>
  <r>
    <n v="193"/>
    <s v="Infra Eletrica de Eletrocalha de 200 mm"/>
    <n v="73089010"/>
    <x v="108"/>
    <s v="DP 712"/>
    <n v="1"/>
    <s v="PC"/>
    <s v="DISPAN"/>
    <n v="43.24"/>
    <n v="43.24"/>
    <s v="DP 712"/>
    <n v="5.5555555555555552E-2"/>
    <n v="2.402222222222222"/>
    <n v="0"/>
    <n v="0"/>
    <n v="0"/>
  </r>
  <r>
    <n v="3270"/>
    <s v="Infra Eletrica de Eletrocalha de 200 mm"/>
    <n v="73089010"/>
    <x v="109"/>
    <s v="DP 714"/>
    <n v="1"/>
    <s v="PC"/>
    <s v="DISPAN"/>
    <n v="43.24"/>
    <n v="43.24"/>
    <s v="DP 714"/>
    <n v="5.5555555555555552E-2"/>
    <n v="2.402222222222222"/>
    <n v="0"/>
    <n v="0"/>
    <n v="0"/>
  </r>
  <r>
    <n v="3610"/>
    <s v="Infra Eletrica de Eletrocalha de 200 mm"/>
    <n v="73089010"/>
    <x v="110"/>
    <s v="DP 703"/>
    <n v="6"/>
    <s v="BR"/>
    <s v="DISPAN"/>
    <n v="140.83000000000001"/>
    <n v="844.98"/>
    <s v="DP 703"/>
    <n v="0.33333333333333331"/>
    <n v="46.943333333333335"/>
    <n v="0"/>
    <n v="0"/>
    <n v="0"/>
  </r>
  <r>
    <n v="5025"/>
    <s v="Infra Eletrica de Eletrocalha de 2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2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199"/>
    <s v="Infra Eletrica de Eletrocalha de 200 mm"/>
    <n v="73089010"/>
    <x v="111"/>
    <n v="0"/>
    <n v="6"/>
    <s v="PC"/>
    <s v="DISPAN"/>
    <n v="65.91"/>
    <n v="395.46"/>
    <s v="AUT-199"/>
    <n v="0.33333333333333331"/>
    <n v="21.97"/>
    <n v="0"/>
    <n v="0"/>
    <n v="0"/>
  </r>
  <r>
    <n v="200"/>
    <s v="Infra Eletrica de Eletrocalha de 200 mm"/>
    <n v="73089010"/>
    <x v="112"/>
    <s v="DP 716"/>
    <n v="1"/>
    <s v="PC"/>
    <s v="DISPAN"/>
    <n v="66.3"/>
    <n v="66.3"/>
    <s v="DP 716"/>
    <n v="5.5555555555555552E-2"/>
    <n v="3.6833333333333331"/>
    <n v="0"/>
    <n v="0"/>
    <n v="0"/>
  </r>
  <r>
    <n v="2866"/>
    <s v="Infra Eletrica de Eletrocalha de 2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5091"/>
    <s v="Infra Eletrica de Eletrocalha de 3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3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3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3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3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7084"/>
    <s v="Infra Eletrica de Eletrocalha de 300 mm"/>
    <n v="73089010"/>
    <x v="113"/>
    <s v="DP 710"/>
    <n v="2"/>
    <s v="PC"/>
    <s v="DISPAN"/>
    <n v="48.77"/>
    <n v="97.54"/>
    <s v="DP 710"/>
    <n v="0.1111111111111111"/>
    <n v="5.4188888888888886"/>
    <n v="0"/>
    <n v="0"/>
    <n v="0"/>
  </r>
  <r>
    <n v="7085"/>
    <s v="Infra Eletrica de Eletrocalha de 300 mm"/>
    <n v="73089010"/>
    <x v="114"/>
    <s v="DP 712"/>
    <n v="1"/>
    <s v="PC"/>
    <s v="DISPAN"/>
    <n v="52.84"/>
    <n v="52.84"/>
    <s v="DP 712"/>
    <n v="5.5555555555555552E-2"/>
    <n v="2.9355555555555557"/>
    <n v="0"/>
    <n v="0"/>
    <n v="0"/>
  </r>
  <r>
    <n v="7086"/>
    <s v="Infra Eletrica de Eletrocalha de 300 mm"/>
    <n v="73089010"/>
    <x v="115"/>
    <s v="DP 714"/>
    <n v="1"/>
    <s v="PC"/>
    <s v="DISPAN"/>
    <n v="52.84"/>
    <n v="52.84"/>
    <s v="DP 714"/>
    <n v="5.5555555555555552E-2"/>
    <n v="2.9355555555555557"/>
    <n v="0"/>
    <n v="0"/>
    <n v="0"/>
  </r>
  <r>
    <n v="107"/>
    <s v="Infra Eletrica de Eletrocalha de 300 mm"/>
    <n v="73089010"/>
    <x v="116"/>
    <s v="DP 703"/>
    <n v="6"/>
    <s v="BR"/>
    <s v="DISPAN"/>
    <n v="224.84"/>
    <n v="1349.04"/>
    <s v="DP 703"/>
    <n v="0.33333333333333331"/>
    <n v="74.946666666666658"/>
    <n v="0"/>
    <n v="0"/>
    <n v="0"/>
  </r>
  <r>
    <n v="5025"/>
    <s v="Infra Eletrica de Eletrocalha de 3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3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7083"/>
    <s v="Infra Eletrica de Eletrocalha de 300 mm"/>
    <n v="73089010"/>
    <x v="117"/>
    <n v="0"/>
    <n v="6"/>
    <s v="PC"/>
    <s v="DISPAN"/>
    <n v="91.26"/>
    <n v="547.56000000000006"/>
    <s v="AUT-7083"/>
    <n v="0.33333333333333331"/>
    <n v="30.42"/>
    <n v="0"/>
    <n v="0"/>
    <n v="0"/>
  </r>
  <r>
    <n v="7087"/>
    <s v="Infra Eletrica de Eletrocalha de 300 mm"/>
    <n v="73089010"/>
    <x v="118"/>
    <s v="DP 716"/>
    <n v="1"/>
    <s v="PC"/>
    <s v="DISPAN"/>
    <n v="93.6"/>
    <n v="93.6"/>
    <s v="DP 716"/>
    <n v="5.5555555555555552E-2"/>
    <n v="5.1999999999999993"/>
    <n v="0"/>
    <n v="0"/>
    <n v="0"/>
  </r>
  <r>
    <n v="2866"/>
    <s v="Infra Eletrica de Eletrocalha de 3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118"/>
    <s v="Infra Pneumática de 1&quot;"/>
    <n v="73072900"/>
    <x v="0"/>
    <s v="DP 634-3"/>
    <n v="9"/>
    <s v="PC"/>
    <s v="DISPAN"/>
    <n v="1.1000000000000001"/>
    <n v="9.9"/>
    <s v="DP 634-3"/>
    <n v="0.25"/>
    <n v="0.27500000000000002"/>
    <n v="50"/>
    <n v="12.5"/>
    <n v="13.750000000000002"/>
  </r>
  <r>
    <n v="88"/>
    <s v="Infra Pneumática de 1&quot;"/>
    <n v="73071910"/>
    <x v="119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1114"/>
    <s v="Infra Pneumática de 1&quot;"/>
    <n v="73071910"/>
    <x v="120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140"/>
    <s v="Infra Pneumática de 1&quot;"/>
    <n v="73071910"/>
    <x v="121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3110"/>
    <s v="Infra Pneumática de 1&quot;"/>
    <n v="73071910"/>
    <x v="122"/>
    <n v="290"/>
    <n v="1"/>
    <s v="PC"/>
    <s v="TUPY"/>
    <n v="4.9400000000000004"/>
    <n v="4.9400000000000004"/>
    <n v="290"/>
    <n v="2.7777777777777776E-2"/>
    <n v="0.13722222222222222"/>
    <n v="50"/>
    <n v="1.3888888888888888"/>
    <n v="6.8611111111111116"/>
  </r>
  <r>
    <n v="2580"/>
    <s v="Infra Pneumática de 1&quot;"/>
    <n v="73071910"/>
    <x v="123"/>
    <n v="291"/>
    <n v="1"/>
    <s v="PC"/>
    <s v="TUPY"/>
    <n v="3.1"/>
    <n v="3.1"/>
    <n v="291"/>
    <n v="2.7777777777777776E-2"/>
    <n v="8.611111111111111E-2"/>
    <n v="50"/>
    <n v="1.3888888888888888"/>
    <n v="4.3055555555555554"/>
  </r>
  <r>
    <n v="2805"/>
    <s v="Infra Pneumática de 1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2875"/>
    <s v="Infra Pneumática de 1&quot;"/>
    <n v="73071900"/>
    <x v="124"/>
    <n v="120"/>
    <n v="1"/>
    <s v="PC"/>
    <s v="TUPY"/>
    <n v="9.42"/>
    <n v="9.42"/>
    <n v="120"/>
    <n v="2.7777777777777776E-2"/>
    <n v="0.26166666666666666"/>
    <n v="50"/>
    <n v="1.3888888888888888"/>
    <n v="13.083333333333332"/>
  </r>
  <r>
    <n v="746"/>
    <s v="Infra Pneumática de 1&quot;"/>
    <n v="73071900"/>
    <x v="125"/>
    <n v="90"/>
    <n v="1"/>
    <s v="PC"/>
    <s v="TUPY"/>
    <n v="6.99"/>
    <n v="6.99"/>
    <n v="90"/>
    <n v="2.7777777777777776E-2"/>
    <n v="0.19416666666666665"/>
    <n v="50"/>
    <n v="1.3888888888888888"/>
    <n v="9.7083333333333339"/>
  </r>
  <r>
    <n v="3388"/>
    <s v="Infra Pneumática de 1&quot;"/>
    <n v="73071900"/>
    <x v="126"/>
    <n v="180"/>
    <n v="1"/>
    <s v="PC"/>
    <s v="TUPY"/>
    <n v="18.8"/>
    <n v="18.8"/>
    <n v="180"/>
    <n v="2.7777777777777776E-2"/>
    <n v="0.52222222222222225"/>
    <n v="50"/>
    <n v="1.3888888888888888"/>
    <n v="26.111111111111111"/>
  </r>
  <r>
    <n v="3667"/>
    <s v="Infra Pneumática de 1&quot;"/>
    <n v="73071900"/>
    <x v="127"/>
    <n v="270"/>
    <n v="1"/>
    <s v="PC"/>
    <s v="TUPY"/>
    <n v="6.16"/>
    <n v="6.16"/>
    <n v="270"/>
    <n v="2.7777777777777776E-2"/>
    <n v="0.1711111111111111"/>
    <n v="50"/>
    <n v="1.3888888888888888"/>
    <n v="8.5555555555555554"/>
  </r>
  <r>
    <n v="4308"/>
    <s v="Infra Pneumática de 1&quot;"/>
    <n v="73071900"/>
    <x v="128"/>
    <n v="240"/>
    <n v="1"/>
    <s v="PC"/>
    <s v="TUPY"/>
    <n v="6.05"/>
    <n v="6.05"/>
    <n v="240"/>
    <n v="2.7777777777777776E-2"/>
    <n v="0.16805555555555554"/>
    <n v="50"/>
    <n v="1.3888888888888888"/>
    <n v="8.4027777777777768"/>
  </r>
  <r>
    <n v="4093"/>
    <s v="Infra Pneumática de 1&quot;"/>
    <n v="73071900"/>
    <x v="129"/>
    <n v="240"/>
    <n v="1"/>
    <s v="PC"/>
    <s v="TUPY"/>
    <n v="6.05"/>
    <n v="6.05"/>
    <n v="240"/>
    <n v="2.7777777777777776E-2"/>
    <n v="0.16805555555555554"/>
    <n v="50"/>
    <n v="1.3888888888888888"/>
    <n v="8.4027777777777768"/>
  </r>
  <r>
    <n v="2938"/>
    <s v="Infra Pneumática de 1&quot;"/>
    <n v="73071990"/>
    <x v="130"/>
    <n v="280"/>
    <n v="1"/>
    <s v="PC"/>
    <s v="TUPY"/>
    <n v="5.43"/>
    <n v="5.43"/>
    <n v="280"/>
    <n v="2.7777777777777776E-2"/>
    <n v="0.15083333333333332"/>
    <n v="50"/>
    <n v="1.3888888888888888"/>
    <n v="7.5416666666666661"/>
  </r>
  <r>
    <n v="3274"/>
    <s v="Infra Pneumática de 1&quot;"/>
    <n v="73181500"/>
    <x v="36"/>
    <s v="DP 618"/>
    <n v="4"/>
    <s v="PC"/>
    <s v="DISPAN"/>
    <n v="0.1"/>
    <n v="0.4"/>
    <s v="DP 618"/>
    <n v="0.1111111111111111"/>
    <n v="1.1111111111111112E-2"/>
    <n v="50"/>
    <n v="5.5555555555555554"/>
    <n v="0.55555555555555558"/>
  </r>
  <r>
    <n v="5049"/>
    <s v="Infra Pneumática de 1&quot;"/>
    <n v="73071100"/>
    <x v="131"/>
    <n v="301"/>
    <n v="1"/>
    <s v="PC"/>
    <s v="TUPY"/>
    <n v="4.5999999999999996"/>
    <n v="4.5999999999999996"/>
    <n v="301"/>
    <n v="2.7777777777777776E-2"/>
    <n v="0.12777777777777777"/>
    <n v="50"/>
    <n v="1.3888888888888888"/>
    <n v="6.3888888888888884"/>
  </r>
  <r>
    <n v="5045"/>
    <s v="Infra Pneumática de 1&quot;"/>
    <n v="73071100"/>
    <x v="132"/>
    <n v="300"/>
    <n v="1"/>
    <s v="PC"/>
    <s v="TUPY"/>
    <n v="5.15"/>
    <n v="5.15"/>
    <n v="300"/>
    <n v="2.7777777777777776E-2"/>
    <n v="0.14305555555555555"/>
    <n v="50"/>
    <n v="1.3888888888888888"/>
    <n v="7.1527777777777777"/>
  </r>
  <r>
    <n v="3487"/>
    <s v="Infra Pneumática de 1&quot;"/>
    <n v="0"/>
    <x v="133"/>
    <s v="FOGO CL150"/>
    <n v="1"/>
    <s v="PC"/>
    <s v="TUPY"/>
    <n v="12.2"/>
    <n v="12.2"/>
    <s v="FOGO CL150"/>
    <n v="2.7777777777777776E-2"/>
    <n v="0.33888888888888885"/>
    <n v="50"/>
    <n v="1.3888888888888888"/>
    <n v="16.944444444444443"/>
  </r>
  <r>
    <n v="4576"/>
    <s v="Infra Pneumática de 1&quot;"/>
    <n v="73071100"/>
    <x v="134"/>
    <n v="130"/>
    <n v="1"/>
    <s v="PC"/>
    <s v="TUPY"/>
    <n v="10.16"/>
    <n v="10.16"/>
    <n v="130"/>
    <n v="2.7777777777777776E-2"/>
    <n v="0.28222222222222221"/>
    <n v="50"/>
    <n v="1.3888888888888888"/>
    <n v="14.111111111111111"/>
  </r>
  <r>
    <n v="2416"/>
    <s v="Infra Pneumática de 1&quot;"/>
    <n v="73063000"/>
    <x v="135"/>
    <n v="0"/>
    <n v="3"/>
    <s v="BR"/>
    <s v="CARBINOX"/>
    <n v="99.18"/>
    <n v="297.54000000000002"/>
    <s v="AUT-2416"/>
    <n v="8.3333333333333329E-2"/>
    <n v="8.2650000000000006"/>
    <n v="50"/>
    <n v="4.1666666666666661"/>
    <n v="413.24999999999994"/>
  </r>
  <r>
    <n v="1819"/>
    <s v="Infra Pneumática de 1&quot;"/>
    <n v="73071100"/>
    <x v="136"/>
    <n v="342"/>
    <n v="0.5"/>
    <s v="PC"/>
    <s v="TUPY"/>
    <n v="33.71"/>
    <n v="16.855"/>
    <n v="342"/>
    <n v="1.3888888888888888E-2"/>
    <n v="0.46819444444444441"/>
    <n v="50"/>
    <n v="0.69444444444444442"/>
    <n v="23.409722222222221"/>
  </r>
  <r>
    <n v="1085"/>
    <s v="Infra Pneumática de 1&quot;"/>
    <n v="84818095"/>
    <x v="137"/>
    <n v="0"/>
    <n v="0.5"/>
    <s v="PC"/>
    <s v="MGA"/>
    <n v="55"/>
    <n v="27.5"/>
    <s v="AUT-1085"/>
    <n v="1.3888888888888888E-2"/>
    <n v="0.76388888888888884"/>
    <n v="50"/>
    <n v="0.69444444444444442"/>
    <n v="38.194444444444443"/>
  </r>
  <r>
    <n v="117"/>
    <s v="Infra Pneumática de 1/2&quot;"/>
    <n v="73072900"/>
    <x v="138"/>
    <s v="DP 634-1"/>
    <n v="6"/>
    <s v="PC"/>
    <s v="DISPAN"/>
    <n v="0.98"/>
    <n v="5.88"/>
    <s v="DP 634-1"/>
    <n v="0.16666666666666666"/>
    <n v="0.16333333333333333"/>
    <n v="50"/>
    <n v="8.3333333333333321"/>
    <n v="8.1666666666666661"/>
  </r>
  <r>
    <n v="5091"/>
    <s v="Infra Pneumática de 1/2&quot;"/>
    <n v="73181500"/>
    <x v="23"/>
    <s v="DP 619"/>
    <n v="12"/>
    <s v="PC"/>
    <s v="DISPAN"/>
    <n v="0.05"/>
    <n v="0.60000000000000009"/>
    <s v="DP 619"/>
    <n v="0.33333333333333331"/>
    <n v="1.6666666666666666E-2"/>
    <n v="50"/>
    <n v="16.666666666666664"/>
    <n v="0.83333333333333326"/>
  </r>
  <r>
    <n v="1116"/>
    <s v="Infra Pneumática de 1/2&quot;"/>
    <n v="73071910"/>
    <x v="139"/>
    <n v="241"/>
    <n v="1"/>
    <s v="PC"/>
    <s v="TUPY"/>
    <n v="2.33"/>
    <n v="2.33"/>
    <n v="241"/>
    <n v="2.7777777777777776E-2"/>
    <n v="6.4722222222222223E-2"/>
    <n v="50"/>
    <n v="1.3888888888888888"/>
    <n v="3.2361111111111112"/>
  </r>
  <r>
    <n v="2576"/>
    <s v="Infra Pneumática de 1/2&quot;"/>
    <n v="73071910"/>
    <x v="140"/>
    <n v="241"/>
    <n v="1"/>
    <s v="PC"/>
    <s v="TUPY"/>
    <n v="2.33"/>
    <n v="2.33"/>
    <n v="241"/>
    <n v="2.7777777777777776E-2"/>
    <n v="6.4722222222222223E-2"/>
    <n v="50"/>
    <n v="1.3888888888888888"/>
    <n v="3.2361111111111112"/>
  </r>
  <r>
    <n v="185"/>
    <s v="Infra Pneumática de 1/2&quot;"/>
    <n v="73071910"/>
    <x v="141"/>
    <n v="290"/>
    <n v="1"/>
    <s v="PC"/>
    <s v="TUPY"/>
    <n v="1.95"/>
    <n v="1.95"/>
    <n v="290"/>
    <n v="2.7777777777777776E-2"/>
    <n v="5.4166666666666662E-2"/>
    <n v="50"/>
    <n v="1.3888888888888888"/>
    <n v="2.708333333333333"/>
  </r>
  <r>
    <n v="143"/>
    <s v="Infra Pneumática de 1/2&quot;"/>
    <n v="73071910"/>
    <x v="142"/>
    <n v="291"/>
    <n v="1"/>
    <s v="PC"/>
    <s v="TUPY"/>
    <n v="1.26"/>
    <n v="1.26"/>
    <n v="291"/>
    <n v="2.7777777777777776E-2"/>
    <n v="3.4999999999999996E-2"/>
    <n v="50"/>
    <n v="1.3888888888888888"/>
    <n v="1.75"/>
  </r>
  <r>
    <n v="2805"/>
    <s v="Infra Pneumática de 1/2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752"/>
    <s v="Infra Pneumática de 1/2&quot;"/>
    <n v="73071900"/>
    <x v="143"/>
    <n v="120"/>
    <n v="1"/>
    <s v="PC"/>
    <s v="TUPY"/>
    <n v="4.4400000000000004"/>
    <n v="4.4400000000000004"/>
    <n v="120"/>
    <n v="2.7777777777777776E-2"/>
    <n v="0.12333333333333334"/>
    <n v="50"/>
    <n v="1.3888888888888888"/>
    <n v="6.166666666666667"/>
  </r>
  <r>
    <n v="2079"/>
    <s v="Infra Pneumática de 1/2&quot;"/>
    <n v="73071900"/>
    <x v="144"/>
    <n v="90"/>
    <n v="1"/>
    <s v="PC"/>
    <s v="TUPY"/>
    <n v="3.06"/>
    <n v="3.06"/>
    <n v="90"/>
    <n v="2.7777777777777776E-2"/>
    <n v="8.4999999999999992E-2"/>
    <n v="50"/>
    <n v="1.3888888888888888"/>
    <n v="4.25"/>
  </r>
  <r>
    <n v="2862"/>
    <s v="Infra Pneumática de 1/2&quot;"/>
    <n v="73071900"/>
    <x v="145"/>
    <n v="180"/>
    <n v="1"/>
    <s v="PC"/>
    <s v="TUPY"/>
    <n v="9.69"/>
    <n v="9.69"/>
    <n v="180"/>
    <n v="2.7777777777777776E-2"/>
    <n v="0.26916666666666667"/>
    <n v="50"/>
    <n v="1.3888888888888888"/>
    <n v="13.458333333333332"/>
  </r>
  <r>
    <n v="2979"/>
    <s v="Infra Pneumática de 1/2&quot;"/>
    <n v="73071910"/>
    <x v="146"/>
    <n v="270"/>
    <n v="1"/>
    <s v="PC"/>
    <s v="TUPY"/>
    <n v="2.7"/>
    <n v="2.7"/>
    <n v="270"/>
    <n v="2.7777777777777776E-2"/>
    <n v="7.4999999999999997E-2"/>
    <n v="50"/>
    <n v="1.3888888888888888"/>
    <n v="3.75"/>
  </r>
  <r>
    <n v="2857"/>
    <s v="Infra Pneumática de 1/2&quot;"/>
    <n v="73071900"/>
    <x v="147"/>
    <n v="240"/>
    <n v="1"/>
    <s v="PC"/>
    <s v="TUPY"/>
    <n v="2.66"/>
    <n v="2.66"/>
    <n v="240"/>
    <n v="2.7777777777777776E-2"/>
    <n v="7.3888888888888893E-2"/>
    <n v="50"/>
    <n v="1.3888888888888888"/>
    <n v="3.6944444444444446"/>
  </r>
  <r>
    <n v="4861"/>
    <s v="Infra Pneumática de 1/2&quot;"/>
    <n v="73071900"/>
    <x v="148"/>
    <n v="240"/>
    <n v="1"/>
    <s v="PC"/>
    <s v="TUPY"/>
    <n v="2.66"/>
    <n v="2.66"/>
    <n v="240"/>
    <n v="2.7777777777777776E-2"/>
    <n v="7.3888888888888893E-2"/>
    <n v="50"/>
    <n v="1.3888888888888888"/>
    <n v="3.6944444444444446"/>
  </r>
  <r>
    <n v="1634"/>
    <s v="Infra Pneumática de 1/2&quot;"/>
    <n v="73071990"/>
    <x v="149"/>
    <n v="280"/>
    <n v="1"/>
    <s v="PC"/>
    <s v="TUPY"/>
    <n v="2.2999999999999998"/>
    <n v="2.2999999999999998"/>
    <n v="280"/>
    <n v="2.7777777777777776E-2"/>
    <n v="6.3888888888888884E-2"/>
    <n v="50"/>
    <n v="1.3888888888888888"/>
    <n v="3.1944444444444442"/>
  </r>
  <r>
    <n v="2996"/>
    <s v="Infra Pneumática de 1/2&quot;"/>
    <n v="73071900"/>
    <x v="150"/>
    <n v="245"/>
    <n v="1"/>
    <s v="PC"/>
    <s v="TUPY"/>
    <n v="2.15"/>
    <n v="2.15"/>
    <n v="245"/>
    <n v="2.7777777777777776E-2"/>
    <n v="5.9722222222222218E-2"/>
    <n v="50"/>
    <n v="1.3888888888888888"/>
    <n v="2.9861111111111107"/>
  </r>
  <r>
    <n v="5046"/>
    <s v="Infra Pneumática de 1/2&quot;"/>
    <n v="73071100"/>
    <x v="151"/>
    <n v="301"/>
    <n v="1"/>
    <s v="PC"/>
    <s v="TUPY"/>
    <n v="2.2000000000000002"/>
    <n v="2.2000000000000002"/>
    <n v="301"/>
    <n v="2.7777777777777776E-2"/>
    <n v="6.1111111111111116E-2"/>
    <n v="50"/>
    <n v="1.3888888888888888"/>
    <n v="3.0555555555555558"/>
  </r>
  <r>
    <n v="5124"/>
    <s v="Infra Pneumática de 1/2&quot;"/>
    <n v="73071100"/>
    <x v="152"/>
    <n v="300"/>
    <n v="1"/>
    <s v="PC"/>
    <s v="TUPY"/>
    <n v="2.8"/>
    <n v="2.8"/>
    <n v="300"/>
    <n v="2.7777777777777776E-2"/>
    <n v="7.7777777777777765E-2"/>
    <n v="50"/>
    <n v="1.3888888888888888"/>
    <n v="3.8888888888888884"/>
  </r>
  <r>
    <n v="2806"/>
    <s v="Infra Pneumática de 1/2&quot;"/>
    <n v="0"/>
    <x v="153"/>
    <s v="FOGO CL150"/>
    <n v="1"/>
    <s v="PC"/>
    <s v="TUPY"/>
    <n v="8"/>
    <n v="8"/>
    <s v="FOGO CL150"/>
    <n v="2.7777777777777776E-2"/>
    <n v="0.22222222222222221"/>
    <n v="50"/>
    <n v="1.3888888888888888"/>
    <n v="11.111111111111111"/>
  </r>
  <r>
    <n v="2810"/>
    <s v="Infra Pneumática de 1/2&quot;"/>
    <n v="0"/>
    <x v="154"/>
    <s v="FOGO CL150"/>
    <n v="1"/>
    <s v="PC"/>
    <s v="TUPY"/>
    <n v="8"/>
    <n v="8"/>
    <s v="FOGO CL150"/>
    <n v="2.7777777777777776E-2"/>
    <n v="0.22222222222222221"/>
    <n v="50"/>
    <n v="1.3888888888888888"/>
    <n v="11.111111111111111"/>
  </r>
  <r>
    <n v="4577"/>
    <s v="Infra Pneumática de 1/2&quot;"/>
    <n v="73071100"/>
    <x v="155"/>
    <n v="130"/>
    <n v="1"/>
    <s v="PC"/>
    <s v="TUPY"/>
    <n v="4.0999999999999996"/>
    <n v="4.0999999999999996"/>
    <n v="130"/>
    <n v="2.7777777777777776E-2"/>
    <n v="0.11388888888888887"/>
    <n v="50"/>
    <n v="1.3888888888888888"/>
    <n v="5.6944444444444438"/>
  </r>
  <r>
    <n v="1373"/>
    <s v="Infra Pneumática de 1/2&quot;"/>
    <n v="73071100"/>
    <x v="156"/>
    <n v="165"/>
    <n v="1"/>
    <s v="PC"/>
    <s v="TUPY"/>
    <n v="8.16"/>
    <n v="8.16"/>
    <n v="165"/>
    <n v="2.7777777777777776E-2"/>
    <n v="0.22666666666666666"/>
    <n v="50"/>
    <n v="1.3888888888888888"/>
    <n v="11.333333333333334"/>
  </r>
  <r>
    <n v="2538"/>
    <s v="Infra Pneumática de 1/2&quot;"/>
    <n v="73063000"/>
    <x v="157"/>
    <n v="0"/>
    <n v="3"/>
    <s v="BR"/>
    <s v="CARBINOX"/>
    <n v="49.81"/>
    <n v="149.43"/>
    <s v="AUT-2538"/>
    <n v="8.3333333333333329E-2"/>
    <n v="4.1508333333333329"/>
    <n v="50"/>
    <n v="4.1666666666666661"/>
    <n v="207.54166666666666"/>
  </r>
  <r>
    <n v="2892"/>
    <s v="Infra Pneumática de 1/2&quot;"/>
    <n v="73071100"/>
    <x v="158"/>
    <n v="342"/>
    <n v="1"/>
    <s v="PC"/>
    <s v="TUPY"/>
    <n v="27.69"/>
    <n v="27.69"/>
    <n v="342"/>
    <n v="2.7777777777777776E-2"/>
    <n v="0.76916666666666667"/>
    <n v="50"/>
    <n v="1.3888888888888888"/>
    <n v="38.458333333333336"/>
  </r>
  <r>
    <n v="2567"/>
    <s v="Infra Pneumática de 1/2&quot;"/>
    <n v="84818095"/>
    <x v="159"/>
    <n v="0"/>
    <n v="1"/>
    <s v="PC"/>
    <s v="MGA"/>
    <n v="35"/>
    <n v="35"/>
    <s v="AUT-2567"/>
    <n v="2.7777777777777776E-2"/>
    <n v="0.97222222222222221"/>
    <n v="50"/>
    <n v="1.3888888888888888"/>
    <n v="48.611111111111107"/>
  </r>
  <r>
    <n v="2566"/>
    <s v="Infra Pneumática de 2&quot;"/>
    <n v="73072900"/>
    <x v="47"/>
    <s v="DP 634-6"/>
    <n v="6"/>
    <s v="PC"/>
    <s v="DISPAN"/>
    <n v="1.8"/>
    <n v="10.8"/>
    <s v="DP 634-6"/>
    <n v="0.16666666666666666"/>
    <n v="0.3"/>
    <n v="150"/>
    <n v="25"/>
    <n v="45"/>
  </r>
  <r>
    <n v="5091"/>
    <s v="Infra Pneumática de 2&quot;"/>
    <n v="73181500"/>
    <x v="23"/>
    <s v="DP 619"/>
    <n v="12"/>
    <s v="PC"/>
    <s v="DISPAN"/>
    <n v="0.05"/>
    <n v="0.60000000000000009"/>
    <s v="DP 619"/>
    <n v="0.33333333333333331"/>
    <n v="1.6666666666666666E-2"/>
    <n v="150"/>
    <n v="50"/>
    <n v="2.5"/>
  </r>
  <r>
    <n v="89"/>
    <s v="Infra Pneumática de 2&quot;"/>
    <n v="73071910"/>
    <x v="160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3752"/>
    <s v="Infra Pneumática de 2&quot;"/>
    <n v="73071910"/>
    <x v="161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1303"/>
    <s v="Infra Pneumática de 2&quot;"/>
    <n v="73071910"/>
    <x v="162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1560"/>
    <s v="Infra Pneumática de 2&quot;"/>
    <n v="73071910"/>
    <x v="163"/>
    <n v="290"/>
    <n v="1"/>
    <s v="PC"/>
    <s v="TUPY"/>
    <n v="14.3"/>
    <n v="14.3"/>
    <n v="290"/>
    <n v="2.7777777777777776E-2"/>
    <n v="0.3972222222222222"/>
    <n v="150"/>
    <n v="4.1666666666666661"/>
    <n v="59.583333333333329"/>
  </r>
  <r>
    <n v="73"/>
    <s v="Infra Pneumática de 2&quot;"/>
    <n v="73071910"/>
    <x v="164"/>
    <n v="291"/>
    <n v="1"/>
    <s v="PC"/>
    <s v="TUPY"/>
    <n v="9.1199999999999992"/>
    <n v="9.1199999999999992"/>
    <n v="291"/>
    <n v="2.7777777777777776E-2"/>
    <n v="0.2533333333333333"/>
    <n v="150"/>
    <n v="4.1666666666666661"/>
    <n v="37.999999999999993"/>
  </r>
  <r>
    <n v="2805"/>
    <s v="Infra Pneumática de 2&quot;"/>
    <n v="72162100"/>
    <x v="3"/>
    <n v="0"/>
    <n v="3.48"/>
    <s v="KG"/>
    <s v="GERDAU"/>
    <n v="2.8"/>
    <n v="9.7439999999999998"/>
    <s v="AUT-2805"/>
    <n v="9.6666666666666665E-2"/>
    <n v="0.27066666666666667"/>
    <n v="150"/>
    <n v="522"/>
    <n v="1461.6"/>
  </r>
  <r>
    <n v="751"/>
    <s v="Infra Pneumática de 2&quot;"/>
    <n v="73071900"/>
    <x v="165"/>
    <n v="120"/>
    <n v="1"/>
    <s v="PC"/>
    <s v="TUPY"/>
    <n v="26.28"/>
    <n v="26.28"/>
    <n v="120"/>
    <n v="2.7777777777777776E-2"/>
    <n v="0.73"/>
    <n v="150"/>
    <n v="4.1666666666666661"/>
    <n v="109.49999999999999"/>
  </r>
  <r>
    <n v="2101"/>
    <s v="Infra Pneumática de 2&quot;"/>
    <n v="73071900"/>
    <x v="166"/>
    <n v="90"/>
    <n v="1"/>
    <s v="PC"/>
    <s v="TUPY"/>
    <n v="23.65"/>
    <n v="23.65"/>
    <n v="90"/>
    <n v="2.7777777777777776E-2"/>
    <n v="0.65694444444444433"/>
    <n v="150"/>
    <n v="4.1666666666666661"/>
    <n v="98.541666666666643"/>
  </r>
  <r>
    <n v="3404"/>
    <s v="Infra Pneumática de 2&quot;"/>
    <n v="73071900"/>
    <x v="167"/>
    <n v="180"/>
    <n v="1"/>
    <s v="PC"/>
    <s v="TUPY"/>
    <n v="46.5"/>
    <n v="46.5"/>
    <n v="180"/>
    <n v="2.7777777777777776E-2"/>
    <n v="1.2916666666666665"/>
    <n v="150"/>
    <n v="4.1666666666666661"/>
    <n v="193.74999999999997"/>
  </r>
  <r>
    <n v="1407"/>
    <s v="Infra Pneumática de 2&quot;"/>
    <n v="73071900"/>
    <x v="168"/>
    <n v="270"/>
    <n v="1"/>
    <s v="PC"/>
    <s v="TUPY"/>
    <n v="16.46"/>
    <n v="16.46"/>
    <n v="270"/>
    <n v="2.7777777777777776E-2"/>
    <n v="0.4572222222222222"/>
    <n v="150"/>
    <n v="4.1666666666666661"/>
    <n v="68.583333333333329"/>
  </r>
  <r>
    <n v="2883"/>
    <s v="Infra Pneumática de 2&quot;"/>
    <n v="73071900"/>
    <x v="169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4586"/>
    <s v="Infra Pneumática de 2&quot;"/>
    <n v="73071900"/>
    <x v="170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4510"/>
    <s v="Infra Pneumática de 2&quot;"/>
    <n v="73071900"/>
    <x v="171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3236"/>
    <s v="Infra Pneumática de 2&quot;"/>
    <n v="73071990"/>
    <x v="172"/>
    <n v="280"/>
    <n v="1"/>
    <s v="PC"/>
    <s v="TUPY"/>
    <n v="17.54"/>
    <n v="17.54"/>
    <n v="280"/>
    <n v="2.7777777777777776E-2"/>
    <n v="0.48722222222222217"/>
    <n v="150"/>
    <n v="4.1666666666666661"/>
    <n v="73.083333333333314"/>
  </r>
  <r>
    <n v="3274"/>
    <s v="Infra Pneumática de 2&quot;"/>
    <n v="73181500"/>
    <x v="36"/>
    <s v="DP 618"/>
    <n v="12"/>
    <s v="PC"/>
    <s v="DISPAN"/>
    <n v="0.1"/>
    <n v="1.2000000000000002"/>
    <s v="DP 618"/>
    <n v="0.33333333333333331"/>
    <n v="3.3333333333333333E-2"/>
    <n v="150"/>
    <n v="50"/>
    <n v="5"/>
  </r>
  <r>
    <n v="5043"/>
    <s v="Infra Pneumática de 2&quot;"/>
    <n v="73071100"/>
    <x v="173"/>
    <n v="301"/>
    <n v="1"/>
    <s v="PC"/>
    <s v="TUPY"/>
    <n v="12.55"/>
    <n v="12.55"/>
    <n v="301"/>
    <n v="2.7777777777777776E-2"/>
    <n v="0.34861111111111109"/>
    <n v="150"/>
    <n v="4.1666666666666661"/>
    <n v="52.291666666666664"/>
  </r>
  <r>
    <n v="5044"/>
    <s v="Infra Pneumática de 2&quot;"/>
    <n v="73071100"/>
    <x v="174"/>
    <n v="300"/>
    <n v="1"/>
    <s v="PC"/>
    <s v="TUPY"/>
    <n v="14.06"/>
    <n v="14.06"/>
    <n v="300"/>
    <n v="2.7777777777777776E-2"/>
    <n v="0.39055555555555554"/>
    <n v="150"/>
    <n v="4.1666666666666661"/>
    <n v="58.583333333333329"/>
  </r>
  <r>
    <n v="2852"/>
    <s v="Infra Pneumática de 2&quot;"/>
    <n v="0"/>
    <x v="175"/>
    <s v="FOGO CL150"/>
    <n v="1"/>
    <s v="PC"/>
    <s v="TUPY"/>
    <n v="34.22"/>
    <n v="34.22"/>
    <s v="FOGO CL150"/>
    <n v="2.7777777777777776E-2"/>
    <n v="0.95055555555555549"/>
    <n v="150"/>
    <n v="4.1666666666666661"/>
    <n v="142.58333333333331"/>
  </r>
  <r>
    <n v="2990"/>
    <s v="Infra Pneumática de 2&quot;"/>
    <n v="0"/>
    <x v="176"/>
    <s v="FOGO CL150"/>
    <n v="1"/>
    <s v="PC"/>
    <s v="TUPY"/>
    <n v="34.22"/>
    <n v="34.22"/>
    <s v="FOGO CL150"/>
    <n v="2.7777777777777776E-2"/>
    <n v="0.95055555555555549"/>
    <n v="150"/>
    <n v="4.1666666666666661"/>
    <n v="142.58333333333331"/>
  </r>
  <r>
    <n v="4579"/>
    <s v="Infra Pneumática de 2&quot;"/>
    <n v="73071100"/>
    <x v="177"/>
    <n v="130"/>
    <n v="1"/>
    <s v="PC"/>
    <s v="TUPY"/>
    <n v="34.22"/>
    <n v="34.22"/>
    <n v="130"/>
    <n v="2.7777777777777776E-2"/>
    <n v="0.95055555555555549"/>
    <n v="150"/>
    <n v="4.1666666666666661"/>
    <n v="142.58333333333331"/>
  </r>
  <r>
    <n v="3330"/>
    <s v="Infra Pneumática de 2&quot;"/>
    <n v="73071100"/>
    <x v="178"/>
    <s v="130R"/>
    <n v="1"/>
    <s v="PC"/>
    <s v="TUPY"/>
    <n v="34.22"/>
    <n v="34.22"/>
    <s v="130R"/>
    <n v="2.7777777777777776E-2"/>
    <n v="0.95055555555555549"/>
    <n v="150"/>
    <n v="4.1666666666666661"/>
    <n v="142.58333333333331"/>
  </r>
  <r>
    <n v="3345"/>
    <s v="Infra Pneumática de 2&quot;"/>
    <n v="73071100"/>
    <x v="179"/>
    <s v="130R"/>
    <n v="1"/>
    <s v="PC"/>
    <s v="TUPY"/>
    <n v="34.22"/>
    <n v="34.22"/>
    <s v="130R"/>
    <n v="2.7777777777777776E-2"/>
    <n v="0.95055555555555549"/>
    <n v="150"/>
    <n v="4.1666666666666661"/>
    <n v="142.58333333333331"/>
  </r>
  <r>
    <n v="3685"/>
    <s v="Infra Pneumática de 2&quot;"/>
    <n v="73063000"/>
    <x v="180"/>
    <n v="0"/>
    <n v="3"/>
    <s v="BR"/>
    <s v="CARBINOX"/>
    <n v="187.77"/>
    <n v="563.31000000000006"/>
    <s v="AUT-3685"/>
    <n v="8.3333333333333329E-2"/>
    <n v="15.647500000000001"/>
    <n v="150"/>
    <n v="12.5"/>
    <n v="2347.125"/>
  </r>
  <r>
    <n v="2245"/>
    <s v="Infra Pneumática de 2&quot;"/>
    <n v="73071100"/>
    <x v="181"/>
    <n v="342"/>
    <n v="1"/>
    <s v="PC"/>
    <s v="TUPY"/>
    <n v="85.2"/>
    <n v="85.2"/>
    <n v="342"/>
    <n v="2.7777777777777776E-2"/>
    <n v="2.3666666666666667"/>
    <n v="150"/>
    <n v="4.1666666666666661"/>
    <n v="354.99999999999994"/>
  </r>
  <r>
    <n v="2629"/>
    <s v="Infra Pneumática de 2&quot;"/>
    <n v="84818095"/>
    <x v="182"/>
    <n v="0"/>
    <n v="1"/>
    <s v="PC"/>
    <s v="MGA"/>
    <n v="65"/>
    <n v="65"/>
    <s v="AUT-2629"/>
    <n v="2.7777777777777776E-2"/>
    <n v="1.8055555555555554"/>
    <n v="150"/>
    <n v="4.1666666666666661"/>
    <n v="270.83333333333331"/>
  </r>
  <r>
    <n v="2534"/>
    <s v="Infra Pneumática de 3/4&quot;"/>
    <n v="73072900"/>
    <x v="73"/>
    <s v="DP 634-2"/>
    <n v="6"/>
    <s v="PC"/>
    <s v="DISPAN"/>
    <n v="1.1499999999999999"/>
    <n v="6.8999999999999995"/>
    <s v="DP 634-2"/>
    <n v="0.16666666666666666"/>
    <n v="0.19166666666666665"/>
    <n v="50"/>
    <n v="8.3333333333333321"/>
    <n v="9.5833333333333304"/>
  </r>
  <r>
    <n v="3478"/>
    <s v="Infra Pneumática de 3/4&quot;"/>
    <n v="73071910"/>
    <x v="183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92"/>
    <s v="Infra Pneumática de 3/4&quot;"/>
    <n v="73071910"/>
    <x v="184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313"/>
    <s v="Infra Pneumática de 3/4&quot;"/>
    <n v="73071910"/>
    <x v="185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218"/>
    <s v="Infra Pneumática de 3/4&quot;"/>
    <n v="73071910"/>
    <x v="186"/>
    <n v="290"/>
    <n v="1"/>
    <s v="PC"/>
    <s v="TUPY"/>
    <n v="3.25"/>
    <n v="3.25"/>
    <n v="290"/>
    <n v="2.7777777777777776E-2"/>
    <n v="9.0277777777777776E-2"/>
    <n v="50"/>
    <n v="1.3888888888888888"/>
    <n v="4.5138888888888884"/>
  </r>
  <r>
    <n v="169"/>
    <s v="Infra Pneumática de 3/4&quot;"/>
    <n v="73071910"/>
    <x v="187"/>
    <n v="291"/>
    <n v="1"/>
    <s v="PC"/>
    <s v="TUPY"/>
    <n v="2.1"/>
    <n v="2.1"/>
    <n v="291"/>
    <n v="2.7777777777777776E-2"/>
    <n v="5.8333333333333334E-2"/>
    <n v="50"/>
    <n v="1.3888888888888888"/>
    <n v="2.9166666666666665"/>
  </r>
  <r>
    <n v="2805"/>
    <s v="Infra Pneumática de 3/4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749"/>
    <s v="Infra Pneumática de 3/4&quot;"/>
    <n v="73071900"/>
    <x v="188"/>
    <n v="120"/>
    <n v="1"/>
    <s v="PC"/>
    <s v="TUPY"/>
    <n v="6.29"/>
    <n v="6.29"/>
    <n v="120"/>
    <n v="2.7777777777777776E-2"/>
    <n v="0.17472222222222222"/>
    <n v="50"/>
    <n v="1.3888888888888888"/>
    <n v="8.7361111111111107"/>
  </r>
  <r>
    <n v="2110"/>
    <s v="Infra Pneumática de 3/4&quot;"/>
    <n v="73071900"/>
    <x v="189"/>
    <n v="90"/>
    <n v="1"/>
    <s v="PC"/>
    <s v="TUPY"/>
    <n v="4.7"/>
    <n v="4.7"/>
    <n v="90"/>
    <n v="2.7777777777777776E-2"/>
    <n v="0.13055555555555556"/>
    <n v="50"/>
    <n v="1.3888888888888888"/>
    <n v="6.5277777777777777"/>
  </r>
  <r>
    <n v="2896"/>
    <s v="Infra Pneumática de 3/4&quot;"/>
    <n v="73071900"/>
    <x v="190"/>
    <n v="180"/>
    <n v="1"/>
    <s v="PC"/>
    <s v="TUPY"/>
    <n v="13.75"/>
    <n v="13.75"/>
    <n v="180"/>
    <n v="2.7777777777777776E-2"/>
    <n v="0.38194444444444442"/>
    <n v="50"/>
    <n v="1.3888888888888888"/>
    <n v="19.097222222222221"/>
  </r>
  <r>
    <n v="3655"/>
    <s v="Infra Pneumática de 3/4&quot;"/>
    <n v="73071900"/>
    <x v="191"/>
    <n v="270"/>
    <n v="1"/>
    <s v="PC"/>
    <s v="TUPY"/>
    <n v="4.0199999999999996"/>
    <n v="4.0199999999999996"/>
    <n v="270"/>
    <n v="2.7777777777777776E-2"/>
    <n v="0.11166666666666665"/>
    <n v="50"/>
    <n v="1.3888888888888888"/>
    <n v="5.5833333333333321"/>
  </r>
  <r>
    <n v="3419"/>
    <s v="Infra Pneumática de 3/4&quot;"/>
    <n v="73071900"/>
    <x v="192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3027"/>
    <s v="Infra Pneumática de 3/4&quot;"/>
    <n v="73071900"/>
    <x v="193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2964"/>
    <s v="Infra Pneumática de 3/4&quot;"/>
    <n v="73071900"/>
    <x v="194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3386"/>
    <s v="Infra Pneumática de 3/4&quot;"/>
    <n v="73071990"/>
    <x v="195"/>
    <n v="280"/>
    <n v="1"/>
    <s v="PC"/>
    <s v="TUPY"/>
    <n v="3.07"/>
    <n v="3.07"/>
    <n v="280"/>
    <n v="2.7777777777777776E-2"/>
    <n v="8.5277777777777772E-2"/>
    <n v="50"/>
    <n v="1.3888888888888888"/>
    <n v="4.2638888888888884"/>
  </r>
  <r>
    <n v="3274"/>
    <s v="Infra Pneumática de 3/4&quot;"/>
    <n v="73181500"/>
    <x v="36"/>
    <s v="DP 618"/>
    <n v="12"/>
    <s v="PC"/>
    <s v="DISPAN"/>
    <n v="0.1"/>
    <n v="1.2000000000000002"/>
    <s v="DP 618"/>
    <n v="0.33333333333333331"/>
    <n v="3.3333333333333333E-2"/>
    <n v="50"/>
    <n v="16.666666666666664"/>
    <n v="1.6666666666666665"/>
  </r>
  <r>
    <n v="5048"/>
    <s v="Infra Pneumática de 3/4&quot;"/>
    <n v="73071100"/>
    <x v="196"/>
    <n v="301"/>
    <n v="1"/>
    <s v="PC"/>
    <s v="TUPY"/>
    <n v="6.5"/>
    <n v="6.5"/>
    <n v="301"/>
    <n v="2.7777777777777776E-2"/>
    <n v="0.18055555555555555"/>
    <n v="50"/>
    <n v="1.3888888888888888"/>
    <n v="9.0277777777777768"/>
  </r>
  <r>
    <n v="2516"/>
    <s v="Infra Pneumática de 3/4&quot;"/>
    <n v="73071900"/>
    <x v="197"/>
    <n v="300"/>
    <n v="1"/>
    <s v="PC"/>
    <s v="TUPY"/>
    <n v="3.4"/>
    <n v="3.4"/>
    <n v="300"/>
    <n v="2.7777777777777776E-2"/>
    <n v="9.4444444444444442E-2"/>
    <n v="50"/>
    <n v="1.3888888888888888"/>
    <n v="4.7222222222222223"/>
  </r>
  <r>
    <n v="3091"/>
    <s v="Infra Pneumática de 3/4&quot;"/>
    <n v="0"/>
    <x v="198"/>
    <s v="FOGO CL150"/>
    <n v="1"/>
    <s v="PC"/>
    <s v="TUPY"/>
    <n v="9.7799999999999994"/>
    <n v="9.7799999999999994"/>
    <s v="FOGO CL150"/>
    <n v="2.7777777777777776E-2"/>
    <n v="0.27166666666666661"/>
    <n v="50"/>
    <n v="1.3888888888888888"/>
    <n v="13.583333333333332"/>
  </r>
  <r>
    <n v="3036"/>
    <s v="Infra Pneumática de 3/4&quot;"/>
    <n v="0"/>
    <x v="199"/>
    <s v="FOGO CL150"/>
    <n v="1"/>
    <s v="PC"/>
    <s v="TUPY"/>
    <n v="9.7799999999999994"/>
    <n v="9.7799999999999994"/>
    <s v="FOGO CL150"/>
    <n v="2.7777777777777776E-2"/>
    <n v="0.27166666666666661"/>
    <n v="50"/>
    <n v="1.3888888888888888"/>
    <n v="13.583333333333332"/>
  </r>
  <r>
    <n v="3354"/>
    <s v="Infra Pneumática de 3/4&quot;"/>
    <n v="73071100"/>
    <x v="200"/>
    <n v="130"/>
    <n v="1"/>
    <s v="PC"/>
    <s v="TUPY"/>
    <n v="5.77"/>
    <n v="5.77"/>
    <n v="130"/>
    <n v="2.7777777777777776E-2"/>
    <n v="0.16027777777777777"/>
    <n v="50"/>
    <n v="1.3888888888888888"/>
    <n v="8.0138888888888875"/>
  </r>
  <r>
    <n v="4167"/>
    <s v="Infra Pneumática de 3/4&quot;"/>
    <n v="73071100"/>
    <x v="201"/>
    <n v="165"/>
    <n v="1"/>
    <s v="PC"/>
    <s v="TUPY"/>
    <n v="11.47"/>
    <n v="11.47"/>
    <n v="165"/>
    <n v="2.7777777777777776E-2"/>
    <n v="0.31861111111111112"/>
    <n v="50"/>
    <n v="1.3888888888888888"/>
    <n v="15.930555555555555"/>
  </r>
  <r>
    <n v="3502"/>
    <s v="Infra Pneumática de 3/4&quot;"/>
    <n v="73063000"/>
    <x v="202"/>
    <n v="0"/>
    <n v="3"/>
    <s v="BR"/>
    <s v="CARBINOX"/>
    <n v="64.22"/>
    <n v="192.66"/>
    <s v="AUT-3502"/>
    <n v="8.3333333333333329E-2"/>
    <n v="5.3516666666666666"/>
    <n v="50"/>
    <n v="4.1666666666666661"/>
    <n v="267.58333333333331"/>
  </r>
  <r>
    <n v="1960"/>
    <s v="Infra Pneumática de 3/4&quot;"/>
    <n v="73071100"/>
    <x v="203"/>
    <n v="342"/>
    <n v="1"/>
    <s v="PC"/>
    <s v="TUPY"/>
    <n v="31.85"/>
    <n v="31.85"/>
    <n v="342"/>
    <n v="2.7777777777777776E-2"/>
    <n v="0.88472222222222219"/>
    <n v="50"/>
    <n v="1.3888888888888888"/>
    <n v="44.236111111111114"/>
  </r>
  <r>
    <n v="3676"/>
    <s v="Infra Pneumática de 3/4&quot;"/>
    <n v="84818095"/>
    <x v="204"/>
    <n v="0"/>
    <n v="1"/>
    <s v="PC"/>
    <s v="MGA"/>
    <n v="45"/>
    <n v="45"/>
    <s v="AUT-3676"/>
    <n v="2.7777777777777776E-2"/>
    <n v="1.25"/>
    <n v="50"/>
    <n v="1.3888888888888888"/>
    <n v="6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7"/>
  </r>
  <r>
    <x v="107"/>
  </r>
  <r>
    <x v="108"/>
  </r>
  <r>
    <x v="109"/>
  </r>
  <r>
    <x v="110"/>
  </r>
  <r>
    <x v="111"/>
  </r>
  <r>
    <x v="112"/>
  </r>
  <r>
    <x v="10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4"/>
  </r>
  <r>
    <x v="134"/>
  </r>
  <r>
    <x v="135"/>
  </r>
  <r>
    <x v="136"/>
  </r>
  <r>
    <x v="137"/>
  </r>
  <r>
    <x v="138"/>
  </r>
  <r>
    <x v="139"/>
  </r>
  <r>
    <x v="140"/>
  </r>
  <r>
    <x v="15"/>
  </r>
  <r>
    <x v="141"/>
  </r>
  <r>
    <x v="142"/>
  </r>
  <r>
    <x v="143"/>
  </r>
  <r>
    <x v="144"/>
  </r>
  <r>
    <x v="19"/>
  </r>
  <r>
    <x v="145"/>
  </r>
  <r>
    <x v="146"/>
  </r>
  <r>
    <x v="147"/>
  </r>
  <r>
    <x v="148"/>
  </r>
  <r>
    <x v="149"/>
  </r>
  <r>
    <x v="150"/>
  </r>
  <r>
    <x v="151"/>
  </r>
  <r>
    <x v="34"/>
  </r>
  <r>
    <x v="35"/>
  </r>
  <r>
    <x v="36"/>
  </r>
  <r>
    <x v="37"/>
  </r>
  <r>
    <x v="38"/>
  </r>
  <r>
    <x v="152"/>
  </r>
  <r>
    <x v="153"/>
  </r>
  <r>
    <x v="154"/>
  </r>
  <r>
    <x v="155"/>
  </r>
  <r>
    <x v="156"/>
  </r>
  <r>
    <x v="157"/>
  </r>
  <r>
    <x v="39"/>
  </r>
  <r>
    <x v="158"/>
  </r>
  <r>
    <x v="159"/>
  </r>
  <r>
    <x v="160"/>
  </r>
  <r>
    <x v="161"/>
  </r>
  <r>
    <x v="40"/>
  </r>
  <r>
    <x v="41"/>
  </r>
  <r>
    <x v="42"/>
  </r>
  <r>
    <x v="43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46"/>
  </r>
  <r>
    <x v="47"/>
  </r>
  <r>
    <x v="48"/>
  </r>
  <r>
    <x v="177"/>
  </r>
  <r>
    <x v="178"/>
  </r>
  <r>
    <x v="179"/>
  </r>
  <r>
    <x v="56"/>
  </r>
  <r>
    <x v="57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58"/>
  </r>
  <r>
    <x v="59"/>
  </r>
  <r>
    <x v="204"/>
  </r>
  <r>
    <x v="60"/>
  </r>
  <r>
    <x v="61"/>
  </r>
  <r>
    <x v="205"/>
  </r>
  <r>
    <x v="62"/>
  </r>
  <r>
    <x v="206"/>
  </r>
  <r>
    <x v="207"/>
  </r>
  <r>
    <x v="208"/>
  </r>
  <r>
    <x v="64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71"/>
  </r>
  <r>
    <x v="72"/>
  </r>
  <r>
    <x v="73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81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82"/>
  </r>
  <r>
    <x v="247"/>
  </r>
  <r>
    <x v="248"/>
  </r>
  <r>
    <x v="249"/>
  </r>
  <r>
    <x v="250"/>
  </r>
  <r>
    <x v="251"/>
  </r>
  <r>
    <x v="252"/>
  </r>
  <r>
    <x v="83"/>
  </r>
  <r>
    <x v="253"/>
  </r>
  <r>
    <x v="84"/>
  </r>
  <r>
    <x v="254"/>
  </r>
  <r>
    <x v="255"/>
  </r>
  <r>
    <x v="256"/>
  </r>
  <r>
    <x v="257"/>
  </r>
  <r>
    <x v="89"/>
  </r>
  <r>
    <x v="258"/>
  </r>
  <r>
    <x v="259"/>
  </r>
  <r>
    <x v="260"/>
  </r>
  <r>
    <x v="261"/>
  </r>
  <r>
    <x v="262"/>
  </r>
  <r>
    <x v="263"/>
  </r>
  <r>
    <x v="2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1" cacheId="15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96" firstHeaderRow="1" firstDataRow="1" firstDataCol="1"/>
  <pivotFields count="17">
    <pivotField showAll="0"/>
    <pivotField showAll="0"/>
    <pivotField showAll="0"/>
    <pivotField showAll="0"/>
    <pivotField axis="axisRow" showAll="0">
      <items count="95">
        <item x="79"/>
        <item x="80"/>
        <item x="81"/>
        <item x="82"/>
        <item x="83"/>
        <item x="84"/>
        <item x="85"/>
        <item x="86"/>
        <item x="87"/>
        <item x="0"/>
        <item x="1"/>
        <item x="88"/>
        <item x="2"/>
        <item x="3"/>
        <item x="6"/>
        <item x="7"/>
        <item x="4"/>
        <item x="5"/>
        <item x="8"/>
        <item x="9"/>
        <item x="10"/>
        <item x="11"/>
        <item x="90"/>
        <item x="12"/>
        <item x="13"/>
        <item x="14"/>
        <item x="89"/>
        <item x="15"/>
        <item x="91"/>
        <item x="16"/>
        <item x="92"/>
        <item x="93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2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2" cacheId="15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207" firstHeaderRow="1" firstDataRow="1" firstDataCol="1"/>
  <pivotFields count="16">
    <pivotField showAll="0"/>
    <pivotField showAll="0"/>
    <pivotField numFmtId="167" showAll="0"/>
    <pivotField axis="axisRow" showAll="0">
      <items count="206">
        <item x="0"/>
        <item x="21"/>
        <item x="138"/>
        <item x="47"/>
        <item x="73"/>
        <item x="1"/>
        <item x="22"/>
        <item x="48"/>
        <item x="74"/>
        <item x="11"/>
        <item x="37"/>
        <item x="61"/>
        <item x="85"/>
        <item x="23"/>
        <item x="94"/>
        <item x="95"/>
        <item x="96"/>
        <item x="2"/>
        <item x="24"/>
        <item x="49"/>
        <item x="75"/>
        <item x="12"/>
        <item x="38"/>
        <item x="62"/>
        <item x="86"/>
        <item x="25"/>
        <item x="26"/>
        <item x="27"/>
        <item x="50"/>
        <item x="51"/>
        <item x="52"/>
        <item x="53"/>
        <item x="76"/>
        <item x="13"/>
        <item x="14"/>
        <item x="39"/>
        <item x="40"/>
        <item x="41"/>
        <item x="63"/>
        <item x="64"/>
        <item x="65"/>
        <item x="66"/>
        <item x="87"/>
        <item x="119"/>
        <item x="120"/>
        <item x="121"/>
        <item x="139"/>
        <item x="140"/>
        <item x="160"/>
        <item x="161"/>
        <item x="162"/>
        <item x="183"/>
        <item x="184"/>
        <item x="185"/>
        <item x="122"/>
        <item x="141"/>
        <item x="163"/>
        <item x="186"/>
        <item x="123"/>
        <item x="142"/>
        <item x="164"/>
        <item x="187"/>
        <item x="3"/>
        <item x="4"/>
        <item x="5"/>
        <item x="6"/>
        <item x="7"/>
        <item x="8"/>
        <item x="28"/>
        <item x="29"/>
        <item x="30"/>
        <item x="31"/>
        <item x="32"/>
        <item x="54"/>
        <item x="55"/>
        <item x="56"/>
        <item x="57"/>
        <item x="58"/>
        <item x="77"/>
        <item x="78"/>
        <item x="79"/>
        <item x="80"/>
        <item x="81"/>
        <item x="15"/>
        <item x="16"/>
        <item x="17"/>
        <item x="18"/>
        <item x="19"/>
        <item x="42"/>
        <item x="43"/>
        <item x="44"/>
        <item x="45"/>
        <item x="67"/>
        <item x="68"/>
        <item x="69"/>
        <item x="70"/>
        <item x="71"/>
        <item x="88"/>
        <item x="89"/>
        <item x="90"/>
        <item x="91"/>
        <item x="92"/>
        <item x="124"/>
        <item x="125"/>
        <item x="143"/>
        <item x="144"/>
        <item x="165"/>
        <item x="166"/>
        <item x="188"/>
        <item x="189"/>
        <item x="126"/>
        <item x="145"/>
        <item x="167"/>
        <item x="190"/>
        <item x="107"/>
        <item x="97"/>
        <item x="113"/>
        <item x="9"/>
        <item x="108"/>
        <item x="98"/>
        <item x="114"/>
        <item x="109"/>
        <item x="99"/>
        <item x="115"/>
        <item x="100"/>
        <item x="110"/>
        <item x="116"/>
        <item x="20"/>
        <item x="46"/>
        <item x="72"/>
        <item x="93"/>
        <item x="10"/>
        <item x="33"/>
        <item x="59"/>
        <item x="82"/>
        <item x="127"/>
        <item x="146"/>
        <item x="168"/>
        <item x="191"/>
        <item x="34"/>
        <item x="83"/>
        <item x="128"/>
        <item x="129"/>
        <item x="147"/>
        <item x="148"/>
        <item x="169"/>
        <item x="170"/>
        <item x="171"/>
        <item x="192"/>
        <item x="193"/>
        <item x="194"/>
        <item x="130"/>
        <item x="149"/>
        <item x="172"/>
        <item x="195"/>
        <item x="150"/>
        <item x="101"/>
        <item x="35"/>
        <item x="60"/>
        <item x="84"/>
        <item x="36"/>
        <item x="102"/>
        <item x="103"/>
        <item x="111"/>
        <item x="117"/>
        <item x="131"/>
        <item x="151"/>
        <item x="173"/>
        <item x="196"/>
        <item x="132"/>
        <item x="152"/>
        <item x="174"/>
        <item x="197"/>
        <item x="133"/>
        <item x="153"/>
        <item x="154"/>
        <item x="175"/>
        <item x="176"/>
        <item x="198"/>
        <item x="199"/>
        <item x="134"/>
        <item x="155"/>
        <item x="156"/>
        <item x="177"/>
        <item x="200"/>
        <item x="201"/>
        <item x="112"/>
        <item x="104"/>
        <item x="118"/>
        <item x="178"/>
        <item x="179"/>
        <item x="105"/>
        <item x="157"/>
        <item x="202"/>
        <item x="135"/>
        <item x="180"/>
        <item x="136"/>
        <item x="158"/>
        <item x="181"/>
        <item x="203"/>
        <item x="182"/>
        <item x="204"/>
        <item x="137"/>
        <item x="159"/>
        <item x="106"/>
        <item t="default"/>
      </items>
    </pivotField>
    <pivotField showAll="0"/>
    <pivotField showAll="0"/>
    <pivotField showAll="0"/>
    <pivotField showAll="0"/>
    <pivotField numFmtId="164" showAll="0"/>
    <pivotField numFmtId="168" showAll="0"/>
    <pivotField showAll="0"/>
    <pivotField numFmtId="2" showAll="0"/>
    <pivotField numFmtId="4" showAll="0"/>
    <pivotField numFmtId="4" showAll="0"/>
    <pivotField showAll="0"/>
    <pivotField numFmtId="4" showAll="0"/>
  </pivotFields>
  <rowFields count="1">
    <field x="3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dinâmica3" cacheId="16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267" firstHeaderRow="1" firstDataRow="1" firstDataCol="1"/>
  <pivotFields count="1">
    <pivotField axis="axisRow" showAll="0">
      <items count="266">
        <item x="94"/>
        <item x="95"/>
        <item x="96"/>
        <item x="97"/>
        <item x="98"/>
        <item x="0"/>
        <item x="1"/>
        <item x="2"/>
        <item x="3"/>
        <item x="4"/>
        <item x="99"/>
        <item x="100"/>
        <item x="101"/>
        <item x="102"/>
        <item x="103"/>
        <item x="104"/>
        <item x="105"/>
        <item x="106"/>
        <item x="5"/>
        <item x="6"/>
        <item x="7"/>
        <item x="8"/>
        <item x="107"/>
        <item x="108"/>
        <item x="109"/>
        <item x="110"/>
        <item x="111"/>
        <item x="112"/>
        <item x="9"/>
        <item x="10"/>
        <item x="113"/>
        <item x="114"/>
        <item x="115"/>
        <item x="116"/>
        <item x="11"/>
        <item x="12"/>
        <item x="13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4"/>
        <item x="134"/>
        <item x="135"/>
        <item x="136"/>
        <item x="137"/>
        <item x="138"/>
        <item x="139"/>
        <item x="140"/>
        <item x="15"/>
        <item x="141"/>
        <item x="142"/>
        <item x="143"/>
        <item x="16"/>
        <item x="17"/>
        <item x="18"/>
        <item x="144"/>
        <item x="19"/>
        <item x="145"/>
        <item x="146"/>
        <item x="147"/>
        <item x="148"/>
        <item x="149"/>
        <item x="15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51"/>
        <item x="32"/>
        <item x="33"/>
        <item x="34"/>
        <item x="35"/>
        <item x="36"/>
        <item x="37"/>
        <item x="38"/>
        <item x="152"/>
        <item x="153"/>
        <item x="154"/>
        <item x="155"/>
        <item x="156"/>
        <item x="157"/>
        <item x="39"/>
        <item x="158"/>
        <item x="159"/>
        <item x="160"/>
        <item x="161"/>
        <item x="40"/>
        <item x="41"/>
        <item x="42"/>
        <item x="43"/>
        <item x="44"/>
        <item x="4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46"/>
        <item x="47"/>
        <item x="48"/>
        <item x="177"/>
        <item x="49"/>
        <item x="50"/>
        <item x="51"/>
        <item x="52"/>
        <item x="53"/>
        <item x="54"/>
        <item x="55"/>
        <item x="178"/>
        <item x="179"/>
        <item x="56"/>
        <item x="57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8"/>
        <item x="59"/>
        <item x="204"/>
        <item x="60"/>
        <item x="61"/>
        <item x="205"/>
        <item x="62"/>
        <item x="206"/>
        <item x="207"/>
        <item x="63"/>
        <item x="208"/>
        <item x="64"/>
        <item x="209"/>
        <item x="210"/>
        <item x="211"/>
        <item x="212"/>
        <item x="213"/>
        <item x="214"/>
        <item x="215"/>
        <item x="216"/>
        <item x="217"/>
        <item x="218"/>
        <item x="65"/>
        <item x="219"/>
        <item x="220"/>
        <item x="221"/>
        <item x="222"/>
        <item x="223"/>
        <item x="66"/>
        <item x="67"/>
        <item x="224"/>
        <item x="68"/>
        <item x="69"/>
        <item x="70"/>
        <item x="225"/>
        <item x="71"/>
        <item x="72"/>
        <item x="73"/>
        <item x="74"/>
        <item x="75"/>
        <item x="76"/>
        <item x="77"/>
        <item x="78"/>
        <item x="79"/>
        <item x="226"/>
        <item x="227"/>
        <item x="228"/>
        <item x="229"/>
        <item x="80"/>
        <item x="230"/>
        <item x="231"/>
        <item x="232"/>
        <item x="233"/>
        <item x="234"/>
        <item x="235"/>
        <item x="81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82"/>
        <item x="247"/>
        <item x="248"/>
        <item x="249"/>
        <item x="250"/>
        <item x="251"/>
        <item x="252"/>
        <item x="83"/>
        <item x="253"/>
        <item x="84"/>
        <item x="254"/>
        <item x="255"/>
        <item x="256"/>
        <item x="85"/>
        <item x="86"/>
        <item x="87"/>
        <item x="88"/>
        <item x="257"/>
        <item x="89"/>
        <item x="258"/>
        <item x="259"/>
        <item x="90"/>
        <item x="91"/>
        <item x="260"/>
        <item x="261"/>
        <item x="262"/>
        <item x="263"/>
        <item x="92"/>
        <item x="93"/>
        <item x="264"/>
        <item t="default"/>
      </items>
    </pivotField>
  </pivotFields>
  <rowFields count="1">
    <field x="0"/>
  </rowFields>
  <rowItems count="2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139"/>
  <sheetViews>
    <sheetView tabSelected="1" workbookViewId="0">
      <selection activeCell="D105" sqref="D105"/>
    </sheetView>
  </sheetViews>
  <sheetFormatPr defaultRowHeight="15"/>
  <cols>
    <col min="1" max="1" width="6" style="15" bestFit="1" customWidth="1"/>
    <col min="2" max="2" width="25" style="16" bestFit="1" customWidth="1"/>
    <col min="3" max="3" width="18.7109375" bestFit="1" customWidth="1"/>
    <col min="4" max="4" width="9.85546875" bestFit="1" customWidth="1"/>
    <col min="5" max="5" width="15.42578125" bestFit="1" customWidth="1"/>
    <col min="6" max="6" width="12" customWidth="1"/>
    <col min="8" max="8" width="13" customWidth="1"/>
    <col min="9" max="9" width="11.5703125" bestFit="1" customWidth="1"/>
  </cols>
  <sheetData>
    <row r="1" spans="1:9">
      <c r="H1" t="s">
        <v>619</v>
      </c>
      <c r="I1" s="177">
        <f>Insumos_Device!O1+Custo_MI_Infra!L1</f>
        <v>248547.70999999993</v>
      </c>
    </row>
    <row r="2" spans="1:9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>
        <f>SUBTOTAL(9,E:E)</f>
        <v>249760.61000000004</v>
      </c>
    </row>
    <row r="3" spans="1:9">
      <c r="A3" s="6" t="s">
        <v>5</v>
      </c>
      <c r="B3" s="7" t="s">
        <v>6</v>
      </c>
      <c r="C3" s="8">
        <f>SUMIFS(Insumos_Device!K:K,Insumos_Device!B:B,A3,Insumos_Device!C:C,B3)</f>
        <v>284.93299999999999</v>
      </c>
      <c r="D3" s="8"/>
      <c r="E3" s="9">
        <f>Custo_MI_Device!$C3*Custo_MI_Device!$D3</f>
        <v>0</v>
      </c>
    </row>
    <row r="4" spans="1:9">
      <c r="A4" s="10" t="s">
        <v>5</v>
      </c>
      <c r="B4" s="11" t="s">
        <v>7</v>
      </c>
      <c r="C4" s="8">
        <f>SUMIFS(Insumos_Device!K:K,Insumos_Device!B:B,A4,Insumos_Device!C:C,B4)</f>
        <v>375.33299999999997</v>
      </c>
      <c r="D4" s="8"/>
      <c r="E4" s="9">
        <f>Custo_MI_Device!$C4*Custo_MI_Device!$D4</f>
        <v>0</v>
      </c>
    </row>
    <row r="5" spans="1:9">
      <c r="A5" s="6" t="s">
        <v>5</v>
      </c>
      <c r="B5" s="7" t="s">
        <v>8</v>
      </c>
      <c r="C5" s="8">
        <f>SUMIFS(Insumos_Device!K:K,Insumos_Device!B:B,A5,Insumos_Device!C:C,B5)</f>
        <v>284.93299999999999</v>
      </c>
      <c r="D5" s="8"/>
      <c r="E5" s="9">
        <f>Custo_MI_Device!$C5*Custo_MI_Device!$D5</f>
        <v>0</v>
      </c>
    </row>
    <row r="6" spans="1:9">
      <c r="A6" s="10" t="s">
        <v>5</v>
      </c>
      <c r="B6" s="11" t="s">
        <v>9</v>
      </c>
      <c r="C6" s="8">
        <f>SUMIFS(Insumos_Device!K:K,Insumos_Device!B:B,A6,Insumos_Device!C:C,B6)</f>
        <v>770.3</v>
      </c>
      <c r="D6" s="8">
        <v>11</v>
      </c>
      <c r="E6" s="9">
        <f>Custo_MI_Device!$C6*Custo_MI_Device!$D6</f>
        <v>8473.2999999999993</v>
      </c>
    </row>
    <row r="7" spans="1:9">
      <c r="A7" s="6" t="s">
        <v>5</v>
      </c>
      <c r="B7" s="7" t="s">
        <v>10</v>
      </c>
      <c r="C7" s="8">
        <f>SUMIFS(Insumos_Device!K:K,Insumos_Device!B:B,A7,Insumos_Device!C:C,B7)</f>
        <v>521.43299999999999</v>
      </c>
      <c r="D7" s="8"/>
      <c r="E7" s="9">
        <f>Custo_MI_Device!$C7*Custo_MI_Device!$D7</f>
        <v>0</v>
      </c>
    </row>
    <row r="8" spans="1:9">
      <c r="A8" s="10" t="s">
        <v>5</v>
      </c>
      <c r="B8" s="11" t="s">
        <v>11</v>
      </c>
      <c r="C8" s="8">
        <f>SUMIFS(Insumos_Device!K:K,Insumos_Device!B:B,A8,Insumos_Device!C:C,B8)</f>
        <v>611.83299999999986</v>
      </c>
      <c r="D8" s="8"/>
      <c r="E8" s="9">
        <f>Custo_MI_Device!$C8*Custo_MI_Device!$D8</f>
        <v>0</v>
      </c>
    </row>
    <row r="9" spans="1:9">
      <c r="A9" s="6" t="s">
        <v>12</v>
      </c>
      <c r="B9" s="7" t="s">
        <v>13</v>
      </c>
      <c r="C9" s="8">
        <f>SUMIFS(Insumos_Device!K:K,Insumos_Device!B:B,A9,Insumos_Device!C:C,B9)</f>
        <v>447.53300000000002</v>
      </c>
      <c r="D9" s="8"/>
      <c r="E9" s="9">
        <f>Custo_MI_Device!$C9*Custo_MI_Device!$D9</f>
        <v>0</v>
      </c>
    </row>
    <row r="10" spans="1:9">
      <c r="A10" s="10" t="s">
        <v>12</v>
      </c>
      <c r="B10" s="11" t="s">
        <v>14</v>
      </c>
      <c r="C10" s="8">
        <f>SUMIFS(Insumos_Device!K:K,Insumos_Device!B:B,A10,Insumos_Device!C:C,B10)</f>
        <v>475.03300000000002</v>
      </c>
      <c r="D10" s="8"/>
      <c r="E10" s="9">
        <f>Custo_MI_Device!$C10*Custo_MI_Device!$D10</f>
        <v>0</v>
      </c>
    </row>
    <row r="11" spans="1:9">
      <c r="A11" s="6" t="s">
        <v>15</v>
      </c>
      <c r="B11" s="7" t="s">
        <v>16</v>
      </c>
      <c r="C11" s="8">
        <f>SUMIFS(Insumos_Device!K:K,Insumos_Device!B:B,A11,Insumos_Device!C:C,B11)</f>
        <v>358.33299999999997</v>
      </c>
      <c r="D11" s="8"/>
      <c r="E11" s="9">
        <f>Custo_MI_Device!$C11*Custo_MI_Device!$D11</f>
        <v>0</v>
      </c>
    </row>
    <row r="12" spans="1:9">
      <c r="A12" s="10" t="s">
        <v>17</v>
      </c>
      <c r="B12" s="11" t="s">
        <v>18</v>
      </c>
      <c r="C12" s="8">
        <f>SUMIFS(Insumos_Device!K:K,Insumos_Device!B:B,A12,Insumos_Device!C:C,B12)</f>
        <v>1488.4830000000002</v>
      </c>
      <c r="D12" s="8"/>
      <c r="E12" s="9">
        <f>Custo_MI_Device!$C12*Custo_MI_Device!$D12</f>
        <v>0</v>
      </c>
    </row>
    <row r="13" spans="1:9">
      <c r="A13" s="6" t="s">
        <v>17</v>
      </c>
      <c r="B13" s="7" t="s">
        <v>19</v>
      </c>
      <c r="C13" s="8">
        <f>SUMIFS(Insumos_Device!K:K,Insumos_Device!B:B,A13,Insumos_Device!C:C,B13)</f>
        <v>1515.9830000000002</v>
      </c>
      <c r="D13" s="8"/>
      <c r="E13" s="9">
        <f>Custo_MI_Device!$C13*Custo_MI_Device!$D13</f>
        <v>0</v>
      </c>
    </row>
    <row r="14" spans="1:9">
      <c r="A14" s="10" t="s">
        <v>17</v>
      </c>
      <c r="B14" s="11" t="s">
        <v>20</v>
      </c>
      <c r="C14" s="8">
        <f>SUMIFS(Insumos_Device!K:K,Insumos_Device!B:B,A14,Insumos_Device!C:C,B14)</f>
        <v>1627.848</v>
      </c>
      <c r="D14" s="8"/>
      <c r="E14" s="9">
        <f>Custo_MI_Device!$C14*Custo_MI_Device!$D14</f>
        <v>0</v>
      </c>
    </row>
    <row r="15" spans="1:9">
      <c r="A15" s="6" t="s">
        <v>17</v>
      </c>
      <c r="B15" s="7" t="s">
        <v>21</v>
      </c>
      <c r="C15" s="8">
        <f>SUMIFS(Insumos_Device!K:K,Insumos_Device!B:B,A15,Insumos_Device!C:C,B15)</f>
        <v>1740.348</v>
      </c>
      <c r="D15" s="8"/>
      <c r="E15" s="9">
        <f>Custo_MI_Device!$C15*Custo_MI_Device!$D15</f>
        <v>0</v>
      </c>
    </row>
    <row r="16" spans="1:9">
      <c r="A16" s="10" t="s">
        <v>17</v>
      </c>
      <c r="B16" s="11" t="s">
        <v>22</v>
      </c>
      <c r="C16" s="8">
        <f>SUMIFS(Insumos_Device!K:K,Insumos_Device!B:B,A16,Insumos_Device!C:C,B16)</f>
        <v>129.083</v>
      </c>
      <c r="D16" s="8"/>
      <c r="E16" s="9">
        <f>Custo_MI_Device!$C16*Custo_MI_Device!$D16</f>
        <v>0</v>
      </c>
    </row>
    <row r="17" spans="1:9">
      <c r="A17" s="6" t="s">
        <v>17</v>
      </c>
      <c r="B17" s="7" t="s">
        <v>23</v>
      </c>
      <c r="C17" s="8">
        <f>SUMIFS(Insumos_Device!K:K,Insumos_Device!B:B,A17,Insumos_Device!C:C,B17)</f>
        <v>241.583</v>
      </c>
      <c r="D17" s="8"/>
      <c r="E17" s="9">
        <f>Custo_MI_Device!$C17*Custo_MI_Device!$D17</f>
        <v>0</v>
      </c>
    </row>
    <row r="18" spans="1:9">
      <c r="A18" s="10" t="s">
        <v>17</v>
      </c>
      <c r="B18" s="11" t="s">
        <v>24</v>
      </c>
      <c r="C18" s="8">
        <f>SUMIFS(Insumos_Device!K:K,Insumos_Device!B:B,A18,Insumos_Device!C:C,B18)</f>
        <v>376.44799999999998</v>
      </c>
      <c r="D18" s="8"/>
      <c r="E18" s="9">
        <f>Custo_MI_Device!$C18*Custo_MI_Device!$D18</f>
        <v>0</v>
      </c>
      <c r="I18" s="177"/>
    </row>
    <row r="19" spans="1:9">
      <c r="A19" s="6" t="s">
        <v>17</v>
      </c>
      <c r="B19" s="7" t="s">
        <v>25</v>
      </c>
      <c r="C19" s="8">
        <f>SUMIFS(Insumos_Device!K:K,Insumos_Device!B:B,A19,Insumos_Device!C:C,B19)</f>
        <v>488.94799999999998</v>
      </c>
      <c r="D19" s="8"/>
      <c r="E19" s="9">
        <f>Custo_MI_Device!$C19*Custo_MI_Device!$D19</f>
        <v>0</v>
      </c>
    </row>
    <row r="20" spans="1:9">
      <c r="A20" s="10" t="s">
        <v>17</v>
      </c>
      <c r="B20" s="11" t="s">
        <v>26</v>
      </c>
      <c r="C20" s="8">
        <f>SUMIFS(Insumos_Device!K:K,Insumos_Device!B:B,A20,Insumos_Device!C:C,B20)</f>
        <v>206.39</v>
      </c>
      <c r="D20" s="8">
        <v>41</v>
      </c>
      <c r="E20" s="9">
        <f>Custo_MI_Device!$C20*Custo_MI_Device!$D20</f>
        <v>8461.99</v>
      </c>
    </row>
    <row r="21" spans="1:9">
      <c r="A21" s="6" t="s">
        <v>17</v>
      </c>
      <c r="B21" s="7" t="s">
        <v>27</v>
      </c>
      <c r="C21" s="8">
        <f>SUMIFS(Insumos_Device!K:K,Insumos_Device!B:B,A21,Insumos_Device!C:C,B21)</f>
        <v>365.58299999999997</v>
      </c>
      <c r="D21" s="8"/>
      <c r="E21" s="9">
        <f>Custo_MI_Device!$C21*Custo_MI_Device!$D21</f>
        <v>0</v>
      </c>
    </row>
    <row r="22" spans="1:9">
      <c r="A22" s="10" t="s">
        <v>17</v>
      </c>
      <c r="B22" s="11" t="s">
        <v>28</v>
      </c>
      <c r="C22" s="8">
        <f>SUMIFS(Insumos_Device!K:K,Insumos_Device!B:B,A22,Insumos_Device!C:C,B22)</f>
        <v>500.44799999999998</v>
      </c>
      <c r="D22" s="8"/>
      <c r="E22" s="9">
        <f>Custo_MI_Device!$C22*Custo_MI_Device!$D22</f>
        <v>0</v>
      </c>
    </row>
    <row r="23" spans="1:9">
      <c r="A23" s="6" t="s">
        <v>17</v>
      </c>
      <c r="B23" s="7" t="s">
        <v>29</v>
      </c>
      <c r="C23" s="8">
        <f>SUMIFS(Insumos_Device!K:K,Insumos_Device!B:B,A23,Insumos_Device!C:C,B23)</f>
        <v>612.94799999999998</v>
      </c>
      <c r="D23" s="8"/>
      <c r="E23" s="9">
        <f>Custo_MI_Device!$C23*Custo_MI_Device!$D23</f>
        <v>0</v>
      </c>
    </row>
    <row r="24" spans="1:9">
      <c r="A24" s="10" t="s">
        <v>17</v>
      </c>
      <c r="B24" s="11" t="s">
        <v>30</v>
      </c>
      <c r="C24" s="8">
        <f>SUMIFS(Insumos_Device!K:K,Insumos_Device!B:B,A24,Insumos_Device!C:C,B24)</f>
        <v>2219.59</v>
      </c>
      <c r="D24" s="8">
        <v>3</v>
      </c>
      <c r="E24" s="9">
        <f>Custo_MI_Device!$C24*Custo_MI_Device!$D24</f>
        <v>6658.77</v>
      </c>
    </row>
    <row r="25" spans="1:9">
      <c r="A25" s="6" t="s">
        <v>17</v>
      </c>
      <c r="B25" s="7" t="s">
        <v>31</v>
      </c>
      <c r="C25" s="8">
        <f>SUMIFS(Insumos_Device!K:K,Insumos_Device!B:B,A25,Insumos_Device!C:C,B25)</f>
        <v>1361.7830000000001</v>
      </c>
      <c r="D25" s="8"/>
      <c r="E25" s="9">
        <f>Custo_MI_Device!$C25*Custo_MI_Device!$D25</f>
        <v>0</v>
      </c>
    </row>
    <row r="26" spans="1:9">
      <c r="A26" s="10" t="s">
        <v>17</v>
      </c>
      <c r="B26" s="11" t="s">
        <v>32</v>
      </c>
      <c r="C26" s="8">
        <f>SUMIFS(Insumos_Device!K:K,Insumos_Device!B:B,A26,Insumos_Device!C:C,B26)</f>
        <v>1334.2829999999999</v>
      </c>
      <c r="D26" s="8"/>
      <c r="E26" s="9">
        <f>Custo_MI_Device!$C26*Custo_MI_Device!$D26</f>
        <v>0</v>
      </c>
    </row>
    <row r="27" spans="1:9">
      <c r="A27" s="6" t="s">
        <v>17</v>
      </c>
      <c r="B27" s="7" t="s">
        <v>33</v>
      </c>
      <c r="C27" s="8">
        <f>SUMIFS(Insumos_Device!K:K,Insumos_Device!B:B,A27,Insumos_Device!C:C,B27)</f>
        <v>1361.7830000000001</v>
      </c>
      <c r="D27" s="8"/>
      <c r="E27" s="9">
        <f>Custo_MI_Device!$C27*Custo_MI_Device!$D27</f>
        <v>0</v>
      </c>
    </row>
    <row r="28" spans="1:9">
      <c r="A28" s="10" t="s">
        <v>34</v>
      </c>
      <c r="B28" s="11" t="s">
        <v>35</v>
      </c>
      <c r="C28" s="8">
        <f>SUMIFS(Insumos_Device!K:K,Insumos_Device!B:B,A28,Insumos_Device!C:C,B28)</f>
        <v>2158.3130000000001</v>
      </c>
      <c r="D28" s="8"/>
      <c r="E28" s="9">
        <f>Custo_MI_Device!$C28*Custo_MI_Device!$D28</f>
        <v>0</v>
      </c>
    </row>
    <row r="29" spans="1:9">
      <c r="A29" s="6" t="s">
        <v>34</v>
      </c>
      <c r="B29" s="7" t="s">
        <v>36</v>
      </c>
      <c r="C29" s="8">
        <f>SUMIFS(Insumos_Device!K:K,Insumos_Device!B:B,A29,Insumos_Device!C:C,B29)</f>
        <v>2158.3130000000001</v>
      </c>
      <c r="D29" s="8"/>
      <c r="E29" s="9">
        <f>Custo_MI_Device!$C29*Custo_MI_Device!$D29</f>
        <v>0</v>
      </c>
    </row>
    <row r="30" spans="1:9">
      <c r="A30" s="10" t="s">
        <v>37</v>
      </c>
      <c r="B30" s="11" t="s">
        <v>38</v>
      </c>
      <c r="C30" s="8">
        <f>SUMIFS(Insumos_Device!K:K,Insumos_Device!B:B,A30,Insumos_Device!C:C,B30)</f>
        <v>1349.1380000000001</v>
      </c>
      <c r="D30" s="8"/>
      <c r="E30" s="9">
        <f>Custo_MI_Device!$C30*Custo_MI_Device!$D30</f>
        <v>0</v>
      </c>
    </row>
    <row r="31" spans="1:9">
      <c r="A31" s="6" t="s">
        <v>37</v>
      </c>
      <c r="B31" s="7" t="s">
        <v>39</v>
      </c>
      <c r="C31" s="8">
        <f>SUMIFS(Insumos_Device!K:K,Insumos_Device!B:B,A31,Insumos_Device!C:C,B31)</f>
        <v>656.63799999999992</v>
      </c>
      <c r="D31" s="8"/>
      <c r="E31" s="9">
        <f>Custo_MI_Device!$C31*Custo_MI_Device!$D31</f>
        <v>0</v>
      </c>
    </row>
    <row r="32" spans="1:9">
      <c r="A32" s="10" t="s">
        <v>40</v>
      </c>
      <c r="B32" s="11" t="s">
        <v>41</v>
      </c>
      <c r="C32" s="8">
        <f>SUMIFS(Insumos_Device!K:K,Insumos_Device!B:B,A32,Insumos_Device!C:C,B32)</f>
        <v>1268.5830000000001</v>
      </c>
      <c r="D32" s="8"/>
      <c r="E32" s="9">
        <f>Custo_MI_Device!$C32*Custo_MI_Device!$D32</f>
        <v>0</v>
      </c>
    </row>
    <row r="33" spans="1:5">
      <c r="A33" s="6" t="s">
        <v>40</v>
      </c>
      <c r="B33" s="7" t="s">
        <v>42</v>
      </c>
      <c r="C33" s="8">
        <f>SUMIFS(Insumos_Device!K:K,Insumos_Device!B:B,A33,Insumos_Device!C:C,B33)</f>
        <v>1296.0830000000001</v>
      </c>
      <c r="D33" s="8"/>
      <c r="E33" s="9">
        <f>Custo_MI_Device!$C33*Custo_MI_Device!$D33</f>
        <v>0</v>
      </c>
    </row>
    <row r="34" spans="1:5">
      <c r="A34" s="10" t="s">
        <v>40</v>
      </c>
      <c r="B34" s="11" t="s">
        <v>43</v>
      </c>
      <c r="C34" s="8">
        <f>SUMIFS(Insumos_Device!K:K,Insumos_Device!B:B,A34,Insumos_Device!C:C,B34)</f>
        <v>1647.2830000000001</v>
      </c>
      <c r="D34" s="8"/>
      <c r="E34" s="9">
        <f>Custo_MI_Device!$C34*Custo_MI_Device!$D34</f>
        <v>0</v>
      </c>
    </row>
    <row r="35" spans="1:5">
      <c r="A35" s="6" t="s">
        <v>40</v>
      </c>
      <c r="B35" s="7" t="s">
        <v>44</v>
      </c>
      <c r="C35" s="8">
        <f>SUMIFS(Insumos_Device!K:K,Insumos_Device!B:B,A35,Insumos_Device!C:C,B35)</f>
        <v>1674.7830000000001</v>
      </c>
      <c r="D35" s="8"/>
      <c r="E35" s="9">
        <f>Custo_MI_Device!$C35*Custo_MI_Device!$D35</f>
        <v>0</v>
      </c>
    </row>
    <row r="36" spans="1:5">
      <c r="A36" s="10" t="s">
        <v>40</v>
      </c>
      <c r="B36" s="11" t="s">
        <v>45</v>
      </c>
      <c r="C36" s="8">
        <f>SUMIFS(Insumos_Device!K:K,Insumos_Device!B:B,A36,Insumos_Device!C:C,B36)</f>
        <v>1871.6480000000001</v>
      </c>
      <c r="D36" s="8"/>
      <c r="E36" s="9">
        <f>Custo_MI_Device!$C36*Custo_MI_Device!$D36</f>
        <v>0</v>
      </c>
    </row>
    <row r="37" spans="1:5">
      <c r="A37" s="6" t="s">
        <v>40</v>
      </c>
      <c r="B37" s="7" t="s">
        <v>46</v>
      </c>
      <c r="C37" s="8">
        <f>SUMIFS(Insumos_Device!K:K,Insumos_Device!B:B,A37,Insumos_Device!C:C,B37)</f>
        <v>1899.1480000000001</v>
      </c>
      <c r="D37" s="8"/>
      <c r="E37" s="9">
        <f>Custo_MI_Device!$C37*Custo_MI_Device!$D37</f>
        <v>0</v>
      </c>
    </row>
    <row r="38" spans="1:5">
      <c r="A38" s="10" t="s">
        <v>40</v>
      </c>
      <c r="B38" s="11" t="s">
        <v>47</v>
      </c>
      <c r="C38" s="8">
        <f>SUMIFS(Insumos_Device!K:K,Insumos_Device!B:B,A38,Insumos_Device!C:C,B38)</f>
        <v>617.28300000000002</v>
      </c>
      <c r="D38" s="8"/>
      <c r="E38" s="9">
        <f>Custo_MI_Device!$C38*Custo_MI_Device!$D38</f>
        <v>0</v>
      </c>
    </row>
    <row r="39" spans="1:5">
      <c r="A39" s="6" t="s">
        <v>40</v>
      </c>
      <c r="B39" s="7" t="s">
        <v>48</v>
      </c>
      <c r="C39" s="8">
        <f>SUMIFS(Insumos_Device!K:K,Insumos_Device!B:B,A39,Insumos_Device!C:C,B39)</f>
        <v>729.78300000000002</v>
      </c>
      <c r="D39" s="8"/>
      <c r="E39" s="9">
        <f>Custo_MI_Device!$C39*Custo_MI_Device!$D39</f>
        <v>0</v>
      </c>
    </row>
    <row r="40" spans="1:5">
      <c r="A40" s="10" t="s">
        <v>40</v>
      </c>
      <c r="B40" s="11" t="s">
        <v>49</v>
      </c>
      <c r="C40" s="8">
        <f>SUMIFS(Insumos_Device!K:K,Insumos_Device!B:B,A40,Insumos_Device!C:C,B40)</f>
        <v>132.38299999999998</v>
      </c>
      <c r="D40" s="8"/>
      <c r="E40" s="9">
        <f>Custo_MI_Device!$C40*Custo_MI_Device!$D40</f>
        <v>0</v>
      </c>
    </row>
    <row r="41" spans="1:5">
      <c r="A41" s="6" t="s">
        <v>40</v>
      </c>
      <c r="B41" s="7" t="s">
        <v>50</v>
      </c>
      <c r="C41" s="8">
        <f>SUMIFS(Insumos_Device!K:K,Insumos_Device!B:B,A41,Insumos_Device!C:C,B41)</f>
        <v>244.88300000000001</v>
      </c>
      <c r="D41" s="8"/>
      <c r="E41" s="9">
        <f>Custo_MI_Device!$C41*Custo_MI_Device!$D41</f>
        <v>0</v>
      </c>
    </row>
    <row r="42" spans="1:5">
      <c r="A42" s="10" t="s">
        <v>40</v>
      </c>
      <c r="B42" s="11" t="s">
        <v>51</v>
      </c>
      <c r="C42" s="8">
        <f>SUMIFS(Insumos_Device!K:K,Insumos_Device!B:B,A42,Insumos_Device!C:C,B42)</f>
        <v>2507.6400000000003</v>
      </c>
      <c r="D42" s="8">
        <v>41</v>
      </c>
      <c r="E42" s="9">
        <f>Custo_MI_Device!$C42*Custo_MI_Device!$D42</f>
        <v>102813.24000000002</v>
      </c>
    </row>
    <row r="43" spans="1:5">
      <c r="A43" s="6" t="s">
        <v>40</v>
      </c>
      <c r="B43" s="7" t="s">
        <v>52</v>
      </c>
      <c r="C43" s="8">
        <f>SUMIFS(Insumos_Device!K:K,Insumos_Device!B:B,A43,Insumos_Device!C:C,B43)</f>
        <v>1381.3830000000003</v>
      </c>
      <c r="D43" s="8"/>
      <c r="E43" s="9">
        <f>Custo_MI_Device!$C43*Custo_MI_Device!$D43</f>
        <v>0</v>
      </c>
    </row>
    <row r="44" spans="1:5">
      <c r="A44" s="10" t="s">
        <v>40</v>
      </c>
      <c r="B44" s="11" t="s">
        <v>53</v>
      </c>
      <c r="C44" s="8">
        <f>SUMIFS(Insumos_Device!K:K,Insumos_Device!B:B,A44,Insumos_Device!C:C,B44)</f>
        <v>1493.248</v>
      </c>
      <c r="D44" s="8"/>
      <c r="E44" s="9">
        <f>Custo_MI_Device!$C44*Custo_MI_Device!$D44</f>
        <v>0</v>
      </c>
    </row>
    <row r="45" spans="1:5">
      <c r="A45" s="6" t="s">
        <v>40</v>
      </c>
      <c r="B45" s="7" t="s">
        <v>54</v>
      </c>
      <c r="C45" s="8">
        <f>SUMIFS(Insumos_Device!K:K,Insumos_Device!B:B,A45,Insumos_Device!C:C,B45)</f>
        <v>1605.748</v>
      </c>
      <c r="D45" s="8"/>
      <c r="E45" s="9">
        <f>Custo_MI_Device!$C45*Custo_MI_Device!$D45</f>
        <v>0</v>
      </c>
    </row>
    <row r="46" spans="1:5">
      <c r="A46" s="10" t="s">
        <v>40</v>
      </c>
      <c r="B46" s="11" t="s">
        <v>55</v>
      </c>
      <c r="C46" s="8">
        <f>SUMIFS(Insumos_Device!K:K,Insumos_Device!B:B,A46,Insumos_Device!C:C,B46)</f>
        <v>768.34799999999996</v>
      </c>
      <c r="D46" s="8"/>
      <c r="E46" s="9">
        <f>Custo_MI_Device!$C46*Custo_MI_Device!$D46</f>
        <v>0</v>
      </c>
    </row>
    <row r="47" spans="1:5">
      <c r="A47" s="6" t="s">
        <v>40</v>
      </c>
      <c r="B47" s="7" t="s">
        <v>56</v>
      </c>
      <c r="C47" s="8">
        <f>SUMIFS(Insumos_Device!K:K,Insumos_Device!B:B,A47,Insumos_Device!C:C,B47)</f>
        <v>880.84799999999996</v>
      </c>
      <c r="D47" s="8"/>
      <c r="E47" s="9">
        <f>Custo_MI_Device!$C47*Custo_MI_Device!$D47</f>
        <v>0</v>
      </c>
    </row>
    <row r="48" spans="1:5">
      <c r="A48" s="10" t="s">
        <v>40</v>
      </c>
      <c r="B48" s="11" t="s">
        <v>57</v>
      </c>
      <c r="C48" s="8">
        <f>SUMIFS(Insumos_Device!K:K,Insumos_Device!B:B,A48,Insumos_Device!C:C,B48)</f>
        <v>480.983</v>
      </c>
      <c r="D48" s="8"/>
      <c r="E48" s="9">
        <f>Custo_MI_Device!$C48*Custo_MI_Device!$D48</f>
        <v>0</v>
      </c>
    </row>
    <row r="49" spans="1:5">
      <c r="A49" s="6" t="s">
        <v>40</v>
      </c>
      <c r="B49" s="7" t="s">
        <v>58</v>
      </c>
      <c r="C49" s="8">
        <f>SUMIFS(Insumos_Device!K:K,Insumos_Device!B:B,A49,Insumos_Device!C:C,B49)</f>
        <v>508.483</v>
      </c>
      <c r="D49" s="8"/>
      <c r="E49" s="9">
        <f>Custo_MI_Device!$C49*Custo_MI_Device!$D49</f>
        <v>0</v>
      </c>
    </row>
    <row r="50" spans="1:5">
      <c r="A50" s="10" t="s">
        <v>40</v>
      </c>
      <c r="B50" s="11" t="s">
        <v>59</v>
      </c>
      <c r="C50" s="8">
        <f>SUMIFS(Insumos_Device!K:K,Insumos_Device!B:B,A50,Insumos_Device!C:C,B50)</f>
        <v>1364.2830000000001</v>
      </c>
      <c r="D50" s="8"/>
      <c r="E50" s="9">
        <f>Custo_MI_Device!$C50*Custo_MI_Device!$D50</f>
        <v>0</v>
      </c>
    </row>
    <row r="51" spans="1:5">
      <c r="A51" s="6" t="s">
        <v>40</v>
      </c>
      <c r="B51" s="7" t="s">
        <v>60</v>
      </c>
      <c r="C51" s="8">
        <f>SUMIFS(Insumos_Device!K:K,Insumos_Device!B:B,A51,Insumos_Device!C:C,B51)</f>
        <v>1391.7830000000001</v>
      </c>
      <c r="D51" s="8"/>
      <c r="E51" s="9">
        <f>Custo_MI_Device!$C51*Custo_MI_Device!$D51</f>
        <v>0</v>
      </c>
    </row>
    <row r="52" spans="1:5">
      <c r="A52" s="10" t="s">
        <v>40</v>
      </c>
      <c r="B52" s="11" t="s">
        <v>61</v>
      </c>
      <c r="C52" s="8">
        <f>SUMIFS(Insumos_Device!K:K,Insumos_Device!B:B,A52,Insumos_Device!C:C,B52)</f>
        <v>1368.5830000000001</v>
      </c>
      <c r="D52" s="8"/>
      <c r="E52" s="9">
        <f>Custo_MI_Device!$C52*Custo_MI_Device!$D52</f>
        <v>0</v>
      </c>
    </row>
    <row r="53" spans="1:5">
      <c r="A53" s="6" t="s">
        <v>40</v>
      </c>
      <c r="B53" s="7" t="s">
        <v>62</v>
      </c>
      <c r="C53" s="8">
        <f>SUMIFS(Insumos_Device!K:K,Insumos_Device!B:B,A53,Insumos_Device!C:C,B53)</f>
        <v>1396.0830000000001</v>
      </c>
      <c r="D53" s="8"/>
      <c r="E53" s="9">
        <f>Custo_MI_Device!$C53*Custo_MI_Device!$D53</f>
        <v>0</v>
      </c>
    </row>
    <row r="54" spans="1:5">
      <c r="A54" s="10" t="s">
        <v>40</v>
      </c>
      <c r="B54" s="189" t="s">
        <v>63</v>
      </c>
      <c r="C54" s="8">
        <f>SUMIFS(Insumos_Device!K:K,Insumos_Device!B:B,A54,Insumos_Device!C:C,B54)</f>
        <v>434.17</v>
      </c>
      <c r="D54" s="8"/>
      <c r="E54" s="9">
        <f>Custo_MI_Device!$C54*Custo_MI_Device!$D54</f>
        <v>0</v>
      </c>
    </row>
    <row r="55" spans="1:5">
      <c r="A55" s="6" t="s">
        <v>40</v>
      </c>
      <c r="B55" s="7" t="s">
        <v>64</v>
      </c>
      <c r="C55" s="8">
        <f>SUMIFS(Insumos_Device!K:K,Insumos_Device!B:B,A55,Insumos_Device!C:C,B55)</f>
        <v>238.28300000000002</v>
      </c>
      <c r="D55" s="8"/>
      <c r="E55" s="9">
        <f>Custo_MI_Device!$C55*Custo_MI_Device!$D55</f>
        <v>0</v>
      </c>
    </row>
    <row r="56" spans="1:5">
      <c r="A56" s="10" t="s">
        <v>40</v>
      </c>
      <c r="B56" s="11" t="s">
        <v>65</v>
      </c>
      <c r="C56" s="8">
        <f>SUMIFS(Insumos_Device!K:K,Insumos_Device!B:B,A56,Insumos_Device!C:C,B56)</f>
        <v>373.14800000000002</v>
      </c>
      <c r="D56" s="8"/>
      <c r="E56" s="9">
        <f>Custo_MI_Device!$C56*Custo_MI_Device!$D56</f>
        <v>0</v>
      </c>
    </row>
    <row r="57" spans="1:5">
      <c r="A57" s="6" t="s">
        <v>40</v>
      </c>
      <c r="B57" s="7" t="s">
        <v>66</v>
      </c>
      <c r="C57" s="8">
        <f>SUMIFS(Insumos_Device!K:K,Insumos_Device!B:B,A57,Insumos_Device!C:C,B57)</f>
        <v>373.14800000000002</v>
      </c>
      <c r="D57" s="8"/>
      <c r="E57" s="9">
        <f>Custo_MI_Device!$C57*Custo_MI_Device!$D57</f>
        <v>0</v>
      </c>
    </row>
    <row r="58" spans="1:5">
      <c r="A58" s="10" t="s">
        <v>67</v>
      </c>
      <c r="B58" s="11" t="s">
        <v>68</v>
      </c>
      <c r="C58" s="8">
        <f>SUMIFS(Insumos_Device!K:K,Insumos_Device!B:B,A58,Insumos_Device!C:C,B58)</f>
        <v>757.26800000000003</v>
      </c>
      <c r="D58" s="8"/>
      <c r="E58" s="9">
        <f>Custo_MI_Device!$C58*Custo_MI_Device!$D58</f>
        <v>0</v>
      </c>
    </row>
    <row r="59" spans="1:5">
      <c r="A59" s="6" t="s">
        <v>69</v>
      </c>
      <c r="B59" s="7" t="s">
        <v>70</v>
      </c>
      <c r="C59" s="8">
        <f>SUMIFS(Insumos_Device!K:K,Insumos_Device!B:B,A59,Insumos_Device!C:C,B59)</f>
        <v>1056.4830000000002</v>
      </c>
      <c r="D59" s="8"/>
      <c r="E59" s="9">
        <f>Custo_MI_Device!$C59*Custo_MI_Device!$D59</f>
        <v>0</v>
      </c>
    </row>
    <row r="60" spans="1:5">
      <c r="A60" s="10" t="s">
        <v>69</v>
      </c>
      <c r="B60" s="11" t="s">
        <v>71</v>
      </c>
      <c r="C60" s="8">
        <f>SUMIFS(Insumos_Device!K:K,Insumos_Device!B:B,A60,Insumos_Device!C:C,B60)</f>
        <v>1083.9830000000002</v>
      </c>
      <c r="D60" s="8"/>
      <c r="E60" s="9">
        <f>Custo_MI_Device!$C60*Custo_MI_Device!$D60</f>
        <v>0</v>
      </c>
    </row>
    <row r="61" spans="1:5">
      <c r="A61" s="6" t="s">
        <v>69</v>
      </c>
      <c r="B61" s="7" t="s">
        <v>72</v>
      </c>
      <c r="C61" s="8">
        <f>SUMIFS(Insumos_Device!K:K,Insumos_Device!B:B,A61,Insumos_Device!C:C,B61)</f>
        <v>891.15300000000002</v>
      </c>
      <c r="D61" s="8"/>
      <c r="E61" s="9">
        <f>Custo_MI_Device!$C61*Custo_MI_Device!$D61</f>
        <v>0</v>
      </c>
    </row>
    <row r="62" spans="1:5">
      <c r="A62" s="10" t="s">
        <v>69</v>
      </c>
      <c r="B62" s="11" t="s">
        <v>73</v>
      </c>
      <c r="C62" s="8">
        <f>SUMIFS(Insumos_Device!K:K,Insumos_Device!B:B,A62,Insumos_Device!C:C,B62)</f>
        <v>918.65300000000013</v>
      </c>
      <c r="D62" s="8"/>
      <c r="E62" s="9">
        <f>Custo_MI_Device!$C62*Custo_MI_Device!$D62</f>
        <v>0</v>
      </c>
    </row>
    <row r="63" spans="1:5">
      <c r="A63" s="6" t="s">
        <v>69</v>
      </c>
      <c r="B63" s="7" t="s">
        <v>74</v>
      </c>
      <c r="C63" s="8">
        <f>SUMIFS(Insumos_Device!K:K,Insumos_Device!B:B,A63,Insumos_Device!C:C,B63)</f>
        <v>1334.683</v>
      </c>
      <c r="D63" s="8"/>
      <c r="E63" s="9">
        <f>Custo_MI_Device!$C63*Custo_MI_Device!$D63</f>
        <v>0</v>
      </c>
    </row>
    <row r="64" spans="1:5">
      <c r="A64" s="10" t="s">
        <v>69</v>
      </c>
      <c r="B64" s="11" t="s">
        <v>75</v>
      </c>
      <c r="C64" s="8">
        <f>SUMIFS(Insumos_Device!K:K,Insumos_Device!B:B,A64,Insumos_Device!C:C,B64)</f>
        <v>1447.183</v>
      </c>
      <c r="D64" s="8"/>
      <c r="E64" s="9">
        <f>Custo_MI_Device!$C64*Custo_MI_Device!$D64</f>
        <v>0</v>
      </c>
    </row>
    <row r="65" spans="1:5">
      <c r="A65" s="6" t="s">
        <v>69</v>
      </c>
      <c r="B65" s="7" t="s">
        <v>76</v>
      </c>
      <c r="C65" s="8">
        <f>SUMIFS(Insumos_Device!K:K,Insumos_Device!B:B,A65,Insumos_Device!C:C,B65)</f>
        <v>1551.248</v>
      </c>
      <c r="D65" s="8"/>
      <c r="E65" s="9">
        <f>Custo_MI_Device!$C65*Custo_MI_Device!$D65</f>
        <v>0</v>
      </c>
    </row>
    <row r="66" spans="1:5">
      <c r="A66" s="10" t="s">
        <v>69</v>
      </c>
      <c r="B66" s="11" t="s">
        <v>77</v>
      </c>
      <c r="C66" s="8">
        <f>SUMIFS(Insumos_Device!K:K,Insumos_Device!B:B,A66,Insumos_Device!C:C,B66)</f>
        <v>1663.748</v>
      </c>
      <c r="D66" s="8"/>
      <c r="E66" s="9">
        <f>Custo_MI_Device!$C66*Custo_MI_Device!$D66</f>
        <v>0</v>
      </c>
    </row>
    <row r="67" spans="1:5">
      <c r="A67" s="6" t="s">
        <v>69</v>
      </c>
      <c r="B67" s="7" t="s">
        <v>78</v>
      </c>
      <c r="C67" s="8">
        <f>SUMIFS(Insumos_Device!K:K,Insumos_Device!B:B,A67,Insumos_Device!C:C,B67)</f>
        <v>809.15300000000002</v>
      </c>
      <c r="D67" s="8"/>
      <c r="E67" s="9">
        <f>Custo_MI_Device!$C67*Custo_MI_Device!$D67</f>
        <v>0</v>
      </c>
    </row>
    <row r="68" spans="1:5">
      <c r="A68" s="10" t="s">
        <v>69</v>
      </c>
      <c r="B68" s="11" t="s">
        <v>79</v>
      </c>
      <c r="C68" s="8">
        <f>SUMIFS(Insumos_Device!K:K,Insumos_Device!B:B,A68,Insumos_Device!C:C,B68)</f>
        <v>921.65300000000013</v>
      </c>
      <c r="D68" s="8"/>
      <c r="E68" s="9">
        <f>Custo_MI_Device!$C68*Custo_MI_Device!$D68</f>
        <v>0</v>
      </c>
    </row>
    <row r="69" spans="1:5">
      <c r="A69" s="6" t="s">
        <v>69</v>
      </c>
      <c r="B69" s="7" t="s">
        <v>80</v>
      </c>
      <c r="C69" s="8">
        <f>SUMIFS(Insumos_Device!K:K,Insumos_Device!B:B,A69,Insumos_Device!C:C,B69)</f>
        <v>1541.748</v>
      </c>
      <c r="D69" s="8"/>
      <c r="E69" s="9">
        <f>Custo_MI_Device!$C69*Custo_MI_Device!$D69</f>
        <v>0</v>
      </c>
    </row>
    <row r="70" spans="1:5">
      <c r="A70" s="10" t="s">
        <v>69</v>
      </c>
      <c r="B70" s="11" t="s">
        <v>81</v>
      </c>
      <c r="C70" s="8">
        <f>SUMIFS(Insumos_Device!K:K,Insumos_Device!B:B,A70,Insumos_Device!C:C,B70)</f>
        <v>1569.248</v>
      </c>
      <c r="D70" s="8"/>
      <c r="E70" s="9">
        <f>Custo_MI_Device!$C70*Custo_MI_Device!$D70</f>
        <v>0</v>
      </c>
    </row>
    <row r="71" spans="1:5">
      <c r="A71" s="6" t="s">
        <v>69</v>
      </c>
      <c r="B71" s="7" t="s">
        <v>82</v>
      </c>
      <c r="C71" s="8">
        <f>SUMIFS(Insumos_Device!K:K,Insumos_Device!B:B,A71,Insumos_Device!C:C,B71)</f>
        <v>2618.3000000000002</v>
      </c>
      <c r="D71" s="8">
        <v>9</v>
      </c>
      <c r="E71" s="9">
        <f>Custo_MI_Device!$C71*Custo_MI_Device!$D71</f>
        <v>23564.7</v>
      </c>
    </row>
    <row r="72" spans="1:5">
      <c r="A72" s="10" t="s">
        <v>69</v>
      </c>
      <c r="B72" s="11" t="s">
        <v>83</v>
      </c>
      <c r="C72" s="8">
        <f>SUMIFS(Insumos_Device!K:K,Insumos_Device!B:B,A72,Insumos_Device!C:C,B72)</f>
        <v>889.38300000000004</v>
      </c>
      <c r="D72" s="8"/>
      <c r="E72" s="9">
        <f>Custo_MI_Device!$C72*Custo_MI_Device!$D72</f>
        <v>0</v>
      </c>
    </row>
    <row r="73" spans="1:5">
      <c r="A73" s="6" t="s">
        <v>69</v>
      </c>
      <c r="B73" s="7" t="s">
        <v>84</v>
      </c>
      <c r="C73" s="8">
        <f>SUMIFS(Insumos_Device!K:K,Insumos_Device!B:B,A73,Insumos_Device!C:C,B73)</f>
        <v>129.083</v>
      </c>
      <c r="D73" s="8"/>
      <c r="E73" s="9">
        <f>Custo_MI_Device!$C73*Custo_MI_Device!$D73</f>
        <v>0</v>
      </c>
    </row>
    <row r="74" spans="1:5">
      <c r="A74" s="10" t="s">
        <v>69</v>
      </c>
      <c r="B74" s="11" t="s">
        <v>85</v>
      </c>
      <c r="C74" s="8">
        <f>SUMIFS(Insumos_Device!K:K,Insumos_Device!B:B,A74,Insumos_Device!C:C,B74)</f>
        <v>241.583</v>
      </c>
      <c r="D74" s="8"/>
      <c r="E74" s="9">
        <f>Custo_MI_Device!$C74*Custo_MI_Device!$D74</f>
        <v>0</v>
      </c>
    </row>
    <row r="75" spans="1:5">
      <c r="A75" s="6" t="s">
        <v>69</v>
      </c>
      <c r="B75" s="7" t="s">
        <v>86</v>
      </c>
      <c r="C75" s="8">
        <f>SUMIFS(Insumos_Device!K:K,Insumos_Device!B:B,A75,Insumos_Device!C:C,B75)</f>
        <v>376.44799999999998</v>
      </c>
      <c r="D75" s="8"/>
      <c r="E75" s="9">
        <f>Custo_MI_Device!$C75*Custo_MI_Device!$D75</f>
        <v>0</v>
      </c>
    </row>
    <row r="76" spans="1:5">
      <c r="A76" s="10" t="s">
        <v>69</v>
      </c>
      <c r="B76" s="11" t="s">
        <v>87</v>
      </c>
      <c r="C76" s="8">
        <f>SUMIFS(Insumos_Device!K:K,Insumos_Device!B:B,A76,Insumos_Device!C:C,B76)</f>
        <v>488.94799999999998</v>
      </c>
      <c r="D76" s="8"/>
      <c r="E76" s="9">
        <f>Custo_MI_Device!$C76*Custo_MI_Device!$D76</f>
        <v>0</v>
      </c>
    </row>
    <row r="77" spans="1:5">
      <c r="A77" s="6" t="s">
        <v>69</v>
      </c>
      <c r="B77" s="7" t="s">
        <v>88</v>
      </c>
      <c r="C77" s="8">
        <f>SUMIFS(Insumos_Device!K:K,Insumos_Device!B:B,A77,Insumos_Device!C:C,B77)</f>
        <v>842.88300000000004</v>
      </c>
      <c r="D77" s="8"/>
      <c r="E77" s="9">
        <f>Custo_MI_Device!$C77*Custo_MI_Device!$D77</f>
        <v>0</v>
      </c>
    </row>
    <row r="78" spans="1:5">
      <c r="A78" s="10" t="s">
        <v>69</v>
      </c>
      <c r="B78" s="11" t="s">
        <v>89</v>
      </c>
      <c r="C78" s="8">
        <f>SUMIFS(Insumos_Device!K:K,Insumos_Device!B:B,A78,Insumos_Device!C:C,B78)</f>
        <v>870.38300000000004</v>
      </c>
      <c r="D78" s="8"/>
      <c r="E78" s="9">
        <f>Custo_MI_Device!$C78*Custo_MI_Device!$D78</f>
        <v>0</v>
      </c>
    </row>
    <row r="79" spans="1:5">
      <c r="A79" s="6" t="s">
        <v>90</v>
      </c>
      <c r="B79" s="7" t="s">
        <v>91</v>
      </c>
      <c r="C79" s="8">
        <f>SUMIFS(Insumos_Device!K:K,Insumos_Device!B:B,A79,Insumos_Device!C:C,B79)</f>
        <v>17</v>
      </c>
      <c r="D79" s="8"/>
      <c r="E79" s="9">
        <f>Custo_MI_Device!$C79*Custo_MI_Device!$D79</f>
        <v>0</v>
      </c>
    </row>
    <row r="80" spans="1:5" ht="25.5">
      <c r="A80" s="6" t="s">
        <v>92</v>
      </c>
      <c r="B80" s="7" t="s">
        <v>93</v>
      </c>
      <c r="C80" s="8">
        <f>SUMIFS(Insumos_Device!K:K,Insumos_Device!B:B,A80,Insumos_Device!C:C,B80)</f>
        <v>17</v>
      </c>
      <c r="D80" s="8"/>
      <c r="E80" s="9">
        <f>Custo_MI_Device!$C80*Custo_MI_Device!$D80</f>
        <v>0</v>
      </c>
    </row>
    <row r="81" spans="1:6">
      <c r="A81" s="6" t="s">
        <v>94</v>
      </c>
      <c r="B81" s="7" t="s">
        <v>95</v>
      </c>
      <c r="C81" s="8">
        <f>SUMIFS(Insumos_Device!K:K,Insumos_Device!B:B,A81,Insumos_Device!C:C,B81)</f>
        <v>225</v>
      </c>
      <c r="D81" s="8"/>
      <c r="E81" s="9">
        <f>Custo_MI_Device!$C81*Custo_MI_Device!$D81</f>
        <v>0</v>
      </c>
    </row>
    <row r="82" spans="1:6">
      <c r="A82" s="6" t="s">
        <v>96</v>
      </c>
      <c r="B82" s="7" t="s">
        <v>97</v>
      </c>
      <c r="C82" s="8">
        <f>SUMIFS(Insumos_Device!K:K,Insumos_Device!B:B,A82,Insumos_Device!C:C,B82)</f>
        <v>206.39</v>
      </c>
      <c r="D82" s="8">
        <f>(19*3)+2</f>
        <v>59</v>
      </c>
      <c r="E82" s="9">
        <f>Custo_MI_Device!$C82*Custo_MI_Device!$D82</f>
        <v>12177.009999999998</v>
      </c>
    </row>
    <row r="83" spans="1:6">
      <c r="A83" s="10" t="s">
        <v>96</v>
      </c>
      <c r="B83" s="11" t="s">
        <v>98</v>
      </c>
      <c r="C83" s="8">
        <f>SUMIFS(Insumos_Device!K:K,Insumos_Device!B:B,A83,Insumos_Device!C:C,B83)</f>
        <v>373.14800000000002</v>
      </c>
      <c r="D83" s="8"/>
      <c r="E83" s="9">
        <f>Custo_MI_Device!$C83*Custo_MI_Device!$D83</f>
        <v>0</v>
      </c>
    </row>
    <row r="84" spans="1:6">
      <c r="A84" s="6" t="s">
        <v>99</v>
      </c>
      <c r="B84" s="7" t="s">
        <v>100</v>
      </c>
      <c r="C84" s="8">
        <f>SUMIFS(Insumos_Device!K:K,Insumos_Device!B:B,A84,Insumos_Device!C:C,B84)</f>
        <v>309.75</v>
      </c>
      <c r="D84" s="8">
        <v>21</v>
      </c>
      <c r="E84" s="9">
        <f>Custo_MI_Device!$C84*Custo_MI_Device!$D84</f>
        <v>6504.75</v>
      </c>
    </row>
    <row r="85" spans="1:6">
      <c r="A85" s="10" t="s">
        <v>99</v>
      </c>
      <c r="B85" s="11" t="s">
        <v>101</v>
      </c>
      <c r="C85" s="8">
        <f>SUMIFS(Insumos_Device!K:K,Insumos_Device!B:B,A85,Insumos_Device!C:C,B85)</f>
        <v>408.33300000000003</v>
      </c>
      <c r="D85" s="8"/>
      <c r="E85" s="9">
        <f>Custo_MI_Device!$C85*Custo_MI_Device!$D85</f>
        <v>0</v>
      </c>
    </row>
    <row r="86" spans="1:6">
      <c r="A86" s="6" t="s">
        <v>99</v>
      </c>
      <c r="B86" s="7" t="s">
        <v>102</v>
      </c>
      <c r="C86" s="8">
        <f>SUMIFS(Insumos_Device!K:K,Insumos_Device!B:B,A86,Insumos_Device!C:C,B86)</f>
        <v>1500.8330000000003</v>
      </c>
      <c r="D86" s="8"/>
      <c r="E86" s="9">
        <f>Custo_MI_Device!$C86*Custo_MI_Device!$D86</f>
        <v>0</v>
      </c>
    </row>
    <row r="87" spans="1:6">
      <c r="A87" s="10" t="s">
        <v>99</v>
      </c>
      <c r="B87" s="11" t="s">
        <v>103</v>
      </c>
      <c r="C87" s="8">
        <f>SUMIFS(Insumos_Device!K:K,Insumos_Device!B:B,A87,Insumos_Device!C:C,B87)</f>
        <v>1050.3330000000001</v>
      </c>
      <c r="D87" s="8"/>
      <c r="E87" s="9">
        <f>Custo_MI_Device!$C87*Custo_MI_Device!$D87</f>
        <v>0</v>
      </c>
    </row>
    <row r="88" spans="1:6">
      <c r="A88" s="6" t="s">
        <v>104</v>
      </c>
      <c r="B88" s="7" t="s">
        <v>105</v>
      </c>
      <c r="C88" s="8">
        <f>SUMIFS(Insumos_Device!K:K,Insumos_Device!B:B,A88,Insumos_Device!C:C,B88)</f>
        <v>435.14800000000002</v>
      </c>
      <c r="D88" s="8"/>
      <c r="E88" s="9">
        <f>Custo_MI_Device!$C88*Custo_MI_Device!$D88</f>
        <v>0</v>
      </c>
    </row>
    <row r="89" spans="1:6">
      <c r="A89" s="10" t="s">
        <v>104</v>
      </c>
      <c r="B89" s="11" t="s">
        <v>106</v>
      </c>
      <c r="C89" s="8">
        <f>SUMIFS(Insumos_Device!K:K,Insumos_Device!B:B,A89,Insumos_Device!C:C,B89)</f>
        <v>462.64799999999997</v>
      </c>
      <c r="D89" s="8"/>
      <c r="E89" s="9">
        <f>Custo_MI_Device!$C89*Custo_MI_Device!$D89</f>
        <v>0</v>
      </c>
    </row>
    <row r="90" spans="1:6">
      <c r="A90" s="6" t="s">
        <v>104</v>
      </c>
      <c r="B90" s="7" t="s">
        <v>107</v>
      </c>
      <c r="C90" s="8">
        <f>SUMIFS(Insumos_Device!K:K,Insumos_Device!B:B,A90,Insumos_Device!C:C,B90)</f>
        <v>259.233</v>
      </c>
      <c r="D90" s="8"/>
      <c r="E90" s="9">
        <f>Custo_MI_Device!$C90*Custo_MI_Device!$D90</f>
        <v>0</v>
      </c>
    </row>
    <row r="91" spans="1:6">
      <c r="A91" s="10" t="s">
        <v>104</v>
      </c>
      <c r="B91" s="11" t="s">
        <v>108</v>
      </c>
      <c r="C91" s="8">
        <f>SUMIFS(Insumos_Device!K:K,Insumos_Device!B:B,A91,Insumos_Device!C:C,B91)</f>
        <v>286.733</v>
      </c>
      <c r="D91" s="8"/>
      <c r="E91" s="9">
        <f>Custo_MI_Device!$C91*Custo_MI_Device!$D91</f>
        <v>0</v>
      </c>
    </row>
    <row r="92" spans="1:6">
      <c r="A92" s="6" t="s">
        <v>109</v>
      </c>
      <c r="B92" s="7" t="s">
        <v>110</v>
      </c>
      <c r="C92" s="8">
        <f>SUMIFS(Insumos_Device!K:K,Insumos_Device!B:B,A92,Insumos_Device!C:C,B92)</f>
        <v>473.74799999999999</v>
      </c>
      <c r="D92" s="8"/>
      <c r="E92" s="9">
        <f>Custo_MI_Device!$C92*Custo_MI_Device!$D92</f>
        <v>0</v>
      </c>
    </row>
    <row r="93" spans="1:6">
      <c r="A93" s="10" t="s">
        <v>109</v>
      </c>
      <c r="B93" s="11" t="s">
        <v>111</v>
      </c>
      <c r="C93" s="8">
        <f>SUMIFS(Insumos_Device!K:K,Insumos_Device!B:B,A93,Insumos_Device!C:C,B93)</f>
        <v>501.24799999999999</v>
      </c>
      <c r="D93" s="8"/>
      <c r="E93" s="9">
        <f>Custo_MI_Device!$C93*Custo_MI_Device!$D93</f>
        <v>0</v>
      </c>
    </row>
    <row r="94" spans="1:6">
      <c r="A94" s="6" t="s">
        <v>109</v>
      </c>
      <c r="B94" s="7" t="s">
        <v>112</v>
      </c>
      <c r="C94" s="8">
        <f>SUMIFS(Insumos_Device!K:K,Insumos_Device!B:B,A94,Insumos_Device!C:C,B94)</f>
        <v>228.46999999999997</v>
      </c>
      <c r="D94" s="8">
        <v>74</v>
      </c>
      <c r="E94" s="9">
        <f>Custo_MI_Device!$C94*Custo_MI_Device!$D94</f>
        <v>16906.78</v>
      </c>
    </row>
    <row r="95" spans="1:6">
      <c r="A95" s="10" t="s">
        <v>109</v>
      </c>
      <c r="B95" s="11" t="s">
        <v>113</v>
      </c>
      <c r="C95" s="8">
        <f>SUMIFS(Insumos_Device!K:K,Insumos_Device!B:B,A95,Insumos_Device!C:C,B95)</f>
        <v>277.28300000000002</v>
      </c>
      <c r="D95" s="8"/>
      <c r="E95" s="9">
        <f>Custo_MI_Device!$C95*Custo_MI_Device!$D95</f>
        <v>0</v>
      </c>
    </row>
    <row r="96" spans="1:6">
      <c r="A96" s="6" t="s">
        <v>114</v>
      </c>
      <c r="B96" s="7" t="s">
        <v>115</v>
      </c>
      <c r="C96" s="8">
        <f>SUMIFS(Insumos_Device!K:K,Insumos_Device!B:B,A96,Insumos_Device!C:C,B96)</f>
        <v>1548.0250000000001</v>
      </c>
      <c r="D96" s="8"/>
      <c r="E96" s="9">
        <f>Custo_MI_Device!$C96*Custo_MI_Device!$D96</f>
        <v>0</v>
      </c>
      <c r="F96" s="40" t="s">
        <v>625</v>
      </c>
    </row>
    <row r="97" spans="1:5">
      <c r="A97" s="10" t="s">
        <v>114</v>
      </c>
      <c r="B97" s="11" t="s">
        <v>116</v>
      </c>
      <c r="C97" s="8">
        <f>SUMIFS(Insumos_Device!K:K,Insumos_Device!B:B,A97,Insumos_Device!C:C,B97)</f>
        <v>486.125</v>
      </c>
      <c r="D97" s="8"/>
      <c r="E97" s="9">
        <f>Custo_MI_Device!$C97*Custo_MI_Device!$D97</f>
        <v>0</v>
      </c>
    </row>
    <row r="98" spans="1:5">
      <c r="A98" s="6" t="s">
        <v>12</v>
      </c>
      <c r="B98" s="7" t="s">
        <v>117</v>
      </c>
      <c r="C98" s="8">
        <f>SUMIFS(Insumos_Device!K:K,Insumos_Device!B:B,A98,Insumos_Device!C:C,B98)</f>
        <v>268.06299999999999</v>
      </c>
      <c r="D98" s="8"/>
      <c r="E98" s="9">
        <f>Custo_MI_Device!$C98*Custo_MI_Device!$D98</f>
        <v>0</v>
      </c>
    </row>
    <row r="99" spans="1:5">
      <c r="A99" s="10" t="s">
        <v>12</v>
      </c>
      <c r="B99" s="11" t="s">
        <v>118</v>
      </c>
      <c r="C99" s="8">
        <f>SUMIFS(Insumos_Device!K:K,Insumos_Device!B:B,A99,Insumos_Device!C:C,B99)</f>
        <v>459.74799999999999</v>
      </c>
      <c r="D99" s="8"/>
      <c r="E99" s="9">
        <f>Custo_MI_Device!$C99*Custo_MI_Device!$D99</f>
        <v>0</v>
      </c>
    </row>
    <row r="100" spans="1:5">
      <c r="A100" s="6" t="s">
        <v>12</v>
      </c>
      <c r="B100" s="7" t="s">
        <v>119</v>
      </c>
      <c r="C100" s="8">
        <f>SUMIFS(Insumos_Device!K:K,Insumos_Device!B:B,A100,Insumos_Device!C:C,B100)</f>
        <v>228.46999999999997</v>
      </c>
      <c r="D100" s="8">
        <v>281</v>
      </c>
      <c r="E100" s="9">
        <f>Custo_MI_Device!$C100*Custo_MI_Device!$D100</f>
        <v>64200.069999999992</v>
      </c>
    </row>
    <row r="101" spans="1:5">
      <c r="A101" s="10" t="s">
        <v>12</v>
      </c>
      <c r="B101" s="11" t="s">
        <v>120</v>
      </c>
      <c r="C101" s="8">
        <f>SUMIFS(Insumos_Device!K:K,Insumos_Device!B:B,A101,Insumos_Device!C:C,B101)</f>
        <v>388.74799999999999</v>
      </c>
      <c r="D101" s="8"/>
      <c r="E101" s="9">
        <f>Custo_MI_Device!$C101*Custo_MI_Device!$D101</f>
        <v>0</v>
      </c>
    </row>
    <row r="102" spans="1:5">
      <c r="A102" s="12" t="s">
        <v>121</v>
      </c>
      <c r="B102" s="13" t="s">
        <v>122</v>
      </c>
      <c r="C102" s="8">
        <f>SUMIFS(Insumos_Device!K:K,Insumos_Device!B:B,A102,Insumos_Device!C:C,B102)</f>
        <v>587.56299999999999</v>
      </c>
      <c r="D102" s="8"/>
      <c r="E102" s="9">
        <f>Custo_MI_Device!$C102*Custo_MI_Device!$D102</f>
        <v>0</v>
      </c>
    </row>
    <row r="103" spans="1:5">
      <c r="A103"/>
      <c r="B103"/>
      <c r="D103" s="14">
        <f>SUM(D3:D102)</f>
        <v>540</v>
      </c>
    </row>
    <row r="104" spans="1:5">
      <c r="A104"/>
      <c r="B104"/>
      <c r="D104" s="14">
        <f>D103-D100-D94</f>
        <v>185</v>
      </c>
    </row>
    <row r="105" spans="1:5">
      <c r="A105"/>
      <c r="B105"/>
    </row>
    <row r="106" spans="1:5">
      <c r="A106"/>
      <c r="B106"/>
    </row>
    <row r="107" spans="1:5">
      <c r="A107"/>
      <c r="B107"/>
    </row>
    <row r="108" spans="1:5">
      <c r="A108"/>
      <c r="B108"/>
    </row>
    <row r="109" spans="1:5">
      <c r="A109"/>
      <c r="B109"/>
    </row>
    <row r="110" spans="1:5">
      <c r="A110"/>
      <c r="B110"/>
    </row>
    <row r="111" spans="1:5">
      <c r="A111"/>
      <c r="B111"/>
    </row>
    <row r="112" spans="1:5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</sheetData>
  <autoFilter ref="A2:P103" xr:uid="{00000000-0009-0000-0000-000000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AA2160"/>
  <sheetViews>
    <sheetView zoomScale="85" zoomScaleNormal="85" workbookViewId="0">
      <pane ySplit="2" topLeftCell="A53" activePane="bottomLeft" state="frozen"/>
      <selection activeCell="C79" sqref="C79"/>
      <selection pane="bottomLeft" activeCell="J62" sqref="J62"/>
    </sheetView>
  </sheetViews>
  <sheetFormatPr defaultColWidth="9.140625" defaultRowHeight="15"/>
  <cols>
    <col min="1" max="1" width="8.85546875" style="34" customWidth="1"/>
    <col min="2" max="2" width="9.28515625" style="15" bestFit="1" customWidth="1"/>
    <col min="3" max="3" width="30.85546875" style="16" bestFit="1" customWidth="1"/>
    <col min="4" max="4" width="10.28515625" style="15" bestFit="1" customWidth="1"/>
    <col min="5" max="5" width="57.5703125" style="18" customWidth="1"/>
    <col min="6" max="6" width="16.28515625" style="19" bestFit="1" customWidth="1"/>
    <col min="7" max="7" width="10.7109375" style="20" customWidth="1"/>
    <col min="8" max="8" width="10.5703125" style="15" customWidth="1"/>
    <col min="9" max="9" width="14" style="16" customWidth="1"/>
    <col min="10" max="10" width="12.85546875" style="20" customWidth="1"/>
    <col min="11" max="11" width="10.28515625" style="36" customWidth="1"/>
    <col min="12" max="12" width="17.85546875" style="38" bestFit="1" customWidth="1"/>
    <col min="13" max="13" width="7.28515625" style="39" customWidth="1"/>
    <col min="14" max="14" width="6.85546875" style="22" customWidth="1"/>
    <col min="15" max="15" width="15.42578125" style="40" customWidth="1"/>
    <col min="16" max="16384" width="9.140625" style="16"/>
  </cols>
  <sheetData>
    <row r="1" spans="1:15">
      <c r="A1" s="17"/>
      <c r="J1" s="21" t="s">
        <v>123</v>
      </c>
      <c r="K1" s="22"/>
      <c r="L1" s="22"/>
      <c r="M1" s="22"/>
      <c r="O1" s="23">
        <f>SUM(O3:O1854)</f>
        <v>248547.70999999993</v>
      </c>
    </row>
    <row r="2" spans="1:15" s="15" customFormat="1" ht="25.5">
      <c r="A2" s="24" t="s">
        <v>124</v>
      </c>
      <c r="B2" s="24" t="s">
        <v>0</v>
      </c>
      <c r="C2" s="24" t="s">
        <v>1</v>
      </c>
      <c r="D2" s="24" t="s">
        <v>125</v>
      </c>
      <c r="E2" s="24" t="s">
        <v>126</v>
      </c>
      <c r="F2" s="24" t="s">
        <v>127</v>
      </c>
      <c r="G2" s="24" t="s">
        <v>128</v>
      </c>
      <c r="H2" s="24" t="s">
        <v>129</v>
      </c>
      <c r="I2" s="24" t="s">
        <v>130</v>
      </c>
      <c r="J2" s="24" t="s">
        <v>131</v>
      </c>
      <c r="K2" s="24" t="s">
        <v>132</v>
      </c>
      <c r="L2" s="24" t="s">
        <v>133</v>
      </c>
      <c r="M2" s="24" t="s">
        <v>134</v>
      </c>
      <c r="N2" s="24" t="s">
        <v>128</v>
      </c>
      <c r="O2" s="24" t="s">
        <v>4</v>
      </c>
    </row>
    <row r="3" spans="1:15" ht="12.75" hidden="1">
      <c r="A3" s="25">
        <v>2566</v>
      </c>
      <c r="B3" s="25" t="s">
        <v>5</v>
      </c>
      <c r="C3" s="26" t="s">
        <v>6</v>
      </c>
      <c r="D3" s="27">
        <v>73072900</v>
      </c>
      <c r="E3" s="28" t="s">
        <v>312</v>
      </c>
      <c r="F3" s="29" t="s">
        <v>313</v>
      </c>
      <c r="G3" s="30">
        <v>2</v>
      </c>
      <c r="H3" s="27" t="s">
        <v>137</v>
      </c>
      <c r="I3" s="26" t="s">
        <v>256</v>
      </c>
      <c r="J3" s="31">
        <v>2.8</v>
      </c>
      <c r="K3" s="32">
        <f t="shared" ref="K3:K66" si="0">G3*J3</f>
        <v>5.6</v>
      </c>
      <c r="L3" s="29" t="s">
        <v>313</v>
      </c>
      <c r="M3" s="27">
        <f>IFERROR(VLOOKUP(C3,Custo_MI_Device!$B$2:$E$102,3,FALSE),0)</f>
        <v>0</v>
      </c>
      <c r="N3" s="27">
        <f t="shared" ref="N3:N66" si="1">ROUNDUP(M3*G3,0)</f>
        <v>0</v>
      </c>
      <c r="O3" s="178">
        <f t="shared" ref="O3:O66" si="2">N3*J3</f>
        <v>0</v>
      </c>
    </row>
    <row r="4" spans="1:15" ht="12.75" hidden="1">
      <c r="A4" s="25">
        <v>2534</v>
      </c>
      <c r="B4" s="25" t="s">
        <v>5</v>
      </c>
      <c r="C4" s="26" t="s">
        <v>6</v>
      </c>
      <c r="D4" s="27">
        <v>73072900</v>
      </c>
      <c r="E4" s="28" t="s">
        <v>314</v>
      </c>
      <c r="F4" s="29" t="s">
        <v>315</v>
      </c>
      <c r="G4" s="30">
        <v>12</v>
      </c>
      <c r="H4" s="27" t="s">
        <v>137</v>
      </c>
      <c r="I4" s="26" t="s">
        <v>256</v>
      </c>
      <c r="J4" s="31">
        <v>1.2</v>
      </c>
      <c r="K4" s="32">
        <f t="shared" si="0"/>
        <v>14.399999999999999</v>
      </c>
      <c r="L4" s="29" t="s">
        <v>315</v>
      </c>
      <c r="M4" s="27">
        <f>IFERROR(VLOOKUP(C4,Custo_MI_Device!$B$2:$E$102,3,FALSE),0)</f>
        <v>0</v>
      </c>
      <c r="N4" s="27">
        <f t="shared" si="1"/>
        <v>0</v>
      </c>
      <c r="O4" s="178">
        <f t="shared" si="2"/>
        <v>0</v>
      </c>
    </row>
    <row r="5" spans="1:15" ht="12.75" hidden="1">
      <c r="A5" s="25">
        <v>1669</v>
      </c>
      <c r="B5" s="25" t="s">
        <v>5</v>
      </c>
      <c r="C5" s="26" t="s">
        <v>6</v>
      </c>
      <c r="D5" s="27">
        <v>39269090</v>
      </c>
      <c r="E5" s="28" t="s">
        <v>316</v>
      </c>
      <c r="F5" s="29" t="s">
        <v>317</v>
      </c>
      <c r="G5" s="30">
        <v>3</v>
      </c>
      <c r="H5" s="27" t="s">
        <v>137</v>
      </c>
      <c r="I5" s="26" t="s">
        <v>318</v>
      </c>
      <c r="J5" s="31">
        <v>0.04</v>
      </c>
      <c r="K5" s="32">
        <f t="shared" si="0"/>
        <v>0.12</v>
      </c>
      <c r="L5" s="29" t="s">
        <v>317</v>
      </c>
      <c r="M5" s="27">
        <f>IFERROR(VLOOKUP(C5,Custo_MI_Device!$B$2:$E$102,3,FALSE),0)</f>
        <v>0</v>
      </c>
      <c r="N5" s="27">
        <f t="shared" si="1"/>
        <v>0</v>
      </c>
      <c r="O5" s="178">
        <f t="shared" si="2"/>
        <v>0</v>
      </c>
    </row>
    <row r="6" spans="1:15" ht="12.75" hidden="1">
      <c r="A6" s="25">
        <v>5091</v>
      </c>
      <c r="B6" s="25" t="s">
        <v>5</v>
      </c>
      <c r="C6" s="26" t="s">
        <v>6</v>
      </c>
      <c r="D6" s="27">
        <v>73181500</v>
      </c>
      <c r="E6" s="28" t="s">
        <v>323</v>
      </c>
      <c r="F6" s="29" t="s">
        <v>324</v>
      </c>
      <c r="G6" s="30">
        <v>28</v>
      </c>
      <c r="H6" s="27" t="s">
        <v>137</v>
      </c>
      <c r="I6" s="26" t="s">
        <v>256</v>
      </c>
      <c r="J6" s="31">
        <v>0.04</v>
      </c>
      <c r="K6" s="32">
        <f t="shared" si="0"/>
        <v>1.1200000000000001</v>
      </c>
      <c r="L6" s="29" t="s">
        <v>324</v>
      </c>
      <c r="M6" s="27">
        <f>IFERROR(VLOOKUP(C6,Custo_MI_Device!$B$2:$E$102,3,FALSE),0)</f>
        <v>0</v>
      </c>
      <c r="N6" s="27">
        <f t="shared" si="1"/>
        <v>0</v>
      </c>
      <c r="O6" s="178">
        <f t="shared" si="2"/>
        <v>0</v>
      </c>
    </row>
    <row r="7" spans="1:15" ht="12.75" hidden="1">
      <c r="A7" s="25">
        <v>1117</v>
      </c>
      <c r="B7" s="25" t="s">
        <v>5</v>
      </c>
      <c r="C7" s="26" t="s">
        <v>6</v>
      </c>
      <c r="D7" s="27"/>
      <c r="E7" s="28" t="s">
        <v>145</v>
      </c>
      <c r="F7" s="29" t="s">
        <v>146</v>
      </c>
      <c r="G7" s="30">
        <v>1</v>
      </c>
      <c r="H7" s="27" t="s">
        <v>137</v>
      </c>
      <c r="I7" s="26" t="s">
        <v>138</v>
      </c>
      <c r="J7" s="31">
        <v>1.95</v>
      </c>
      <c r="K7" s="32">
        <f t="shared" si="0"/>
        <v>1.95</v>
      </c>
      <c r="L7" s="29" t="s">
        <v>146</v>
      </c>
      <c r="M7" s="27">
        <f>IFERROR(VLOOKUP(C7,Custo_MI_Device!$B$2:$E$102,3,FALSE),0)</f>
        <v>0</v>
      </c>
      <c r="N7" s="27">
        <f t="shared" si="1"/>
        <v>0</v>
      </c>
      <c r="O7" s="178">
        <f t="shared" si="2"/>
        <v>0</v>
      </c>
    </row>
    <row r="8" spans="1:15" ht="38.25" hidden="1">
      <c r="A8" s="25">
        <v>3585</v>
      </c>
      <c r="B8" s="25" t="s">
        <v>5</v>
      </c>
      <c r="C8" s="26" t="s">
        <v>6</v>
      </c>
      <c r="D8" s="27">
        <v>85444900</v>
      </c>
      <c r="E8" s="28" t="s">
        <v>328</v>
      </c>
      <c r="F8" s="29">
        <v>900400</v>
      </c>
      <c r="G8" s="33">
        <v>0</v>
      </c>
      <c r="H8" s="27" t="s">
        <v>158</v>
      </c>
      <c r="I8" s="26" t="s">
        <v>164</v>
      </c>
      <c r="J8" s="31">
        <v>1.7</v>
      </c>
      <c r="K8" s="32">
        <f t="shared" si="0"/>
        <v>0</v>
      </c>
      <c r="L8" s="29">
        <v>900400</v>
      </c>
      <c r="M8" s="27">
        <f>IFERROR(VLOOKUP(C8,Custo_MI_Device!$B$2:$E$102,3,FALSE),0)</f>
        <v>0</v>
      </c>
      <c r="N8" s="27">
        <f t="shared" si="1"/>
        <v>0</v>
      </c>
      <c r="O8" s="178">
        <f t="shared" si="2"/>
        <v>0</v>
      </c>
    </row>
    <row r="9" spans="1:15" ht="12.75" hidden="1">
      <c r="A9" s="25">
        <v>2805</v>
      </c>
      <c r="B9" s="25" t="s">
        <v>5</v>
      </c>
      <c r="C9" s="26" t="s">
        <v>6</v>
      </c>
      <c r="D9" s="27">
        <v>72162100</v>
      </c>
      <c r="E9" s="28" t="s">
        <v>174</v>
      </c>
      <c r="F9" s="29">
        <v>0</v>
      </c>
      <c r="G9" s="30">
        <v>2.9</v>
      </c>
      <c r="H9" s="27" t="s">
        <v>175</v>
      </c>
      <c r="I9" s="26" t="s">
        <v>176</v>
      </c>
      <c r="J9" s="31">
        <v>4.22</v>
      </c>
      <c r="K9" s="32">
        <f t="shared" si="0"/>
        <v>12.238</v>
      </c>
      <c r="L9" s="29" t="s">
        <v>177</v>
      </c>
      <c r="M9" s="27">
        <f>IFERROR(VLOOKUP(C9,Custo_MI_Device!$B$2:$E$102,3,FALSE),0)</f>
        <v>0</v>
      </c>
      <c r="N9" s="27">
        <f t="shared" si="1"/>
        <v>0</v>
      </c>
      <c r="O9" s="178">
        <f t="shared" si="2"/>
        <v>0</v>
      </c>
    </row>
    <row r="10" spans="1:15" ht="12.75" hidden="1">
      <c r="A10" s="25">
        <v>4823</v>
      </c>
      <c r="B10" s="25" t="s">
        <v>5</v>
      </c>
      <c r="C10" s="26" t="s">
        <v>6</v>
      </c>
      <c r="D10" s="27">
        <v>76090000</v>
      </c>
      <c r="E10" s="28" t="s">
        <v>199</v>
      </c>
      <c r="F10" s="29" t="s">
        <v>200</v>
      </c>
      <c r="G10" s="30">
        <v>0.75</v>
      </c>
      <c r="H10" s="27" t="s">
        <v>137</v>
      </c>
      <c r="I10" s="26" t="s">
        <v>138</v>
      </c>
      <c r="J10" s="31">
        <v>6.7</v>
      </c>
      <c r="K10" s="32">
        <f t="shared" si="0"/>
        <v>5.0250000000000004</v>
      </c>
      <c r="L10" s="29" t="s">
        <v>200</v>
      </c>
      <c r="M10" s="27">
        <f>IFERROR(VLOOKUP(C10,Custo_MI_Device!$B$2:$E$102,3,FALSE),0)</f>
        <v>0</v>
      </c>
      <c r="N10" s="27">
        <f t="shared" si="1"/>
        <v>0</v>
      </c>
      <c r="O10" s="178">
        <f t="shared" si="2"/>
        <v>0</v>
      </c>
    </row>
    <row r="11" spans="1:15" ht="12.75" hidden="1">
      <c r="A11" s="25">
        <v>2912</v>
      </c>
      <c r="B11" s="25" t="s">
        <v>5</v>
      </c>
      <c r="C11" s="26" t="s">
        <v>6</v>
      </c>
      <c r="D11" s="27">
        <v>76090000</v>
      </c>
      <c r="E11" s="28" t="s">
        <v>201</v>
      </c>
      <c r="F11" s="29" t="s">
        <v>202</v>
      </c>
      <c r="G11" s="30">
        <v>1</v>
      </c>
      <c r="H11" s="27" t="s">
        <v>137</v>
      </c>
      <c r="I11" s="26" t="s">
        <v>138</v>
      </c>
      <c r="J11" s="31">
        <v>7.5</v>
      </c>
      <c r="K11" s="32">
        <f t="shared" si="0"/>
        <v>7.5</v>
      </c>
      <c r="L11" s="29" t="s">
        <v>202</v>
      </c>
      <c r="M11" s="27">
        <f>IFERROR(VLOOKUP(C11,Custo_MI_Device!$B$2:$E$102,3,FALSE),0)</f>
        <v>0</v>
      </c>
      <c r="N11" s="27">
        <f t="shared" si="1"/>
        <v>0</v>
      </c>
      <c r="O11" s="178">
        <f t="shared" si="2"/>
        <v>0</v>
      </c>
    </row>
    <row r="12" spans="1:15" ht="25.5" hidden="1">
      <c r="A12" s="25">
        <v>3436</v>
      </c>
      <c r="B12" s="25" t="s">
        <v>5</v>
      </c>
      <c r="C12" s="26" t="s">
        <v>6</v>
      </c>
      <c r="D12" s="27">
        <v>76090000</v>
      </c>
      <c r="E12" s="28" t="s">
        <v>193</v>
      </c>
      <c r="F12" s="29" t="s">
        <v>194</v>
      </c>
      <c r="G12" s="30">
        <v>1</v>
      </c>
      <c r="H12" s="27" t="s">
        <v>137</v>
      </c>
      <c r="I12" s="26" t="s">
        <v>138</v>
      </c>
      <c r="J12" s="31">
        <v>6.7</v>
      </c>
      <c r="K12" s="32">
        <f t="shared" si="0"/>
        <v>6.7</v>
      </c>
      <c r="L12" s="29" t="s">
        <v>194</v>
      </c>
      <c r="M12" s="27">
        <f>IFERROR(VLOOKUP(C12,Custo_MI_Device!$B$2:$E$102,3,FALSE),0)</f>
        <v>0</v>
      </c>
      <c r="N12" s="27">
        <f t="shared" si="1"/>
        <v>0</v>
      </c>
      <c r="O12" s="178">
        <f t="shared" si="2"/>
        <v>0</v>
      </c>
    </row>
    <row r="13" spans="1:15" ht="25.5" hidden="1">
      <c r="A13" s="25">
        <v>4307</v>
      </c>
      <c r="B13" s="25" t="s">
        <v>5</v>
      </c>
      <c r="C13" s="26" t="s">
        <v>6</v>
      </c>
      <c r="D13" s="27">
        <v>73063000</v>
      </c>
      <c r="E13" s="28" t="s">
        <v>237</v>
      </c>
      <c r="F13" s="29">
        <v>0</v>
      </c>
      <c r="G13" s="33">
        <v>0</v>
      </c>
      <c r="H13" s="27" t="s">
        <v>232</v>
      </c>
      <c r="I13" s="26" t="s">
        <v>233</v>
      </c>
      <c r="J13" s="31">
        <v>86</v>
      </c>
      <c r="K13" s="32">
        <f t="shared" si="0"/>
        <v>0</v>
      </c>
      <c r="L13" s="29" t="s">
        <v>238</v>
      </c>
      <c r="M13" s="27">
        <f>IFERROR(VLOOKUP(C13,Custo_MI_Device!$B$2:$E$102,3,FALSE),0)</f>
        <v>0</v>
      </c>
      <c r="N13" s="27">
        <f t="shared" si="1"/>
        <v>0</v>
      </c>
      <c r="O13" s="178">
        <f t="shared" si="2"/>
        <v>0</v>
      </c>
    </row>
    <row r="14" spans="1:15" ht="25.5" hidden="1">
      <c r="A14" s="25">
        <v>4306</v>
      </c>
      <c r="B14" s="25" t="s">
        <v>5</v>
      </c>
      <c r="C14" s="26" t="s">
        <v>6</v>
      </c>
      <c r="D14" s="27">
        <v>73063000</v>
      </c>
      <c r="E14" s="28" t="s">
        <v>239</v>
      </c>
      <c r="F14" s="29">
        <v>0</v>
      </c>
      <c r="G14" s="30">
        <v>2</v>
      </c>
      <c r="H14" s="27" t="s">
        <v>232</v>
      </c>
      <c r="I14" s="26" t="s">
        <v>233</v>
      </c>
      <c r="J14" s="31">
        <v>32</v>
      </c>
      <c r="K14" s="32">
        <f t="shared" si="0"/>
        <v>64</v>
      </c>
      <c r="L14" s="29" t="s">
        <v>240</v>
      </c>
      <c r="M14" s="27">
        <f>IFERROR(VLOOKUP(C14,Custo_MI_Device!$B$2:$E$102,3,FALSE),0)</f>
        <v>0</v>
      </c>
      <c r="N14" s="27">
        <f t="shared" si="1"/>
        <v>0</v>
      </c>
      <c r="O14" s="178">
        <f t="shared" si="2"/>
        <v>0</v>
      </c>
    </row>
    <row r="15" spans="1:15" ht="12.75" hidden="1">
      <c r="A15" s="25">
        <v>2564</v>
      </c>
      <c r="B15" s="25" t="s">
        <v>5</v>
      </c>
      <c r="C15" s="26" t="s">
        <v>6</v>
      </c>
      <c r="D15" s="27">
        <v>73145000</v>
      </c>
      <c r="E15" s="28" t="s">
        <v>257</v>
      </c>
      <c r="F15" s="29" t="s">
        <v>258</v>
      </c>
      <c r="G15" s="30">
        <v>6</v>
      </c>
      <c r="H15" s="27" t="s">
        <v>158</v>
      </c>
      <c r="I15" s="26" t="s">
        <v>256</v>
      </c>
      <c r="J15" s="31">
        <v>21</v>
      </c>
      <c r="K15" s="32">
        <f t="shared" si="0"/>
        <v>126</v>
      </c>
      <c r="L15" s="29" t="s">
        <v>258</v>
      </c>
      <c r="M15" s="27">
        <f>IFERROR(VLOOKUP(C15,Custo_MI_Device!$B$2:$E$102,3,FALSE),0)</f>
        <v>0</v>
      </c>
      <c r="N15" s="27">
        <f t="shared" si="1"/>
        <v>0</v>
      </c>
      <c r="O15" s="178">
        <f t="shared" si="2"/>
        <v>0</v>
      </c>
    </row>
    <row r="16" spans="1:15" ht="12.75" hidden="1">
      <c r="A16" s="25">
        <v>3274</v>
      </c>
      <c r="B16" s="25" t="s">
        <v>5</v>
      </c>
      <c r="C16" s="26" t="s">
        <v>6</v>
      </c>
      <c r="D16" s="27">
        <v>73181500</v>
      </c>
      <c r="E16" s="28" t="s">
        <v>265</v>
      </c>
      <c r="F16" s="29" t="s">
        <v>266</v>
      </c>
      <c r="G16" s="30">
        <v>28</v>
      </c>
      <c r="H16" s="27" t="s">
        <v>137</v>
      </c>
      <c r="I16" s="26" t="s">
        <v>256</v>
      </c>
      <c r="J16" s="31">
        <v>0.06</v>
      </c>
      <c r="K16" s="32">
        <f t="shared" si="0"/>
        <v>1.68</v>
      </c>
      <c r="L16" s="29" t="s">
        <v>266</v>
      </c>
      <c r="M16" s="27">
        <f>IFERROR(VLOOKUP(C16,Custo_MI_Device!$B$2:$E$102,3,FALSE),0)</f>
        <v>0</v>
      </c>
      <c r="N16" s="27">
        <f t="shared" si="1"/>
        <v>0</v>
      </c>
      <c r="O16" s="178">
        <f t="shared" si="2"/>
        <v>0</v>
      </c>
    </row>
    <row r="17" spans="1:15" ht="25.5" hidden="1">
      <c r="A17" s="25">
        <v>1611</v>
      </c>
      <c r="B17" s="25" t="s">
        <v>5</v>
      </c>
      <c r="C17" s="26" t="s">
        <v>6</v>
      </c>
      <c r="D17" s="27">
        <v>39174090</v>
      </c>
      <c r="E17" s="28" t="s">
        <v>275</v>
      </c>
      <c r="F17" s="29" t="s">
        <v>276</v>
      </c>
      <c r="G17" s="30">
        <v>2</v>
      </c>
      <c r="H17" s="27" t="s">
        <v>137</v>
      </c>
      <c r="I17" s="26" t="s">
        <v>277</v>
      </c>
      <c r="J17" s="31">
        <v>7.8</v>
      </c>
      <c r="K17" s="32">
        <f t="shared" si="0"/>
        <v>15.6</v>
      </c>
      <c r="L17" s="29" t="s">
        <v>276</v>
      </c>
      <c r="M17" s="27">
        <f>IFERROR(VLOOKUP(C17,Custo_MI_Device!$B$2:$E$102,3,FALSE),0)</f>
        <v>0</v>
      </c>
      <c r="N17" s="27">
        <f t="shared" si="1"/>
        <v>0</v>
      </c>
      <c r="O17" s="178">
        <f t="shared" si="2"/>
        <v>0</v>
      </c>
    </row>
    <row r="18" spans="1:15" ht="12.75" hidden="1">
      <c r="A18" s="25">
        <v>5081</v>
      </c>
      <c r="B18" s="25" t="s">
        <v>5</v>
      </c>
      <c r="C18" s="26" t="s">
        <v>6</v>
      </c>
      <c r="D18" s="27">
        <v>73145000</v>
      </c>
      <c r="E18" s="28" t="s">
        <v>278</v>
      </c>
      <c r="F18" s="29">
        <v>0</v>
      </c>
      <c r="G18" s="30">
        <v>1</v>
      </c>
      <c r="H18" s="27" t="s">
        <v>137</v>
      </c>
      <c r="I18" s="26" t="s">
        <v>279</v>
      </c>
      <c r="J18" s="31">
        <v>23</v>
      </c>
      <c r="K18" s="32">
        <f t="shared" si="0"/>
        <v>23</v>
      </c>
      <c r="L18" s="29" t="s">
        <v>280</v>
      </c>
      <c r="M18" s="27">
        <f>IFERROR(VLOOKUP(C18,Custo_MI_Device!$B$2:$E$102,3,FALSE),0)</f>
        <v>0</v>
      </c>
      <c r="N18" s="27">
        <f t="shared" si="1"/>
        <v>0</v>
      </c>
      <c r="O18" s="178">
        <f t="shared" si="2"/>
        <v>0</v>
      </c>
    </row>
    <row r="19" spans="1:15" ht="12.75" hidden="1">
      <c r="A19" s="25">
        <v>2534</v>
      </c>
      <c r="B19" s="25" t="s">
        <v>5</v>
      </c>
      <c r="C19" s="26" t="s">
        <v>7</v>
      </c>
      <c r="D19" s="27">
        <v>73072900</v>
      </c>
      <c r="E19" s="28" t="s">
        <v>314</v>
      </c>
      <c r="F19" s="29" t="s">
        <v>315</v>
      </c>
      <c r="G19" s="30">
        <v>12</v>
      </c>
      <c r="H19" s="27" t="s">
        <v>137</v>
      </c>
      <c r="I19" s="26" t="s">
        <v>256</v>
      </c>
      <c r="J19" s="31">
        <v>1.2</v>
      </c>
      <c r="K19" s="32">
        <f t="shared" si="0"/>
        <v>14.399999999999999</v>
      </c>
      <c r="L19" s="29" t="s">
        <v>315</v>
      </c>
      <c r="M19" s="27">
        <f>IFERROR(VLOOKUP(C19,Custo_MI_Device!$B$2:$E$102,3,FALSE),0)</f>
        <v>0</v>
      </c>
      <c r="N19" s="27">
        <f t="shared" si="1"/>
        <v>0</v>
      </c>
      <c r="O19" s="178">
        <f t="shared" si="2"/>
        <v>0</v>
      </c>
    </row>
    <row r="20" spans="1:15" ht="12.75" hidden="1">
      <c r="A20" s="25">
        <v>1669</v>
      </c>
      <c r="B20" s="25" t="s">
        <v>5</v>
      </c>
      <c r="C20" s="26" t="s">
        <v>7</v>
      </c>
      <c r="D20" s="27">
        <v>39269090</v>
      </c>
      <c r="E20" s="28" t="s">
        <v>316</v>
      </c>
      <c r="F20" s="29" t="s">
        <v>317</v>
      </c>
      <c r="G20" s="30">
        <v>3</v>
      </c>
      <c r="H20" s="27" t="s">
        <v>137</v>
      </c>
      <c r="I20" s="26" t="s">
        <v>318</v>
      </c>
      <c r="J20" s="31">
        <v>0.04</v>
      </c>
      <c r="K20" s="32">
        <f t="shared" si="0"/>
        <v>0.12</v>
      </c>
      <c r="L20" s="29" t="s">
        <v>317</v>
      </c>
      <c r="M20" s="27">
        <f>IFERROR(VLOOKUP(C20,Custo_MI_Device!$B$2:$E$102,3,FALSE),0)</f>
        <v>0</v>
      </c>
      <c r="N20" s="27">
        <f t="shared" si="1"/>
        <v>0</v>
      </c>
      <c r="O20" s="178">
        <f t="shared" si="2"/>
        <v>0</v>
      </c>
    </row>
    <row r="21" spans="1:15" ht="12.75" hidden="1">
      <c r="A21" s="25">
        <v>5091</v>
      </c>
      <c r="B21" s="25" t="s">
        <v>5</v>
      </c>
      <c r="C21" s="26" t="s">
        <v>7</v>
      </c>
      <c r="D21" s="27">
        <v>73181500</v>
      </c>
      <c r="E21" s="28" t="s">
        <v>323</v>
      </c>
      <c r="F21" s="29" t="s">
        <v>324</v>
      </c>
      <c r="G21" s="30">
        <v>24</v>
      </c>
      <c r="H21" s="27" t="s">
        <v>137</v>
      </c>
      <c r="I21" s="26" t="s">
        <v>256</v>
      </c>
      <c r="J21" s="31">
        <v>0.04</v>
      </c>
      <c r="K21" s="32">
        <f t="shared" si="0"/>
        <v>0.96</v>
      </c>
      <c r="L21" s="29" t="s">
        <v>324</v>
      </c>
      <c r="M21" s="27">
        <f>IFERROR(VLOOKUP(C21,Custo_MI_Device!$B$2:$E$102,3,FALSE),0)</f>
        <v>0</v>
      </c>
      <c r="N21" s="27">
        <f t="shared" si="1"/>
        <v>0</v>
      </c>
      <c r="O21" s="178">
        <f t="shared" si="2"/>
        <v>0</v>
      </c>
    </row>
    <row r="22" spans="1:15" ht="12.75" hidden="1">
      <c r="A22" s="25">
        <v>1117</v>
      </c>
      <c r="B22" s="25" t="s">
        <v>5</v>
      </c>
      <c r="C22" s="26" t="s">
        <v>7</v>
      </c>
      <c r="D22" s="27"/>
      <c r="E22" s="28" t="s">
        <v>145</v>
      </c>
      <c r="F22" s="29" t="s">
        <v>146</v>
      </c>
      <c r="G22" s="30">
        <v>3</v>
      </c>
      <c r="H22" s="27" t="s">
        <v>137</v>
      </c>
      <c r="I22" s="26" t="s">
        <v>138</v>
      </c>
      <c r="J22" s="31">
        <v>1.95</v>
      </c>
      <c r="K22" s="32">
        <f t="shared" si="0"/>
        <v>5.85</v>
      </c>
      <c r="L22" s="29" t="s">
        <v>146</v>
      </c>
      <c r="M22" s="27">
        <f>IFERROR(VLOOKUP(C22,Custo_MI_Device!$B$2:$E$102,3,FALSE),0)</f>
        <v>0</v>
      </c>
      <c r="N22" s="27">
        <f t="shared" si="1"/>
        <v>0</v>
      </c>
      <c r="O22" s="178">
        <f t="shared" si="2"/>
        <v>0</v>
      </c>
    </row>
    <row r="23" spans="1:15" ht="38.25" hidden="1">
      <c r="A23" s="25">
        <v>3585</v>
      </c>
      <c r="B23" s="25" t="s">
        <v>5</v>
      </c>
      <c r="C23" s="26" t="s">
        <v>7</v>
      </c>
      <c r="D23" s="27">
        <v>85444900</v>
      </c>
      <c r="E23" s="28" t="s">
        <v>328</v>
      </c>
      <c r="F23" s="29">
        <v>900400</v>
      </c>
      <c r="G23" s="33">
        <v>0</v>
      </c>
      <c r="H23" s="27" t="s">
        <v>158</v>
      </c>
      <c r="I23" s="26" t="s">
        <v>164</v>
      </c>
      <c r="J23" s="31">
        <v>1.7</v>
      </c>
      <c r="K23" s="32">
        <f t="shared" si="0"/>
        <v>0</v>
      </c>
      <c r="L23" s="29">
        <v>900400</v>
      </c>
      <c r="M23" s="27">
        <f>IFERROR(VLOOKUP(C23,Custo_MI_Device!$B$2:$E$102,3,FALSE),0)</f>
        <v>0</v>
      </c>
      <c r="N23" s="27">
        <f t="shared" si="1"/>
        <v>0</v>
      </c>
      <c r="O23" s="178">
        <f t="shared" si="2"/>
        <v>0</v>
      </c>
    </row>
    <row r="24" spans="1:15" ht="12.75" hidden="1">
      <c r="A24" s="25">
        <v>2805</v>
      </c>
      <c r="B24" s="25" t="s">
        <v>5</v>
      </c>
      <c r="C24" s="26" t="s">
        <v>7</v>
      </c>
      <c r="D24" s="27">
        <v>72162100</v>
      </c>
      <c r="E24" s="28" t="s">
        <v>174</v>
      </c>
      <c r="F24" s="29">
        <v>0</v>
      </c>
      <c r="G24" s="30">
        <v>2.9</v>
      </c>
      <c r="H24" s="27" t="s">
        <v>175</v>
      </c>
      <c r="I24" s="26" t="s">
        <v>176</v>
      </c>
      <c r="J24" s="31">
        <v>4.22</v>
      </c>
      <c r="K24" s="32">
        <f t="shared" si="0"/>
        <v>12.238</v>
      </c>
      <c r="L24" s="29" t="s">
        <v>177</v>
      </c>
      <c r="M24" s="27">
        <f>IFERROR(VLOOKUP(C24,Custo_MI_Device!$B$2:$E$102,3,FALSE),0)</f>
        <v>0</v>
      </c>
      <c r="N24" s="27">
        <f t="shared" si="1"/>
        <v>0</v>
      </c>
      <c r="O24" s="178">
        <f t="shared" si="2"/>
        <v>0</v>
      </c>
    </row>
    <row r="25" spans="1:15" ht="12.75" hidden="1">
      <c r="A25" s="25">
        <v>4823</v>
      </c>
      <c r="B25" s="25" t="s">
        <v>5</v>
      </c>
      <c r="C25" s="26" t="s">
        <v>7</v>
      </c>
      <c r="D25" s="27">
        <v>76090000</v>
      </c>
      <c r="E25" s="28" t="s">
        <v>199</v>
      </c>
      <c r="F25" s="29" t="s">
        <v>200</v>
      </c>
      <c r="G25" s="30">
        <v>0.75</v>
      </c>
      <c r="H25" s="27" t="s">
        <v>137</v>
      </c>
      <c r="I25" s="26" t="s">
        <v>138</v>
      </c>
      <c r="J25" s="31">
        <v>6.7</v>
      </c>
      <c r="K25" s="32">
        <f t="shared" si="0"/>
        <v>5.0250000000000004</v>
      </c>
      <c r="L25" s="29" t="s">
        <v>200</v>
      </c>
      <c r="M25" s="27">
        <f>IFERROR(VLOOKUP(C25,Custo_MI_Device!$B$2:$E$102,3,FALSE),0)</f>
        <v>0</v>
      </c>
      <c r="N25" s="27">
        <f t="shared" si="1"/>
        <v>0</v>
      </c>
      <c r="O25" s="178">
        <f t="shared" si="2"/>
        <v>0</v>
      </c>
    </row>
    <row r="26" spans="1:15" ht="12.75" hidden="1">
      <c r="A26" s="25">
        <v>2912</v>
      </c>
      <c r="B26" s="25" t="s">
        <v>5</v>
      </c>
      <c r="C26" s="26" t="s">
        <v>7</v>
      </c>
      <c r="D26" s="27">
        <v>76090000</v>
      </c>
      <c r="E26" s="28" t="s">
        <v>201</v>
      </c>
      <c r="F26" s="29" t="s">
        <v>202</v>
      </c>
      <c r="G26" s="30">
        <v>1</v>
      </c>
      <c r="H26" s="27" t="s">
        <v>137</v>
      </c>
      <c r="I26" s="26" t="s">
        <v>138</v>
      </c>
      <c r="J26" s="31">
        <v>7.5</v>
      </c>
      <c r="K26" s="32">
        <f t="shared" si="0"/>
        <v>7.5</v>
      </c>
      <c r="L26" s="29" t="s">
        <v>202</v>
      </c>
      <c r="M26" s="27">
        <f>IFERROR(VLOOKUP(C26,Custo_MI_Device!$B$2:$E$102,3,FALSE),0)</f>
        <v>0</v>
      </c>
      <c r="N26" s="27">
        <f t="shared" si="1"/>
        <v>0</v>
      </c>
      <c r="O26" s="178">
        <f t="shared" si="2"/>
        <v>0</v>
      </c>
    </row>
    <row r="27" spans="1:15" ht="25.5" hidden="1">
      <c r="A27" s="25">
        <v>3436</v>
      </c>
      <c r="B27" s="25" t="s">
        <v>5</v>
      </c>
      <c r="C27" s="26" t="s">
        <v>7</v>
      </c>
      <c r="D27" s="27">
        <v>76090000</v>
      </c>
      <c r="E27" s="28" t="s">
        <v>193</v>
      </c>
      <c r="F27" s="29" t="s">
        <v>194</v>
      </c>
      <c r="G27" s="30">
        <v>1</v>
      </c>
      <c r="H27" s="27" t="s">
        <v>137</v>
      </c>
      <c r="I27" s="26" t="s">
        <v>138</v>
      </c>
      <c r="J27" s="31">
        <v>6.7</v>
      </c>
      <c r="K27" s="32">
        <f t="shared" si="0"/>
        <v>6.7</v>
      </c>
      <c r="L27" s="29" t="s">
        <v>194</v>
      </c>
      <c r="M27" s="27">
        <f>IFERROR(VLOOKUP(C27,Custo_MI_Device!$B$2:$E$102,3,FALSE),0)</f>
        <v>0</v>
      </c>
      <c r="N27" s="27">
        <f t="shared" si="1"/>
        <v>0</v>
      </c>
      <c r="O27" s="178">
        <f t="shared" si="2"/>
        <v>0</v>
      </c>
    </row>
    <row r="28" spans="1:15" ht="25.5" hidden="1">
      <c r="A28" s="25">
        <v>2909</v>
      </c>
      <c r="B28" s="25" t="s">
        <v>5</v>
      </c>
      <c r="C28" s="26" t="s">
        <v>7</v>
      </c>
      <c r="D28" s="27">
        <v>73072200</v>
      </c>
      <c r="E28" s="28" t="s">
        <v>216</v>
      </c>
      <c r="F28" s="29" t="s">
        <v>217</v>
      </c>
      <c r="G28" s="30">
        <v>1</v>
      </c>
      <c r="H28" s="27" t="s">
        <v>137</v>
      </c>
      <c r="I28" s="26" t="s">
        <v>218</v>
      </c>
      <c r="J28" s="31">
        <v>27.7</v>
      </c>
      <c r="K28" s="32">
        <f t="shared" si="0"/>
        <v>27.7</v>
      </c>
      <c r="L28" s="29" t="s">
        <v>217</v>
      </c>
      <c r="M28" s="27">
        <f>IFERROR(VLOOKUP(C28,Custo_MI_Device!$B$2:$E$102,3,FALSE),0)</f>
        <v>0</v>
      </c>
      <c r="N28" s="27">
        <f t="shared" si="1"/>
        <v>0</v>
      </c>
      <c r="O28" s="178">
        <f t="shared" si="2"/>
        <v>0</v>
      </c>
    </row>
    <row r="29" spans="1:15" ht="25.5" hidden="1">
      <c r="A29" s="25">
        <v>4306</v>
      </c>
      <c r="B29" s="25" t="s">
        <v>5</v>
      </c>
      <c r="C29" s="26" t="s">
        <v>7</v>
      </c>
      <c r="D29" s="27">
        <v>73063000</v>
      </c>
      <c r="E29" s="28" t="s">
        <v>239</v>
      </c>
      <c r="F29" s="29">
        <v>0</v>
      </c>
      <c r="G29" s="30">
        <v>2</v>
      </c>
      <c r="H29" s="27" t="s">
        <v>232</v>
      </c>
      <c r="I29" s="26" t="s">
        <v>233</v>
      </c>
      <c r="J29" s="31">
        <v>32</v>
      </c>
      <c r="K29" s="32">
        <f t="shared" si="0"/>
        <v>64</v>
      </c>
      <c r="L29" s="29" t="s">
        <v>240</v>
      </c>
      <c r="M29" s="27">
        <f>IFERROR(VLOOKUP(C29,Custo_MI_Device!$B$2:$E$102,3,FALSE),0)</f>
        <v>0</v>
      </c>
      <c r="N29" s="27">
        <f t="shared" si="1"/>
        <v>0</v>
      </c>
      <c r="O29" s="178">
        <f t="shared" si="2"/>
        <v>0</v>
      </c>
    </row>
    <row r="30" spans="1:15" ht="25.5" hidden="1">
      <c r="A30" s="25">
        <v>1900</v>
      </c>
      <c r="B30" s="25" t="s">
        <v>5</v>
      </c>
      <c r="C30" s="26" t="s">
        <v>7</v>
      </c>
      <c r="D30" s="27">
        <v>73072200</v>
      </c>
      <c r="E30" s="28" t="s">
        <v>249</v>
      </c>
      <c r="F30" s="29" t="s">
        <v>250</v>
      </c>
      <c r="G30" s="30">
        <v>1</v>
      </c>
      <c r="H30" s="27" t="s">
        <v>137</v>
      </c>
      <c r="I30" s="26" t="s">
        <v>218</v>
      </c>
      <c r="J30" s="31">
        <v>27</v>
      </c>
      <c r="K30" s="32">
        <f t="shared" si="0"/>
        <v>27</v>
      </c>
      <c r="L30" s="29" t="s">
        <v>250</v>
      </c>
      <c r="M30" s="27">
        <f>IFERROR(VLOOKUP(C30,Custo_MI_Device!$B$2:$E$102,3,FALSE),0)</f>
        <v>0</v>
      </c>
      <c r="N30" s="27">
        <f t="shared" si="1"/>
        <v>0</v>
      </c>
      <c r="O30" s="178">
        <f t="shared" si="2"/>
        <v>0</v>
      </c>
    </row>
    <row r="31" spans="1:15" ht="12.75" hidden="1">
      <c r="A31" s="25">
        <v>3274</v>
      </c>
      <c r="B31" s="25" t="s">
        <v>5</v>
      </c>
      <c r="C31" s="26" t="s">
        <v>7</v>
      </c>
      <c r="D31" s="27">
        <v>73181500</v>
      </c>
      <c r="E31" s="28" t="s">
        <v>265</v>
      </c>
      <c r="F31" s="29" t="s">
        <v>266</v>
      </c>
      <c r="G31" s="30">
        <v>24</v>
      </c>
      <c r="H31" s="27" t="s">
        <v>137</v>
      </c>
      <c r="I31" s="26" t="s">
        <v>256</v>
      </c>
      <c r="J31" s="31">
        <v>0.06</v>
      </c>
      <c r="K31" s="32">
        <f t="shared" si="0"/>
        <v>1.44</v>
      </c>
      <c r="L31" s="29" t="s">
        <v>266</v>
      </c>
      <c r="M31" s="27">
        <f>IFERROR(VLOOKUP(C31,Custo_MI_Device!$B$2:$E$102,3,FALSE),0)</f>
        <v>0</v>
      </c>
      <c r="N31" s="27">
        <f t="shared" si="1"/>
        <v>0</v>
      </c>
      <c r="O31" s="178">
        <f t="shared" si="2"/>
        <v>0</v>
      </c>
    </row>
    <row r="32" spans="1:15" ht="25.5" hidden="1">
      <c r="A32" s="25">
        <v>1611</v>
      </c>
      <c r="B32" s="25" t="s">
        <v>5</v>
      </c>
      <c r="C32" s="26" t="s">
        <v>7</v>
      </c>
      <c r="D32" s="27">
        <v>39174090</v>
      </c>
      <c r="E32" s="28" t="s">
        <v>275</v>
      </c>
      <c r="F32" s="29" t="s">
        <v>276</v>
      </c>
      <c r="G32" s="30">
        <v>3</v>
      </c>
      <c r="H32" s="27" t="s">
        <v>137</v>
      </c>
      <c r="I32" s="26" t="s">
        <v>277</v>
      </c>
      <c r="J32" s="31">
        <v>7.8</v>
      </c>
      <c r="K32" s="32">
        <f t="shared" si="0"/>
        <v>23.4</v>
      </c>
      <c r="L32" s="29" t="s">
        <v>276</v>
      </c>
      <c r="M32" s="27">
        <f>IFERROR(VLOOKUP(C32,Custo_MI_Device!$B$2:$E$102,3,FALSE),0)</f>
        <v>0</v>
      </c>
      <c r="N32" s="27">
        <f t="shared" si="1"/>
        <v>0</v>
      </c>
      <c r="O32" s="178">
        <f t="shared" si="2"/>
        <v>0</v>
      </c>
    </row>
    <row r="33" spans="1:15" ht="12.75" hidden="1">
      <c r="A33" s="25">
        <v>5081</v>
      </c>
      <c r="B33" s="25" t="s">
        <v>5</v>
      </c>
      <c r="C33" s="26" t="s">
        <v>7</v>
      </c>
      <c r="D33" s="27">
        <v>73145000</v>
      </c>
      <c r="E33" s="28" t="s">
        <v>278</v>
      </c>
      <c r="F33" s="29">
        <v>0</v>
      </c>
      <c r="G33" s="30">
        <v>1</v>
      </c>
      <c r="H33" s="27" t="s">
        <v>137</v>
      </c>
      <c r="I33" s="26" t="s">
        <v>279</v>
      </c>
      <c r="J33" s="31">
        <v>23</v>
      </c>
      <c r="K33" s="32">
        <f t="shared" si="0"/>
        <v>23</v>
      </c>
      <c r="L33" s="29" t="s">
        <v>280</v>
      </c>
      <c r="M33" s="27">
        <f>IFERROR(VLOOKUP(C33,Custo_MI_Device!$B$2:$E$102,3,FALSE),0)</f>
        <v>0</v>
      </c>
      <c r="N33" s="27">
        <f t="shared" si="1"/>
        <v>0</v>
      </c>
      <c r="O33" s="178">
        <f t="shared" si="2"/>
        <v>0</v>
      </c>
    </row>
    <row r="34" spans="1:15" ht="25.5" hidden="1">
      <c r="A34" s="25">
        <v>5194</v>
      </c>
      <c r="B34" s="25" t="s">
        <v>5</v>
      </c>
      <c r="C34" s="26" t="s">
        <v>7</v>
      </c>
      <c r="D34" s="27">
        <v>73041010</v>
      </c>
      <c r="E34" s="28" t="s">
        <v>289</v>
      </c>
      <c r="F34" s="29" t="s">
        <v>290</v>
      </c>
      <c r="G34" s="30">
        <v>1</v>
      </c>
      <c r="H34" s="27" t="s">
        <v>232</v>
      </c>
      <c r="I34" s="26" t="s">
        <v>218</v>
      </c>
      <c r="J34" s="31">
        <f>21.5*6</f>
        <v>129</v>
      </c>
      <c r="K34" s="32">
        <f t="shared" si="0"/>
        <v>129</v>
      </c>
      <c r="L34" s="29" t="s">
        <v>290</v>
      </c>
      <c r="M34" s="27">
        <f>IFERROR(VLOOKUP(C34,Custo_MI_Device!$B$2:$E$102,3,FALSE),0)</f>
        <v>0</v>
      </c>
      <c r="N34" s="27">
        <f t="shared" si="1"/>
        <v>0</v>
      </c>
      <c r="O34" s="178">
        <f t="shared" si="2"/>
        <v>0</v>
      </c>
    </row>
    <row r="35" spans="1:15" ht="25.5" hidden="1">
      <c r="A35" s="25">
        <v>2567</v>
      </c>
      <c r="B35" s="25" t="s">
        <v>5</v>
      </c>
      <c r="C35" s="26" t="s">
        <v>7</v>
      </c>
      <c r="D35" s="27">
        <v>84818095</v>
      </c>
      <c r="E35" s="28" t="s">
        <v>303</v>
      </c>
      <c r="F35" s="29">
        <v>0</v>
      </c>
      <c r="G35" s="30">
        <v>1</v>
      </c>
      <c r="H35" s="27" t="s">
        <v>137</v>
      </c>
      <c r="I35" s="26" t="s">
        <v>304</v>
      </c>
      <c r="J35" s="31">
        <v>27</v>
      </c>
      <c r="K35" s="32">
        <f t="shared" si="0"/>
        <v>27</v>
      </c>
      <c r="L35" s="29" t="s">
        <v>305</v>
      </c>
      <c r="M35" s="27">
        <f>IFERROR(VLOOKUP(C35,Custo_MI_Device!$B$2:$E$102,3,FALSE),0)</f>
        <v>0</v>
      </c>
      <c r="N35" s="27">
        <f t="shared" si="1"/>
        <v>0</v>
      </c>
      <c r="O35" s="178">
        <f t="shared" si="2"/>
        <v>0</v>
      </c>
    </row>
    <row r="36" spans="1:15" ht="12.75" hidden="1">
      <c r="A36" s="25">
        <v>2566</v>
      </c>
      <c r="B36" s="25" t="s">
        <v>5</v>
      </c>
      <c r="C36" s="26" t="s">
        <v>8</v>
      </c>
      <c r="D36" s="27">
        <v>73072900</v>
      </c>
      <c r="E36" s="28" t="s">
        <v>312</v>
      </c>
      <c r="F36" s="29" t="s">
        <v>313</v>
      </c>
      <c r="G36" s="30">
        <v>2</v>
      </c>
      <c r="H36" s="27" t="s">
        <v>137</v>
      </c>
      <c r="I36" s="26" t="s">
        <v>256</v>
      </c>
      <c r="J36" s="31">
        <v>2.8</v>
      </c>
      <c r="K36" s="32">
        <f t="shared" si="0"/>
        <v>5.6</v>
      </c>
      <c r="L36" s="29" t="s">
        <v>313</v>
      </c>
      <c r="M36" s="27">
        <f>IFERROR(VLOOKUP(C36,Custo_MI_Device!$B$2:$E$102,3,FALSE),0)</f>
        <v>0</v>
      </c>
      <c r="N36" s="27">
        <f t="shared" si="1"/>
        <v>0</v>
      </c>
      <c r="O36" s="178">
        <f t="shared" si="2"/>
        <v>0</v>
      </c>
    </row>
    <row r="37" spans="1:15" ht="12.75" hidden="1">
      <c r="A37" s="25">
        <v>2534</v>
      </c>
      <c r="B37" s="25" t="s">
        <v>5</v>
      </c>
      <c r="C37" s="26" t="s">
        <v>8</v>
      </c>
      <c r="D37" s="27">
        <v>73072900</v>
      </c>
      <c r="E37" s="28" t="s">
        <v>314</v>
      </c>
      <c r="F37" s="29" t="s">
        <v>315</v>
      </c>
      <c r="G37" s="30">
        <v>12</v>
      </c>
      <c r="H37" s="27" t="s">
        <v>137</v>
      </c>
      <c r="I37" s="26" t="s">
        <v>256</v>
      </c>
      <c r="J37" s="31">
        <v>1.2</v>
      </c>
      <c r="K37" s="32">
        <f t="shared" si="0"/>
        <v>14.399999999999999</v>
      </c>
      <c r="L37" s="29" t="s">
        <v>315</v>
      </c>
      <c r="M37" s="27">
        <f>IFERROR(VLOOKUP(C37,Custo_MI_Device!$B$2:$E$102,3,FALSE),0)</f>
        <v>0</v>
      </c>
      <c r="N37" s="27">
        <f t="shared" si="1"/>
        <v>0</v>
      </c>
      <c r="O37" s="178">
        <f t="shared" si="2"/>
        <v>0</v>
      </c>
    </row>
    <row r="38" spans="1:15" ht="12.75" hidden="1">
      <c r="A38" s="25">
        <v>1669</v>
      </c>
      <c r="B38" s="25" t="s">
        <v>5</v>
      </c>
      <c r="C38" s="26" t="s">
        <v>8</v>
      </c>
      <c r="D38" s="27">
        <v>39269090</v>
      </c>
      <c r="E38" s="28" t="s">
        <v>316</v>
      </c>
      <c r="F38" s="29" t="s">
        <v>317</v>
      </c>
      <c r="G38" s="30">
        <v>3</v>
      </c>
      <c r="H38" s="27" t="s">
        <v>137</v>
      </c>
      <c r="I38" s="26" t="s">
        <v>318</v>
      </c>
      <c r="J38" s="31">
        <v>0.04</v>
      </c>
      <c r="K38" s="32">
        <f t="shared" si="0"/>
        <v>0.12</v>
      </c>
      <c r="L38" s="29" t="s">
        <v>317</v>
      </c>
      <c r="M38" s="27">
        <f>IFERROR(VLOOKUP(C38,Custo_MI_Device!$B$2:$E$102,3,FALSE),0)</f>
        <v>0</v>
      </c>
      <c r="N38" s="27">
        <f t="shared" si="1"/>
        <v>0</v>
      </c>
      <c r="O38" s="178">
        <f t="shared" si="2"/>
        <v>0</v>
      </c>
    </row>
    <row r="39" spans="1:15" ht="12.75" hidden="1">
      <c r="A39" s="25">
        <v>5091</v>
      </c>
      <c r="B39" s="25" t="s">
        <v>5</v>
      </c>
      <c r="C39" s="26" t="s">
        <v>8</v>
      </c>
      <c r="D39" s="27">
        <v>73181500</v>
      </c>
      <c r="E39" s="28" t="s">
        <v>323</v>
      </c>
      <c r="F39" s="29" t="s">
        <v>324</v>
      </c>
      <c r="G39" s="30">
        <v>28</v>
      </c>
      <c r="H39" s="27" t="s">
        <v>137</v>
      </c>
      <c r="I39" s="26" t="s">
        <v>256</v>
      </c>
      <c r="J39" s="31">
        <v>0.04</v>
      </c>
      <c r="K39" s="32">
        <f t="shared" si="0"/>
        <v>1.1200000000000001</v>
      </c>
      <c r="L39" s="29" t="s">
        <v>324</v>
      </c>
      <c r="M39" s="27">
        <f>IFERROR(VLOOKUP(C39,Custo_MI_Device!$B$2:$E$102,3,FALSE),0)</f>
        <v>0</v>
      </c>
      <c r="N39" s="27">
        <f t="shared" si="1"/>
        <v>0</v>
      </c>
      <c r="O39" s="178">
        <f t="shared" si="2"/>
        <v>0</v>
      </c>
    </row>
    <row r="40" spans="1:15" ht="12.75" hidden="1">
      <c r="A40" s="25">
        <v>1117</v>
      </c>
      <c r="B40" s="25" t="s">
        <v>5</v>
      </c>
      <c r="C40" s="26" t="s">
        <v>8</v>
      </c>
      <c r="D40" s="27"/>
      <c r="E40" s="28" t="s">
        <v>145</v>
      </c>
      <c r="F40" s="29" t="s">
        <v>146</v>
      </c>
      <c r="G40" s="30">
        <v>1</v>
      </c>
      <c r="H40" s="27" t="s">
        <v>137</v>
      </c>
      <c r="I40" s="26" t="s">
        <v>138</v>
      </c>
      <c r="J40" s="31">
        <v>1.95</v>
      </c>
      <c r="K40" s="32">
        <f t="shared" si="0"/>
        <v>1.95</v>
      </c>
      <c r="L40" s="29" t="s">
        <v>146</v>
      </c>
      <c r="M40" s="27">
        <f>IFERROR(VLOOKUP(C40,Custo_MI_Device!$B$2:$E$102,3,FALSE),0)</f>
        <v>0</v>
      </c>
      <c r="N40" s="27">
        <f t="shared" si="1"/>
        <v>0</v>
      </c>
      <c r="O40" s="178">
        <f t="shared" si="2"/>
        <v>0</v>
      </c>
    </row>
    <row r="41" spans="1:15" ht="25.5" hidden="1">
      <c r="A41" s="25">
        <v>4054</v>
      </c>
      <c r="B41" s="25" t="s">
        <v>5</v>
      </c>
      <c r="C41" s="26" t="s">
        <v>8</v>
      </c>
      <c r="D41" s="27">
        <v>85444900</v>
      </c>
      <c r="E41" s="28" t="s">
        <v>163</v>
      </c>
      <c r="F41" s="29">
        <v>900550</v>
      </c>
      <c r="G41" s="33">
        <v>0</v>
      </c>
      <c r="H41" s="27" t="s">
        <v>158</v>
      </c>
      <c r="I41" s="26" t="s">
        <v>164</v>
      </c>
      <c r="J41" s="31">
        <v>3.1</v>
      </c>
      <c r="K41" s="32">
        <f t="shared" si="0"/>
        <v>0</v>
      </c>
      <c r="L41" s="29">
        <v>900550</v>
      </c>
      <c r="M41" s="27">
        <f>IFERROR(VLOOKUP(C41,Custo_MI_Device!$B$2:$E$102,3,FALSE),0)</f>
        <v>0</v>
      </c>
      <c r="N41" s="27">
        <f t="shared" si="1"/>
        <v>0</v>
      </c>
      <c r="O41" s="178">
        <f t="shared" si="2"/>
        <v>0</v>
      </c>
    </row>
    <row r="42" spans="1:15" ht="38.25" hidden="1">
      <c r="A42" s="25">
        <v>3585</v>
      </c>
      <c r="B42" s="25" t="s">
        <v>5</v>
      </c>
      <c r="C42" s="26" t="s">
        <v>8</v>
      </c>
      <c r="D42" s="27">
        <v>85444900</v>
      </c>
      <c r="E42" s="28" t="s">
        <v>328</v>
      </c>
      <c r="F42" s="29">
        <v>900400</v>
      </c>
      <c r="G42" s="33">
        <v>0</v>
      </c>
      <c r="H42" s="27" t="s">
        <v>158</v>
      </c>
      <c r="I42" s="26" t="s">
        <v>164</v>
      </c>
      <c r="J42" s="31">
        <v>1.7</v>
      </c>
      <c r="K42" s="32">
        <f t="shared" si="0"/>
        <v>0</v>
      </c>
      <c r="L42" s="29">
        <v>900400</v>
      </c>
      <c r="M42" s="27">
        <f>IFERROR(VLOOKUP(C42,Custo_MI_Device!$B$2:$E$102,3,FALSE),0)</f>
        <v>0</v>
      </c>
      <c r="N42" s="27">
        <f t="shared" si="1"/>
        <v>0</v>
      </c>
      <c r="O42" s="178">
        <f t="shared" si="2"/>
        <v>0</v>
      </c>
    </row>
    <row r="43" spans="1:15" ht="12.75" hidden="1">
      <c r="A43" s="25">
        <v>2805</v>
      </c>
      <c r="B43" s="25" t="s">
        <v>5</v>
      </c>
      <c r="C43" s="26" t="s">
        <v>8</v>
      </c>
      <c r="D43" s="27">
        <v>72162100</v>
      </c>
      <c r="E43" s="28" t="s">
        <v>174</v>
      </c>
      <c r="F43" s="29">
        <v>0</v>
      </c>
      <c r="G43" s="30">
        <v>2.9</v>
      </c>
      <c r="H43" s="27" t="s">
        <v>175</v>
      </c>
      <c r="I43" s="26" t="s">
        <v>176</v>
      </c>
      <c r="J43" s="31">
        <v>4.22</v>
      </c>
      <c r="K43" s="32">
        <f t="shared" si="0"/>
        <v>12.238</v>
      </c>
      <c r="L43" s="29" t="s">
        <v>177</v>
      </c>
      <c r="M43" s="27">
        <f>IFERROR(VLOOKUP(C43,Custo_MI_Device!$B$2:$E$102,3,FALSE),0)</f>
        <v>0</v>
      </c>
      <c r="N43" s="27">
        <f t="shared" si="1"/>
        <v>0</v>
      </c>
      <c r="O43" s="178">
        <f t="shared" si="2"/>
        <v>0</v>
      </c>
    </row>
    <row r="44" spans="1:15" ht="12.75" hidden="1">
      <c r="A44" s="25">
        <v>4823</v>
      </c>
      <c r="B44" s="25" t="s">
        <v>5</v>
      </c>
      <c r="C44" s="26" t="s">
        <v>8</v>
      </c>
      <c r="D44" s="27">
        <v>76090000</v>
      </c>
      <c r="E44" s="28" t="s">
        <v>199</v>
      </c>
      <c r="F44" s="29" t="s">
        <v>200</v>
      </c>
      <c r="G44" s="30">
        <v>0.75</v>
      </c>
      <c r="H44" s="27" t="s">
        <v>137</v>
      </c>
      <c r="I44" s="26" t="s">
        <v>138</v>
      </c>
      <c r="J44" s="31">
        <v>6.7</v>
      </c>
      <c r="K44" s="32">
        <f t="shared" si="0"/>
        <v>5.0250000000000004</v>
      </c>
      <c r="L44" s="29" t="s">
        <v>200</v>
      </c>
      <c r="M44" s="27">
        <f>IFERROR(VLOOKUP(C44,Custo_MI_Device!$B$2:$E$102,3,FALSE),0)</f>
        <v>0</v>
      </c>
      <c r="N44" s="27">
        <f t="shared" si="1"/>
        <v>0</v>
      </c>
      <c r="O44" s="178">
        <f t="shared" si="2"/>
        <v>0</v>
      </c>
    </row>
    <row r="45" spans="1:15" ht="12.75" hidden="1">
      <c r="A45" s="25">
        <v>2912</v>
      </c>
      <c r="B45" s="25" t="s">
        <v>5</v>
      </c>
      <c r="C45" s="26" t="s">
        <v>8</v>
      </c>
      <c r="D45" s="27">
        <v>76090000</v>
      </c>
      <c r="E45" s="28" t="s">
        <v>201</v>
      </c>
      <c r="F45" s="29" t="s">
        <v>202</v>
      </c>
      <c r="G45" s="30">
        <v>1</v>
      </c>
      <c r="H45" s="27" t="s">
        <v>137</v>
      </c>
      <c r="I45" s="26" t="s">
        <v>138</v>
      </c>
      <c r="J45" s="31">
        <v>7.5</v>
      </c>
      <c r="K45" s="32">
        <f t="shared" si="0"/>
        <v>7.5</v>
      </c>
      <c r="L45" s="29" t="s">
        <v>202</v>
      </c>
      <c r="M45" s="27">
        <f>IFERROR(VLOOKUP(C45,Custo_MI_Device!$B$2:$E$102,3,FALSE),0)</f>
        <v>0</v>
      </c>
      <c r="N45" s="27">
        <f t="shared" si="1"/>
        <v>0</v>
      </c>
      <c r="O45" s="178">
        <f t="shared" si="2"/>
        <v>0</v>
      </c>
    </row>
    <row r="46" spans="1:15" ht="25.5" hidden="1">
      <c r="A46" s="25">
        <v>3436</v>
      </c>
      <c r="B46" s="25" t="s">
        <v>5</v>
      </c>
      <c r="C46" s="26" t="s">
        <v>8</v>
      </c>
      <c r="D46" s="27">
        <v>76090000</v>
      </c>
      <c r="E46" s="28" t="s">
        <v>193</v>
      </c>
      <c r="F46" s="29" t="s">
        <v>194</v>
      </c>
      <c r="G46" s="30">
        <v>1</v>
      </c>
      <c r="H46" s="27" t="s">
        <v>137</v>
      </c>
      <c r="I46" s="26" t="s">
        <v>138</v>
      </c>
      <c r="J46" s="31">
        <v>6.7</v>
      </c>
      <c r="K46" s="32">
        <f t="shared" si="0"/>
        <v>6.7</v>
      </c>
      <c r="L46" s="29" t="s">
        <v>194</v>
      </c>
      <c r="M46" s="27">
        <f>IFERROR(VLOOKUP(C46,Custo_MI_Device!$B$2:$E$102,3,FALSE),0)</f>
        <v>0</v>
      </c>
      <c r="N46" s="27">
        <f t="shared" si="1"/>
        <v>0</v>
      </c>
      <c r="O46" s="178">
        <f t="shared" si="2"/>
        <v>0</v>
      </c>
    </row>
    <row r="47" spans="1:15" ht="25.5" hidden="1">
      <c r="A47" s="25">
        <v>4307</v>
      </c>
      <c r="B47" s="25" t="s">
        <v>5</v>
      </c>
      <c r="C47" s="26" t="s">
        <v>8</v>
      </c>
      <c r="D47" s="27">
        <v>73063000</v>
      </c>
      <c r="E47" s="28" t="s">
        <v>237</v>
      </c>
      <c r="F47" s="29">
        <v>0</v>
      </c>
      <c r="G47" s="33">
        <v>0</v>
      </c>
      <c r="H47" s="27" t="s">
        <v>232</v>
      </c>
      <c r="I47" s="26" t="s">
        <v>233</v>
      </c>
      <c r="J47" s="31">
        <v>86</v>
      </c>
      <c r="K47" s="32">
        <f t="shared" si="0"/>
        <v>0</v>
      </c>
      <c r="L47" s="29" t="s">
        <v>238</v>
      </c>
      <c r="M47" s="27">
        <f>IFERROR(VLOOKUP(C47,Custo_MI_Device!$B$2:$E$102,3,FALSE),0)</f>
        <v>0</v>
      </c>
      <c r="N47" s="27">
        <f t="shared" si="1"/>
        <v>0</v>
      </c>
      <c r="O47" s="178">
        <f t="shared" si="2"/>
        <v>0</v>
      </c>
    </row>
    <row r="48" spans="1:15" ht="25.5" hidden="1">
      <c r="A48" s="25">
        <v>4306</v>
      </c>
      <c r="B48" s="25" t="s">
        <v>5</v>
      </c>
      <c r="C48" s="26" t="s">
        <v>8</v>
      </c>
      <c r="D48" s="27">
        <v>73063000</v>
      </c>
      <c r="E48" s="28" t="s">
        <v>239</v>
      </c>
      <c r="F48" s="29">
        <v>0</v>
      </c>
      <c r="G48" s="30">
        <v>2</v>
      </c>
      <c r="H48" s="27" t="s">
        <v>232</v>
      </c>
      <c r="I48" s="26" t="s">
        <v>233</v>
      </c>
      <c r="J48" s="31">
        <v>32</v>
      </c>
      <c r="K48" s="32">
        <f t="shared" si="0"/>
        <v>64</v>
      </c>
      <c r="L48" s="29" t="s">
        <v>240</v>
      </c>
      <c r="M48" s="27">
        <f>IFERROR(VLOOKUP(C48,Custo_MI_Device!$B$2:$E$102,3,FALSE),0)</f>
        <v>0</v>
      </c>
      <c r="N48" s="27">
        <f t="shared" si="1"/>
        <v>0</v>
      </c>
      <c r="O48" s="178">
        <f t="shared" si="2"/>
        <v>0</v>
      </c>
    </row>
    <row r="49" spans="1:15" ht="12.75" hidden="1">
      <c r="A49" s="25">
        <v>2564</v>
      </c>
      <c r="B49" s="25" t="s">
        <v>5</v>
      </c>
      <c r="C49" s="26" t="s">
        <v>8</v>
      </c>
      <c r="D49" s="27">
        <v>73145000</v>
      </c>
      <c r="E49" s="28" t="s">
        <v>257</v>
      </c>
      <c r="F49" s="29" t="s">
        <v>258</v>
      </c>
      <c r="G49" s="30">
        <v>6</v>
      </c>
      <c r="H49" s="27" t="s">
        <v>158</v>
      </c>
      <c r="I49" s="26" t="s">
        <v>256</v>
      </c>
      <c r="J49" s="31">
        <v>21</v>
      </c>
      <c r="K49" s="32">
        <f t="shared" si="0"/>
        <v>126</v>
      </c>
      <c r="L49" s="29" t="s">
        <v>258</v>
      </c>
      <c r="M49" s="27">
        <f>IFERROR(VLOOKUP(C49,Custo_MI_Device!$B$2:$E$102,3,FALSE),0)</f>
        <v>0</v>
      </c>
      <c r="N49" s="27">
        <f t="shared" si="1"/>
        <v>0</v>
      </c>
      <c r="O49" s="178">
        <f t="shared" si="2"/>
        <v>0</v>
      </c>
    </row>
    <row r="50" spans="1:15" ht="12.75" hidden="1">
      <c r="A50" s="25">
        <v>3274</v>
      </c>
      <c r="B50" s="25" t="s">
        <v>5</v>
      </c>
      <c r="C50" s="26" t="s">
        <v>8</v>
      </c>
      <c r="D50" s="27">
        <v>73181500</v>
      </c>
      <c r="E50" s="28" t="s">
        <v>265</v>
      </c>
      <c r="F50" s="29" t="s">
        <v>266</v>
      </c>
      <c r="G50" s="30">
        <v>28</v>
      </c>
      <c r="H50" s="27" t="s">
        <v>137</v>
      </c>
      <c r="I50" s="26" t="s">
        <v>256</v>
      </c>
      <c r="J50" s="31">
        <v>0.06</v>
      </c>
      <c r="K50" s="32">
        <f t="shared" si="0"/>
        <v>1.68</v>
      </c>
      <c r="L50" s="29" t="s">
        <v>266</v>
      </c>
      <c r="M50" s="27">
        <f>IFERROR(VLOOKUP(C50,Custo_MI_Device!$B$2:$E$102,3,FALSE),0)</f>
        <v>0</v>
      </c>
      <c r="N50" s="27">
        <f t="shared" si="1"/>
        <v>0</v>
      </c>
      <c r="O50" s="178">
        <f t="shared" si="2"/>
        <v>0</v>
      </c>
    </row>
    <row r="51" spans="1:15" ht="25.5" hidden="1">
      <c r="A51" s="25">
        <v>1611</v>
      </c>
      <c r="B51" s="25" t="s">
        <v>5</v>
      </c>
      <c r="C51" s="26" t="s">
        <v>8</v>
      </c>
      <c r="D51" s="27">
        <v>39174090</v>
      </c>
      <c r="E51" s="28" t="s">
        <v>275</v>
      </c>
      <c r="F51" s="29" t="s">
        <v>276</v>
      </c>
      <c r="G51" s="30">
        <v>2</v>
      </c>
      <c r="H51" s="27" t="s">
        <v>137</v>
      </c>
      <c r="I51" s="26" t="s">
        <v>277</v>
      </c>
      <c r="J51" s="31">
        <v>7.8</v>
      </c>
      <c r="K51" s="32">
        <f t="shared" si="0"/>
        <v>15.6</v>
      </c>
      <c r="L51" s="29" t="s">
        <v>276</v>
      </c>
      <c r="M51" s="27">
        <f>IFERROR(VLOOKUP(C51,Custo_MI_Device!$B$2:$E$102,3,FALSE),0)</f>
        <v>0</v>
      </c>
      <c r="N51" s="27">
        <f t="shared" si="1"/>
        <v>0</v>
      </c>
      <c r="O51" s="178">
        <f t="shared" si="2"/>
        <v>0</v>
      </c>
    </row>
    <row r="52" spans="1:15" ht="12.75" hidden="1">
      <c r="A52" s="25">
        <v>5081</v>
      </c>
      <c r="B52" s="25" t="s">
        <v>5</v>
      </c>
      <c r="C52" s="26" t="s">
        <v>8</v>
      </c>
      <c r="D52" s="27">
        <v>73145000</v>
      </c>
      <c r="E52" s="28" t="s">
        <v>278</v>
      </c>
      <c r="F52" s="29">
        <v>0</v>
      </c>
      <c r="G52" s="30">
        <v>1</v>
      </c>
      <c r="H52" s="27" t="s">
        <v>137</v>
      </c>
      <c r="I52" s="26" t="s">
        <v>279</v>
      </c>
      <c r="J52" s="31">
        <v>23</v>
      </c>
      <c r="K52" s="32">
        <f t="shared" si="0"/>
        <v>23</v>
      </c>
      <c r="L52" s="29" t="s">
        <v>280</v>
      </c>
      <c r="M52" s="27">
        <f>IFERROR(VLOOKUP(C52,Custo_MI_Device!$B$2:$E$102,3,FALSE),0)</f>
        <v>0</v>
      </c>
      <c r="N52" s="27">
        <f t="shared" si="1"/>
        <v>0</v>
      </c>
      <c r="O52" s="178">
        <f t="shared" si="2"/>
        <v>0</v>
      </c>
    </row>
    <row r="53" spans="1:15" ht="12.75">
      <c r="A53" s="25">
        <v>2534</v>
      </c>
      <c r="B53" s="25" t="s">
        <v>5</v>
      </c>
      <c r="C53" s="26" t="s">
        <v>9</v>
      </c>
      <c r="D53" s="27">
        <v>73072900</v>
      </c>
      <c r="E53" s="28" t="s">
        <v>314</v>
      </c>
      <c r="F53" s="29" t="s">
        <v>315</v>
      </c>
      <c r="G53" s="30">
        <v>12</v>
      </c>
      <c r="H53" s="27" t="s">
        <v>137</v>
      </c>
      <c r="I53" s="26" t="s">
        <v>256</v>
      </c>
      <c r="J53" s="191">
        <v>2.02</v>
      </c>
      <c r="K53" s="32">
        <f t="shared" si="0"/>
        <v>24.240000000000002</v>
      </c>
      <c r="L53" s="29" t="s">
        <v>315</v>
      </c>
      <c r="M53" s="27">
        <f>IFERROR(VLOOKUP(C53,Custo_MI_Device!$B$2:$E$102,3,FALSE),0)</f>
        <v>11</v>
      </c>
      <c r="N53" s="27">
        <f t="shared" si="1"/>
        <v>132</v>
      </c>
      <c r="O53" s="178">
        <f t="shared" si="2"/>
        <v>266.64</v>
      </c>
    </row>
    <row r="54" spans="1:15" ht="12.75">
      <c r="A54" s="25">
        <v>1669</v>
      </c>
      <c r="B54" s="25" t="s">
        <v>5</v>
      </c>
      <c r="C54" s="26" t="s">
        <v>9</v>
      </c>
      <c r="D54" s="27">
        <v>39269090</v>
      </c>
      <c r="E54" s="28" t="s">
        <v>316</v>
      </c>
      <c r="F54" s="29" t="s">
        <v>317</v>
      </c>
      <c r="G54" s="30">
        <v>3</v>
      </c>
      <c r="H54" s="27" t="s">
        <v>137</v>
      </c>
      <c r="I54" s="26" t="s">
        <v>318</v>
      </c>
      <c r="J54" s="191">
        <v>0.1</v>
      </c>
      <c r="K54" s="32">
        <f t="shared" si="0"/>
        <v>0.30000000000000004</v>
      </c>
      <c r="L54" s="29" t="s">
        <v>317</v>
      </c>
      <c r="M54" s="27">
        <f>IFERROR(VLOOKUP(C54,Custo_MI_Device!$B$2:$E$102,3,FALSE),0)</f>
        <v>11</v>
      </c>
      <c r="N54" s="27">
        <f t="shared" si="1"/>
        <v>33</v>
      </c>
      <c r="O54" s="178">
        <f t="shared" si="2"/>
        <v>3.3000000000000003</v>
      </c>
    </row>
    <row r="55" spans="1:15" ht="12.75">
      <c r="A55" s="25">
        <v>5091</v>
      </c>
      <c r="B55" s="25" t="s">
        <v>5</v>
      </c>
      <c r="C55" s="26" t="s">
        <v>9</v>
      </c>
      <c r="D55" s="27">
        <v>73181500</v>
      </c>
      <c r="E55" s="28" t="s">
        <v>323</v>
      </c>
      <c r="F55" s="29" t="s">
        <v>324</v>
      </c>
      <c r="G55" s="30">
        <v>24</v>
      </c>
      <c r="H55" s="27" t="s">
        <v>137</v>
      </c>
      <c r="I55" s="26" t="s">
        <v>256</v>
      </c>
      <c r="J55" s="191">
        <v>0.1</v>
      </c>
      <c r="K55" s="32">
        <f t="shared" si="0"/>
        <v>2.4000000000000004</v>
      </c>
      <c r="L55" s="29" t="s">
        <v>324</v>
      </c>
      <c r="M55" s="27">
        <f>IFERROR(VLOOKUP(C55,Custo_MI_Device!$B$2:$E$102,3,FALSE),0)</f>
        <v>11</v>
      </c>
      <c r="N55" s="27">
        <f t="shared" si="1"/>
        <v>264</v>
      </c>
      <c r="O55" s="178">
        <f t="shared" si="2"/>
        <v>26.400000000000002</v>
      </c>
    </row>
    <row r="56" spans="1:15" ht="12.75">
      <c r="A56" s="25">
        <v>1117</v>
      </c>
      <c r="B56" s="25" t="s">
        <v>5</v>
      </c>
      <c r="C56" s="26" t="s">
        <v>9</v>
      </c>
      <c r="D56" s="27"/>
      <c r="E56" s="28" t="s">
        <v>145</v>
      </c>
      <c r="F56" s="29" t="s">
        <v>146</v>
      </c>
      <c r="G56" s="30">
        <v>3</v>
      </c>
      <c r="H56" s="27" t="s">
        <v>137</v>
      </c>
      <c r="I56" s="26" t="s">
        <v>138</v>
      </c>
      <c r="J56" s="191">
        <v>1.95</v>
      </c>
      <c r="K56" s="190">
        <v>4.8499999999999996</v>
      </c>
      <c r="L56" s="29" t="s">
        <v>146</v>
      </c>
      <c r="M56" s="27">
        <f>IFERROR(VLOOKUP(C56,Custo_MI_Device!$B$2:$E$102,3,FALSE),0)</f>
        <v>11</v>
      </c>
      <c r="N56" s="27">
        <f t="shared" si="1"/>
        <v>33</v>
      </c>
      <c r="O56" s="178">
        <f t="shared" si="2"/>
        <v>64.349999999999994</v>
      </c>
    </row>
    <row r="57" spans="1:15" ht="25.5">
      <c r="A57" s="25">
        <v>4054</v>
      </c>
      <c r="B57" s="25" t="s">
        <v>5</v>
      </c>
      <c r="C57" s="26" t="s">
        <v>9</v>
      </c>
      <c r="D57" s="27">
        <v>85444900</v>
      </c>
      <c r="E57" s="28" t="s">
        <v>163</v>
      </c>
      <c r="F57" s="29">
        <v>900550</v>
      </c>
      <c r="G57" s="33">
        <v>0</v>
      </c>
      <c r="H57" s="27" t="s">
        <v>158</v>
      </c>
      <c r="I57" s="26" t="s">
        <v>164</v>
      </c>
      <c r="J57" s="191">
        <v>3.1</v>
      </c>
      <c r="K57" s="32">
        <f t="shared" si="0"/>
        <v>0</v>
      </c>
      <c r="L57" s="29">
        <v>900550</v>
      </c>
      <c r="M57" s="27">
        <f>IFERROR(VLOOKUP(C57,Custo_MI_Device!$B$2:$E$102,3,FALSE),0)</f>
        <v>11</v>
      </c>
      <c r="N57" s="27">
        <f t="shared" si="1"/>
        <v>0</v>
      </c>
      <c r="O57" s="178">
        <f t="shared" si="2"/>
        <v>0</v>
      </c>
    </row>
    <row r="58" spans="1:15" ht="38.25">
      <c r="A58" s="25">
        <v>3585</v>
      </c>
      <c r="B58" s="25" t="s">
        <v>5</v>
      </c>
      <c r="C58" s="26" t="s">
        <v>9</v>
      </c>
      <c r="D58" s="27">
        <v>85444900</v>
      </c>
      <c r="E58" s="28" t="s">
        <v>328</v>
      </c>
      <c r="F58" s="29">
        <v>900400</v>
      </c>
      <c r="G58" s="33">
        <v>0</v>
      </c>
      <c r="H58" s="27" t="s">
        <v>158</v>
      </c>
      <c r="I58" s="26" t="s">
        <v>164</v>
      </c>
      <c r="J58" s="191">
        <v>1.7</v>
      </c>
      <c r="K58" s="32">
        <f t="shared" si="0"/>
        <v>0</v>
      </c>
      <c r="L58" s="29">
        <v>900400</v>
      </c>
      <c r="M58" s="27">
        <f>IFERROR(VLOOKUP(C58,Custo_MI_Device!$B$2:$E$102,3,FALSE),0)</f>
        <v>11</v>
      </c>
      <c r="N58" s="27">
        <f t="shared" si="1"/>
        <v>0</v>
      </c>
      <c r="O58" s="178">
        <f t="shared" si="2"/>
        <v>0</v>
      </c>
    </row>
    <row r="59" spans="1:15" ht="12.75">
      <c r="A59" s="25">
        <v>2805</v>
      </c>
      <c r="B59" s="25" t="s">
        <v>5</v>
      </c>
      <c r="C59" s="26" t="s">
        <v>9</v>
      </c>
      <c r="D59" s="27">
        <v>72162100</v>
      </c>
      <c r="E59" s="28" t="s">
        <v>174</v>
      </c>
      <c r="F59" s="29">
        <v>0</v>
      </c>
      <c r="G59" s="33">
        <v>0</v>
      </c>
      <c r="H59" s="27" t="s">
        <v>175</v>
      </c>
      <c r="I59" s="26" t="s">
        <v>176</v>
      </c>
      <c r="J59" s="191">
        <v>4.22</v>
      </c>
      <c r="K59" s="32">
        <f t="shared" si="0"/>
        <v>0</v>
      </c>
      <c r="L59" s="29" t="s">
        <v>177</v>
      </c>
      <c r="M59" s="27">
        <f>IFERROR(VLOOKUP(C59,Custo_MI_Device!$B$2:$E$102,3,FALSE),0)</f>
        <v>11</v>
      </c>
      <c r="N59" s="27">
        <f t="shared" si="1"/>
        <v>0</v>
      </c>
      <c r="O59" s="178">
        <f t="shared" si="2"/>
        <v>0</v>
      </c>
    </row>
    <row r="60" spans="1:15" ht="12.75">
      <c r="A60" s="25">
        <v>4823</v>
      </c>
      <c r="B60" s="25" t="s">
        <v>5</v>
      </c>
      <c r="C60" s="26" t="s">
        <v>9</v>
      </c>
      <c r="D60" s="27">
        <v>76090000</v>
      </c>
      <c r="E60" s="28" t="s">
        <v>199</v>
      </c>
      <c r="F60" s="29" t="s">
        <v>200</v>
      </c>
      <c r="G60" s="30">
        <v>2</v>
      </c>
      <c r="H60" s="27" t="s">
        <v>137</v>
      </c>
      <c r="I60" s="26" t="s">
        <v>138</v>
      </c>
      <c r="J60" s="31">
        <v>26.06</v>
      </c>
      <c r="K60" s="32">
        <f t="shared" si="0"/>
        <v>52.12</v>
      </c>
      <c r="L60" s="29" t="s">
        <v>200</v>
      </c>
      <c r="M60" s="27">
        <f>IFERROR(VLOOKUP(C60,Custo_MI_Device!$B$2:$E$102,3,FALSE),0)</f>
        <v>11</v>
      </c>
      <c r="N60" s="27">
        <f t="shared" si="1"/>
        <v>22</v>
      </c>
      <c r="O60" s="178">
        <f t="shared" si="2"/>
        <v>573.31999999999994</v>
      </c>
    </row>
    <row r="61" spans="1:15" ht="12.75">
      <c r="A61" s="25">
        <v>2912</v>
      </c>
      <c r="B61" s="25" t="s">
        <v>5</v>
      </c>
      <c r="C61" s="26" t="s">
        <v>9</v>
      </c>
      <c r="D61" s="27">
        <v>76090000</v>
      </c>
      <c r="E61" s="28" t="s">
        <v>201</v>
      </c>
      <c r="F61" s="29" t="s">
        <v>202</v>
      </c>
      <c r="G61" s="30">
        <v>2</v>
      </c>
      <c r="H61" s="27" t="s">
        <v>137</v>
      </c>
      <c r="I61" s="26" t="s">
        <v>138</v>
      </c>
      <c r="J61" s="31">
        <v>29.74</v>
      </c>
      <c r="K61" s="32">
        <f t="shared" si="0"/>
        <v>59.48</v>
      </c>
      <c r="L61" s="29" t="s">
        <v>202</v>
      </c>
      <c r="M61" s="27">
        <f>IFERROR(VLOOKUP(C61,Custo_MI_Device!$B$2:$E$102,3,FALSE),0)</f>
        <v>11</v>
      </c>
      <c r="N61" s="27">
        <f t="shared" si="1"/>
        <v>22</v>
      </c>
      <c r="O61" s="178">
        <f t="shared" si="2"/>
        <v>654.28</v>
      </c>
    </row>
    <row r="62" spans="1:15" ht="25.5">
      <c r="A62" s="25">
        <v>3436</v>
      </c>
      <c r="B62" s="25" t="s">
        <v>5</v>
      </c>
      <c r="C62" s="26" t="s">
        <v>9</v>
      </c>
      <c r="D62" s="27">
        <v>76090000</v>
      </c>
      <c r="E62" s="28" t="s">
        <v>193</v>
      </c>
      <c r="F62" s="29" t="s">
        <v>194</v>
      </c>
      <c r="G62" s="30">
        <v>2</v>
      </c>
      <c r="H62" s="27" t="s">
        <v>137</v>
      </c>
      <c r="I62" s="26" t="s">
        <v>138</v>
      </c>
      <c r="J62" s="31">
        <v>26.06</v>
      </c>
      <c r="K62" s="32">
        <f t="shared" si="0"/>
        <v>52.12</v>
      </c>
      <c r="L62" s="29" t="s">
        <v>194</v>
      </c>
      <c r="M62" s="27">
        <f>IFERROR(VLOOKUP(C62,Custo_MI_Device!$B$2:$E$102,3,FALSE),0)</f>
        <v>11</v>
      </c>
      <c r="N62" s="27">
        <f t="shared" si="1"/>
        <v>22</v>
      </c>
      <c r="O62" s="178">
        <f t="shared" si="2"/>
        <v>573.31999999999994</v>
      </c>
    </row>
    <row r="63" spans="1:15" ht="25.5">
      <c r="A63" s="25">
        <v>2909</v>
      </c>
      <c r="B63" s="25" t="s">
        <v>5</v>
      </c>
      <c r="C63" s="26" t="s">
        <v>9</v>
      </c>
      <c r="D63" s="27">
        <v>73072200</v>
      </c>
      <c r="E63" s="28" t="s">
        <v>216</v>
      </c>
      <c r="F63" s="29" t="s">
        <v>217</v>
      </c>
      <c r="G63" s="30">
        <v>1</v>
      </c>
      <c r="H63" s="27" t="s">
        <v>137</v>
      </c>
      <c r="I63" s="26" t="s">
        <v>218</v>
      </c>
      <c r="J63" s="191">
        <v>89.89</v>
      </c>
      <c r="K63" s="32">
        <f t="shared" si="0"/>
        <v>89.89</v>
      </c>
      <c r="L63" s="29" t="s">
        <v>217</v>
      </c>
      <c r="M63" s="27">
        <f>IFERROR(VLOOKUP(C63,Custo_MI_Device!$B$2:$E$102,3,FALSE),0)</f>
        <v>11</v>
      </c>
      <c r="N63" s="27">
        <f t="shared" si="1"/>
        <v>11</v>
      </c>
      <c r="O63" s="178">
        <f t="shared" si="2"/>
        <v>988.79</v>
      </c>
    </row>
    <row r="64" spans="1:15" ht="25.5">
      <c r="A64" s="25">
        <v>4306</v>
      </c>
      <c r="B64" s="25" t="s">
        <v>5</v>
      </c>
      <c r="C64" s="26" t="s">
        <v>9</v>
      </c>
      <c r="D64" s="27">
        <v>73063000</v>
      </c>
      <c r="E64" s="28" t="s">
        <v>239</v>
      </c>
      <c r="F64" s="29">
        <v>0</v>
      </c>
      <c r="G64" s="30">
        <v>0</v>
      </c>
      <c r="H64" s="27" t="s">
        <v>232</v>
      </c>
      <c r="I64" s="26" t="s">
        <v>233</v>
      </c>
      <c r="J64" s="191">
        <v>32</v>
      </c>
      <c r="K64" s="32">
        <f t="shared" si="0"/>
        <v>0</v>
      </c>
      <c r="L64" s="29" t="s">
        <v>240</v>
      </c>
      <c r="M64" s="27">
        <f>IFERROR(VLOOKUP(C64,Custo_MI_Device!$B$2:$E$102,3,FALSE),0)</f>
        <v>11</v>
      </c>
      <c r="N64" s="27">
        <f t="shared" si="1"/>
        <v>0</v>
      </c>
      <c r="O64" s="178">
        <f t="shared" si="2"/>
        <v>0</v>
      </c>
    </row>
    <row r="65" spans="1:15" ht="25.5">
      <c r="A65" s="25">
        <v>1900</v>
      </c>
      <c r="B65" s="25" t="s">
        <v>5</v>
      </c>
      <c r="C65" s="26" t="s">
        <v>9</v>
      </c>
      <c r="D65" s="27">
        <v>73072200</v>
      </c>
      <c r="E65" s="28" t="s">
        <v>249</v>
      </c>
      <c r="F65" s="29" t="s">
        <v>250</v>
      </c>
      <c r="G65" s="30">
        <v>1</v>
      </c>
      <c r="H65" s="27" t="s">
        <v>137</v>
      </c>
      <c r="I65" s="26" t="s">
        <v>218</v>
      </c>
      <c r="J65" s="191">
        <v>59.86</v>
      </c>
      <c r="K65" s="32">
        <f t="shared" si="0"/>
        <v>59.86</v>
      </c>
      <c r="L65" s="29" t="s">
        <v>250</v>
      </c>
      <c r="M65" s="27">
        <f>IFERROR(VLOOKUP(C65,Custo_MI_Device!$B$2:$E$102,3,FALSE),0)</f>
        <v>11</v>
      </c>
      <c r="N65" s="27">
        <f t="shared" si="1"/>
        <v>11</v>
      </c>
      <c r="O65" s="178">
        <f t="shared" si="2"/>
        <v>658.46</v>
      </c>
    </row>
    <row r="66" spans="1:15" ht="12.75">
      <c r="A66" s="25">
        <v>3274</v>
      </c>
      <c r="B66" s="25" t="s">
        <v>5</v>
      </c>
      <c r="C66" s="26" t="s">
        <v>9</v>
      </c>
      <c r="D66" s="27">
        <v>73181500</v>
      </c>
      <c r="E66" s="28" t="s">
        <v>265</v>
      </c>
      <c r="F66" s="29" t="s">
        <v>266</v>
      </c>
      <c r="G66" s="30">
        <v>24</v>
      </c>
      <c r="H66" s="27" t="s">
        <v>137</v>
      </c>
      <c r="I66" s="26" t="s">
        <v>256</v>
      </c>
      <c r="J66" s="191">
        <v>0.11</v>
      </c>
      <c r="K66" s="32">
        <f t="shared" si="0"/>
        <v>2.64</v>
      </c>
      <c r="L66" s="29" t="s">
        <v>266</v>
      </c>
      <c r="M66" s="27">
        <f>IFERROR(VLOOKUP(C66,Custo_MI_Device!$B$2:$E$102,3,FALSE),0)</f>
        <v>11</v>
      </c>
      <c r="N66" s="27">
        <f t="shared" si="1"/>
        <v>264</v>
      </c>
      <c r="O66" s="178">
        <f t="shared" si="2"/>
        <v>29.04</v>
      </c>
    </row>
    <row r="67" spans="1:15" ht="25.5">
      <c r="A67" s="25">
        <v>1611</v>
      </c>
      <c r="B67" s="25" t="s">
        <v>5</v>
      </c>
      <c r="C67" s="26" t="s">
        <v>9</v>
      </c>
      <c r="D67" s="27">
        <v>39174090</v>
      </c>
      <c r="E67" s="28" t="s">
        <v>275</v>
      </c>
      <c r="F67" s="29" t="s">
        <v>276</v>
      </c>
      <c r="G67" s="30">
        <v>3</v>
      </c>
      <c r="H67" s="27" t="s">
        <v>137</v>
      </c>
      <c r="I67" s="26" t="s">
        <v>277</v>
      </c>
      <c r="J67" s="191">
        <v>7.8</v>
      </c>
      <c r="K67" s="32">
        <f t="shared" ref="K67:K130" si="3">G67*J67</f>
        <v>23.4</v>
      </c>
      <c r="L67" s="29" t="s">
        <v>276</v>
      </c>
      <c r="M67" s="27">
        <f>IFERROR(VLOOKUP(C67,Custo_MI_Device!$B$2:$E$102,3,FALSE),0)</f>
        <v>11</v>
      </c>
      <c r="N67" s="27">
        <f t="shared" ref="N67:N130" si="4">ROUNDUP(M67*G67,0)</f>
        <v>33</v>
      </c>
      <c r="O67" s="178">
        <f t="shared" ref="O67:O130" si="5">N67*J67</f>
        <v>257.39999999999998</v>
      </c>
    </row>
    <row r="68" spans="1:15" ht="12.75">
      <c r="A68" s="25">
        <v>5081</v>
      </c>
      <c r="B68" s="25" t="s">
        <v>5</v>
      </c>
      <c r="C68" s="26" t="s">
        <v>9</v>
      </c>
      <c r="D68" s="27">
        <v>73145000</v>
      </c>
      <c r="E68" s="28" t="s">
        <v>278</v>
      </c>
      <c r="F68" s="29">
        <v>0</v>
      </c>
      <c r="G68" s="30">
        <v>1</v>
      </c>
      <c r="H68" s="27" t="s">
        <v>137</v>
      </c>
      <c r="I68" s="26" t="s">
        <v>279</v>
      </c>
      <c r="J68" s="191">
        <v>45</v>
      </c>
      <c r="K68" s="32">
        <f t="shared" si="3"/>
        <v>45</v>
      </c>
      <c r="L68" s="29" t="s">
        <v>280</v>
      </c>
      <c r="M68" s="27">
        <f>IFERROR(VLOOKUP(C68,Custo_MI_Device!$B$2:$E$102,3,FALSE),0)</f>
        <v>11</v>
      </c>
      <c r="N68" s="27">
        <f t="shared" si="4"/>
        <v>11</v>
      </c>
      <c r="O68" s="178">
        <f t="shared" si="5"/>
        <v>495</v>
      </c>
    </row>
    <row r="69" spans="1:15" ht="25.5">
      <c r="A69" s="25">
        <v>5194</v>
      </c>
      <c r="B69" s="25" t="s">
        <v>5</v>
      </c>
      <c r="C69" s="26" t="s">
        <v>9</v>
      </c>
      <c r="D69" s="27">
        <v>73041010</v>
      </c>
      <c r="E69" s="28" t="s">
        <v>289</v>
      </c>
      <c r="F69" s="29" t="s">
        <v>290</v>
      </c>
      <c r="G69" s="30">
        <v>1</v>
      </c>
      <c r="H69" s="27" t="s">
        <v>232</v>
      </c>
      <c r="I69" s="26" t="s">
        <v>218</v>
      </c>
      <c r="J69" s="191">
        <v>298</v>
      </c>
      <c r="K69" s="32">
        <f t="shared" si="3"/>
        <v>298</v>
      </c>
      <c r="L69" s="29" t="s">
        <v>290</v>
      </c>
      <c r="M69" s="27">
        <f>IFERROR(VLOOKUP(C69,Custo_MI_Device!$B$2:$E$102,3,FALSE),0)</f>
        <v>11</v>
      </c>
      <c r="N69" s="27">
        <f t="shared" si="4"/>
        <v>11</v>
      </c>
      <c r="O69" s="178">
        <f t="shared" si="5"/>
        <v>3278</v>
      </c>
    </row>
    <row r="70" spans="1:15" ht="25.5">
      <c r="A70" s="25">
        <v>2567</v>
      </c>
      <c r="B70" s="25" t="s">
        <v>5</v>
      </c>
      <c r="C70" s="26" t="s">
        <v>9</v>
      </c>
      <c r="D70" s="27">
        <v>84818095</v>
      </c>
      <c r="E70" s="28" t="s">
        <v>303</v>
      </c>
      <c r="F70" s="29">
        <v>0</v>
      </c>
      <c r="G70" s="30">
        <v>1</v>
      </c>
      <c r="H70" s="27" t="s">
        <v>137</v>
      </c>
      <c r="I70" s="26" t="s">
        <v>304</v>
      </c>
      <c r="J70" s="191">
        <v>56</v>
      </c>
      <c r="K70" s="32">
        <f t="shared" si="3"/>
        <v>56</v>
      </c>
      <c r="L70" s="29" t="s">
        <v>305</v>
      </c>
      <c r="M70" s="27">
        <f>IFERROR(VLOOKUP(C70,Custo_MI_Device!$B$2:$E$102,3,FALSE),0)</f>
        <v>11</v>
      </c>
      <c r="N70" s="27">
        <f t="shared" si="4"/>
        <v>11</v>
      </c>
      <c r="O70" s="178">
        <f t="shared" si="5"/>
        <v>616</v>
      </c>
    </row>
    <row r="71" spans="1:15" ht="12.75" hidden="1">
      <c r="A71" s="25">
        <v>2566</v>
      </c>
      <c r="B71" s="25" t="s">
        <v>5</v>
      </c>
      <c r="C71" s="26" t="s">
        <v>10</v>
      </c>
      <c r="D71" s="27">
        <v>73072900</v>
      </c>
      <c r="E71" s="28" t="s">
        <v>312</v>
      </c>
      <c r="F71" s="29" t="s">
        <v>313</v>
      </c>
      <c r="G71" s="30">
        <v>2</v>
      </c>
      <c r="H71" s="27" t="s">
        <v>137</v>
      </c>
      <c r="I71" s="26" t="s">
        <v>256</v>
      </c>
      <c r="J71" s="31">
        <v>2.8</v>
      </c>
      <c r="K71" s="32">
        <f t="shared" si="3"/>
        <v>5.6</v>
      </c>
      <c r="L71" s="29" t="s">
        <v>313</v>
      </c>
      <c r="M71" s="27">
        <f>IFERROR(VLOOKUP(C71,Custo_MI_Device!$B$2:$E$102,3,FALSE),0)</f>
        <v>0</v>
      </c>
      <c r="N71" s="27">
        <f t="shared" si="4"/>
        <v>0</v>
      </c>
      <c r="O71" s="178">
        <f t="shared" si="5"/>
        <v>0</v>
      </c>
    </row>
    <row r="72" spans="1:15" ht="12.75" hidden="1">
      <c r="A72" s="25">
        <v>2534</v>
      </c>
      <c r="B72" s="25" t="s">
        <v>5</v>
      </c>
      <c r="C72" s="26" t="s">
        <v>10</v>
      </c>
      <c r="D72" s="27">
        <v>73072900</v>
      </c>
      <c r="E72" s="28" t="s">
        <v>314</v>
      </c>
      <c r="F72" s="29" t="s">
        <v>315</v>
      </c>
      <c r="G72" s="30">
        <v>12</v>
      </c>
      <c r="H72" s="27" t="s">
        <v>137</v>
      </c>
      <c r="I72" s="26" t="s">
        <v>256</v>
      </c>
      <c r="J72" s="31">
        <v>1.2</v>
      </c>
      <c r="K72" s="32">
        <f t="shared" si="3"/>
        <v>14.399999999999999</v>
      </c>
      <c r="L72" s="29" t="s">
        <v>315</v>
      </c>
      <c r="M72" s="27">
        <f>IFERROR(VLOOKUP(C72,Custo_MI_Device!$B$2:$E$102,3,FALSE),0)</f>
        <v>0</v>
      </c>
      <c r="N72" s="27">
        <f t="shared" si="4"/>
        <v>0</v>
      </c>
      <c r="O72" s="178">
        <f t="shared" si="5"/>
        <v>0</v>
      </c>
    </row>
    <row r="73" spans="1:15" ht="12.75" hidden="1">
      <c r="A73" s="25">
        <v>1669</v>
      </c>
      <c r="B73" s="25" t="s">
        <v>5</v>
      </c>
      <c r="C73" s="26" t="s">
        <v>10</v>
      </c>
      <c r="D73" s="27">
        <v>39269090</v>
      </c>
      <c r="E73" s="28" t="s">
        <v>316</v>
      </c>
      <c r="F73" s="29" t="s">
        <v>317</v>
      </c>
      <c r="G73" s="30">
        <v>3</v>
      </c>
      <c r="H73" s="27" t="s">
        <v>137</v>
      </c>
      <c r="I73" s="26" t="s">
        <v>318</v>
      </c>
      <c r="J73" s="31">
        <v>0.04</v>
      </c>
      <c r="K73" s="32">
        <f t="shared" si="3"/>
        <v>0.12</v>
      </c>
      <c r="L73" s="29" t="s">
        <v>317</v>
      </c>
      <c r="M73" s="27">
        <f>IFERROR(VLOOKUP(C73,Custo_MI_Device!$B$2:$E$102,3,FALSE),0)</f>
        <v>0</v>
      </c>
      <c r="N73" s="27">
        <f t="shared" si="4"/>
        <v>0</v>
      </c>
      <c r="O73" s="178">
        <f t="shared" si="5"/>
        <v>0</v>
      </c>
    </row>
    <row r="74" spans="1:15" ht="12.75" hidden="1">
      <c r="A74" s="25">
        <v>5091</v>
      </c>
      <c r="B74" s="25" t="s">
        <v>5</v>
      </c>
      <c r="C74" s="26" t="s">
        <v>10</v>
      </c>
      <c r="D74" s="27">
        <v>73181500</v>
      </c>
      <c r="E74" s="28" t="s">
        <v>323</v>
      </c>
      <c r="F74" s="29" t="s">
        <v>324</v>
      </c>
      <c r="G74" s="30">
        <v>28</v>
      </c>
      <c r="H74" s="27" t="s">
        <v>137</v>
      </c>
      <c r="I74" s="26" t="s">
        <v>256</v>
      </c>
      <c r="J74" s="31">
        <v>0.04</v>
      </c>
      <c r="K74" s="32">
        <f t="shared" si="3"/>
        <v>1.1200000000000001</v>
      </c>
      <c r="L74" s="29" t="s">
        <v>324</v>
      </c>
      <c r="M74" s="27">
        <f>IFERROR(VLOOKUP(C74,Custo_MI_Device!$B$2:$E$102,3,FALSE),0)</f>
        <v>0</v>
      </c>
      <c r="N74" s="27">
        <f t="shared" si="4"/>
        <v>0</v>
      </c>
      <c r="O74" s="178">
        <f t="shared" si="5"/>
        <v>0</v>
      </c>
    </row>
    <row r="75" spans="1:15" ht="12.75" hidden="1">
      <c r="A75" s="25">
        <v>1117</v>
      </c>
      <c r="B75" s="25" t="s">
        <v>5</v>
      </c>
      <c r="C75" s="26" t="s">
        <v>10</v>
      </c>
      <c r="D75" s="27"/>
      <c r="E75" s="28" t="s">
        <v>145</v>
      </c>
      <c r="F75" s="29" t="s">
        <v>146</v>
      </c>
      <c r="G75" s="30">
        <v>1</v>
      </c>
      <c r="H75" s="27" t="s">
        <v>137</v>
      </c>
      <c r="I75" s="26" t="s">
        <v>138</v>
      </c>
      <c r="J75" s="31">
        <v>1.95</v>
      </c>
      <c r="K75" s="32">
        <f t="shared" si="3"/>
        <v>1.95</v>
      </c>
      <c r="L75" s="29" t="s">
        <v>146</v>
      </c>
      <c r="M75" s="27">
        <f>IFERROR(VLOOKUP(C75,Custo_MI_Device!$B$2:$E$102,3,FALSE),0)</f>
        <v>0</v>
      </c>
      <c r="N75" s="27">
        <f t="shared" si="4"/>
        <v>0</v>
      </c>
      <c r="O75" s="178">
        <f t="shared" si="5"/>
        <v>0</v>
      </c>
    </row>
    <row r="76" spans="1:15" ht="25.5" hidden="1">
      <c r="A76" s="25">
        <v>4054</v>
      </c>
      <c r="B76" s="25" t="s">
        <v>5</v>
      </c>
      <c r="C76" s="26" t="s">
        <v>10</v>
      </c>
      <c r="D76" s="27">
        <v>85444900</v>
      </c>
      <c r="E76" s="28" t="s">
        <v>163</v>
      </c>
      <c r="F76" s="29">
        <v>900550</v>
      </c>
      <c r="G76" s="30">
        <v>40</v>
      </c>
      <c r="H76" s="27" t="s">
        <v>158</v>
      </c>
      <c r="I76" s="26" t="s">
        <v>164</v>
      </c>
      <c r="J76" s="31">
        <v>3.1</v>
      </c>
      <c r="K76" s="32">
        <f t="shared" si="3"/>
        <v>124</v>
      </c>
      <c r="L76" s="29">
        <v>900550</v>
      </c>
      <c r="M76" s="27">
        <f>IFERROR(VLOOKUP(C76,Custo_MI_Device!$B$2:$E$102,3,FALSE),0)</f>
        <v>0</v>
      </c>
      <c r="N76" s="27">
        <f t="shared" si="4"/>
        <v>0</v>
      </c>
      <c r="O76" s="178">
        <f t="shared" si="5"/>
        <v>0</v>
      </c>
    </row>
    <row r="77" spans="1:15" ht="25.5" hidden="1">
      <c r="A77" s="25">
        <v>5139</v>
      </c>
      <c r="B77" s="25" t="s">
        <v>5</v>
      </c>
      <c r="C77" s="26" t="s">
        <v>10</v>
      </c>
      <c r="D77" s="27">
        <v>85444900</v>
      </c>
      <c r="E77" s="28" t="s">
        <v>170</v>
      </c>
      <c r="F77" s="29" t="s">
        <v>171</v>
      </c>
      <c r="G77" s="30">
        <v>15</v>
      </c>
      <c r="H77" s="27" t="s">
        <v>158</v>
      </c>
      <c r="I77" s="26" t="s">
        <v>172</v>
      </c>
      <c r="J77" s="31">
        <v>7.5</v>
      </c>
      <c r="K77" s="32">
        <f t="shared" si="3"/>
        <v>112.5</v>
      </c>
      <c r="L77" s="29" t="s">
        <v>173</v>
      </c>
      <c r="M77" s="27">
        <f>IFERROR(VLOOKUP(C77,Custo_MI_Device!$B$2:$E$102,3,FALSE),0)</f>
        <v>0</v>
      </c>
      <c r="N77" s="27">
        <f t="shared" si="4"/>
        <v>0</v>
      </c>
      <c r="O77" s="178">
        <f t="shared" si="5"/>
        <v>0</v>
      </c>
    </row>
    <row r="78" spans="1:15" ht="12.75" hidden="1">
      <c r="A78" s="25">
        <v>2805</v>
      </c>
      <c r="B78" s="25" t="s">
        <v>5</v>
      </c>
      <c r="C78" s="26" t="s">
        <v>10</v>
      </c>
      <c r="D78" s="27">
        <v>72162100</v>
      </c>
      <c r="E78" s="28" t="s">
        <v>174</v>
      </c>
      <c r="F78" s="29">
        <v>0</v>
      </c>
      <c r="G78" s="30">
        <v>2.9</v>
      </c>
      <c r="H78" s="27" t="s">
        <v>175</v>
      </c>
      <c r="I78" s="26" t="s">
        <v>176</v>
      </c>
      <c r="J78" s="31">
        <v>4.22</v>
      </c>
      <c r="K78" s="32">
        <f t="shared" si="3"/>
        <v>12.238</v>
      </c>
      <c r="L78" s="29" t="s">
        <v>177</v>
      </c>
      <c r="M78" s="27">
        <f>IFERROR(VLOOKUP(C78,Custo_MI_Device!$B$2:$E$102,3,FALSE),0)</f>
        <v>0</v>
      </c>
      <c r="N78" s="27">
        <f t="shared" si="4"/>
        <v>0</v>
      </c>
      <c r="O78" s="178">
        <f t="shared" si="5"/>
        <v>0</v>
      </c>
    </row>
    <row r="79" spans="1:15" ht="12.75" hidden="1">
      <c r="A79" s="25">
        <v>4823</v>
      </c>
      <c r="B79" s="25" t="s">
        <v>5</v>
      </c>
      <c r="C79" s="26" t="s">
        <v>10</v>
      </c>
      <c r="D79" s="27">
        <v>76090000</v>
      </c>
      <c r="E79" s="28" t="s">
        <v>199</v>
      </c>
      <c r="F79" s="29" t="s">
        <v>200</v>
      </c>
      <c r="G79" s="30">
        <v>0.75</v>
      </c>
      <c r="H79" s="27" t="s">
        <v>137</v>
      </c>
      <c r="I79" s="26" t="s">
        <v>138</v>
      </c>
      <c r="J79" s="31">
        <v>6.7</v>
      </c>
      <c r="K79" s="32">
        <f t="shared" si="3"/>
        <v>5.0250000000000004</v>
      </c>
      <c r="L79" s="29" t="s">
        <v>200</v>
      </c>
      <c r="M79" s="27">
        <f>IFERROR(VLOOKUP(C79,Custo_MI_Device!$B$2:$E$102,3,FALSE),0)</f>
        <v>0</v>
      </c>
      <c r="N79" s="27">
        <f t="shared" si="4"/>
        <v>0</v>
      </c>
      <c r="O79" s="178">
        <f t="shared" si="5"/>
        <v>0</v>
      </c>
    </row>
    <row r="80" spans="1:15" ht="12.75" hidden="1">
      <c r="A80" s="25">
        <v>2912</v>
      </c>
      <c r="B80" s="25" t="s">
        <v>5</v>
      </c>
      <c r="C80" s="26" t="s">
        <v>10</v>
      </c>
      <c r="D80" s="27">
        <v>76090000</v>
      </c>
      <c r="E80" s="28" t="s">
        <v>201</v>
      </c>
      <c r="F80" s="29" t="s">
        <v>202</v>
      </c>
      <c r="G80" s="30">
        <v>1</v>
      </c>
      <c r="H80" s="27" t="s">
        <v>137</v>
      </c>
      <c r="I80" s="26" t="s">
        <v>138</v>
      </c>
      <c r="J80" s="31">
        <v>7.5</v>
      </c>
      <c r="K80" s="32">
        <f t="shared" si="3"/>
        <v>7.5</v>
      </c>
      <c r="L80" s="29" t="s">
        <v>202</v>
      </c>
      <c r="M80" s="27">
        <f>IFERROR(VLOOKUP(C80,Custo_MI_Device!$B$2:$E$102,3,FALSE),0)</f>
        <v>0</v>
      </c>
      <c r="N80" s="27">
        <f t="shared" si="4"/>
        <v>0</v>
      </c>
      <c r="O80" s="178">
        <f t="shared" si="5"/>
        <v>0</v>
      </c>
    </row>
    <row r="81" spans="1:15" ht="25.5" hidden="1">
      <c r="A81" s="25">
        <v>3436</v>
      </c>
      <c r="B81" s="25" t="s">
        <v>5</v>
      </c>
      <c r="C81" s="26" t="s">
        <v>10</v>
      </c>
      <c r="D81" s="27">
        <v>76090000</v>
      </c>
      <c r="E81" s="28" t="s">
        <v>193</v>
      </c>
      <c r="F81" s="29" t="s">
        <v>194</v>
      </c>
      <c r="G81" s="30">
        <v>1</v>
      </c>
      <c r="H81" s="27" t="s">
        <v>137</v>
      </c>
      <c r="I81" s="26" t="s">
        <v>138</v>
      </c>
      <c r="J81" s="31">
        <v>6.7</v>
      </c>
      <c r="K81" s="32">
        <f t="shared" si="3"/>
        <v>6.7</v>
      </c>
      <c r="L81" s="29" t="s">
        <v>194</v>
      </c>
      <c r="M81" s="27">
        <f>IFERROR(VLOOKUP(C81,Custo_MI_Device!$B$2:$E$102,3,FALSE),0)</f>
        <v>0</v>
      </c>
      <c r="N81" s="27">
        <f t="shared" si="4"/>
        <v>0</v>
      </c>
      <c r="O81" s="178">
        <f t="shared" si="5"/>
        <v>0</v>
      </c>
    </row>
    <row r="82" spans="1:15" ht="25.5" hidden="1">
      <c r="A82" s="25">
        <v>4307</v>
      </c>
      <c r="B82" s="25" t="s">
        <v>5</v>
      </c>
      <c r="C82" s="26" t="s">
        <v>10</v>
      </c>
      <c r="D82" s="27">
        <v>73063000</v>
      </c>
      <c r="E82" s="28" t="s">
        <v>237</v>
      </c>
      <c r="F82" s="29">
        <v>0</v>
      </c>
      <c r="G82" s="33">
        <v>0</v>
      </c>
      <c r="H82" s="27" t="s">
        <v>232</v>
      </c>
      <c r="I82" s="26" t="s">
        <v>233</v>
      </c>
      <c r="J82" s="31">
        <v>86</v>
      </c>
      <c r="K82" s="32">
        <f t="shared" si="3"/>
        <v>0</v>
      </c>
      <c r="L82" s="29" t="s">
        <v>238</v>
      </c>
      <c r="M82" s="27">
        <f>IFERROR(VLOOKUP(C82,Custo_MI_Device!$B$2:$E$102,3,FALSE),0)</f>
        <v>0</v>
      </c>
      <c r="N82" s="27">
        <f t="shared" si="4"/>
        <v>0</v>
      </c>
      <c r="O82" s="178">
        <f t="shared" si="5"/>
        <v>0</v>
      </c>
    </row>
    <row r="83" spans="1:15" ht="25.5" hidden="1">
      <c r="A83" s="25">
        <v>4306</v>
      </c>
      <c r="B83" s="25" t="s">
        <v>5</v>
      </c>
      <c r="C83" s="26" t="s">
        <v>10</v>
      </c>
      <c r="D83" s="27">
        <v>73063000</v>
      </c>
      <c r="E83" s="28" t="s">
        <v>239</v>
      </c>
      <c r="F83" s="29">
        <v>0</v>
      </c>
      <c r="G83" s="30">
        <v>2</v>
      </c>
      <c r="H83" s="27" t="s">
        <v>232</v>
      </c>
      <c r="I83" s="26" t="s">
        <v>233</v>
      </c>
      <c r="J83" s="31">
        <v>32</v>
      </c>
      <c r="K83" s="32">
        <f t="shared" si="3"/>
        <v>64</v>
      </c>
      <c r="L83" s="29" t="s">
        <v>240</v>
      </c>
      <c r="M83" s="27">
        <f>IFERROR(VLOOKUP(C83,Custo_MI_Device!$B$2:$E$102,3,FALSE),0)</f>
        <v>0</v>
      </c>
      <c r="N83" s="27">
        <f t="shared" si="4"/>
        <v>0</v>
      </c>
      <c r="O83" s="178">
        <f t="shared" si="5"/>
        <v>0</v>
      </c>
    </row>
    <row r="84" spans="1:15" ht="12.75" hidden="1">
      <c r="A84" s="25">
        <v>2564</v>
      </c>
      <c r="B84" s="25" t="s">
        <v>5</v>
      </c>
      <c r="C84" s="26" t="s">
        <v>10</v>
      </c>
      <c r="D84" s="27">
        <v>73145000</v>
      </c>
      <c r="E84" s="28" t="s">
        <v>257</v>
      </c>
      <c r="F84" s="29" t="s">
        <v>258</v>
      </c>
      <c r="G84" s="30">
        <v>6</v>
      </c>
      <c r="H84" s="27" t="s">
        <v>158</v>
      </c>
      <c r="I84" s="26" t="s">
        <v>256</v>
      </c>
      <c r="J84" s="31">
        <v>21</v>
      </c>
      <c r="K84" s="32">
        <f t="shared" si="3"/>
        <v>126</v>
      </c>
      <c r="L84" s="29" t="s">
        <v>258</v>
      </c>
      <c r="M84" s="27">
        <f>IFERROR(VLOOKUP(C84,Custo_MI_Device!$B$2:$E$102,3,FALSE),0)</f>
        <v>0</v>
      </c>
      <c r="N84" s="27">
        <f t="shared" si="4"/>
        <v>0</v>
      </c>
      <c r="O84" s="178">
        <f t="shared" si="5"/>
        <v>0</v>
      </c>
    </row>
    <row r="85" spans="1:15" ht="12.75" hidden="1">
      <c r="A85" s="25">
        <v>3274</v>
      </c>
      <c r="B85" s="25" t="s">
        <v>5</v>
      </c>
      <c r="C85" s="26" t="s">
        <v>10</v>
      </c>
      <c r="D85" s="27">
        <v>73181500</v>
      </c>
      <c r="E85" s="28" t="s">
        <v>265</v>
      </c>
      <c r="F85" s="29" t="s">
        <v>266</v>
      </c>
      <c r="G85" s="30">
        <v>28</v>
      </c>
      <c r="H85" s="27" t="s">
        <v>137</v>
      </c>
      <c r="I85" s="26" t="s">
        <v>256</v>
      </c>
      <c r="J85" s="31">
        <v>0.06</v>
      </c>
      <c r="K85" s="32">
        <f t="shared" si="3"/>
        <v>1.68</v>
      </c>
      <c r="L85" s="29" t="s">
        <v>266</v>
      </c>
      <c r="M85" s="27">
        <f>IFERROR(VLOOKUP(C85,Custo_MI_Device!$B$2:$E$102,3,FALSE),0)</f>
        <v>0</v>
      </c>
      <c r="N85" s="27">
        <f t="shared" si="4"/>
        <v>0</v>
      </c>
      <c r="O85" s="178">
        <f t="shared" si="5"/>
        <v>0</v>
      </c>
    </row>
    <row r="86" spans="1:15" ht="25.5" hidden="1">
      <c r="A86" s="25">
        <v>1611</v>
      </c>
      <c r="B86" s="25" t="s">
        <v>5</v>
      </c>
      <c r="C86" s="26" t="s">
        <v>10</v>
      </c>
      <c r="D86" s="27">
        <v>39174090</v>
      </c>
      <c r="E86" s="28" t="s">
        <v>275</v>
      </c>
      <c r="F86" s="29" t="s">
        <v>276</v>
      </c>
      <c r="G86" s="30">
        <v>2</v>
      </c>
      <c r="H86" s="27" t="s">
        <v>137</v>
      </c>
      <c r="I86" s="26" t="s">
        <v>277</v>
      </c>
      <c r="J86" s="31">
        <v>7.8</v>
      </c>
      <c r="K86" s="32">
        <f t="shared" si="3"/>
        <v>15.6</v>
      </c>
      <c r="L86" s="29" t="s">
        <v>276</v>
      </c>
      <c r="M86" s="27">
        <f>IFERROR(VLOOKUP(C86,Custo_MI_Device!$B$2:$E$102,3,FALSE),0)</f>
        <v>0</v>
      </c>
      <c r="N86" s="27">
        <f t="shared" si="4"/>
        <v>0</v>
      </c>
      <c r="O86" s="178">
        <f t="shared" si="5"/>
        <v>0</v>
      </c>
    </row>
    <row r="87" spans="1:15" ht="12.75" hidden="1">
      <c r="A87" s="25">
        <v>5081</v>
      </c>
      <c r="B87" s="25" t="s">
        <v>5</v>
      </c>
      <c r="C87" s="26" t="s">
        <v>10</v>
      </c>
      <c r="D87" s="27">
        <v>73145000</v>
      </c>
      <c r="E87" s="28" t="s">
        <v>278</v>
      </c>
      <c r="F87" s="29">
        <v>0</v>
      </c>
      <c r="G87" s="30">
        <v>1</v>
      </c>
      <c r="H87" s="27" t="s">
        <v>137</v>
      </c>
      <c r="I87" s="26" t="s">
        <v>279</v>
      </c>
      <c r="J87" s="31">
        <v>23</v>
      </c>
      <c r="K87" s="32">
        <f t="shared" si="3"/>
        <v>23</v>
      </c>
      <c r="L87" s="29" t="s">
        <v>280</v>
      </c>
      <c r="M87" s="27">
        <f>IFERROR(VLOOKUP(C87,Custo_MI_Device!$B$2:$E$102,3,FALSE),0)</f>
        <v>0</v>
      </c>
      <c r="N87" s="27">
        <f t="shared" si="4"/>
        <v>0</v>
      </c>
      <c r="O87" s="178">
        <f t="shared" si="5"/>
        <v>0</v>
      </c>
    </row>
    <row r="88" spans="1:15" ht="12.75" hidden="1">
      <c r="A88" s="25">
        <v>2534</v>
      </c>
      <c r="B88" s="25" t="s">
        <v>5</v>
      </c>
      <c r="C88" s="26" t="s">
        <v>11</v>
      </c>
      <c r="D88" s="27">
        <v>73072900</v>
      </c>
      <c r="E88" s="28" t="s">
        <v>314</v>
      </c>
      <c r="F88" s="29" t="s">
        <v>315</v>
      </c>
      <c r="G88" s="30">
        <v>12</v>
      </c>
      <c r="H88" s="27" t="s">
        <v>137</v>
      </c>
      <c r="I88" s="26" t="s">
        <v>256</v>
      </c>
      <c r="J88" s="31">
        <v>1.2</v>
      </c>
      <c r="K88" s="32">
        <f t="shared" si="3"/>
        <v>14.399999999999999</v>
      </c>
      <c r="L88" s="29" t="s">
        <v>315</v>
      </c>
      <c r="M88" s="27">
        <f>IFERROR(VLOOKUP(C88,Custo_MI_Device!$B$2:$E$102,3,FALSE),0)</f>
        <v>0</v>
      </c>
      <c r="N88" s="27">
        <f t="shared" si="4"/>
        <v>0</v>
      </c>
      <c r="O88" s="178">
        <f t="shared" si="5"/>
        <v>0</v>
      </c>
    </row>
    <row r="89" spans="1:15" ht="12.75" hidden="1">
      <c r="A89" s="25">
        <v>1669</v>
      </c>
      <c r="B89" s="25" t="s">
        <v>5</v>
      </c>
      <c r="C89" s="26" t="s">
        <v>11</v>
      </c>
      <c r="D89" s="27">
        <v>39269090</v>
      </c>
      <c r="E89" s="28" t="s">
        <v>316</v>
      </c>
      <c r="F89" s="29" t="s">
        <v>317</v>
      </c>
      <c r="G89" s="30">
        <v>3</v>
      </c>
      <c r="H89" s="27" t="s">
        <v>137</v>
      </c>
      <c r="I89" s="26" t="s">
        <v>318</v>
      </c>
      <c r="J89" s="31">
        <v>0.04</v>
      </c>
      <c r="K89" s="32">
        <f t="shared" si="3"/>
        <v>0.12</v>
      </c>
      <c r="L89" s="29" t="s">
        <v>317</v>
      </c>
      <c r="M89" s="27">
        <f>IFERROR(VLOOKUP(C89,Custo_MI_Device!$B$2:$E$102,3,FALSE),0)</f>
        <v>0</v>
      </c>
      <c r="N89" s="27">
        <f t="shared" si="4"/>
        <v>0</v>
      </c>
      <c r="O89" s="178">
        <f t="shared" si="5"/>
        <v>0</v>
      </c>
    </row>
    <row r="90" spans="1:15" ht="12.75" hidden="1">
      <c r="A90" s="25">
        <v>5091</v>
      </c>
      <c r="B90" s="25" t="s">
        <v>5</v>
      </c>
      <c r="C90" s="26" t="s">
        <v>11</v>
      </c>
      <c r="D90" s="27">
        <v>73181500</v>
      </c>
      <c r="E90" s="28" t="s">
        <v>323</v>
      </c>
      <c r="F90" s="29" t="s">
        <v>324</v>
      </c>
      <c r="G90" s="30">
        <v>24</v>
      </c>
      <c r="H90" s="27" t="s">
        <v>137</v>
      </c>
      <c r="I90" s="26" t="s">
        <v>256</v>
      </c>
      <c r="J90" s="31">
        <v>0.04</v>
      </c>
      <c r="K90" s="32">
        <f t="shared" si="3"/>
        <v>0.96</v>
      </c>
      <c r="L90" s="29" t="s">
        <v>324</v>
      </c>
      <c r="M90" s="27">
        <f>IFERROR(VLOOKUP(C90,Custo_MI_Device!$B$2:$E$102,3,FALSE),0)</f>
        <v>0</v>
      </c>
      <c r="N90" s="27">
        <f t="shared" si="4"/>
        <v>0</v>
      </c>
      <c r="O90" s="178">
        <f t="shared" si="5"/>
        <v>0</v>
      </c>
    </row>
    <row r="91" spans="1:15" ht="12.75" hidden="1">
      <c r="A91" s="25">
        <v>1117</v>
      </c>
      <c r="B91" s="25" t="s">
        <v>5</v>
      </c>
      <c r="C91" s="26" t="s">
        <v>11</v>
      </c>
      <c r="D91" s="27"/>
      <c r="E91" s="28" t="s">
        <v>145</v>
      </c>
      <c r="F91" s="29" t="s">
        <v>146</v>
      </c>
      <c r="G91" s="30">
        <v>3</v>
      </c>
      <c r="H91" s="27" t="s">
        <v>137</v>
      </c>
      <c r="I91" s="26" t="s">
        <v>138</v>
      </c>
      <c r="J91" s="31">
        <v>1.95</v>
      </c>
      <c r="K91" s="32">
        <f t="shared" si="3"/>
        <v>5.85</v>
      </c>
      <c r="L91" s="29" t="s">
        <v>146</v>
      </c>
      <c r="M91" s="27">
        <f>IFERROR(VLOOKUP(C91,Custo_MI_Device!$B$2:$E$102,3,FALSE),0)</f>
        <v>0</v>
      </c>
      <c r="N91" s="27">
        <f t="shared" si="4"/>
        <v>0</v>
      </c>
      <c r="O91" s="178">
        <f t="shared" si="5"/>
        <v>0</v>
      </c>
    </row>
    <row r="92" spans="1:15" ht="25.5" hidden="1">
      <c r="A92" s="25">
        <v>4054</v>
      </c>
      <c r="B92" s="25" t="s">
        <v>5</v>
      </c>
      <c r="C92" s="26" t="s">
        <v>11</v>
      </c>
      <c r="D92" s="27">
        <v>85444900</v>
      </c>
      <c r="E92" s="28" t="s">
        <v>163</v>
      </c>
      <c r="F92" s="29">
        <v>900550</v>
      </c>
      <c r="G92" s="30">
        <v>40</v>
      </c>
      <c r="H92" s="27" t="s">
        <v>158</v>
      </c>
      <c r="I92" s="26" t="s">
        <v>164</v>
      </c>
      <c r="J92" s="31">
        <v>3.1</v>
      </c>
      <c r="K92" s="32">
        <f t="shared" si="3"/>
        <v>124</v>
      </c>
      <c r="L92" s="29">
        <v>900550</v>
      </c>
      <c r="M92" s="27">
        <f>IFERROR(VLOOKUP(C92,Custo_MI_Device!$B$2:$E$102,3,FALSE),0)</f>
        <v>0</v>
      </c>
      <c r="N92" s="27">
        <f t="shared" si="4"/>
        <v>0</v>
      </c>
      <c r="O92" s="178">
        <f t="shared" si="5"/>
        <v>0</v>
      </c>
    </row>
    <row r="93" spans="1:15" ht="25.5" hidden="1">
      <c r="A93" s="25">
        <v>5139</v>
      </c>
      <c r="B93" s="25" t="s">
        <v>5</v>
      </c>
      <c r="C93" s="26" t="s">
        <v>11</v>
      </c>
      <c r="D93" s="27">
        <v>85444900</v>
      </c>
      <c r="E93" s="28" t="s">
        <v>170</v>
      </c>
      <c r="F93" s="29" t="s">
        <v>171</v>
      </c>
      <c r="G93" s="30">
        <v>15</v>
      </c>
      <c r="H93" s="27" t="s">
        <v>158</v>
      </c>
      <c r="I93" s="26" t="s">
        <v>172</v>
      </c>
      <c r="J93" s="31">
        <v>7.5</v>
      </c>
      <c r="K93" s="32">
        <f t="shared" si="3"/>
        <v>112.5</v>
      </c>
      <c r="L93" s="29" t="s">
        <v>173</v>
      </c>
      <c r="M93" s="27">
        <f>IFERROR(VLOOKUP(C93,Custo_MI_Device!$B$2:$E$102,3,FALSE),0)</f>
        <v>0</v>
      </c>
      <c r="N93" s="27">
        <f t="shared" si="4"/>
        <v>0</v>
      </c>
      <c r="O93" s="178">
        <f t="shared" si="5"/>
        <v>0</v>
      </c>
    </row>
    <row r="94" spans="1:15" ht="12.75" hidden="1">
      <c r="A94" s="25">
        <v>2805</v>
      </c>
      <c r="B94" s="25" t="s">
        <v>5</v>
      </c>
      <c r="C94" s="26" t="s">
        <v>11</v>
      </c>
      <c r="D94" s="27">
        <v>72162100</v>
      </c>
      <c r="E94" s="28" t="s">
        <v>174</v>
      </c>
      <c r="F94" s="29">
        <v>0</v>
      </c>
      <c r="G94" s="30">
        <v>2.9</v>
      </c>
      <c r="H94" s="27" t="s">
        <v>175</v>
      </c>
      <c r="I94" s="26" t="s">
        <v>176</v>
      </c>
      <c r="J94" s="31">
        <v>4.22</v>
      </c>
      <c r="K94" s="32">
        <f t="shared" si="3"/>
        <v>12.238</v>
      </c>
      <c r="L94" s="29" t="s">
        <v>177</v>
      </c>
      <c r="M94" s="27">
        <f>IFERROR(VLOOKUP(C94,Custo_MI_Device!$B$2:$E$102,3,FALSE),0)</f>
        <v>0</v>
      </c>
      <c r="N94" s="27">
        <f t="shared" si="4"/>
        <v>0</v>
      </c>
      <c r="O94" s="178">
        <f t="shared" si="5"/>
        <v>0</v>
      </c>
    </row>
    <row r="95" spans="1:15" ht="12.75" hidden="1">
      <c r="A95" s="25">
        <v>4823</v>
      </c>
      <c r="B95" s="25" t="s">
        <v>5</v>
      </c>
      <c r="C95" s="26" t="s">
        <v>11</v>
      </c>
      <c r="D95" s="27">
        <v>76090000</v>
      </c>
      <c r="E95" s="28" t="s">
        <v>199</v>
      </c>
      <c r="F95" s="29" t="s">
        <v>200</v>
      </c>
      <c r="G95" s="30">
        <v>0.75</v>
      </c>
      <c r="H95" s="27" t="s">
        <v>137</v>
      </c>
      <c r="I95" s="26" t="s">
        <v>138</v>
      </c>
      <c r="J95" s="31">
        <v>6.7</v>
      </c>
      <c r="K95" s="32">
        <f t="shared" si="3"/>
        <v>5.0250000000000004</v>
      </c>
      <c r="L95" s="29" t="s">
        <v>200</v>
      </c>
      <c r="M95" s="27">
        <f>IFERROR(VLOOKUP(C95,Custo_MI_Device!$B$2:$E$102,3,FALSE),0)</f>
        <v>0</v>
      </c>
      <c r="N95" s="27">
        <f t="shared" si="4"/>
        <v>0</v>
      </c>
      <c r="O95" s="178">
        <f t="shared" si="5"/>
        <v>0</v>
      </c>
    </row>
    <row r="96" spans="1:15" ht="12.75" hidden="1">
      <c r="A96" s="25">
        <v>2912</v>
      </c>
      <c r="B96" s="25" t="s">
        <v>5</v>
      </c>
      <c r="C96" s="26" t="s">
        <v>11</v>
      </c>
      <c r="D96" s="27">
        <v>76090000</v>
      </c>
      <c r="E96" s="28" t="s">
        <v>201</v>
      </c>
      <c r="F96" s="29" t="s">
        <v>202</v>
      </c>
      <c r="G96" s="30">
        <v>1</v>
      </c>
      <c r="H96" s="27" t="s">
        <v>137</v>
      </c>
      <c r="I96" s="26" t="s">
        <v>138</v>
      </c>
      <c r="J96" s="31">
        <v>7.5</v>
      </c>
      <c r="K96" s="32">
        <f t="shared" si="3"/>
        <v>7.5</v>
      </c>
      <c r="L96" s="29" t="s">
        <v>202</v>
      </c>
      <c r="M96" s="27">
        <f>IFERROR(VLOOKUP(C96,Custo_MI_Device!$B$2:$E$102,3,FALSE),0)</f>
        <v>0</v>
      </c>
      <c r="N96" s="27">
        <f t="shared" si="4"/>
        <v>0</v>
      </c>
      <c r="O96" s="178">
        <f t="shared" si="5"/>
        <v>0</v>
      </c>
    </row>
    <row r="97" spans="1:15" ht="25.5" hidden="1">
      <c r="A97" s="25">
        <v>3436</v>
      </c>
      <c r="B97" s="25" t="s">
        <v>5</v>
      </c>
      <c r="C97" s="26" t="s">
        <v>11</v>
      </c>
      <c r="D97" s="27">
        <v>76090000</v>
      </c>
      <c r="E97" s="28" t="s">
        <v>193</v>
      </c>
      <c r="F97" s="29" t="s">
        <v>194</v>
      </c>
      <c r="G97" s="30">
        <v>1</v>
      </c>
      <c r="H97" s="27" t="s">
        <v>137</v>
      </c>
      <c r="I97" s="26" t="s">
        <v>138</v>
      </c>
      <c r="J97" s="31">
        <v>6.7</v>
      </c>
      <c r="K97" s="32">
        <f t="shared" si="3"/>
        <v>6.7</v>
      </c>
      <c r="L97" s="29" t="s">
        <v>194</v>
      </c>
      <c r="M97" s="27">
        <f>IFERROR(VLOOKUP(C97,Custo_MI_Device!$B$2:$E$102,3,FALSE),0)</f>
        <v>0</v>
      </c>
      <c r="N97" s="27">
        <f t="shared" si="4"/>
        <v>0</v>
      </c>
      <c r="O97" s="178">
        <f t="shared" si="5"/>
        <v>0</v>
      </c>
    </row>
    <row r="98" spans="1:15" ht="25.5" hidden="1">
      <c r="A98" s="25">
        <v>2909</v>
      </c>
      <c r="B98" s="25" t="s">
        <v>5</v>
      </c>
      <c r="C98" s="26" t="s">
        <v>11</v>
      </c>
      <c r="D98" s="27">
        <v>73072200</v>
      </c>
      <c r="E98" s="28" t="s">
        <v>216</v>
      </c>
      <c r="F98" s="29" t="s">
        <v>217</v>
      </c>
      <c r="G98" s="30">
        <v>1</v>
      </c>
      <c r="H98" s="27" t="s">
        <v>137</v>
      </c>
      <c r="I98" s="26" t="s">
        <v>218</v>
      </c>
      <c r="J98" s="31">
        <v>27.7</v>
      </c>
      <c r="K98" s="32">
        <f t="shared" si="3"/>
        <v>27.7</v>
      </c>
      <c r="L98" s="29" t="s">
        <v>217</v>
      </c>
      <c r="M98" s="27">
        <f>IFERROR(VLOOKUP(C98,Custo_MI_Device!$B$2:$E$102,3,FALSE),0)</f>
        <v>0</v>
      </c>
      <c r="N98" s="27">
        <f t="shared" si="4"/>
        <v>0</v>
      </c>
      <c r="O98" s="178">
        <f t="shared" si="5"/>
        <v>0</v>
      </c>
    </row>
    <row r="99" spans="1:15" ht="25.5" hidden="1">
      <c r="A99" s="25">
        <v>4306</v>
      </c>
      <c r="B99" s="25" t="s">
        <v>5</v>
      </c>
      <c r="C99" s="26" t="s">
        <v>11</v>
      </c>
      <c r="D99" s="27">
        <v>73063000</v>
      </c>
      <c r="E99" s="28" t="s">
        <v>239</v>
      </c>
      <c r="F99" s="29">
        <v>0</v>
      </c>
      <c r="G99" s="30">
        <v>2</v>
      </c>
      <c r="H99" s="27" t="s">
        <v>232</v>
      </c>
      <c r="I99" s="26" t="s">
        <v>233</v>
      </c>
      <c r="J99" s="31">
        <v>32</v>
      </c>
      <c r="K99" s="32">
        <f t="shared" si="3"/>
        <v>64</v>
      </c>
      <c r="L99" s="29" t="s">
        <v>240</v>
      </c>
      <c r="M99" s="27">
        <f>IFERROR(VLOOKUP(C99,Custo_MI_Device!$B$2:$E$102,3,FALSE),0)</f>
        <v>0</v>
      </c>
      <c r="N99" s="27">
        <f t="shared" si="4"/>
        <v>0</v>
      </c>
      <c r="O99" s="178">
        <f t="shared" si="5"/>
        <v>0</v>
      </c>
    </row>
    <row r="100" spans="1:15" ht="25.5" hidden="1">
      <c r="A100" s="25">
        <v>1900</v>
      </c>
      <c r="B100" s="25" t="s">
        <v>5</v>
      </c>
      <c r="C100" s="26" t="s">
        <v>11</v>
      </c>
      <c r="D100" s="27">
        <v>73072200</v>
      </c>
      <c r="E100" s="28" t="s">
        <v>249</v>
      </c>
      <c r="F100" s="29" t="s">
        <v>250</v>
      </c>
      <c r="G100" s="30">
        <v>1</v>
      </c>
      <c r="H100" s="27" t="s">
        <v>137</v>
      </c>
      <c r="I100" s="26" t="s">
        <v>218</v>
      </c>
      <c r="J100" s="31">
        <v>27</v>
      </c>
      <c r="K100" s="32">
        <f t="shared" si="3"/>
        <v>27</v>
      </c>
      <c r="L100" s="29" t="s">
        <v>250</v>
      </c>
      <c r="M100" s="27">
        <f>IFERROR(VLOOKUP(C100,Custo_MI_Device!$B$2:$E$102,3,FALSE),0)</f>
        <v>0</v>
      </c>
      <c r="N100" s="27">
        <f t="shared" si="4"/>
        <v>0</v>
      </c>
      <c r="O100" s="178">
        <f t="shared" si="5"/>
        <v>0</v>
      </c>
    </row>
    <row r="101" spans="1:15" ht="12.75" hidden="1">
      <c r="A101" s="25">
        <v>3274</v>
      </c>
      <c r="B101" s="25" t="s">
        <v>5</v>
      </c>
      <c r="C101" s="26" t="s">
        <v>11</v>
      </c>
      <c r="D101" s="27">
        <v>73181500</v>
      </c>
      <c r="E101" s="28" t="s">
        <v>265</v>
      </c>
      <c r="F101" s="29" t="s">
        <v>266</v>
      </c>
      <c r="G101" s="30">
        <v>24</v>
      </c>
      <c r="H101" s="27" t="s">
        <v>137</v>
      </c>
      <c r="I101" s="26" t="s">
        <v>256</v>
      </c>
      <c r="J101" s="31">
        <v>0.06</v>
      </c>
      <c r="K101" s="32">
        <f t="shared" si="3"/>
        <v>1.44</v>
      </c>
      <c r="L101" s="29" t="s">
        <v>266</v>
      </c>
      <c r="M101" s="27">
        <f>IFERROR(VLOOKUP(C101,Custo_MI_Device!$B$2:$E$102,3,FALSE),0)</f>
        <v>0</v>
      </c>
      <c r="N101" s="27">
        <f t="shared" si="4"/>
        <v>0</v>
      </c>
      <c r="O101" s="178">
        <f t="shared" si="5"/>
        <v>0</v>
      </c>
    </row>
    <row r="102" spans="1:15" ht="25.5" hidden="1">
      <c r="A102" s="25">
        <v>1611</v>
      </c>
      <c r="B102" s="25" t="s">
        <v>5</v>
      </c>
      <c r="C102" s="26" t="s">
        <v>11</v>
      </c>
      <c r="D102" s="27">
        <v>39174090</v>
      </c>
      <c r="E102" s="28" t="s">
        <v>275</v>
      </c>
      <c r="F102" s="29" t="s">
        <v>276</v>
      </c>
      <c r="G102" s="30">
        <v>3</v>
      </c>
      <c r="H102" s="27" t="s">
        <v>137</v>
      </c>
      <c r="I102" s="26" t="s">
        <v>277</v>
      </c>
      <c r="J102" s="31">
        <v>7.8</v>
      </c>
      <c r="K102" s="32">
        <f t="shared" si="3"/>
        <v>23.4</v>
      </c>
      <c r="L102" s="29" t="s">
        <v>276</v>
      </c>
      <c r="M102" s="27">
        <f>IFERROR(VLOOKUP(C102,Custo_MI_Device!$B$2:$E$102,3,FALSE),0)</f>
        <v>0</v>
      </c>
      <c r="N102" s="27">
        <f t="shared" si="4"/>
        <v>0</v>
      </c>
      <c r="O102" s="178">
        <f t="shared" si="5"/>
        <v>0</v>
      </c>
    </row>
    <row r="103" spans="1:15" ht="12.75" hidden="1">
      <c r="A103" s="25">
        <v>5081</v>
      </c>
      <c r="B103" s="25" t="s">
        <v>5</v>
      </c>
      <c r="C103" s="26" t="s">
        <v>11</v>
      </c>
      <c r="D103" s="27">
        <v>73145000</v>
      </c>
      <c r="E103" s="28" t="s">
        <v>278</v>
      </c>
      <c r="F103" s="29">
        <v>0</v>
      </c>
      <c r="G103" s="30">
        <v>1</v>
      </c>
      <c r="H103" s="27" t="s">
        <v>137</v>
      </c>
      <c r="I103" s="26" t="s">
        <v>279</v>
      </c>
      <c r="J103" s="31">
        <v>23</v>
      </c>
      <c r="K103" s="32">
        <f t="shared" si="3"/>
        <v>23</v>
      </c>
      <c r="L103" s="29" t="s">
        <v>280</v>
      </c>
      <c r="M103" s="27">
        <f>IFERROR(VLOOKUP(C103,Custo_MI_Device!$B$2:$E$102,3,FALSE),0)</f>
        <v>0</v>
      </c>
      <c r="N103" s="27">
        <f t="shared" si="4"/>
        <v>0</v>
      </c>
      <c r="O103" s="178">
        <f t="shared" si="5"/>
        <v>0</v>
      </c>
    </row>
    <row r="104" spans="1:15" ht="25.5" hidden="1">
      <c r="A104" s="25">
        <v>5194</v>
      </c>
      <c r="B104" s="25" t="s">
        <v>5</v>
      </c>
      <c r="C104" s="26" t="s">
        <v>11</v>
      </c>
      <c r="D104" s="27">
        <v>73041010</v>
      </c>
      <c r="E104" s="28" t="s">
        <v>289</v>
      </c>
      <c r="F104" s="29" t="s">
        <v>290</v>
      </c>
      <c r="G104" s="30">
        <v>1</v>
      </c>
      <c r="H104" s="27" t="s">
        <v>232</v>
      </c>
      <c r="I104" s="26" t="s">
        <v>218</v>
      </c>
      <c r="J104" s="31">
        <f>21.5*6</f>
        <v>129</v>
      </c>
      <c r="K104" s="32">
        <f t="shared" si="3"/>
        <v>129</v>
      </c>
      <c r="L104" s="29" t="s">
        <v>290</v>
      </c>
      <c r="M104" s="27">
        <f>IFERROR(VLOOKUP(C104,Custo_MI_Device!$B$2:$E$102,3,FALSE),0)</f>
        <v>0</v>
      </c>
      <c r="N104" s="27">
        <f t="shared" si="4"/>
        <v>0</v>
      </c>
      <c r="O104" s="178">
        <f t="shared" si="5"/>
        <v>0</v>
      </c>
    </row>
    <row r="105" spans="1:15" ht="25.5" hidden="1">
      <c r="A105" s="25">
        <v>2567</v>
      </c>
      <c r="B105" s="25" t="s">
        <v>5</v>
      </c>
      <c r="C105" s="26" t="s">
        <v>11</v>
      </c>
      <c r="D105" s="27">
        <v>84818095</v>
      </c>
      <c r="E105" s="28" t="s">
        <v>303</v>
      </c>
      <c r="F105" s="29">
        <v>0</v>
      </c>
      <c r="G105" s="30">
        <v>1</v>
      </c>
      <c r="H105" s="27" t="s">
        <v>137</v>
      </c>
      <c r="I105" s="26" t="s">
        <v>304</v>
      </c>
      <c r="J105" s="31">
        <v>27</v>
      </c>
      <c r="K105" s="32">
        <f t="shared" si="3"/>
        <v>27</v>
      </c>
      <c r="L105" s="29" t="s">
        <v>305</v>
      </c>
      <c r="M105" s="27">
        <f>IFERROR(VLOOKUP(C105,Custo_MI_Device!$B$2:$E$102,3,FALSE),0)</f>
        <v>0</v>
      </c>
      <c r="N105" s="27">
        <f t="shared" si="4"/>
        <v>0</v>
      </c>
      <c r="O105" s="178">
        <f t="shared" si="5"/>
        <v>0</v>
      </c>
    </row>
    <row r="106" spans="1:15" ht="25.5" hidden="1">
      <c r="A106" s="25">
        <v>2023</v>
      </c>
      <c r="B106" s="25" t="s">
        <v>94</v>
      </c>
      <c r="C106" s="26" t="s">
        <v>95</v>
      </c>
      <c r="D106" s="27">
        <v>85444900</v>
      </c>
      <c r="E106" s="28" t="s">
        <v>330</v>
      </c>
      <c r="F106" s="29" t="s">
        <v>331</v>
      </c>
      <c r="G106" s="30">
        <v>30</v>
      </c>
      <c r="H106" s="27" t="s">
        <v>137</v>
      </c>
      <c r="I106" s="26" t="s">
        <v>172</v>
      </c>
      <c r="J106" s="31">
        <v>7.5</v>
      </c>
      <c r="K106" s="32">
        <f t="shared" si="3"/>
        <v>225</v>
      </c>
      <c r="L106" s="29" t="s">
        <v>331</v>
      </c>
      <c r="M106" s="27">
        <f>IFERROR(VLOOKUP(C106,Custo_MI_Device!$B$2:$E$102,3,FALSE),0)</f>
        <v>0</v>
      </c>
      <c r="N106" s="27">
        <f t="shared" si="4"/>
        <v>0</v>
      </c>
      <c r="O106" s="178">
        <f t="shared" si="5"/>
        <v>0</v>
      </c>
    </row>
    <row r="107" spans="1:15" ht="12.75" hidden="1">
      <c r="A107" s="25">
        <v>2534</v>
      </c>
      <c r="B107" s="25" t="s">
        <v>121</v>
      </c>
      <c r="C107" s="26" t="s">
        <v>122</v>
      </c>
      <c r="D107" s="27">
        <v>73072900</v>
      </c>
      <c r="E107" s="28" t="s">
        <v>314</v>
      </c>
      <c r="F107" s="29" t="s">
        <v>315</v>
      </c>
      <c r="G107" s="30">
        <v>12</v>
      </c>
      <c r="H107" s="27" t="s">
        <v>137</v>
      </c>
      <c r="I107" s="26" t="s">
        <v>256</v>
      </c>
      <c r="J107" s="31">
        <v>1.2</v>
      </c>
      <c r="K107" s="32">
        <f t="shared" si="3"/>
        <v>14.399999999999999</v>
      </c>
      <c r="L107" s="29" t="s">
        <v>315</v>
      </c>
      <c r="M107" s="27">
        <f>IFERROR(VLOOKUP(C107,Custo_MI_Device!$B$2:$E$102,3,FALSE),0)</f>
        <v>0</v>
      </c>
      <c r="N107" s="27">
        <f t="shared" si="4"/>
        <v>0</v>
      </c>
      <c r="O107" s="178">
        <f t="shared" si="5"/>
        <v>0</v>
      </c>
    </row>
    <row r="108" spans="1:15" ht="12.75" hidden="1">
      <c r="A108" s="25">
        <v>95</v>
      </c>
      <c r="B108" s="25" t="s">
        <v>121</v>
      </c>
      <c r="C108" s="26" t="s">
        <v>122</v>
      </c>
      <c r="D108" s="27">
        <v>73072900</v>
      </c>
      <c r="E108" s="28" t="s">
        <v>319</v>
      </c>
      <c r="F108" s="29" t="s">
        <v>320</v>
      </c>
      <c r="G108" s="30">
        <v>2</v>
      </c>
      <c r="H108" s="27" t="s">
        <v>137</v>
      </c>
      <c r="I108" s="26" t="s">
        <v>138</v>
      </c>
      <c r="J108" s="31">
        <v>0.65</v>
      </c>
      <c r="K108" s="32">
        <f t="shared" si="3"/>
        <v>1.3</v>
      </c>
      <c r="L108" s="29" t="s">
        <v>320</v>
      </c>
      <c r="M108" s="27">
        <f>IFERROR(VLOOKUP(C108,Custo_MI_Device!$B$2:$E$102,3,FALSE),0)</f>
        <v>0</v>
      </c>
      <c r="N108" s="27">
        <f t="shared" si="4"/>
        <v>0</v>
      </c>
      <c r="O108" s="178">
        <f t="shared" si="5"/>
        <v>0</v>
      </c>
    </row>
    <row r="109" spans="1:15" ht="12.75" hidden="1">
      <c r="A109" s="25">
        <v>5091</v>
      </c>
      <c r="B109" s="25" t="s">
        <v>121</v>
      </c>
      <c r="C109" s="26" t="s">
        <v>122</v>
      </c>
      <c r="D109" s="27">
        <v>73181500</v>
      </c>
      <c r="E109" s="28" t="s">
        <v>323</v>
      </c>
      <c r="F109" s="29" t="s">
        <v>324</v>
      </c>
      <c r="G109" s="30">
        <v>24</v>
      </c>
      <c r="H109" s="27" t="s">
        <v>137</v>
      </c>
      <c r="I109" s="26" t="s">
        <v>256</v>
      </c>
      <c r="J109" s="31">
        <v>0.04</v>
      </c>
      <c r="K109" s="32">
        <f t="shared" si="3"/>
        <v>0.96</v>
      </c>
      <c r="L109" s="29" t="s">
        <v>324</v>
      </c>
      <c r="M109" s="27">
        <f>IFERROR(VLOOKUP(C109,Custo_MI_Device!$B$2:$E$102,3,FALSE),0)</f>
        <v>0</v>
      </c>
      <c r="N109" s="27">
        <f t="shared" si="4"/>
        <v>0</v>
      </c>
      <c r="O109" s="178">
        <f t="shared" si="5"/>
        <v>0</v>
      </c>
    </row>
    <row r="110" spans="1:15" ht="12.75" hidden="1">
      <c r="A110" s="25">
        <v>300</v>
      </c>
      <c r="B110" s="25" t="s">
        <v>121</v>
      </c>
      <c r="C110" s="26" t="s">
        <v>122</v>
      </c>
      <c r="D110" s="27">
        <v>73071100</v>
      </c>
      <c r="E110" s="28" t="s">
        <v>326</v>
      </c>
      <c r="F110" s="29" t="s">
        <v>327</v>
      </c>
      <c r="G110" s="30">
        <v>2</v>
      </c>
      <c r="H110" s="27" t="s">
        <v>137</v>
      </c>
      <c r="I110" s="26" t="s">
        <v>138</v>
      </c>
      <c r="J110" s="31">
        <v>0.95</v>
      </c>
      <c r="K110" s="32">
        <f t="shared" si="3"/>
        <v>1.9</v>
      </c>
      <c r="L110" s="29" t="s">
        <v>327</v>
      </c>
      <c r="M110" s="27">
        <f>IFERROR(VLOOKUP(C110,Custo_MI_Device!$B$2:$E$102,3,FALSE),0)</f>
        <v>0</v>
      </c>
      <c r="N110" s="27">
        <f t="shared" si="4"/>
        <v>0</v>
      </c>
      <c r="O110" s="178">
        <f t="shared" si="5"/>
        <v>0</v>
      </c>
    </row>
    <row r="111" spans="1:15" ht="12.75" hidden="1">
      <c r="A111" s="25">
        <v>1115</v>
      </c>
      <c r="B111" s="25" t="s">
        <v>121</v>
      </c>
      <c r="C111" s="26" t="s">
        <v>122</v>
      </c>
      <c r="D111" s="27"/>
      <c r="E111" s="28" t="s">
        <v>141</v>
      </c>
      <c r="F111" s="29" t="s">
        <v>142</v>
      </c>
      <c r="G111" s="30">
        <v>1</v>
      </c>
      <c r="H111" s="27" t="s">
        <v>137</v>
      </c>
      <c r="I111" s="26" t="s">
        <v>138</v>
      </c>
      <c r="J111" s="31">
        <v>2.35</v>
      </c>
      <c r="K111" s="32">
        <f t="shared" si="3"/>
        <v>2.35</v>
      </c>
      <c r="L111" s="29" t="s">
        <v>142</v>
      </c>
      <c r="M111" s="27">
        <f>IFERROR(VLOOKUP(C111,Custo_MI_Device!$B$2:$E$102,3,FALSE),0)</f>
        <v>0</v>
      </c>
      <c r="N111" s="27">
        <f t="shared" si="4"/>
        <v>0</v>
      </c>
      <c r="O111" s="178">
        <f t="shared" si="5"/>
        <v>0</v>
      </c>
    </row>
    <row r="112" spans="1:15" ht="12.75" hidden="1">
      <c r="A112" s="25">
        <v>230</v>
      </c>
      <c r="B112" s="25" t="s">
        <v>121</v>
      </c>
      <c r="C112" s="26" t="s">
        <v>122</v>
      </c>
      <c r="D112" s="27"/>
      <c r="E112" s="28" t="s">
        <v>143</v>
      </c>
      <c r="F112" s="29" t="s">
        <v>144</v>
      </c>
      <c r="G112" s="30">
        <v>1</v>
      </c>
      <c r="H112" s="27" t="s">
        <v>137</v>
      </c>
      <c r="I112" s="26" t="s">
        <v>138</v>
      </c>
      <c r="J112" s="31">
        <v>2.7</v>
      </c>
      <c r="K112" s="32">
        <f t="shared" si="3"/>
        <v>2.7</v>
      </c>
      <c r="L112" s="29" t="s">
        <v>144</v>
      </c>
      <c r="M112" s="27">
        <f>IFERROR(VLOOKUP(C112,Custo_MI_Device!$B$2:$E$102,3,FALSE),0)</f>
        <v>0</v>
      </c>
      <c r="N112" s="27">
        <f t="shared" si="4"/>
        <v>0</v>
      </c>
      <c r="O112" s="178">
        <f t="shared" si="5"/>
        <v>0</v>
      </c>
    </row>
    <row r="113" spans="1:15" ht="12.75" hidden="1">
      <c r="A113" s="25">
        <v>1117</v>
      </c>
      <c r="B113" s="25" t="s">
        <v>121</v>
      </c>
      <c r="C113" s="26" t="s">
        <v>122</v>
      </c>
      <c r="D113" s="27"/>
      <c r="E113" s="28" t="s">
        <v>145</v>
      </c>
      <c r="F113" s="29" t="s">
        <v>146</v>
      </c>
      <c r="G113" s="30">
        <v>2</v>
      </c>
      <c r="H113" s="27" t="s">
        <v>137</v>
      </c>
      <c r="I113" s="26" t="s">
        <v>138</v>
      </c>
      <c r="J113" s="31">
        <v>1.95</v>
      </c>
      <c r="K113" s="32">
        <f t="shared" si="3"/>
        <v>3.9</v>
      </c>
      <c r="L113" s="29" t="s">
        <v>146</v>
      </c>
      <c r="M113" s="27">
        <f>IFERROR(VLOOKUP(C113,Custo_MI_Device!$B$2:$E$102,3,FALSE),0)</f>
        <v>0</v>
      </c>
      <c r="N113" s="27">
        <f t="shared" si="4"/>
        <v>0</v>
      </c>
      <c r="O113" s="178">
        <f t="shared" si="5"/>
        <v>0</v>
      </c>
    </row>
    <row r="114" spans="1:15" ht="12.75" hidden="1">
      <c r="A114" s="25">
        <v>4839</v>
      </c>
      <c r="B114" s="25" t="s">
        <v>121</v>
      </c>
      <c r="C114" s="26" t="s">
        <v>122</v>
      </c>
      <c r="D114" s="27">
        <v>85442000</v>
      </c>
      <c r="E114" s="28" t="s">
        <v>157</v>
      </c>
      <c r="F114" s="29">
        <v>0</v>
      </c>
      <c r="G114" s="30">
        <v>10</v>
      </c>
      <c r="H114" s="27" t="s">
        <v>158</v>
      </c>
      <c r="I114" s="26">
        <v>0</v>
      </c>
      <c r="J114" s="31">
        <v>9</v>
      </c>
      <c r="K114" s="32">
        <f t="shared" si="3"/>
        <v>90</v>
      </c>
      <c r="L114" s="29" t="s">
        <v>159</v>
      </c>
      <c r="M114" s="27">
        <f>IFERROR(VLOOKUP(C114,Custo_MI_Device!$B$2:$E$102,3,FALSE),0)</f>
        <v>0</v>
      </c>
      <c r="N114" s="27">
        <f t="shared" si="4"/>
        <v>0</v>
      </c>
      <c r="O114" s="178">
        <f t="shared" si="5"/>
        <v>0</v>
      </c>
    </row>
    <row r="115" spans="1:15" ht="25.5" hidden="1">
      <c r="A115" s="25">
        <v>4371</v>
      </c>
      <c r="B115" s="25" t="s">
        <v>121</v>
      </c>
      <c r="C115" s="26" t="s">
        <v>122</v>
      </c>
      <c r="D115" s="27">
        <v>85444900</v>
      </c>
      <c r="E115" s="28" t="s">
        <v>160</v>
      </c>
      <c r="F115" s="29">
        <v>0</v>
      </c>
      <c r="G115" s="30">
        <v>100</v>
      </c>
      <c r="H115" s="27" t="s">
        <v>137</v>
      </c>
      <c r="I115" s="26" t="s">
        <v>161</v>
      </c>
      <c r="J115" s="31">
        <v>1.95</v>
      </c>
      <c r="K115" s="32">
        <f t="shared" si="3"/>
        <v>195</v>
      </c>
      <c r="L115" s="29" t="s">
        <v>162</v>
      </c>
      <c r="M115" s="27">
        <f>IFERROR(VLOOKUP(C115,Custo_MI_Device!$B$2:$E$102,3,FALSE),0)</f>
        <v>0</v>
      </c>
      <c r="N115" s="27">
        <f t="shared" si="4"/>
        <v>0</v>
      </c>
      <c r="O115" s="178">
        <f t="shared" si="5"/>
        <v>0</v>
      </c>
    </row>
    <row r="116" spans="1:15" ht="12.75" hidden="1">
      <c r="A116" s="25">
        <v>2805</v>
      </c>
      <c r="B116" s="25" t="s">
        <v>121</v>
      </c>
      <c r="C116" s="26" t="s">
        <v>122</v>
      </c>
      <c r="D116" s="27">
        <v>72162100</v>
      </c>
      <c r="E116" s="28" t="s">
        <v>174</v>
      </c>
      <c r="F116" s="29">
        <v>0</v>
      </c>
      <c r="G116" s="30">
        <v>2.9</v>
      </c>
      <c r="H116" s="27" t="s">
        <v>175</v>
      </c>
      <c r="I116" s="26" t="s">
        <v>176</v>
      </c>
      <c r="J116" s="31">
        <v>4.22</v>
      </c>
      <c r="K116" s="32">
        <f t="shared" si="3"/>
        <v>12.238</v>
      </c>
      <c r="L116" s="29" t="s">
        <v>177</v>
      </c>
      <c r="M116" s="27">
        <f>IFERROR(VLOOKUP(C116,Custo_MI_Device!$B$2:$E$102,3,FALSE),0)</f>
        <v>0</v>
      </c>
      <c r="N116" s="27">
        <f t="shared" si="4"/>
        <v>0</v>
      </c>
      <c r="O116" s="178">
        <f t="shared" si="5"/>
        <v>0</v>
      </c>
    </row>
    <row r="117" spans="1:15" ht="12.75" hidden="1">
      <c r="A117" s="25">
        <v>3500</v>
      </c>
      <c r="B117" s="25" t="s">
        <v>121</v>
      </c>
      <c r="C117" s="26" t="s">
        <v>122</v>
      </c>
      <c r="D117" s="27">
        <v>76090000</v>
      </c>
      <c r="E117" s="28" t="s">
        <v>181</v>
      </c>
      <c r="F117" s="29" t="s">
        <v>182</v>
      </c>
      <c r="G117" s="30">
        <v>1</v>
      </c>
      <c r="H117" s="27" t="s">
        <v>137</v>
      </c>
      <c r="I117" s="26" t="s">
        <v>138</v>
      </c>
      <c r="J117" s="31">
        <v>8.1</v>
      </c>
      <c r="K117" s="32">
        <f t="shared" si="3"/>
        <v>8.1</v>
      </c>
      <c r="L117" s="29" t="s">
        <v>182</v>
      </c>
      <c r="M117" s="27">
        <f>IFERROR(VLOOKUP(C117,Custo_MI_Device!$B$2:$E$102,3,FALSE),0)</f>
        <v>0</v>
      </c>
      <c r="N117" s="27">
        <f t="shared" si="4"/>
        <v>0</v>
      </c>
      <c r="O117" s="178">
        <f t="shared" si="5"/>
        <v>0</v>
      </c>
    </row>
    <row r="118" spans="1:15" ht="12.75" hidden="1">
      <c r="A118" s="25">
        <v>4869</v>
      </c>
      <c r="B118" s="25" t="s">
        <v>121</v>
      </c>
      <c r="C118" s="26" t="s">
        <v>122</v>
      </c>
      <c r="D118" s="27">
        <v>76090000</v>
      </c>
      <c r="E118" s="28" t="s">
        <v>183</v>
      </c>
      <c r="F118" s="29" t="s">
        <v>184</v>
      </c>
      <c r="G118" s="30">
        <v>1</v>
      </c>
      <c r="H118" s="27" t="s">
        <v>137</v>
      </c>
      <c r="I118" s="26" t="s">
        <v>138</v>
      </c>
      <c r="J118" s="31">
        <v>8.1</v>
      </c>
      <c r="K118" s="32">
        <f t="shared" si="3"/>
        <v>8.1</v>
      </c>
      <c r="L118" s="29" t="s">
        <v>184</v>
      </c>
      <c r="M118" s="27">
        <f>IFERROR(VLOOKUP(C118,Custo_MI_Device!$B$2:$E$102,3,FALSE),0)</f>
        <v>0</v>
      </c>
      <c r="N118" s="27">
        <f t="shared" si="4"/>
        <v>0</v>
      </c>
      <c r="O118" s="178">
        <f t="shared" si="5"/>
        <v>0</v>
      </c>
    </row>
    <row r="119" spans="1:15" ht="12.75" hidden="1">
      <c r="A119" s="25">
        <v>203</v>
      </c>
      <c r="B119" s="25" t="s">
        <v>121</v>
      </c>
      <c r="C119" s="26" t="s">
        <v>122</v>
      </c>
      <c r="D119" s="27">
        <v>76090000</v>
      </c>
      <c r="E119" s="28" t="s">
        <v>185</v>
      </c>
      <c r="F119" s="29" t="s">
        <v>186</v>
      </c>
      <c r="G119" s="30">
        <v>1</v>
      </c>
      <c r="H119" s="27" t="s">
        <v>137</v>
      </c>
      <c r="I119" s="26" t="s">
        <v>138</v>
      </c>
      <c r="J119" s="31">
        <v>8.1</v>
      </c>
      <c r="K119" s="32">
        <f t="shared" si="3"/>
        <v>8.1</v>
      </c>
      <c r="L119" s="29" t="s">
        <v>186</v>
      </c>
      <c r="M119" s="27">
        <f>IFERROR(VLOOKUP(C119,Custo_MI_Device!$B$2:$E$102,3,FALSE),0)</f>
        <v>0</v>
      </c>
      <c r="N119" s="27">
        <f t="shared" si="4"/>
        <v>0</v>
      </c>
      <c r="O119" s="178">
        <f t="shared" si="5"/>
        <v>0</v>
      </c>
    </row>
    <row r="120" spans="1:15" ht="12.75" hidden="1">
      <c r="A120" s="25">
        <v>2547</v>
      </c>
      <c r="B120" s="25" t="s">
        <v>121</v>
      </c>
      <c r="C120" s="26" t="s">
        <v>122</v>
      </c>
      <c r="D120" s="27">
        <v>76090000</v>
      </c>
      <c r="E120" s="28" t="s">
        <v>187</v>
      </c>
      <c r="F120" s="29" t="s">
        <v>188</v>
      </c>
      <c r="G120" s="30">
        <v>1</v>
      </c>
      <c r="H120" s="27" t="s">
        <v>137</v>
      </c>
      <c r="I120" s="26" t="s">
        <v>138</v>
      </c>
      <c r="J120" s="31">
        <v>8.1</v>
      </c>
      <c r="K120" s="32">
        <f t="shared" si="3"/>
        <v>8.1</v>
      </c>
      <c r="L120" s="29" t="s">
        <v>188</v>
      </c>
      <c r="M120" s="27">
        <f>IFERROR(VLOOKUP(C120,Custo_MI_Device!$B$2:$E$102,3,FALSE),0)</f>
        <v>0</v>
      </c>
      <c r="N120" s="27">
        <f t="shared" si="4"/>
        <v>0</v>
      </c>
      <c r="O120" s="178">
        <f t="shared" si="5"/>
        <v>0</v>
      </c>
    </row>
    <row r="121" spans="1:15" ht="12.75" hidden="1">
      <c r="A121" s="25">
        <v>4625</v>
      </c>
      <c r="B121" s="25" t="s">
        <v>121</v>
      </c>
      <c r="C121" s="26" t="s">
        <v>122</v>
      </c>
      <c r="D121" s="27">
        <v>76090000</v>
      </c>
      <c r="E121" s="28" t="s">
        <v>189</v>
      </c>
      <c r="F121" s="29" t="s">
        <v>190</v>
      </c>
      <c r="G121" s="30">
        <v>1</v>
      </c>
      <c r="H121" s="27" t="s">
        <v>137</v>
      </c>
      <c r="I121" s="26" t="s">
        <v>138</v>
      </c>
      <c r="J121" s="31">
        <v>8.4499999999999993</v>
      </c>
      <c r="K121" s="32">
        <f t="shared" si="3"/>
        <v>8.4499999999999993</v>
      </c>
      <c r="L121" s="29" t="s">
        <v>190</v>
      </c>
      <c r="M121" s="27">
        <f>IFERROR(VLOOKUP(C121,Custo_MI_Device!$B$2:$E$102,3,FALSE),0)</f>
        <v>0</v>
      </c>
      <c r="N121" s="27">
        <f t="shared" si="4"/>
        <v>0</v>
      </c>
      <c r="O121" s="178">
        <f t="shared" si="5"/>
        <v>0</v>
      </c>
    </row>
    <row r="122" spans="1:15" ht="12.75" hidden="1">
      <c r="A122" s="25">
        <v>2904</v>
      </c>
      <c r="B122" s="25" t="s">
        <v>121</v>
      </c>
      <c r="C122" s="26" t="s">
        <v>122</v>
      </c>
      <c r="D122" s="27">
        <v>76090000</v>
      </c>
      <c r="E122" s="28" t="s">
        <v>195</v>
      </c>
      <c r="F122" s="29" t="s">
        <v>196</v>
      </c>
      <c r="G122" s="30">
        <v>0.75</v>
      </c>
      <c r="H122" s="27" t="s">
        <v>137</v>
      </c>
      <c r="I122" s="26" t="s">
        <v>138</v>
      </c>
      <c r="J122" s="31">
        <v>6.7</v>
      </c>
      <c r="K122" s="32">
        <f t="shared" si="3"/>
        <v>5.0250000000000004</v>
      </c>
      <c r="L122" s="29" t="s">
        <v>196</v>
      </c>
      <c r="M122" s="27">
        <f>IFERROR(VLOOKUP(C122,Custo_MI_Device!$B$2:$E$102,3,FALSE),0)</f>
        <v>0</v>
      </c>
      <c r="N122" s="27">
        <f t="shared" si="4"/>
        <v>0</v>
      </c>
      <c r="O122" s="178">
        <f t="shared" si="5"/>
        <v>0</v>
      </c>
    </row>
    <row r="123" spans="1:15" ht="12.75" hidden="1">
      <c r="A123" s="25">
        <v>2911</v>
      </c>
      <c r="B123" s="25" t="s">
        <v>121</v>
      </c>
      <c r="C123" s="26" t="s">
        <v>122</v>
      </c>
      <c r="D123" s="27">
        <v>76090000</v>
      </c>
      <c r="E123" s="28" t="s">
        <v>197</v>
      </c>
      <c r="F123" s="29" t="s">
        <v>198</v>
      </c>
      <c r="G123" s="30">
        <v>0.75</v>
      </c>
      <c r="H123" s="27" t="s">
        <v>137</v>
      </c>
      <c r="I123" s="26" t="s">
        <v>138</v>
      </c>
      <c r="J123" s="31">
        <v>6.7</v>
      </c>
      <c r="K123" s="32">
        <f t="shared" si="3"/>
        <v>5.0250000000000004</v>
      </c>
      <c r="L123" s="29" t="s">
        <v>198</v>
      </c>
      <c r="M123" s="27">
        <f>IFERROR(VLOOKUP(C123,Custo_MI_Device!$B$2:$E$102,3,FALSE),0)</f>
        <v>0</v>
      </c>
      <c r="N123" s="27">
        <f t="shared" si="4"/>
        <v>0</v>
      </c>
      <c r="O123" s="178">
        <f t="shared" si="5"/>
        <v>0</v>
      </c>
    </row>
    <row r="124" spans="1:15" ht="12.75" hidden="1">
      <c r="A124" s="25">
        <v>4823</v>
      </c>
      <c r="B124" s="25" t="s">
        <v>121</v>
      </c>
      <c r="C124" s="26" t="s">
        <v>122</v>
      </c>
      <c r="D124" s="27">
        <v>76090000</v>
      </c>
      <c r="E124" s="28" t="s">
        <v>199</v>
      </c>
      <c r="F124" s="29" t="s">
        <v>200</v>
      </c>
      <c r="G124" s="30">
        <v>0.75</v>
      </c>
      <c r="H124" s="27" t="s">
        <v>137</v>
      </c>
      <c r="I124" s="26" t="s">
        <v>138</v>
      </c>
      <c r="J124" s="31">
        <v>6.7</v>
      </c>
      <c r="K124" s="32">
        <f t="shared" si="3"/>
        <v>5.0250000000000004</v>
      </c>
      <c r="L124" s="29" t="s">
        <v>200</v>
      </c>
      <c r="M124" s="27">
        <f>IFERROR(VLOOKUP(C124,Custo_MI_Device!$B$2:$E$102,3,FALSE),0)</f>
        <v>0</v>
      </c>
      <c r="N124" s="27">
        <f t="shared" si="4"/>
        <v>0</v>
      </c>
      <c r="O124" s="178">
        <f t="shared" si="5"/>
        <v>0</v>
      </c>
    </row>
    <row r="125" spans="1:15" ht="12.75" hidden="1">
      <c r="A125" s="25">
        <v>2912</v>
      </c>
      <c r="B125" s="25" t="s">
        <v>121</v>
      </c>
      <c r="C125" s="26" t="s">
        <v>122</v>
      </c>
      <c r="D125" s="27">
        <v>76090000</v>
      </c>
      <c r="E125" s="28" t="s">
        <v>201</v>
      </c>
      <c r="F125" s="29" t="s">
        <v>202</v>
      </c>
      <c r="G125" s="30">
        <v>0.5</v>
      </c>
      <c r="H125" s="27" t="s">
        <v>137</v>
      </c>
      <c r="I125" s="26" t="s">
        <v>138</v>
      </c>
      <c r="J125" s="31">
        <v>7.5</v>
      </c>
      <c r="K125" s="32">
        <f t="shared" si="3"/>
        <v>3.75</v>
      </c>
      <c r="L125" s="29" t="s">
        <v>202</v>
      </c>
      <c r="M125" s="27">
        <f>IFERROR(VLOOKUP(C125,Custo_MI_Device!$B$2:$E$102,3,FALSE),0)</f>
        <v>0</v>
      </c>
      <c r="N125" s="27">
        <f t="shared" si="4"/>
        <v>0</v>
      </c>
      <c r="O125" s="178">
        <f t="shared" si="5"/>
        <v>0</v>
      </c>
    </row>
    <row r="126" spans="1:15" ht="25.5" hidden="1">
      <c r="A126" s="25">
        <v>3436</v>
      </c>
      <c r="B126" s="25" t="s">
        <v>121</v>
      </c>
      <c r="C126" s="26" t="s">
        <v>122</v>
      </c>
      <c r="D126" s="27">
        <v>76090000</v>
      </c>
      <c r="E126" s="28" t="s">
        <v>193</v>
      </c>
      <c r="F126" s="29" t="s">
        <v>194</v>
      </c>
      <c r="G126" s="30">
        <v>1</v>
      </c>
      <c r="H126" s="27" t="s">
        <v>137</v>
      </c>
      <c r="I126" s="26" t="s">
        <v>138</v>
      </c>
      <c r="J126" s="31">
        <v>6.7</v>
      </c>
      <c r="K126" s="32">
        <f t="shared" si="3"/>
        <v>6.7</v>
      </c>
      <c r="L126" s="29" t="s">
        <v>194</v>
      </c>
      <c r="M126" s="27">
        <f>IFERROR(VLOOKUP(C126,Custo_MI_Device!$B$2:$E$102,3,FALSE),0)</f>
        <v>0</v>
      </c>
      <c r="N126" s="27">
        <f t="shared" si="4"/>
        <v>0</v>
      </c>
      <c r="O126" s="178">
        <f t="shared" si="5"/>
        <v>0</v>
      </c>
    </row>
    <row r="127" spans="1:15" ht="25.5" hidden="1">
      <c r="A127" s="25">
        <v>2894</v>
      </c>
      <c r="B127" s="25" t="s">
        <v>121</v>
      </c>
      <c r="C127" s="26" t="s">
        <v>122</v>
      </c>
      <c r="D127" s="27">
        <v>73063000</v>
      </c>
      <c r="E127" s="28" t="s">
        <v>235</v>
      </c>
      <c r="F127" s="29">
        <v>0</v>
      </c>
      <c r="G127" s="30">
        <v>2</v>
      </c>
      <c r="H127" s="27" t="s">
        <v>232</v>
      </c>
      <c r="I127" s="26" t="s">
        <v>233</v>
      </c>
      <c r="J127" s="31">
        <v>46.6</v>
      </c>
      <c r="K127" s="32">
        <f t="shared" si="3"/>
        <v>93.2</v>
      </c>
      <c r="L127" s="29" t="s">
        <v>236</v>
      </c>
      <c r="M127" s="27">
        <f>IFERROR(VLOOKUP(C127,Custo_MI_Device!$B$2:$E$102,3,FALSE),0)</f>
        <v>0</v>
      </c>
      <c r="N127" s="27">
        <f t="shared" si="4"/>
        <v>0</v>
      </c>
      <c r="O127" s="178">
        <f t="shared" si="5"/>
        <v>0</v>
      </c>
    </row>
    <row r="128" spans="1:15" ht="25.5" hidden="1">
      <c r="A128" s="25">
        <v>4306</v>
      </c>
      <c r="B128" s="25" t="s">
        <v>121</v>
      </c>
      <c r="C128" s="26" t="s">
        <v>122</v>
      </c>
      <c r="D128" s="27">
        <v>73063000</v>
      </c>
      <c r="E128" s="28" t="s">
        <v>239</v>
      </c>
      <c r="F128" s="29">
        <v>0</v>
      </c>
      <c r="G128" s="30">
        <v>2</v>
      </c>
      <c r="H128" s="27" t="s">
        <v>232</v>
      </c>
      <c r="I128" s="26" t="s">
        <v>233</v>
      </c>
      <c r="J128" s="31">
        <v>32</v>
      </c>
      <c r="K128" s="32">
        <f t="shared" si="3"/>
        <v>64</v>
      </c>
      <c r="L128" s="29" t="s">
        <v>240</v>
      </c>
      <c r="M128" s="27">
        <f>IFERROR(VLOOKUP(C128,Custo_MI_Device!$B$2:$E$102,3,FALSE),0)</f>
        <v>0</v>
      </c>
      <c r="N128" s="27">
        <f t="shared" si="4"/>
        <v>0</v>
      </c>
      <c r="O128" s="178">
        <f t="shared" si="5"/>
        <v>0</v>
      </c>
    </row>
    <row r="129" spans="1:15" ht="12.75" hidden="1">
      <c r="A129" s="25">
        <v>4518</v>
      </c>
      <c r="B129" s="25" t="s">
        <v>121</v>
      </c>
      <c r="C129" s="26" t="s">
        <v>122</v>
      </c>
      <c r="D129" s="27">
        <v>73072900</v>
      </c>
      <c r="E129" s="28" t="s">
        <v>242</v>
      </c>
      <c r="F129" s="29">
        <v>0</v>
      </c>
      <c r="G129" s="30">
        <v>1</v>
      </c>
      <c r="H129" s="27" t="s">
        <v>137</v>
      </c>
      <c r="I129" s="26" t="s">
        <v>233</v>
      </c>
      <c r="J129" s="31">
        <v>2.5499999999999998</v>
      </c>
      <c r="K129" s="32">
        <f t="shared" si="3"/>
        <v>2.5499999999999998</v>
      </c>
      <c r="L129" s="29" t="s">
        <v>243</v>
      </c>
      <c r="M129" s="27">
        <f>IFERROR(VLOOKUP(C129,Custo_MI_Device!$B$2:$E$102,3,FALSE),0)</f>
        <v>0</v>
      </c>
      <c r="N129" s="27">
        <f t="shared" si="4"/>
        <v>0</v>
      </c>
      <c r="O129" s="178">
        <f t="shared" si="5"/>
        <v>0</v>
      </c>
    </row>
    <row r="130" spans="1:15" ht="12.75" hidden="1">
      <c r="A130" s="25">
        <v>4867</v>
      </c>
      <c r="B130" s="25" t="s">
        <v>121</v>
      </c>
      <c r="C130" s="26" t="s">
        <v>122</v>
      </c>
      <c r="D130" s="27">
        <v>73072900</v>
      </c>
      <c r="E130" s="28" t="s">
        <v>244</v>
      </c>
      <c r="F130" s="29">
        <v>0</v>
      </c>
      <c r="G130" s="30">
        <v>1</v>
      </c>
      <c r="H130" s="27" t="s">
        <v>137</v>
      </c>
      <c r="I130" s="26" t="s">
        <v>233</v>
      </c>
      <c r="J130" s="31">
        <v>2.15</v>
      </c>
      <c r="K130" s="32">
        <f t="shared" si="3"/>
        <v>2.15</v>
      </c>
      <c r="L130" s="29" t="s">
        <v>245</v>
      </c>
      <c r="M130" s="27">
        <f>IFERROR(VLOOKUP(C130,Custo_MI_Device!$B$2:$E$102,3,FALSE),0)</f>
        <v>0</v>
      </c>
      <c r="N130" s="27">
        <f t="shared" si="4"/>
        <v>0</v>
      </c>
      <c r="O130" s="178">
        <f t="shared" si="5"/>
        <v>0</v>
      </c>
    </row>
    <row r="131" spans="1:15" ht="12.75" hidden="1">
      <c r="A131" s="25">
        <v>1871</v>
      </c>
      <c r="B131" s="25" t="s">
        <v>121</v>
      </c>
      <c r="C131" s="26" t="s">
        <v>122</v>
      </c>
      <c r="D131" s="27">
        <v>73071910</v>
      </c>
      <c r="E131" s="28" t="s">
        <v>259</v>
      </c>
      <c r="F131" s="29" t="s">
        <v>260</v>
      </c>
      <c r="G131" s="30">
        <v>2</v>
      </c>
      <c r="H131" s="27" t="s">
        <v>137</v>
      </c>
      <c r="I131" s="26" t="s">
        <v>138</v>
      </c>
      <c r="J131" s="31">
        <v>0.95</v>
      </c>
      <c r="K131" s="32">
        <f t="shared" ref="K131:K194" si="6">G131*J131</f>
        <v>1.9</v>
      </c>
      <c r="L131" s="29" t="s">
        <v>260</v>
      </c>
      <c r="M131" s="27">
        <f>IFERROR(VLOOKUP(C131,Custo_MI_Device!$B$2:$E$102,3,FALSE),0)</f>
        <v>0</v>
      </c>
      <c r="N131" s="27">
        <f t="shared" ref="N131:N194" si="7">ROUNDUP(M131*G131,0)</f>
        <v>0</v>
      </c>
      <c r="O131" s="178">
        <f t="shared" ref="O131:O194" si="8">N131*J131</f>
        <v>0</v>
      </c>
    </row>
    <row r="132" spans="1:15" ht="12.75" hidden="1">
      <c r="A132" s="25">
        <v>3274</v>
      </c>
      <c r="B132" s="25" t="s">
        <v>121</v>
      </c>
      <c r="C132" s="26" t="s">
        <v>122</v>
      </c>
      <c r="D132" s="27">
        <v>73181500</v>
      </c>
      <c r="E132" s="28" t="s">
        <v>265</v>
      </c>
      <c r="F132" s="29" t="s">
        <v>266</v>
      </c>
      <c r="G132" s="30">
        <v>24</v>
      </c>
      <c r="H132" s="27" t="s">
        <v>137</v>
      </c>
      <c r="I132" s="26" t="s">
        <v>256</v>
      </c>
      <c r="J132" s="31">
        <v>0.06</v>
      </c>
      <c r="K132" s="32">
        <f t="shared" si="6"/>
        <v>1.44</v>
      </c>
      <c r="L132" s="29" t="s">
        <v>266</v>
      </c>
      <c r="M132" s="27">
        <f>IFERROR(VLOOKUP(C132,Custo_MI_Device!$B$2:$E$102,3,FALSE),0)</f>
        <v>0</v>
      </c>
      <c r="N132" s="27">
        <f t="shared" si="7"/>
        <v>0</v>
      </c>
      <c r="O132" s="178">
        <f t="shared" si="8"/>
        <v>0</v>
      </c>
    </row>
    <row r="133" spans="1:15" ht="25.5" hidden="1">
      <c r="A133" s="25">
        <v>1611</v>
      </c>
      <c r="B133" s="25" t="s">
        <v>121</v>
      </c>
      <c r="C133" s="26" t="s">
        <v>122</v>
      </c>
      <c r="D133" s="27">
        <v>39174090</v>
      </c>
      <c r="E133" s="28" t="s">
        <v>275</v>
      </c>
      <c r="F133" s="29" t="s">
        <v>276</v>
      </c>
      <c r="G133" s="30">
        <v>4</v>
      </c>
      <c r="H133" s="27" t="s">
        <v>137</v>
      </c>
      <c r="I133" s="26" t="s">
        <v>277</v>
      </c>
      <c r="J133" s="31">
        <v>7.8</v>
      </c>
      <c r="K133" s="32">
        <f t="shared" si="6"/>
        <v>31.2</v>
      </c>
      <c r="L133" s="29" t="s">
        <v>276</v>
      </c>
      <c r="M133" s="27">
        <f>IFERROR(VLOOKUP(C133,Custo_MI_Device!$B$2:$E$102,3,FALSE),0)</f>
        <v>0</v>
      </c>
      <c r="N133" s="27">
        <f t="shared" si="7"/>
        <v>0</v>
      </c>
      <c r="O133" s="178">
        <f t="shared" si="8"/>
        <v>0</v>
      </c>
    </row>
    <row r="134" spans="1:15" ht="12.75" hidden="1">
      <c r="A134" s="25">
        <v>2534</v>
      </c>
      <c r="B134" s="25" t="s">
        <v>109</v>
      </c>
      <c r="C134" s="26" t="s">
        <v>110</v>
      </c>
      <c r="D134" s="27">
        <v>73072900</v>
      </c>
      <c r="E134" s="28" t="s">
        <v>314</v>
      </c>
      <c r="F134" s="29" t="s">
        <v>315</v>
      </c>
      <c r="G134" s="30">
        <v>12</v>
      </c>
      <c r="H134" s="27" t="s">
        <v>137</v>
      </c>
      <c r="I134" s="26" t="s">
        <v>256</v>
      </c>
      <c r="J134" s="31">
        <v>1.2</v>
      </c>
      <c r="K134" s="32">
        <f t="shared" si="6"/>
        <v>14.399999999999999</v>
      </c>
      <c r="L134" s="29" t="s">
        <v>315</v>
      </c>
      <c r="M134" s="27">
        <f>IFERROR(VLOOKUP(C134,Custo_MI_Device!$B$2:$E$102,3,FALSE),0)</f>
        <v>0</v>
      </c>
      <c r="N134" s="27">
        <f t="shared" si="7"/>
        <v>0</v>
      </c>
      <c r="O134" s="178">
        <f t="shared" si="8"/>
        <v>0</v>
      </c>
    </row>
    <row r="135" spans="1:15" ht="12.75" hidden="1">
      <c r="A135" s="25">
        <v>1669</v>
      </c>
      <c r="B135" s="25" t="s">
        <v>109</v>
      </c>
      <c r="C135" s="26" t="s">
        <v>110</v>
      </c>
      <c r="D135" s="27">
        <v>39269090</v>
      </c>
      <c r="E135" s="28" t="s">
        <v>316</v>
      </c>
      <c r="F135" s="29" t="s">
        <v>317</v>
      </c>
      <c r="G135" s="30">
        <v>3</v>
      </c>
      <c r="H135" s="27" t="s">
        <v>137</v>
      </c>
      <c r="I135" s="26" t="s">
        <v>318</v>
      </c>
      <c r="J135" s="31">
        <v>0.04</v>
      </c>
      <c r="K135" s="32">
        <f t="shared" si="6"/>
        <v>0.12</v>
      </c>
      <c r="L135" s="29" t="s">
        <v>317</v>
      </c>
      <c r="M135" s="27">
        <f>IFERROR(VLOOKUP(C135,Custo_MI_Device!$B$2:$E$102,3,FALSE),0)</f>
        <v>0</v>
      </c>
      <c r="N135" s="27">
        <f t="shared" si="7"/>
        <v>0</v>
      </c>
      <c r="O135" s="178">
        <f t="shared" si="8"/>
        <v>0</v>
      </c>
    </row>
    <row r="136" spans="1:15" ht="12.75" hidden="1">
      <c r="A136" s="25">
        <v>5091</v>
      </c>
      <c r="B136" s="25" t="s">
        <v>109</v>
      </c>
      <c r="C136" s="26" t="s">
        <v>110</v>
      </c>
      <c r="D136" s="27">
        <v>73181500</v>
      </c>
      <c r="E136" s="28" t="s">
        <v>323</v>
      </c>
      <c r="F136" s="29" t="s">
        <v>324</v>
      </c>
      <c r="G136" s="30">
        <v>24</v>
      </c>
      <c r="H136" s="27" t="s">
        <v>137</v>
      </c>
      <c r="I136" s="26" t="s">
        <v>256</v>
      </c>
      <c r="J136" s="31">
        <v>0.04</v>
      </c>
      <c r="K136" s="32">
        <f t="shared" si="6"/>
        <v>0.96</v>
      </c>
      <c r="L136" s="29" t="s">
        <v>324</v>
      </c>
      <c r="M136" s="27">
        <f>IFERROR(VLOOKUP(C136,Custo_MI_Device!$B$2:$E$102,3,FALSE),0)</f>
        <v>0</v>
      </c>
      <c r="N136" s="27">
        <f t="shared" si="7"/>
        <v>0</v>
      </c>
      <c r="O136" s="178">
        <f t="shared" si="8"/>
        <v>0</v>
      </c>
    </row>
    <row r="137" spans="1:15" ht="12.75" hidden="1">
      <c r="A137" s="25">
        <v>83</v>
      </c>
      <c r="B137" s="25" t="s">
        <v>109</v>
      </c>
      <c r="C137" s="26" t="s">
        <v>110</v>
      </c>
      <c r="D137" s="27"/>
      <c r="E137" s="28" t="s">
        <v>150</v>
      </c>
      <c r="F137" s="29" t="s">
        <v>148</v>
      </c>
      <c r="G137" s="30">
        <v>1</v>
      </c>
      <c r="H137" s="27" t="s">
        <v>137</v>
      </c>
      <c r="I137" s="26" t="s">
        <v>149</v>
      </c>
      <c r="J137" s="31">
        <v>4.8</v>
      </c>
      <c r="K137" s="32">
        <f t="shared" si="6"/>
        <v>4.8</v>
      </c>
      <c r="L137" s="29" t="s">
        <v>148</v>
      </c>
      <c r="M137" s="27">
        <f>IFERROR(VLOOKUP(C137,Custo_MI_Device!$B$2:$E$102,3,FALSE),0)</f>
        <v>0</v>
      </c>
      <c r="N137" s="27">
        <f t="shared" si="7"/>
        <v>0</v>
      </c>
      <c r="O137" s="178">
        <f t="shared" si="8"/>
        <v>0</v>
      </c>
    </row>
    <row r="138" spans="1:15" ht="38.25" hidden="1">
      <c r="A138" s="25">
        <v>3585</v>
      </c>
      <c r="B138" s="25" t="s">
        <v>109</v>
      </c>
      <c r="C138" s="26" t="s">
        <v>110</v>
      </c>
      <c r="D138" s="27">
        <v>85444900</v>
      </c>
      <c r="E138" s="28" t="s">
        <v>328</v>
      </c>
      <c r="F138" s="29">
        <v>900400</v>
      </c>
      <c r="G138" s="30">
        <v>50</v>
      </c>
      <c r="H138" s="27" t="s">
        <v>158</v>
      </c>
      <c r="I138" s="26" t="s">
        <v>164</v>
      </c>
      <c r="J138" s="31">
        <v>1.7</v>
      </c>
      <c r="K138" s="32">
        <f t="shared" si="6"/>
        <v>85</v>
      </c>
      <c r="L138" s="29">
        <v>900400</v>
      </c>
      <c r="M138" s="27">
        <f>IFERROR(VLOOKUP(C138,Custo_MI_Device!$B$2:$E$102,3,FALSE),0)</f>
        <v>0</v>
      </c>
      <c r="N138" s="27">
        <f t="shared" si="7"/>
        <v>0</v>
      </c>
      <c r="O138" s="178">
        <f t="shared" si="8"/>
        <v>0</v>
      </c>
    </row>
    <row r="139" spans="1:15" ht="12.75" hidden="1">
      <c r="A139" s="25">
        <v>2805</v>
      </c>
      <c r="B139" s="25" t="s">
        <v>109</v>
      </c>
      <c r="C139" s="26" t="s">
        <v>110</v>
      </c>
      <c r="D139" s="27">
        <v>72162100</v>
      </c>
      <c r="E139" s="28" t="s">
        <v>174</v>
      </c>
      <c r="F139" s="29">
        <v>0</v>
      </c>
      <c r="G139" s="30">
        <v>2.9</v>
      </c>
      <c r="H139" s="27" t="s">
        <v>175</v>
      </c>
      <c r="I139" s="26" t="s">
        <v>176</v>
      </c>
      <c r="J139" s="31">
        <v>4.22</v>
      </c>
      <c r="K139" s="32">
        <f t="shared" si="6"/>
        <v>12.238</v>
      </c>
      <c r="L139" s="29" t="s">
        <v>177</v>
      </c>
      <c r="M139" s="27">
        <f>IFERROR(VLOOKUP(C139,Custo_MI_Device!$B$2:$E$102,3,FALSE),0)</f>
        <v>0</v>
      </c>
      <c r="N139" s="27">
        <f t="shared" si="7"/>
        <v>0</v>
      </c>
      <c r="O139" s="178">
        <f t="shared" si="8"/>
        <v>0</v>
      </c>
    </row>
    <row r="140" spans="1:15" ht="25.5" hidden="1">
      <c r="A140" s="25">
        <v>3738</v>
      </c>
      <c r="B140" s="25" t="s">
        <v>109</v>
      </c>
      <c r="C140" s="26" t="s">
        <v>110</v>
      </c>
      <c r="D140" s="27">
        <v>73071100</v>
      </c>
      <c r="E140" s="28" t="s">
        <v>205</v>
      </c>
      <c r="F140" s="29" t="s">
        <v>206</v>
      </c>
      <c r="G140" s="30">
        <v>0.75</v>
      </c>
      <c r="H140" s="27" t="s">
        <v>137</v>
      </c>
      <c r="I140" s="26" t="s">
        <v>149</v>
      </c>
      <c r="J140" s="31">
        <v>27</v>
      </c>
      <c r="K140" s="32">
        <f t="shared" si="6"/>
        <v>20.25</v>
      </c>
      <c r="L140" s="29" t="s">
        <v>206</v>
      </c>
      <c r="M140" s="27">
        <f>IFERROR(VLOOKUP(C140,Custo_MI_Device!$B$2:$E$102,3,FALSE),0)</f>
        <v>0</v>
      </c>
      <c r="N140" s="27">
        <f t="shared" si="7"/>
        <v>0</v>
      </c>
      <c r="O140" s="178">
        <f t="shared" si="8"/>
        <v>0</v>
      </c>
    </row>
    <row r="141" spans="1:15" ht="25.5" hidden="1">
      <c r="A141" s="25">
        <v>1710</v>
      </c>
      <c r="B141" s="25" t="s">
        <v>109</v>
      </c>
      <c r="C141" s="26" t="s">
        <v>110</v>
      </c>
      <c r="D141" s="27">
        <v>73071100</v>
      </c>
      <c r="E141" s="28" t="s">
        <v>207</v>
      </c>
      <c r="F141" s="29" t="s">
        <v>208</v>
      </c>
      <c r="G141" s="30">
        <v>0.75</v>
      </c>
      <c r="H141" s="27" t="s">
        <v>137</v>
      </c>
      <c r="I141" s="26" t="s">
        <v>149</v>
      </c>
      <c r="J141" s="31">
        <v>27</v>
      </c>
      <c r="K141" s="32">
        <f t="shared" si="6"/>
        <v>20.25</v>
      </c>
      <c r="L141" s="29" t="s">
        <v>208</v>
      </c>
      <c r="M141" s="27">
        <f>IFERROR(VLOOKUP(C141,Custo_MI_Device!$B$2:$E$102,3,FALSE),0)</f>
        <v>0</v>
      </c>
      <c r="N141" s="27">
        <f t="shared" si="7"/>
        <v>0</v>
      </c>
      <c r="O141" s="178">
        <f t="shared" si="8"/>
        <v>0</v>
      </c>
    </row>
    <row r="142" spans="1:15" ht="25.5" hidden="1">
      <c r="A142" s="25">
        <v>1715</v>
      </c>
      <c r="B142" s="25" t="s">
        <v>109</v>
      </c>
      <c r="C142" s="26" t="s">
        <v>110</v>
      </c>
      <c r="D142" s="27">
        <v>73071100</v>
      </c>
      <c r="E142" s="28" t="s">
        <v>209</v>
      </c>
      <c r="F142" s="29" t="s">
        <v>210</v>
      </c>
      <c r="G142" s="30">
        <v>0.75</v>
      </c>
      <c r="H142" s="27" t="s">
        <v>137</v>
      </c>
      <c r="I142" s="26" t="s">
        <v>149</v>
      </c>
      <c r="J142" s="31">
        <v>27</v>
      </c>
      <c r="K142" s="32">
        <f t="shared" si="6"/>
        <v>20.25</v>
      </c>
      <c r="L142" s="29" t="s">
        <v>210</v>
      </c>
      <c r="M142" s="27">
        <f>IFERROR(VLOOKUP(C142,Custo_MI_Device!$B$2:$E$102,3,FALSE),0)</f>
        <v>0</v>
      </c>
      <c r="N142" s="27">
        <f t="shared" si="7"/>
        <v>0</v>
      </c>
      <c r="O142" s="178">
        <f t="shared" si="8"/>
        <v>0</v>
      </c>
    </row>
    <row r="143" spans="1:15" ht="25.5" hidden="1">
      <c r="A143" s="25">
        <v>3566</v>
      </c>
      <c r="B143" s="25" t="s">
        <v>109</v>
      </c>
      <c r="C143" s="26" t="s">
        <v>110</v>
      </c>
      <c r="D143" s="27">
        <v>74122000</v>
      </c>
      <c r="E143" s="28" t="s">
        <v>211</v>
      </c>
      <c r="F143" s="29" t="s">
        <v>212</v>
      </c>
      <c r="G143" s="30">
        <v>1</v>
      </c>
      <c r="H143" s="27" t="s">
        <v>137</v>
      </c>
      <c r="I143" s="26" t="s">
        <v>155</v>
      </c>
      <c r="J143" s="31">
        <v>4</v>
      </c>
      <c r="K143" s="32">
        <f t="shared" si="6"/>
        <v>4</v>
      </c>
      <c r="L143" s="29" t="s">
        <v>212</v>
      </c>
      <c r="M143" s="27">
        <f>IFERROR(VLOOKUP(C143,Custo_MI_Device!$B$2:$E$102,3,FALSE),0)</f>
        <v>0</v>
      </c>
      <c r="N143" s="27">
        <f t="shared" si="7"/>
        <v>0</v>
      </c>
      <c r="O143" s="178">
        <f t="shared" si="8"/>
        <v>0</v>
      </c>
    </row>
    <row r="144" spans="1:15" ht="25.5" hidden="1">
      <c r="A144" s="25">
        <v>3566</v>
      </c>
      <c r="B144" s="25" t="s">
        <v>109</v>
      </c>
      <c r="C144" s="26" t="s">
        <v>110</v>
      </c>
      <c r="D144" s="27">
        <v>74122000</v>
      </c>
      <c r="E144" s="28" t="s">
        <v>211</v>
      </c>
      <c r="F144" s="29" t="s">
        <v>213</v>
      </c>
      <c r="G144" s="30">
        <v>1</v>
      </c>
      <c r="H144" s="27" t="s">
        <v>137</v>
      </c>
      <c r="I144" s="26" t="s">
        <v>155</v>
      </c>
      <c r="J144" s="31">
        <v>4</v>
      </c>
      <c r="K144" s="32">
        <f t="shared" si="6"/>
        <v>4</v>
      </c>
      <c r="L144" s="29" t="s">
        <v>213</v>
      </c>
      <c r="M144" s="27">
        <f>IFERROR(VLOOKUP(C144,Custo_MI_Device!$B$2:$E$102,3,FALSE),0)</f>
        <v>0</v>
      </c>
      <c r="N144" s="27">
        <f t="shared" si="7"/>
        <v>0</v>
      </c>
      <c r="O144" s="178">
        <f t="shared" si="8"/>
        <v>0</v>
      </c>
    </row>
    <row r="145" spans="1:15" ht="25.5" hidden="1">
      <c r="A145" s="25">
        <v>3417</v>
      </c>
      <c r="B145" s="25" t="s">
        <v>109</v>
      </c>
      <c r="C145" s="26" t="s">
        <v>110</v>
      </c>
      <c r="D145" s="27">
        <v>73063000</v>
      </c>
      <c r="E145" s="28" t="s">
        <v>231</v>
      </c>
      <c r="F145" s="29">
        <v>0</v>
      </c>
      <c r="G145" s="30">
        <v>2</v>
      </c>
      <c r="H145" s="27" t="s">
        <v>232</v>
      </c>
      <c r="I145" s="26" t="s">
        <v>233</v>
      </c>
      <c r="J145" s="31">
        <v>33.47</v>
      </c>
      <c r="K145" s="32">
        <f t="shared" si="6"/>
        <v>66.94</v>
      </c>
      <c r="L145" s="29" t="s">
        <v>234</v>
      </c>
      <c r="M145" s="27">
        <f>IFERROR(VLOOKUP(C145,Custo_MI_Device!$B$2:$E$102,3,FALSE),0)</f>
        <v>0</v>
      </c>
      <c r="N145" s="27">
        <f t="shared" si="7"/>
        <v>0</v>
      </c>
      <c r="O145" s="178">
        <f t="shared" si="8"/>
        <v>0</v>
      </c>
    </row>
    <row r="146" spans="1:15" ht="12.75" hidden="1">
      <c r="A146" s="25">
        <v>1965</v>
      </c>
      <c r="B146" s="25" t="s">
        <v>109</v>
      </c>
      <c r="C146" s="26" t="s">
        <v>110</v>
      </c>
      <c r="D146" s="27">
        <v>73071100</v>
      </c>
      <c r="E146" s="28" t="s">
        <v>251</v>
      </c>
      <c r="F146" s="29" t="s">
        <v>252</v>
      </c>
      <c r="G146" s="30">
        <v>1</v>
      </c>
      <c r="H146" s="27" t="s">
        <v>137</v>
      </c>
      <c r="I146" s="26" t="s">
        <v>253</v>
      </c>
      <c r="J146" s="31">
        <v>5.5</v>
      </c>
      <c r="K146" s="32">
        <f t="shared" si="6"/>
        <v>5.5</v>
      </c>
      <c r="L146" s="29" t="s">
        <v>252</v>
      </c>
      <c r="M146" s="27">
        <f>IFERROR(VLOOKUP(C146,Custo_MI_Device!$B$2:$E$102,3,FALSE),0)</f>
        <v>0</v>
      </c>
      <c r="N146" s="27">
        <f t="shared" si="7"/>
        <v>0</v>
      </c>
      <c r="O146" s="178">
        <f t="shared" si="8"/>
        <v>0</v>
      </c>
    </row>
    <row r="147" spans="1:15" ht="12.75" hidden="1">
      <c r="A147" s="25">
        <v>3274</v>
      </c>
      <c r="B147" s="25" t="s">
        <v>109</v>
      </c>
      <c r="C147" s="26" t="s">
        <v>110</v>
      </c>
      <c r="D147" s="27">
        <v>73181500</v>
      </c>
      <c r="E147" s="28" t="s">
        <v>265</v>
      </c>
      <c r="F147" s="29" t="s">
        <v>266</v>
      </c>
      <c r="G147" s="30">
        <v>24</v>
      </c>
      <c r="H147" s="27" t="s">
        <v>137</v>
      </c>
      <c r="I147" s="26" t="s">
        <v>256</v>
      </c>
      <c r="J147" s="31">
        <v>0.06</v>
      </c>
      <c r="K147" s="32">
        <f t="shared" si="6"/>
        <v>1.44</v>
      </c>
      <c r="L147" s="29" t="s">
        <v>266</v>
      </c>
      <c r="M147" s="27">
        <f>IFERROR(VLOOKUP(C147,Custo_MI_Device!$B$2:$E$102,3,FALSE),0)</f>
        <v>0</v>
      </c>
      <c r="N147" s="27">
        <f t="shared" si="7"/>
        <v>0</v>
      </c>
      <c r="O147" s="178">
        <f t="shared" si="8"/>
        <v>0</v>
      </c>
    </row>
    <row r="148" spans="1:15" ht="25.5" hidden="1">
      <c r="A148" s="25">
        <v>2844</v>
      </c>
      <c r="B148" s="25" t="s">
        <v>109</v>
      </c>
      <c r="C148" s="26" t="s">
        <v>110</v>
      </c>
      <c r="D148" s="27">
        <v>73069090</v>
      </c>
      <c r="E148" s="28" t="s">
        <v>291</v>
      </c>
      <c r="F148" s="29" t="s">
        <v>292</v>
      </c>
      <c r="G148" s="30">
        <v>2</v>
      </c>
      <c r="H148" s="27" t="s">
        <v>158</v>
      </c>
      <c r="I148" s="26" t="s">
        <v>155</v>
      </c>
      <c r="J148" s="31">
        <v>1.8</v>
      </c>
      <c r="K148" s="32">
        <f t="shared" si="6"/>
        <v>3.6</v>
      </c>
      <c r="L148" s="29" t="s">
        <v>292</v>
      </c>
      <c r="M148" s="27">
        <f>IFERROR(VLOOKUP(C148,Custo_MI_Device!$B$2:$E$102,3,FALSE),0)</f>
        <v>0</v>
      </c>
      <c r="N148" s="27">
        <f t="shared" si="7"/>
        <v>0</v>
      </c>
      <c r="O148" s="178">
        <f t="shared" si="8"/>
        <v>0</v>
      </c>
    </row>
    <row r="149" spans="1:15" ht="25.5" hidden="1">
      <c r="A149" s="25">
        <v>5147</v>
      </c>
      <c r="B149" s="25" t="s">
        <v>109</v>
      </c>
      <c r="C149" s="26" t="s">
        <v>110</v>
      </c>
      <c r="D149" s="27">
        <v>83079000</v>
      </c>
      <c r="E149" s="28" t="s">
        <v>293</v>
      </c>
      <c r="F149" s="29" t="s">
        <v>294</v>
      </c>
      <c r="G149" s="30">
        <v>1</v>
      </c>
      <c r="H149" s="27" t="s">
        <v>137</v>
      </c>
      <c r="I149" s="26" t="s">
        <v>180</v>
      </c>
      <c r="J149" s="31">
        <v>155</v>
      </c>
      <c r="K149" s="32">
        <f t="shared" si="6"/>
        <v>155</v>
      </c>
      <c r="L149" s="29" t="s">
        <v>294</v>
      </c>
      <c r="M149" s="27">
        <f>IFERROR(VLOOKUP(C149,Custo_MI_Device!$B$2:$E$102,3,FALSE),0)</f>
        <v>0</v>
      </c>
      <c r="N149" s="27">
        <f t="shared" si="7"/>
        <v>0</v>
      </c>
      <c r="O149" s="178">
        <f t="shared" si="8"/>
        <v>0</v>
      </c>
    </row>
    <row r="150" spans="1:15" ht="25.5" hidden="1">
      <c r="A150" s="25">
        <v>4834</v>
      </c>
      <c r="B150" s="25" t="s">
        <v>109</v>
      </c>
      <c r="C150" s="26" t="s">
        <v>110</v>
      </c>
      <c r="D150" s="27">
        <v>73071100</v>
      </c>
      <c r="E150" s="28" t="s">
        <v>299</v>
      </c>
      <c r="F150" s="29" t="s">
        <v>300</v>
      </c>
      <c r="G150" s="30">
        <v>1</v>
      </c>
      <c r="H150" s="27" t="s">
        <v>137</v>
      </c>
      <c r="I150" s="26" t="s">
        <v>149</v>
      </c>
      <c r="J150" s="31">
        <v>28</v>
      </c>
      <c r="K150" s="32">
        <f t="shared" si="6"/>
        <v>28</v>
      </c>
      <c r="L150" s="29" t="s">
        <v>300</v>
      </c>
      <c r="M150" s="27">
        <f>IFERROR(VLOOKUP(C150,Custo_MI_Device!$B$2:$E$102,3,FALSE),0)</f>
        <v>0</v>
      </c>
      <c r="N150" s="27">
        <f t="shared" si="7"/>
        <v>0</v>
      </c>
      <c r="O150" s="178">
        <f t="shared" si="8"/>
        <v>0</v>
      </c>
    </row>
    <row r="151" spans="1:15" ht="25.5" hidden="1">
      <c r="A151" s="25">
        <v>2567</v>
      </c>
      <c r="B151" s="25" t="s">
        <v>109</v>
      </c>
      <c r="C151" s="26" t="s">
        <v>110</v>
      </c>
      <c r="D151" s="27">
        <v>84818095</v>
      </c>
      <c r="E151" s="28" t="s">
        <v>303</v>
      </c>
      <c r="F151" s="29">
        <v>0</v>
      </c>
      <c r="G151" s="30">
        <v>1</v>
      </c>
      <c r="H151" s="27" t="s">
        <v>137</v>
      </c>
      <c r="I151" s="26" t="s">
        <v>304</v>
      </c>
      <c r="J151" s="31">
        <v>27</v>
      </c>
      <c r="K151" s="32">
        <f t="shared" si="6"/>
        <v>27</v>
      </c>
      <c r="L151" s="29" t="s">
        <v>305</v>
      </c>
      <c r="M151" s="27">
        <f>IFERROR(VLOOKUP(C151,Custo_MI_Device!$B$2:$E$102,3,FALSE),0)</f>
        <v>0</v>
      </c>
      <c r="N151" s="27">
        <f t="shared" si="7"/>
        <v>0</v>
      </c>
      <c r="O151" s="178">
        <f t="shared" si="8"/>
        <v>0</v>
      </c>
    </row>
    <row r="152" spans="1:15" ht="12.75" hidden="1">
      <c r="A152" s="25">
        <v>2534</v>
      </c>
      <c r="B152" s="25" t="s">
        <v>109</v>
      </c>
      <c r="C152" s="26" t="s">
        <v>111</v>
      </c>
      <c r="D152" s="27">
        <v>73072900</v>
      </c>
      <c r="E152" s="28" t="s">
        <v>314</v>
      </c>
      <c r="F152" s="29" t="s">
        <v>315</v>
      </c>
      <c r="G152" s="30">
        <v>12</v>
      </c>
      <c r="H152" s="27" t="s">
        <v>137</v>
      </c>
      <c r="I152" s="26" t="s">
        <v>256</v>
      </c>
      <c r="J152" s="31">
        <v>1.2</v>
      </c>
      <c r="K152" s="32">
        <f t="shared" si="6"/>
        <v>14.399999999999999</v>
      </c>
      <c r="L152" s="29" t="s">
        <v>315</v>
      </c>
      <c r="M152" s="27">
        <f>IFERROR(VLOOKUP(C152,Custo_MI_Device!$B$2:$E$102,3,FALSE),0)</f>
        <v>0</v>
      </c>
      <c r="N152" s="27">
        <f t="shared" si="7"/>
        <v>0</v>
      </c>
      <c r="O152" s="178">
        <f t="shared" si="8"/>
        <v>0</v>
      </c>
    </row>
    <row r="153" spans="1:15" ht="12.75" hidden="1">
      <c r="A153" s="25">
        <v>1669</v>
      </c>
      <c r="B153" s="25" t="s">
        <v>109</v>
      </c>
      <c r="C153" s="26" t="s">
        <v>111</v>
      </c>
      <c r="D153" s="27">
        <v>39269090</v>
      </c>
      <c r="E153" s="28" t="s">
        <v>316</v>
      </c>
      <c r="F153" s="29" t="s">
        <v>317</v>
      </c>
      <c r="G153" s="30">
        <v>3</v>
      </c>
      <c r="H153" s="27" t="s">
        <v>137</v>
      </c>
      <c r="I153" s="26" t="s">
        <v>318</v>
      </c>
      <c r="J153" s="31">
        <v>0.04</v>
      </c>
      <c r="K153" s="32">
        <f t="shared" si="6"/>
        <v>0.12</v>
      </c>
      <c r="L153" s="29" t="s">
        <v>317</v>
      </c>
      <c r="M153" s="27">
        <f>IFERROR(VLOOKUP(C153,Custo_MI_Device!$B$2:$E$102,3,FALSE),0)</f>
        <v>0</v>
      </c>
      <c r="N153" s="27">
        <f t="shared" si="7"/>
        <v>0</v>
      </c>
      <c r="O153" s="178">
        <f t="shared" si="8"/>
        <v>0</v>
      </c>
    </row>
    <row r="154" spans="1:15" ht="12.75" hidden="1">
      <c r="A154" s="25">
        <v>5091</v>
      </c>
      <c r="B154" s="25" t="s">
        <v>109</v>
      </c>
      <c r="C154" s="26" t="s">
        <v>111</v>
      </c>
      <c r="D154" s="27">
        <v>73181500</v>
      </c>
      <c r="E154" s="28" t="s">
        <v>323</v>
      </c>
      <c r="F154" s="29" t="s">
        <v>324</v>
      </c>
      <c r="G154" s="30">
        <v>24</v>
      </c>
      <c r="H154" s="27" t="s">
        <v>137</v>
      </c>
      <c r="I154" s="26" t="s">
        <v>256</v>
      </c>
      <c r="J154" s="31">
        <v>0.04</v>
      </c>
      <c r="K154" s="32">
        <f t="shared" si="6"/>
        <v>0.96</v>
      </c>
      <c r="L154" s="29" t="s">
        <v>324</v>
      </c>
      <c r="M154" s="27">
        <f>IFERROR(VLOOKUP(C154,Custo_MI_Device!$B$2:$E$102,3,FALSE),0)</f>
        <v>0</v>
      </c>
      <c r="N154" s="27">
        <f t="shared" si="7"/>
        <v>0</v>
      </c>
      <c r="O154" s="178">
        <f t="shared" si="8"/>
        <v>0</v>
      </c>
    </row>
    <row r="155" spans="1:15" ht="12.75" hidden="1">
      <c r="A155" s="25">
        <v>83</v>
      </c>
      <c r="B155" s="25" t="s">
        <v>109</v>
      </c>
      <c r="C155" s="26" t="s">
        <v>111</v>
      </c>
      <c r="D155" s="27"/>
      <c r="E155" s="28" t="s">
        <v>150</v>
      </c>
      <c r="F155" s="29" t="s">
        <v>148</v>
      </c>
      <c r="G155" s="30">
        <v>1</v>
      </c>
      <c r="H155" s="27" t="s">
        <v>137</v>
      </c>
      <c r="I155" s="26" t="s">
        <v>149</v>
      </c>
      <c r="J155" s="31">
        <v>4.8</v>
      </c>
      <c r="K155" s="32">
        <f t="shared" si="6"/>
        <v>4.8</v>
      </c>
      <c r="L155" s="29" t="s">
        <v>148</v>
      </c>
      <c r="M155" s="27">
        <f>IFERROR(VLOOKUP(C155,Custo_MI_Device!$B$2:$E$102,3,FALSE),0)</f>
        <v>0</v>
      </c>
      <c r="N155" s="27">
        <f t="shared" si="7"/>
        <v>0</v>
      </c>
      <c r="O155" s="178">
        <f t="shared" si="8"/>
        <v>0</v>
      </c>
    </row>
    <row r="156" spans="1:15" ht="25.5" hidden="1">
      <c r="A156" s="25">
        <v>5139</v>
      </c>
      <c r="B156" s="25" t="s">
        <v>109</v>
      </c>
      <c r="C156" s="26" t="s">
        <v>111</v>
      </c>
      <c r="D156" s="27">
        <v>85444900</v>
      </c>
      <c r="E156" s="28" t="s">
        <v>170</v>
      </c>
      <c r="F156" s="29" t="s">
        <v>171</v>
      </c>
      <c r="G156" s="30">
        <v>15</v>
      </c>
      <c r="H156" s="27" t="s">
        <v>158</v>
      </c>
      <c r="I156" s="26" t="s">
        <v>172</v>
      </c>
      <c r="J156" s="31">
        <v>7.5</v>
      </c>
      <c r="K156" s="32">
        <f t="shared" si="6"/>
        <v>112.5</v>
      </c>
      <c r="L156" s="29" t="s">
        <v>173</v>
      </c>
      <c r="M156" s="27">
        <f>IFERROR(VLOOKUP(C156,Custo_MI_Device!$B$2:$E$102,3,FALSE),0)</f>
        <v>0</v>
      </c>
      <c r="N156" s="27">
        <f t="shared" si="7"/>
        <v>0</v>
      </c>
      <c r="O156" s="178">
        <f t="shared" si="8"/>
        <v>0</v>
      </c>
    </row>
    <row r="157" spans="1:15" ht="12.75" hidden="1">
      <c r="A157" s="25">
        <v>2805</v>
      </c>
      <c r="B157" s="25" t="s">
        <v>109</v>
      </c>
      <c r="C157" s="26" t="s">
        <v>111</v>
      </c>
      <c r="D157" s="27">
        <v>72162100</v>
      </c>
      <c r="E157" s="28" t="s">
        <v>174</v>
      </c>
      <c r="F157" s="29">
        <v>0</v>
      </c>
      <c r="G157" s="30">
        <v>2.9</v>
      </c>
      <c r="H157" s="27" t="s">
        <v>175</v>
      </c>
      <c r="I157" s="26" t="s">
        <v>176</v>
      </c>
      <c r="J157" s="31">
        <v>4.22</v>
      </c>
      <c r="K157" s="32">
        <f t="shared" si="6"/>
        <v>12.238</v>
      </c>
      <c r="L157" s="29" t="s">
        <v>177</v>
      </c>
      <c r="M157" s="27">
        <f>IFERROR(VLOOKUP(C157,Custo_MI_Device!$B$2:$E$102,3,FALSE),0)</f>
        <v>0</v>
      </c>
      <c r="N157" s="27">
        <f t="shared" si="7"/>
        <v>0</v>
      </c>
      <c r="O157" s="178">
        <f t="shared" si="8"/>
        <v>0</v>
      </c>
    </row>
    <row r="158" spans="1:15" ht="25.5" hidden="1">
      <c r="A158" s="25">
        <v>3738</v>
      </c>
      <c r="B158" s="25" t="s">
        <v>109</v>
      </c>
      <c r="C158" s="26" t="s">
        <v>111</v>
      </c>
      <c r="D158" s="27">
        <v>73071100</v>
      </c>
      <c r="E158" s="28" t="s">
        <v>205</v>
      </c>
      <c r="F158" s="29" t="s">
        <v>206</v>
      </c>
      <c r="G158" s="30">
        <v>0.75</v>
      </c>
      <c r="H158" s="27" t="s">
        <v>137</v>
      </c>
      <c r="I158" s="26" t="s">
        <v>149</v>
      </c>
      <c r="J158" s="31">
        <v>27</v>
      </c>
      <c r="K158" s="32">
        <f t="shared" si="6"/>
        <v>20.25</v>
      </c>
      <c r="L158" s="29" t="s">
        <v>206</v>
      </c>
      <c r="M158" s="27">
        <f>IFERROR(VLOOKUP(C158,Custo_MI_Device!$B$2:$E$102,3,FALSE),0)</f>
        <v>0</v>
      </c>
      <c r="N158" s="27">
        <f t="shared" si="7"/>
        <v>0</v>
      </c>
      <c r="O158" s="178">
        <f t="shared" si="8"/>
        <v>0</v>
      </c>
    </row>
    <row r="159" spans="1:15" ht="25.5" hidden="1">
      <c r="A159" s="25">
        <v>1710</v>
      </c>
      <c r="B159" s="25" t="s">
        <v>109</v>
      </c>
      <c r="C159" s="26" t="s">
        <v>111</v>
      </c>
      <c r="D159" s="27">
        <v>73071100</v>
      </c>
      <c r="E159" s="28" t="s">
        <v>207</v>
      </c>
      <c r="F159" s="29" t="s">
        <v>208</v>
      </c>
      <c r="G159" s="30">
        <v>0.75</v>
      </c>
      <c r="H159" s="27" t="s">
        <v>137</v>
      </c>
      <c r="I159" s="26" t="s">
        <v>149</v>
      </c>
      <c r="J159" s="31">
        <v>27</v>
      </c>
      <c r="K159" s="32">
        <f t="shared" si="6"/>
        <v>20.25</v>
      </c>
      <c r="L159" s="29" t="s">
        <v>208</v>
      </c>
      <c r="M159" s="27">
        <f>IFERROR(VLOOKUP(C159,Custo_MI_Device!$B$2:$E$102,3,FALSE),0)</f>
        <v>0</v>
      </c>
      <c r="N159" s="27">
        <f t="shared" si="7"/>
        <v>0</v>
      </c>
      <c r="O159" s="178">
        <f t="shared" si="8"/>
        <v>0</v>
      </c>
    </row>
    <row r="160" spans="1:15" ht="25.5" hidden="1">
      <c r="A160" s="25">
        <v>1715</v>
      </c>
      <c r="B160" s="25" t="s">
        <v>109</v>
      </c>
      <c r="C160" s="26" t="s">
        <v>111</v>
      </c>
      <c r="D160" s="27">
        <v>73071100</v>
      </c>
      <c r="E160" s="28" t="s">
        <v>209</v>
      </c>
      <c r="F160" s="29" t="s">
        <v>210</v>
      </c>
      <c r="G160" s="30">
        <v>0.75</v>
      </c>
      <c r="H160" s="27" t="s">
        <v>137</v>
      </c>
      <c r="I160" s="26" t="s">
        <v>149</v>
      </c>
      <c r="J160" s="31">
        <v>27</v>
      </c>
      <c r="K160" s="32">
        <f t="shared" si="6"/>
        <v>20.25</v>
      </c>
      <c r="L160" s="29" t="s">
        <v>210</v>
      </c>
      <c r="M160" s="27">
        <f>IFERROR(VLOOKUP(C160,Custo_MI_Device!$B$2:$E$102,3,FALSE),0)</f>
        <v>0</v>
      </c>
      <c r="N160" s="27">
        <f t="shared" si="7"/>
        <v>0</v>
      </c>
      <c r="O160" s="178">
        <f t="shared" si="8"/>
        <v>0</v>
      </c>
    </row>
    <row r="161" spans="1:15" ht="25.5" hidden="1">
      <c r="A161" s="25">
        <v>3566</v>
      </c>
      <c r="B161" s="25" t="s">
        <v>109</v>
      </c>
      <c r="C161" s="26" t="s">
        <v>111</v>
      </c>
      <c r="D161" s="27">
        <v>74122000</v>
      </c>
      <c r="E161" s="28" t="s">
        <v>211</v>
      </c>
      <c r="F161" s="29" t="s">
        <v>212</v>
      </c>
      <c r="G161" s="30">
        <v>1</v>
      </c>
      <c r="H161" s="27" t="s">
        <v>137</v>
      </c>
      <c r="I161" s="26" t="s">
        <v>155</v>
      </c>
      <c r="J161" s="31">
        <v>4</v>
      </c>
      <c r="K161" s="32">
        <f t="shared" si="6"/>
        <v>4</v>
      </c>
      <c r="L161" s="29" t="s">
        <v>212</v>
      </c>
      <c r="M161" s="27">
        <f>IFERROR(VLOOKUP(C161,Custo_MI_Device!$B$2:$E$102,3,FALSE),0)</f>
        <v>0</v>
      </c>
      <c r="N161" s="27">
        <f t="shared" si="7"/>
        <v>0</v>
      </c>
      <c r="O161" s="178">
        <f t="shared" si="8"/>
        <v>0</v>
      </c>
    </row>
    <row r="162" spans="1:15" ht="25.5" hidden="1">
      <c r="A162" s="25">
        <v>3566</v>
      </c>
      <c r="B162" s="25" t="s">
        <v>109</v>
      </c>
      <c r="C162" s="26" t="s">
        <v>111</v>
      </c>
      <c r="D162" s="27">
        <v>74122000</v>
      </c>
      <c r="E162" s="28" t="s">
        <v>211</v>
      </c>
      <c r="F162" s="29" t="s">
        <v>213</v>
      </c>
      <c r="G162" s="30">
        <v>1</v>
      </c>
      <c r="H162" s="27" t="s">
        <v>137</v>
      </c>
      <c r="I162" s="26" t="s">
        <v>155</v>
      </c>
      <c r="J162" s="31">
        <v>4</v>
      </c>
      <c r="K162" s="32">
        <f t="shared" si="6"/>
        <v>4</v>
      </c>
      <c r="L162" s="29" t="s">
        <v>213</v>
      </c>
      <c r="M162" s="27">
        <f>IFERROR(VLOOKUP(C162,Custo_MI_Device!$B$2:$E$102,3,FALSE),0)</f>
        <v>0</v>
      </c>
      <c r="N162" s="27">
        <f t="shared" si="7"/>
        <v>0</v>
      </c>
      <c r="O162" s="178">
        <f t="shared" si="8"/>
        <v>0</v>
      </c>
    </row>
    <row r="163" spans="1:15" ht="25.5" hidden="1">
      <c r="A163" s="25">
        <v>3417</v>
      </c>
      <c r="B163" s="25" t="s">
        <v>109</v>
      </c>
      <c r="C163" s="26" t="s">
        <v>111</v>
      </c>
      <c r="D163" s="27">
        <v>73063000</v>
      </c>
      <c r="E163" s="28" t="s">
        <v>231</v>
      </c>
      <c r="F163" s="29">
        <v>0</v>
      </c>
      <c r="G163" s="30">
        <v>2</v>
      </c>
      <c r="H163" s="27" t="s">
        <v>232</v>
      </c>
      <c r="I163" s="26" t="s">
        <v>233</v>
      </c>
      <c r="J163" s="31">
        <v>33.47</v>
      </c>
      <c r="K163" s="32">
        <f t="shared" si="6"/>
        <v>66.94</v>
      </c>
      <c r="L163" s="29" t="s">
        <v>234</v>
      </c>
      <c r="M163" s="27">
        <f>IFERROR(VLOOKUP(C163,Custo_MI_Device!$B$2:$E$102,3,FALSE),0)</f>
        <v>0</v>
      </c>
      <c r="N163" s="27">
        <f t="shared" si="7"/>
        <v>0</v>
      </c>
      <c r="O163" s="178">
        <f t="shared" si="8"/>
        <v>0</v>
      </c>
    </row>
    <row r="164" spans="1:15" ht="12.75" hidden="1">
      <c r="A164" s="25">
        <v>1965</v>
      </c>
      <c r="B164" s="25" t="s">
        <v>109</v>
      </c>
      <c r="C164" s="26" t="s">
        <v>111</v>
      </c>
      <c r="D164" s="27">
        <v>73071100</v>
      </c>
      <c r="E164" s="28" t="s">
        <v>251</v>
      </c>
      <c r="F164" s="29" t="s">
        <v>252</v>
      </c>
      <c r="G164" s="30">
        <v>1</v>
      </c>
      <c r="H164" s="27" t="s">
        <v>137</v>
      </c>
      <c r="I164" s="26" t="s">
        <v>253</v>
      </c>
      <c r="J164" s="31">
        <v>5.5</v>
      </c>
      <c r="K164" s="32">
        <f t="shared" si="6"/>
        <v>5.5</v>
      </c>
      <c r="L164" s="29" t="s">
        <v>252</v>
      </c>
      <c r="M164" s="27">
        <f>IFERROR(VLOOKUP(C164,Custo_MI_Device!$B$2:$E$102,3,FALSE),0)</f>
        <v>0</v>
      </c>
      <c r="N164" s="27">
        <f t="shared" si="7"/>
        <v>0</v>
      </c>
      <c r="O164" s="178">
        <f t="shared" si="8"/>
        <v>0</v>
      </c>
    </row>
    <row r="165" spans="1:15" ht="12.75" hidden="1">
      <c r="A165" s="25">
        <v>3274</v>
      </c>
      <c r="B165" s="25" t="s">
        <v>109</v>
      </c>
      <c r="C165" s="26" t="s">
        <v>111</v>
      </c>
      <c r="D165" s="27">
        <v>73181500</v>
      </c>
      <c r="E165" s="28" t="s">
        <v>265</v>
      </c>
      <c r="F165" s="29" t="s">
        <v>266</v>
      </c>
      <c r="G165" s="30">
        <v>24</v>
      </c>
      <c r="H165" s="27" t="s">
        <v>137</v>
      </c>
      <c r="I165" s="26" t="s">
        <v>256</v>
      </c>
      <c r="J165" s="31">
        <v>0.06</v>
      </c>
      <c r="K165" s="32">
        <f t="shared" si="6"/>
        <v>1.44</v>
      </c>
      <c r="L165" s="29" t="s">
        <v>266</v>
      </c>
      <c r="M165" s="27">
        <f>IFERROR(VLOOKUP(C165,Custo_MI_Device!$B$2:$E$102,3,FALSE),0)</f>
        <v>0</v>
      </c>
      <c r="N165" s="27">
        <f t="shared" si="7"/>
        <v>0</v>
      </c>
      <c r="O165" s="178">
        <f t="shared" si="8"/>
        <v>0</v>
      </c>
    </row>
    <row r="166" spans="1:15" ht="25.5" hidden="1">
      <c r="A166" s="25">
        <v>2844</v>
      </c>
      <c r="B166" s="25" t="s">
        <v>109</v>
      </c>
      <c r="C166" s="26" t="s">
        <v>111</v>
      </c>
      <c r="D166" s="27">
        <v>73069090</v>
      </c>
      <c r="E166" s="28" t="s">
        <v>291</v>
      </c>
      <c r="F166" s="29" t="s">
        <v>292</v>
      </c>
      <c r="G166" s="30">
        <v>2</v>
      </c>
      <c r="H166" s="27" t="s">
        <v>158</v>
      </c>
      <c r="I166" s="26" t="s">
        <v>155</v>
      </c>
      <c r="J166" s="31">
        <v>1.8</v>
      </c>
      <c r="K166" s="32">
        <f t="shared" si="6"/>
        <v>3.6</v>
      </c>
      <c r="L166" s="29" t="s">
        <v>292</v>
      </c>
      <c r="M166" s="27">
        <f>IFERROR(VLOOKUP(C166,Custo_MI_Device!$B$2:$E$102,3,FALSE),0)</f>
        <v>0</v>
      </c>
      <c r="N166" s="27">
        <f t="shared" si="7"/>
        <v>0</v>
      </c>
      <c r="O166" s="178">
        <f t="shared" si="8"/>
        <v>0</v>
      </c>
    </row>
    <row r="167" spans="1:15" ht="25.5" hidden="1">
      <c r="A167" s="25">
        <v>5147</v>
      </c>
      <c r="B167" s="25" t="s">
        <v>109</v>
      </c>
      <c r="C167" s="26" t="s">
        <v>111</v>
      </c>
      <c r="D167" s="27">
        <v>83079000</v>
      </c>
      <c r="E167" s="28" t="s">
        <v>293</v>
      </c>
      <c r="F167" s="29" t="s">
        <v>294</v>
      </c>
      <c r="G167" s="30">
        <v>1</v>
      </c>
      <c r="H167" s="27" t="s">
        <v>137</v>
      </c>
      <c r="I167" s="26" t="s">
        <v>180</v>
      </c>
      <c r="J167" s="31">
        <v>155</v>
      </c>
      <c r="K167" s="32">
        <f t="shared" si="6"/>
        <v>155</v>
      </c>
      <c r="L167" s="29" t="s">
        <v>294</v>
      </c>
      <c r="M167" s="27">
        <f>IFERROR(VLOOKUP(C167,Custo_MI_Device!$B$2:$E$102,3,FALSE),0)</f>
        <v>0</v>
      </c>
      <c r="N167" s="27">
        <f t="shared" si="7"/>
        <v>0</v>
      </c>
      <c r="O167" s="178">
        <f t="shared" si="8"/>
        <v>0</v>
      </c>
    </row>
    <row r="168" spans="1:15" ht="25.5" hidden="1">
      <c r="A168" s="25">
        <v>4834</v>
      </c>
      <c r="B168" s="25" t="s">
        <v>109</v>
      </c>
      <c r="C168" s="26" t="s">
        <v>111</v>
      </c>
      <c r="D168" s="27">
        <v>73071100</v>
      </c>
      <c r="E168" s="28" t="s">
        <v>299</v>
      </c>
      <c r="F168" s="29" t="s">
        <v>300</v>
      </c>
      <c r="G168" s="30">
        <v>1</v>
      </c>
      <c r="H168" s="27" t="s">
        <v>137</v>
      </c>
      <c r="I168" s="26" t="s">
        <v>149</v>
      </c>
      <c r="J168" s="31">
        <v>28</v>
      </c>
      <c r="K168" s="32">
        <f t="shared" si="6"/>
        <v>28</v>
      </c>
      <c r="L168" s="29" t="s">
        <v>300</v>
      </c>
      <c r="M168" s="27">
        <f>IFERROR(VLOOKUP(C168,Custo_MI_Device!$B$2:$E$102,3,FALSE),0)</f>
        <v>0</v>
      </c>
      <c r="N168" s="27">
        <f t="shared" si="7"/>
        <v>0</v>
      </c>
      <c r="O168" s="178">
        <f t="shared" si="8"/>
        <v>0</v>
      </c>
    </row>
    <row r="169" spans="1:15" ht="25.5" hidden="1">
      <c r="A169" s="25">
        <v>2567</v>
      </c>
      <c r="B169" s="25" t="s">
        <v>109</v>
      </c>
      <c r="C169" s="26" t="s">
        <v>111</v>
      </c>
      <c r="D169" s="27">
        <v>84818095</v>
      </c>
      <c r="E169" s="28" t="s">
        <v>303</v>
      </c>
      <c r="F169" s="29">
        <v>0</v>
      </c>
      <c r="G169" s="30">
        <v>1</v>
      </c>
      <c r="H169" s="27" t="s">
        <v>137</v>
      </c>
      <c r="I169" s="26" t="s">
        <v>304</v>
      </c>
      <c r="J169" s="31">
        <v>27</v>
      </c>
      <c r="K169" s="32">
        <f t="shared" si="6"/>
        <v>27</v>
      </c>
      <c r="L169" s="29" t="s">
        <v>305</v>
      </c>
      <c r="M169" s="27">
        <f>IFERROR(VLOOKUP(C169,Custo_MI_Device!$B$2:$E$102,3,FALSE),0)</f>
        <v>0</v>
      </c>
      <c r="N169" s="27">
        <f t="shared" si="7"/>
        <v>0</v>
      </c>
      <c r="O169" s="178">
        <f t="shared" si="8"/>
        <v>0</v>
      </c>
    </row>
    <row r="170" spans="1:15" ht="12.75">
      <c r="A170" s="25">
        <v>2534</v>
      </c>
      <c r="B170" s="25" t="s">
        <v>109</v>
      </c>
      <c r="C170" s="26" t="s">
        <v>112</v>
      </c>
      <c r="D170" s="27">
        <v>73072900</v>
      </c>
      <c r="E170" s="28" t="s">
        <v>314</v>
      </c>
      <c r="F170" s="29" t="s">
        <v>315</v>
      </c>
      <c r="G170" s="30">
        <v>12</v>
      </c>
      <c r="H170" s="27" t="s">
        <v>137</v>
      </c>
      <c r="I170" s="26" t="s">
        <v>256</v>
      </c>
      <c r="J170" s="191">
        <v>2.02</v>
      </c>
      <c r="K170" s="32">
        <f t="shared" si="6"/>
        <v>24.240000000000002</v>
      </c>
      <c r="L170" s="29" t="s">
        <v>315</v>
      </c>
      <c r="M170" s="27">
        <f>IFERROR(VLOOKUP(C170,Custo_MI_Device!$B$2:$E$102,3,FALSE),0)</f>
        <v>74</v>
      </c>
      <c r="N170" s="27">
        <f t="shared" si="7"/>
        <v>888</v>
      </c>
      <c r="O170" s="178">
        <f t="shared" si="8"/>
        <v>1793.76</v>
      </c>
    </row>
    <row r="171" spans="1:15" ht="12.75">
      <c r="A171" s="25">
        <v>1669</v>
      </c>
      <c r="B171" s="25" t="s">
        <v>109</v>
      </c>
      <c r="C171" s="26" t="s">
        <v>112</v>
      </c>
      <c r="D171" s="27">
        <v>39269090</v>
      </c>
      <c r="E171" s="28" t="s">
        <v>316</v>
      </c>
      <c r="F171" s="29" t="s">
        <v>317</v>
      </c>
      <c r="G171" s="30">
        <v>3</v>
      </c>
      <c r="H171" s="27" t="s">
        <v>137</v>
      </c>
      <c r="I171" s="26" t="s">
        <v>318</v>
      </c>
      <c r="J171" s="191">
        <v>0.1</v>
      </c>
      <c r="K171" s="32">
        <f t="shared" si="6"/>
        <v>0.30000000000000004</v>
      </c>
      <c r="L171" s="29" t="s">
        <v>317</v>
      </c>
      <c r="M171" s="27">
        <f>IFERROR(VLOOKUP(C171,Custo_MI_Device!$B$2:$E$102,3,FALSE),0)</f>
        <v>74</v>
      </c>
      <c r="N171" s="27">
        <f t="shared" si="7"/>
        <v>222</v>
      </c>
      <c r="O171" s="178">
        <f t="shared" si="8"/>
        <v>22.200000000000003</v>
      </c>
    </row>
    <row r="172" spans="1:15" ht="12.75">
      <c r="A172" s="25">
        <v>5091</v>
      </c>
      <c r="B172" s="25" t="s">
        <v>109</v>
      </c>
      <c r="C172" s="26" t="s">
        <v>112</v>
      </c>
      <c r="D172" s="27">
        <v>73181500</v>
      </c>
      <c r="E172" s="28" t="s">
        <v>323</v>
      </c>
      <c r="F172" s="29" t="s">
        <v>324</v>
      </c>
      <c r="G172" s="30">
        <v>24</v>
      </c>
      <c r="H172" s="27" t="s">
        <v>137</v>
      </c>
      <c r="I172" s="26" t="s">
        <v>256</v>
      </c>
      <c r="J172" s="191">
        <v>0.1</v>
      </c>
      <c r="K172" s="32">
        <f t="shared" si="6"/>
        <v>2.4000000000000004</v>
      </c>
      <c r="L172" s="29" t="s">
        <v>324</v>
      </c>
      <c r="M172" s="27">
        <f>IFERROR(VLOOKUP(C172,Custo_MI_Device!$B$2:$E$102,3,FALSE),0)</f>
        <v>74</v>
      </c>
      <c r="N172" s="27">
        <f t="shared" si="7"/>
        <v>1776</v>
      </c>
      <c r="O172" s="178">
        <f t="shared" si="8"/>
        <v>177.60000000000002</v>
      </c>
    </row>
    <row r="173" spans="1:15" ht="12.75">
      <c r="A173" s="25">
        <v>1117</v>
      </c>
      <c r="B173" s="25" t="s">
        <v>109</v>
      </c>
      <c r="C173" s="26" t="s">
        <v>112</v>
      </c>
      <c r="D173" s="27"/>
      <c r="E173" s="28" t="s">
        <v>145</v>
      </c>
      <c r="F173" s="29" t="s">
        <v>146</v>
      </c>
      <c r="G173" s="30">
        <v>1</v>
      </c>
      <c r="H173" s="27" t="s">
        <v>137</v>
      </c>
      <c r="I173" s="26" t="s">
        <v>138</v>
      </c>
      <c r="J173" s="191">
        <v>1.95</v>
      </c>
      <c r="K173" s="190">
        <v>4.8499999999999996</v>
      </c>
      <c r="L173" s="29" t="s">
        <v>146</v>
      </c>
      <c r="M173" s="27">
        <f>IFERROR(VLOOKUP(C173,Custo_MI_Device!$B$2:$E$102,3,FALSE),0)</f>
        <v>74</v>
      </c>
      <c r="N173" s="27">
        <f t="shared" si="7"/>
        <v>74</v>
      </c>
      <c r="O173" s="178">
        <f t="shared" si="8"/>
        <v>144.29999999999998</v>
      </c>
    </row>
    <row r="174" spans="1:15" ht="38.25">
      <c r="A174" s="25">
        <v>3585</v>
      </c>
      <c r="B174" s="25" t="s">
        <v>109</v>
      </c>
      <c r="C174" s="26" t="s">
        <v>112</v>
      </c>
      <c r="D174" s="27">
        <v>85444900</v>
      </c>
      <c r="E174" s="28" t="s">
        <v>328</v>
      </c>
      <c r="F174" s="29">
        <v>900400</v>
      </c>
      <c r="G174" s="33">
        <v>0</v>
      </c>
      <c r="H174" s="27" t="s">
        <v>158</v>
      </c>
      <c r="I174" s="26" t="s">
        <v>164</v>
      </c>
      <c r="J174" s="191">
        <v>1.7</v>
      </c>
      <c r="K174" s="32">
        <f t="shared" si="6"/>
        <v>0</v>
      </c>
      <c r="L174" s="29">
        <v>900400</v>
      </c>
      <c r="M174" s="27">
        <f>IFERROR(VLOOKUP(C174,Custo_MI_Device!$B$2:$E$102,3,FALSE),0)</f>
        <v>74</v>
      </c>
      <c r="N174" s="27">
        <f t="shared" si="7"/>
        <v>0</v>
      </c>
      <c r="O174" s="178">
        <f t="shared" si="8"/>
        <v>0</v>
      </c>
    </row>
    <row r="175" spans="1:15" ht="12.75">
      <c r="A175" s="25">
        <v>2805</v>
      </c>
      <c r="B175" s="25" t="s">
        <v>109</v>
      </c>
      <c r="C175" s="26" t="s">
        <v>112</v>
      </c>
      <c r="D175" s="27">
        <v>72162100</v>
      </c>
      <c r="E175" s="28" t="s">
        <v>174</v>
      </c>
      <c r="F175" s="29">
        <v>0</v>
      </c>
      <c r="G175" s="33">
        <v>0</v>
      </c>
      <c r="H175" s="27" t="s">
        <v>175</v>
      </c>
      <c r="I175" s="26" t="s">
        <v>176</v>
      </c>
      <c r="J175" s="191">
        <v>4.22</v>
      </c>
      <c r="K175" s="32">
        <f t="shared" si="6"/>
        <v>0</v>
      </c>
      <c r="L175" s="29" t="s">
        <v>177</v>
      </c>
      <c r="M175" s="27">
        <f>IFERROR(VLOOKUP(C175,Custo_MI_Device!$B$2:$E$102,3,FALSE),0)</f>
        <v>74</v>
      </c>
      <c r="N175" s="27">
        <f t="shared" si="7"/>
        <v>0</v>
      </c>
      <c r="O175" s="178">
        <f t="shared" si="8"/>
        <v>0</v>
      </c>
    </row>
    <row r="176" spans="1:15" ht="12.75">
      <c r="A176" s="25">
        <v>4823</v>
      </c>
      <c r="B176" s="25" t="s">
        <v>109</v>
      </c>
      <c r="C176" s="26" t="s">
        <v>112</v>
      </c>
      <c r="D176" s="27">
        <v>76090000</v>
      </c>
      <c r="E176" s="28" t="s">
        <v>199</v>
      </c>
      <c r="F176" s="29" t="s">
        <v>200</v>
      </c>
      <c r="G176" s="30">
        <v>2</v>
      </c>
      <c r="H176" s="27" t="s">
        <v>137</v>
      </c>
      <c r="I176" s="26" t="s">
        <v>138</v>
      </c>
      <c r="J176" s="31">
        <v>26.06</v>
      </c>
      <c r="K176" s="32">
        <f t="shared" si="6"/>
        <v>52.12</v>
      </c>
      <c r="L176" s="29" t="s">
        <v>200</v>
      </c>
      <c r="M176" s="27">
        <f>IFERROR(VLOOKUP(C176,Custo_MI_Device!$B$2:$E$102,3,FALSE),0)</f>
        <v>74</v>
      </c>
      <c r="N176" s="27">
        <f t="shared" si="7"/>
        <v>148</v>
      </c>
      <c r="O176" s="178">
        <f t="shared" si="8"/>
        <v>3856.8799999999997</v>
      </c>
    </row>
    <row r="177" spans="1:15" ht="12.75">
      <c r="A177" s="25">
        <v>2912</v>
      </c>
      <c r="B177" s="25" t="s">
        <v>109</v>
      </c>
      <c r="C177" s="26" t="s">
        <v>112</v>
      </c>
      <c r="D177" s="27">
        <v>76090000</v>
      </c>
      <c r="E177" s="28" t="s">
        <v>201</v>
      </c>
      <c r="F177" s="29" t="s">
        <v>202</v>
      </c>
      <c r="G177" s="30">
        <v>2</v>
      </c>
      <c r="H177" s="27" t="s">
        <v>137</v>
      </c>
      <c r="I177" s="26" t="s">
        <v>138</v>
      </c>
      <c r="J177" s="31"/>
      <c r="K177" s="32">
        <f t="shared" si="6"/>
        <v>0</v>
      </c>
      <c r="L177" s="29" t="s">
        <v>202</v>
      </c>
      <c r="M177" s="27">
        <f>IFERROR(VLOOKUP(C177,Custo_MI_Device!$B$2:$E$102,3,FALSE),0)</f>
        <v>74</v>
      </c>
      <c r="N177" s="27">
        <f t="shared" si="7"/>
        <v>148</v>
      </c>
      <c r="O177" s="178">
        <f t="shared" si="8"/>
        <v>0</v>
      </c>
    </row>
    <row r="178" spans="1:15" ht="25.5">
      <c r="A178" s="25">
        <v>3436</v>
      </c>
      <c r="B178" s="25" t="s">
        <v>109</v>
      </c>
      <c r="C178" s="26" t="s">
        <v>112</v>
      </c>
      <c r="D178" s="27">
        <v>76090000</v>
      </c>
      <c r="E178" s="28" t="s">
        <v>193</v>
      </c>
      <c r="F178" s="29" t="s">
        <v>194</v>
      </c>
      <c r="G178" s="30">
        <v>2</v>
      </c>
      <c r="H178" s="27" t="s">
        <v>137</v>
      </c>
      <c r="I178" s="26" t="s">
        <v>138</v>
      </c>
      <c r="J178" s="31">
        <v>26.06</v>
      </c>
      <c r="K178" s="32">
        <f t="shared" si="6"/>
        <v>52.12</v>
      </c>
      <c r="L178" s="29" t="s">
        <v>194</v>
      </c>
      <c r="M178" s="27">
        <f>IFERROR(VLOOKUP(C178,Custo_MI_Device!$B$2:$E$102,3,FALSE),0)</f>
        <v>74</v>
      </c>
      <c r="N178" s="27">
        <f t="shared" si="7"/>
        <v>148</v>
      </c>
      <c r="O178" s="178">
        <f t="shared" si="8"/>
        <v>3856.8799999999997</v>
      </c>
    </row>
    <row r="179" spans="1:15" ht="25.5">
      <c r="A179" s="25">
        <v>3566</v>
      </c>
      <c r="B179" s="25" t="s">
        <v>109</v>
      </c>
      <c r="C179" s="26" t="s">
        <v>112</v>
      </c>
      <c r="D179" s="27">
        <v>74122000</v>
      </c>
      <c r="E179" s="28" t="s">
        <v>211</v>
      </c>
      <c r="F179" s="29" t="s">
        <v>212</v>
      </c>
      <c r="G179" s="30">
        <v>1</v>
      </c>
      <c r="H179" s="27" t="s">
        <v>137</v>
      </c>
      <c r="I179" s="26" t="s">
        <v>155</v>
      </c>
      <c r="J179" s="191">
        <v>4</v>
      </c>
      <c r="K179" s="32">
        <f t="shared" si="6"/>
        <v>4</v>
      </c>
      <c r="L179" s="29" t="s">
        <v>212</v>
      </c>
      <c r="M179" s="27">
        <f>IFERROR(VLOOKUP(C179,Custo_MI_Device!$B$2:$E$102,3,FALSE),0)</f>
        <v>74</v>
      </c>
      <c r="N179" s="27">
        <f t="shared" si="7"/>
        <v>74</v>
      </c>
      <c r="O179" s="178">
        <f t="shared" si="8"/>
        <v>296</v>
      </c>
    </row>
    <row r="180" spans="1:15" ht="25.5">
      <c r="A180" s="25">
        <v>3566</v>
      </c>
      <c r="B180" s="25" t="s">
        <v>109</v>
      </c>
      <c r="C180" s="26" t="s">
        <v>112</v>
      </c>
      <c r="D180" s="27">
        <v>74122000</v>
      </c>
      <c r="E180" s="28" t="s">
        <v>211</v>
      </c>
      <c r="F180" s="29" t="s">
        <v>213</v>
      </c>
      <c r="G180" s="30">
        <v>1</v>
      </c>
      <c r="H180" s="27" t="s">
        <v>137</v>
      </c>
      <c r="I180" s="26" t="s">
        <v>155</v>
      </c>
      <c r="J180" s="191">
        <v>4</v>
      </c>
      <c r="K180" s="32">
        <f t="shared" si="6"/>
        <v>4</v>
      </c>
      <c r="L180" s="29" t="s">
        <v>213</v>
      </c>
      <c r="M180" s="27">
        <f>IFERROR(VLOOKUP(C180,Custo_MI_Device!$B$2:$E$102,3,FALSE),0)</f>
        <v>74</v>
      </c>
      <c r="N180" s="27">
        <f t="shared" si="7"/>
        <v>74</v>
      </c>
      <c r="O180" s="178">
        <f t="shared" si="8"/>
        <v>296</v>
      </c>
    </row>
    <row r="181" spans="1:15" ht="25.5">
      <c r="A181" s="25">
        <v>4306</v>
      </c>
      <c r="B181" s="25" t="s">
        <v>109</v>
      </c>
      <c r="C181" s="26" t="s">
        <v>112</v>
      </c>
      <c r="D181" s="27">
        <v>73063000</v>
      </c>
      <c r="E181" s="28" t="s">
        <v>239</v>
      </c>
      <c r="F181" s="29">
        <v>0</v>
      </c>
      <c r="G181" s="30">
        <v>0</v>
      </c>
      <c r="H181" s="27" t="s">
        <v>232</v>
      </c>
      <c r="I181" s="26" t="s">
        <v>233</v>
      </c>
      <c r="J181" s="191">
        <v>32</v>
      </c>
      <c r="K181" s="32">
        <f t="shared" si="6"/>
        <v>0</v>
      </c>
      <c r="L181" s="29" t="s">
        <v>240</v>
      </c>
      <c r="M181" s="27">
        <f>IFERROR(VLOOKUP(C181,Custo_MI_Device!$B$2:$E$102,3,FALSE),0)</f>
        <v>74</v>
      </c>
      <c r="N181" s="27">
        <f t="shared" si="7"/>
        <v>0</v>
      </c>
      <c r="O181" s="178">
        <f t="shared" si="8"/>
        <v>0</v>
      </c>
    </row>
    <row r="182" spans="1:15" ht="12.75">
      <c r="A182" s="25">
        <v>3274</v>
      </c>
      <c r="B182" s="25" t="s">
        <v>109</v>
      </c>
      <c r="C182" s="26" t="s">
        <v>112</v>
      </c>
      <c r="D182" s="27">
        <v>73181500</v>
      </c>
      <c r="E182" s="28" t="s">
        <v>265</v>
      </c>
      <c r="F182" s="29" t="s">
        <v>266</v>
      </c>
      <c r="G182" s="30">
        <v>24</v>
      </c>
      <c r="H182" s="27" t="s">
        <v>137</v>
      </c>
      <c r="I182" s="26" t="s">
        <v>256</v>
      </c>
      <c r="J182" s="191">
        <v>0.11</v>
      </c>
      <c r="K182" s="32">
        <f t="shared" si="6"/>
        <v>2.64</v>
      </c>
      <c r="L182" s="29" t="s">
        <v>266</v>
      </c>
      <c r="M182" s="27">
        <f>IFERROR(VLOOKUP(C182,Custo_MI_Device!$B$2:$E$102,3,FALSE),0)</f>
        <v>74</v>
      </c>
      <c r="N182" s="27">
        <f t="shared" si="7"/>
        <v>1776</v>
      </c>
      <c r="O182" s="178">
        <f t="shared" si="8"/>
        <v>195.36</v>
      </c>
    </row>
    <row r="183" spans="1:15" ht="25.5">
      <c r="A183" s="25">
        <v>1611</v>
      </c>
      <c r="B183" s="25" t="s">
        <v>109</v>
      </c>
      <c r="C183" s="26" t="s">
        <v>112</v>
      </c>
      <c r="D183" s="27">
        <v>39174090</v>
      </c>
      <c r="E183" s="28" t="s">
        <v>275</v>
      </c>
      <c r="F183" s="29" t="s">
        <v>276</v>
      </c>
      <c r="G183" s="30">
        <v>2</v>
      </c>
      <c r="H183" s="27" t="s">
        <v>137</v>
      </c>
      <c r="I183" s="26" t="s">
        <v>277</v>
      </c>
      <c r="J183" s="191">
        <v>7.8</v>
      </c>
      <c r="K183" s="32">
        <f t="shared" si="6"/>
        <v>15.6</v>
      </c>
      <c r="L183" s="29" t="s">
        <v>276</v>
      </c>
      <c r="M183" s="27">
        <f>IFERROR(VLOOKUP(C183,Custo_MI_Device!$B$2:$E$102,3,FALSE),0)</f>
        <v>74</v>
      </c>
      <c r="N183" s="27">
        <f t="shared" si="7"/>
        <v>148</v>
      </c>
      <c r="O183" s="178">
        <f t="shared" si="8"/>
        <v>1154.3999999999999</v>
      </c>
    </row>
    <row r="184" spans="1:15" ht="25.5">
      <c r="A184" s="25">
        <v>2844</v>
      </c>
      <c r="B184" s="25" t="s">
        <v>109</v>
      </c>
      <c r="C184" s="26" t="s">
        <v>112</v>
      </c>
      <c r="D184" s="27">
        <v>73069090</v>
      </c>
      <c r="E184" s="28" t="s">
        <v>291</v>
      </c>
      <c r="F184" s="29" t="s">
        <v>292</v>
      </c>
      <c r="G184" s="30">
        <v>2</v>
      </c>
      <c r="H184" s="27" t="s">
        <v>158</v>
      </c>
      <c r="I184" s="26" t="s">
        <v>155</v>
      </c>
      <c r="J184" s="191">
        <v>5.0999999999999996</v>
      </c>
      <c r="K184" s="32">
        <f t="shared" si="6"/>
        <v>10.199999999999999</v>
      </c>
      <c r="L184" s="29" t="s">
        <v>292</v>
      </c>
      <c r="M184" s="27">
        <f>IFERROR(VLOOKUP(C184,Custo_MI_Device!$B$2:$E$102,3,FALSE),0)</f>
        <v>74</v>
      </c>
      <c r="N184" s="27">
        <f t="shared" si="7"/>
        <v>148</v>
      </c>
      <c r="O184" s="178">
        <f t="shared" si="8"/>
        <v>754.8</v>
      </c>
    </row>
    <row r="185" spans="1:15" ht="25.5">
      <c r="A185" s="25">
        <v>2567</v>
      </c>
      <c r="B185" s="25" t="s">
        <v>109</v>
      </c>
      <c r="C185" s="26" t="s">
        <v>112</v>
      </c>
      <c r="D185" s="27">
        <v>84818095</v>
      </c>
      <c r="E185" s="28" t="s">
        <v>303</v>
      </c>
      <c r="F185" s="29">
        <v>0</v>
      </c>
      <c r="G185" s="30">
        <v>1</v>
      </c>
      <c r="H185" s="27" t="s">
        <v>137</v>
      </c>
      <c r="I185" s="26" t="s">
        <v>304</v>
      </c>
      <c r="J185" s="191">
        <v>56</v>
      </c>
      <c r="K185" s="32">
        <f t="shared" si="6"/>
        <v>56</v>
      </c>
      <c r="L185" s="29" t="s">
        <v>305</v>
      </c>
      <c r="M185" s="27">
        <f>IFERROR(VLOOKUP(C185,Custo_MI_Device!$B$2:$E$102,3,FALSE),0)</f>
        <v>74</v>
      </c>
      <c r="N185" s="27">
        <f t="shared" si="7"/>
        <v>74</v>
      </c>
      <c r="O185" s="178">
        <f t="shared" si="8"/>
        <v>4144</v>
      </c>
    </row>
    <row r="186" spans="1:15" ht="12.75" hidden="1">
      <c r="A186" s="25">
        <v>2534</v>
      </c>
      <c r="B186" s="25" t="s">
        <v>109</v>
      </c>
      <c r="C186" s="26" t="s">
        <v>113</v>
      </c>
      <c r="D186" s="27">
        <v>73072900</v>
      </c>
      <c r="E186" s="28" t="s">
        <v>314</v>
      </c>
      <c r="F186" s="29" t="s">
        <v>315</v>
      </c>
      <c r="G186" s="30">
        <v>12</v>
      </c>
      <c r="H186" s="27" t="s">
        <v>137</v>
      </c>
      <c r="I186" s="26" t="s">
        <v>256</v>
      </c>
      <c r="J186" s="31">
        <v>1.2</v>
      </c>
      <c r="K186" s="32">
        <f t="shared" si="6"/>
        <v>14.399999999999999</v>
      </c>
      <c r="L186" s="29" t="s">
        <v>315</v>
      </c>
      <c r="M186" s="27">
        <f>IFERROR(VLOOKUP(C186,Custo_MI_Device!$B$2:$E$102,3,FALSE),0)</f>
        <v>0</v>
      </c>
      <c r="N186" s="27">
        <f t="shared" si="7"/>
        <v>0</v>
      </c>
      <c r="O186" s="178">
        <f t="shared" si="8"/>
        <v>0</v>
      </c>
    </row>
    <row r="187" spans="1:15" ht="12.75" hidden="1">
      <c r="A187" s="25">
        <v>1669</v>
      </c>
      <c r="B187" s="25" t="s">
        <v>109</v>
      </c>
      <c r="C187" s="26" t="s">
        <v>113</v>
      </c>
      <c r="D187" s="27">
        <v>39269090</v>
      </c>
      <c r="E187" s="28" t="s">
        <v>316</v>
      </c>
      <c r="F187" s="29" t="s">
        <v>317</v>
      </c>
      <c r="G187" s="30">
        <v>3</v>
      </c>
      <c r="H187" s="27" t="s">
        <v>137</v>
      </c>
      <c r="I187" s="26" t="s">
        <v>318</v>
      </c>
      <c r="J187" s="31">
        <v>0.04</v>
      </c>
      <c r="K187" s="32">
        <f t="shared" si="6"/>
        <v>0.12</v>
      </c>
      <c r="L187" s="29" t="s">
        <v>317</v>
      </c>
      <c r="M187" s="27">
        <f>IFERROR(VLOOKUP(C187,Custo_MI_Device!$B$2:$E$102,3,FALSE),0)</f>
        <v>0</v>
      </c>
      <c r="N187" s="27">
        <f t="shared" si="7"/>
        <v>0</v>
      </c>
      <c r="O187" s="178">
        <f t="shared" si="8"/>
        <v>0</v>
      </c>
    </row>
    <row r="188" spans="1:15" ht="12.75" hidden="1">
      <c r="A188" s="25">
        <v>5091</v>
      </c>
      <c r="B188" s="25" t="s">
        <v>109</v>
      </c>
      <c r="C188" s="26" t="s">
        <v>113</v>
      </c>
      <c r="D188" s="27">
        <v>73181500</v>
      </c>
      <c r="E188" s="28" t="s">
        <v>323</v>
      </c>
      <c r="F188" s="29" t="s">
        <v>324</v>
      </c>
      <c r="G188" s="30">
        <v>24</v>
      </c>
      <c r="H188" s="27" t="s">
        <v>137</v>
      </c>
      <c r="I188" s="26" t="s">
        <v>256</v>
      </c>
      <c r="J188" s="31">
        <v>0.04</v>
      </c>
      <c r="K188" s="32">
        <f t="shared" si="6"/>
        <v>0.96</v>
      </c>
      <c r="L188" s="29" t="s">
        <v>324</v>
      </c>
      <c r="M188" s="27">
        <f>IFERROR(VLOOKUP(C188,Custo_MI_Device!$B$2:$E$102,3,FALSE),0)</f>
        <v>0</v>
      </c>
      <c r="N188" s="27">
        <f t="shared" si="7"/>
        <v>0</v>
      </c>
      <c r="O188" s="178">
        <f t="shared" si="8"/>
        <v>0</v>
      </c>
    </row>
    <row r="189" spans="1:15" ht="12.75" hidden="1">
      <c r="A189" s="25">
        <v>1117</v>
      </c>
      <c r="B189" s="25" t="s">
        <v>109</v>
      </c>
      <c r="C189" s="26" t="s">
        <v>113</v>
      </c>
      <c r="D189" s="27"/>
      <c r="E189" s="28" t="s">
        <v>145</v>
      </c>
      <c r="F189" s="29" t="s">
        <v>146</v>
      </c>
      <c r="G189" s="30">
        <v>1</v>
      </c>
      <c r="H189" s="27" t="s">
        <v>137</v>
      </c>
      <c r="I189" s="26" t="s">
        <v>138</v>
      </c>
      <c r="J189" s="31">
        <v>1.95</v>
      </c>
      <c r="K189" s="32">
        <f t="shared" si="6"/>
        <v>1.95</v>
      </c>
      <c r="L189" s="29" t="s">
        <v>146</v>
      </c>
      <c r="M189" s="27">
        <f>IFERROR(VLOOKUP(C189,Custo_MI_Device!$B$2:$E$102,3,FALSE),0)</f>
        <v>0</v>
      </c>
      <c r="N189" s="27">
        <f t="shared" si="7"/>
        <v>0</v>
      </c>
      <c r="O189" s="178">
        <f t="shared" si="8"/>
        <v>0</v>
      </c>
    </row>
    <row r="190" spans="1:15" ht="25.5" hidden="1">
      <c r="A190" s="25">
        <v>5139</v>
      </c>
      <c r="B190" s="25" t="s">
        <v>109</v>
      </c>
      <c r="C190" s="26" t="s">
        <v>113</v>
      </c>
      <c r="D190" s="27">
        <v>85444900</v>
      </c>
      <c r="E190" s="28" t="s">
        <v>170</v>
      </c>
      <c r="F190" s="29" t="s">
        <v>171</v>
      </c>
      <c r="G190" s="30">
        <v>15</v>
      </c>
      <c r="H190" s="27" t="s">
        <v>158</v>
      </c>
      <c r="I190" s="26" t="s">
        <v>172</v>
      </c>
      <c r="J190" s="31">
        <v>7.5</v>
      </c>
      <c r="K190" s="32">
        <f t="shared" si="6"/>
        <v>112.5</v>
      </c>
      <c r="L190" s="29" t="s">
        <v>173</v>
      </c>
      <c r="M190" s="27">
        <f>IFERROR(VLOOKUP(C190,Custo_MI_Device!$B$2:$E$102,3,FALSE),0)</f>
        <v>0</v>
      </c>
      <c r="N190" s="27">
        <f t="shared" si="7"/>
        <v>0</v>
      </c>
      <c r="O190" s="178">
        <f t="shared" si="8"/>
        <v>0</v>
      </c>
    </row>
    <row r="191" spans="1:15" ht="12.75" hidden="1">
      <c r="A191" s="25">
        <v>2805</v>
      </c>
      <c r="B191" s="25" t="s">
        <v>109</v>
      </c>
      <c r="C191" s="26" t="s">
        <v>113</v>
      </c>
      <c r="D191" s="27">
        <v>72162100</v>
      </c>
      <c r="E191" s="28" t="s">
        <v>174</v>
      </c>
      <c r="F191" s="29">
        <v>0</v>
      </c>
      <c r="G191" s="30">
        <v>2.9</v>
      </c>
      <c r="H191" s="27" t="s">
        <v>175</v>
      </c>
      <c r="I191" s="26" t="s">
        <v>176</v>
      </c>
      <c r="J191" s="31">
        <v>4.22</v>
      </c>
      <c r="K191" s="32">
        <f t="shared" si="6"/>
        <v>12.238</v>
      </c>
      <c r="L191" s="29" t="s">
        <v>177</v>
      </c>
      <c r="M191" s="27">
        <f>IFERROR(VLOOKUP(C191,Custo_MI_Device!$B$2:$E$102,3,FALSE),0)</f>
        <v>0</v>
      </c>
      <c r="N191" s="27">
        <f t="shared" si="7"/>
        <v>0</v>
      </c>
      <c r="O191" s="178">
        <f t="shared" si="8"/>
        <v>0</v>
      </c>
    </row>
    <row r="192" spans="1:15" ht="12.75" hidden="1">
      <c r="A192" s="25">
        <v>4823</v>
      </c>
      <c r="B192" s="25" t="s">
        <v>109</v>
      </c>
      <c r="C192" s="26" t="s">
        <v>113</v>
      </c>
      <c r="D192" s="27">
        <v>76090000</v>
      </c>
      <c r="E192" s="28" t="s">
        <v>199</v>
      </c>
      <c r="F192" s="29" t="s">
        <v>200</v>
      </c>
      <c r="G192" s="30">
        <v>0.75</v>
      </c>
      <c r="H192" s="27" t="s">
        <v>137</v>
      </c>
      <c r="I192" s="26" t="s">
        <v>138</v>
      </c>
      <c r="J192" s="31">
        <v>6.7</v>
      </c>
      <c r="K192" s="32">
        <f t="shared" si="6"/>
        <v>5.0250000000000004</v>
      </c>
      <c r="L192" s="29" t="s">
        <v>200</v>
      </c>
      <c r="M192" s="27">
        <f>IFERROR(VLOOKUP(C192,Custo_MI_Device!$B$2:$E$102,3,FALSE),0)</f>
        <v>0</v>
      </c>
      <c r="N192" s="27">
        <f t="shared" si="7"/>
        <v>0</v>
      </c>
      <c r="O192" s="178">
        <f t="shared" si="8"/>
        <v>0</v>
      </c>
    </row>
    <row r="193" spans="1:15" ht="12.75" hidden="1">
      <c r="A193" s="25">
        <v>2912</v>
      </c>
      <c r="B193" s="25" t="s">
        <v>109</v>
      </c>
      <c r="C193" s="26" t="s">
        <v>113</v>
      </c>
      <c r="D193" s="27">
        <v>76090000</v>
      </c>
      <c r="E193" s="28" t="s">
        <v>201</v>
      </c>
      <c r="F193" s="29" t="s">
        <v>202</v>
      </c>
      <c r="G193" s="30">
        <v>0.5</v>
      </c>
      <c r="H193" s="27" t="s">
        <v>137</v>
      </c>
      <c r="I193" s="26" t="s">
        <v>138</v>
      </c>
      <c r="J193" s="31">
        <v>7.5</v>
      </c>
      <c r="K193" s="32">
        <f t="shared" si="6"/>
        <v>3.75</v>
      </c>
      <c r="L193" s="29" t="s">
        <v>202</v>
      </c>
      <c r="M193" s="27">
        <f>IFERROR(VLOOKUP(C193,Custo_MI_Device!$B$2:$E$102,3,FALSE),0)</f>
        <v>0</v>
      </c>
      <c r="N193" s="27">
        <f t="shared" si="7"/>
        <v>0</v>
      </c>
      <c r="O193" s="178">
        <f t="shared" si="8"/>
        <v>0</v>
      </c>
    </row>
    <row r="194" spans="1:15" ht="25.5" hidden="1">
      <c r="A194" s="25">
        <v>3436</v>
      </c>
      <c r="B194" s="25" t="s">
        <v>109</v>
      </c>
      <c r="C194" s="26" t="s">
        <v>113</v>
      </c>
      <c r="D194" s="27">
        <v>76090000</v>
      </c>
      <c r="E194" s="28" t="s">
        <v>193</v>
      </c>
      <c r="F194" s="29" t="s">
        <v>194</v>
      </c>
      <c r="G194" s="30">
        <v>1</v>
      </c>
      <c r="H194" s="27" t="s">
        <v>137</v>
      </c>
      <c r="I194" s="26" t="s">
        <v>138</v>
      </c>
      <c r="J194" s="31">
        <v>6.7</v>
      </c>
      <c r="K194" s="32">
        <f t="shared" si="6"/>
        <v>6.7</v>
      </c>
      <c r="L194" s="29" t="s">
        <v>194</v>
      </c>
      <c r="M194" s="27">
        <f>IFERROR(VLOOKUP(C194,Custo_MI_Device!$B$2:$E$102,3,FALSE),0)</f>
        <v>0</v>
      </c>
      <c r="N194" s="27">
        <f t="shared" si="7"/>
        <v>0</v>
      </c>
      <c r="O194" s="178">
        <f t="shared" si="8"/>
        <v>0</v>
      </c>
    </row>
    <row r="195" spans="1:15" ht="25.5" hidden="1">
      <c r="A195" s="25">
        <v>3566</v>
      </c>
      <c r="B195" s="25" t="s">
        <v>109</v>
      </c>
      <c r="C195" s="26" t="s">
        <v>113</v>
      </c>
      <c r="D195" s="27">
        <v>74122000</v>
      </c>
      <c r="E195" s="28" t="s">
        <v>211</v>
      </c>
      <c r="F195" s="29" t="s">
        <v>212</v>
      </c>
      <c r="G195" s="30">
        <v>1</v>
      </c>
      <c r="H195" s="27" t="s">
        <v>137</v>
      </c>
      <c r="I195" s="26" t="s">
        <v>155</v>
      </c>
      <c r="J195" s="31">
        <v>4</v>
      </c>
      <c r="K195" s="32">
        <f t="shared" ref="K195:K258" si="9">G195*J195</f>
        <v>4</v>
      </c>
      <c r="L195" s="29" t="s">
        <v>212</v>
      </c>
      <c r="M195" s="27">
        <f>IFERROR(VLOOKUP(C195,Custo_MI_Device!$B$2:$E$102,3,FALSE),0)</f>
        <v>0</v>
      </c>
      <c r="N195" s="27">
        <f t="shared" ref="N195:N258" si="10">ROUNDUP(M195*G195,0)</f>
        <v>0</v>
      </c>
      <c r="O195" s="178">
        <f t="shared" ref="O195:O258" si="11">N195*J195</f>
        <v>0</v>
      </c>
    </row>
    <row r="196" spans="1:15" ht="25.5" hidden="1">
      <c r="A196" s="25">
        <v>3566</v>
      </c>
      <c r="B196" s="25" t="s">
        <v>109</v>
      </c>
      <c r="C196" s="26" t="s">
        <v>113</v>
      </c>
      <c r="D196" s="27">
        <v>74122000</v>
      </c>
      <c r="E196" s="28" t="s">
        <v>211</v>
      </c>
      <c r="F196" s="29" t="s">
        <v>213</v>
      </c>
      <c r="G196" s="30">
        <v>1</v>
      </c>
      <c r="H196" s="27" t="s">
        <v>137</v>
      </c>
      <c r="I196" s="26" t="s">
        <v>155</v>
      </c>
      <c r="J196" s="31">
        <v>4</v>
      </c>
      <c r="K196" s="32">
        <f t="shared" si="9"/>
        <v>4</v>
      </c>
      <c r="L196" s="29" t="s">
        <v>213</v>
      </c>
      <c r="M196" s="27">
        <f>IFERROR(VLOOKUP(C196,Custo_MI_Device!$B$2:$E$102,3,FALSE),0)</f>
        <v>0</v>
      </c>
      <c r="N196" s="27">
        <f t="shared" si="10"/>
        <v>0</v>
      </c>
      <c r="O196" s="178">
        <f t="shared" si="11"/>
        <v>0</v>
      </c>
    </row>
    <row r="197" spans="1:15" ht="25.5" hidden="1">
      <c r="A197" s="25">
        <v>4306</v>
      </c>
      <c r="B197" s="25" t="s">
        <v>109</v>
      </c>
      <c r="C197" s="26" t="s">
        <v>113</v>
      </c>
      <c r="D197" s="27">
        <v>73063000</v>
      </c>
      <c r="E197" s="28" t="s">
        <v>239</v>
      </c>
      <c r="F197" s="29">
        <v>0</v>
      </c>
      <c r="G197" s="30">
        <v>2</v>
      </c>
      <c r="H197" s="27" t="s">
        <v>232</v>
      </c>
      <c r="I197" s="26" t="s">
        <v>233</v>
      </c>
      <c r="J197" s="31">
        <v>32</v>
      </c>
      <c r="K197" s="32">
        <f t="shared" si="9"/>
        <v>64</v>
      </c>
      <c r="L197" s="29" t="s">
        <v>240</v>
      </c>
      <c r="M197" s="27">
        <f>IFERROR(VLOOKUP(C197,Custo_MI_Device!$B$2:$E$102,3,FALSE),0)</f>
        <v>0</v>
      </c>
      <c r="N197" s="27">
        <f t="shared" si="10"/>
        <v>0</v>
      </c>
      <c r="O197" s="178">
        <f t="shared" si="11"/>
        <v>0</v>
      </c>
    </row>
    <row r="198" spans="1:15" ht="12.75" hidden="1">
      <c r="A198" s="25">
        <v>3274</v>
      </c>
      <c r="B198" s="25" t="s">
        <v>109</v>
      </c>
      <c r="C198" s="26" t="s">
        <v>113</v>
      </c>
      <c r="D198" s="27">
        <v>73181500</v>
      </c>
      <c r="E198" s="28" t="s">
        <v>265</v>
      </c>
      <c r="F198" s="29" t="s">
        <v>266</v>
      </c>
      <c r="G198" s="30">
        <v>24</v>
      </c>
      <c r="H198" s="27" t="s">
        <v>137</v>
      </c>
      <c r="I198" s="26" t="s">
        <v>256</v>
      </c>
      <c r="J198" s="31">
        <v>0.06</v>
      </c>
      <c r="K198" s="32">
        <f t="shared" si="9"/>
        <v>1.44</v>
      </c>
      <c r="L198" s="29" t="s">
        <v>266</v>
      </c>
      <c r="M198" s="27">
        <f>IFERROR(VLOOKUP(C198,Custo_MI_Device!$B$2:$E$102,3,FALSE),0)</f>
        <v>0</v>
      </c>
      <c r="N198" s="27">
        <f t="shared" si="10"/>
        <v>0</v>
      </c>
      <c r="O198" s="178">
        <f t="shared" si="11"/>
        <v>0</v>
      </c>
    </row>
    <row r="199" spans="1:15" ht="25.5" hidden="1">
      <c r="A199" s="25">
        <v>1611</v>
      </c>
      <c r="B199" s="25" t="s">
        <v>109</v>
      </c>
      <c r="C199" s="26" t="s">
        <v>113</v>
      </c>
      <c r="D199" s="27">
        <v>39174090</v>
      </c>
      <c r="E199" s="28" t="s">
        <v>275</v>
      </c>
      <c r="F199" s="29" t="s">
        <v>276</v>
      </c>
      <c r="G199" s="30">
        <v>2</v>
      </c>
      <c r="H199" s="27" t="s">
        <v>137</v>
      </c>
      <c r="I199" s="26" t="s">
        <v>277</v>
      </c>
      <c r="J199" s="31">
        <v>7.8</v>
      </c>
      <c r="K199" s="32">
        <f t="shared" si="9"/>
        <v>15.6</v>
      </c>
      <c r="L199" s="29" t="s">
        <v>276</v>
      </c>
      <c r="M199" s="27">
        <f>IFERROR(VLOOKUP(C199,Custo_MI_Device!$B$2:$E$102,3,FALSE),0)</f>
        <v>0</v>
      </c>
      <c r="N199" s="27">
        <f t="shared" si="10"/>
        <v>0</v>
      </c>
      <c r="O199" s="178">
        <f t="shared" si="11"/>
        <v>0</v>
      </c>
    </row>
    <row r="200" spans="1:15" ht="25.5" hidden="1">
      <c r="A200" s="25">
        <v>2844</v>
      </c>
      <c r="B200" s="25" t="s">
        <v>109</v>
      </c>
      <c r="C200" s="26" t="s">
        <v>113</v>
      </c>
      <c r="D200" s="27">
        <v>73069090</v>
      </c>
      <c r="E200" s="28" t="s">
        <v>291</v>
      </c>
      <c r="F200" s="29" t="s">
        <v>292</v>
      </c>
      <c r="G200" s="30">
        <v>2</v>
      </c>
      <c r="H200" s="27" t="s">
        <v>158</v>
      </c>
      <c r="I200" s="26" t="s">
        <v>155</v>
      </c>
      <c r="J200" s="31">
        <v>1.8</v>
      </c>
      <c r="K200" s="32">
        <f t="shared" si="9"/>
        <v>3.6</v>
      </c>
      <c r="L200" s="29" t="s">
        <v>292</v>
      </c>
      <c r="M200" s="27">
        <f>IFERROR(VLOOKUP(C200,Custo_MI_Device!$B$2:$E$102,3,FALSE),0)</f>
        <v>0</v>
      </c>
      <c r="N200" s="27">
        <f t="shared" si="10"/>
        <v>0</v>
      </c>
      <c r="O200" s="178">
        <f t="shared" si="11"/>
        <v>0</v>
      </c>
    </row>
    <row r="201" spans="1:15" ht="25.5" hidden="1">
      <c r="A201" s="25">
        <v>2567</v>
      </c>
      <c r="B201" s="25" t="s">
        <v>109</v>
      </c>
      <c r="C201" s="26" t="s">
        <v>113</v>
      </c>
      <c r="D201" s="27">
        <v>84818095</v>
      </c>
      <c r="E201" s="28" t="s">
        <v>303</v>
      </c>
      <c r="F201" s="29">
        <v>0</v>
      </c>
      <c r="G201" s="30">
        <v>1</v>
      </c>
      <c r="H201" s="27" t="s">
        <v>137</v>
      </c>
      <c r="I201" s="26" t="s">
        <v>304</v>
      </c>
      <c r="J201" s="31">
        <v>27</v>
      </c>
      <c r="K201" s="32">
        <f t="shared" si="9"/>
        <v>27</v>
      </c>
      <c r="L201" s="29" t="s">
        <v>305</v>
      </c>
      <c r="M201" s="27">
        <f>IFERROR(VLOOKUP(C201,Custo_MI_Device!$B$2:$E$102,3,FALSE),0)</f>
        <v>0</v>
      </c>
      <c r="N201" s="27">
        <f t="shared" si="10"/>
        <v>0</v>
      </c>
      <c r="O201" s="178">
        <f t="shared" si="11"/>
        <v>0</v>
      </c>
    </row>
    <row r="202" spans="1:15" ht="12.75" hidden="1">
      <c r="A202" s="25">
        <v>2534</v>
      </c>
      <c r="B202" s="25" t="s">
        <v>17</v>
      </c>
      <c r="C202" s="26" t="s">
        <v>18</v>
      </c>
      <c r="D202" s="27">
        <v>73072900</v>
      </c>
      <c r="E202" s="28" t="s">
        <v>314</v>
      </c>
      <c r="F202" s="29" t="s">
        <v>315</v>
      </c>
      <c r="G202" s="30">
        <v>12</v>
      </c>
      <c r="H202" s="27" t="s">
        <v>137</v>
      </c>
      <c r="I202" s="26" t="s">
        <v>256</v>
      </c>
      <c r="J202" s="31">
        <v>1.2</v>
      </c>
      <c r="K202" s="32">
        <f t="shared" si="9"/>
        <v>14.399999999999999</v>
      </c>
      <c r="L202" s="29" t="s">
        <v>315</v>
      </c>
      <c r="M202" s="27">
        <f>IFERROR(VLOOKUP(C202,Custo_MI_Device!$B$2:$E$102,3,FALSE),0)</f>
        <v>0</v>
      </c>
      <c r="N202" s="27">
        <f t="shared" si="10"/>
        <v>0</v>
      </c>
      <c r="O202" s="178">
        <f t="shared" si="11"/>
        <v>0</v>
      </c>
    </row>
    <row r="203" spans="1:15" ht="12.75" hidden="1">
      <c r="A203" s="25">
        <v>1669</v>
      </c>
      <c r="B203" s="25" t="s">
        <v>17</v>
      </c>
      <c r="C203" s="26" t="s">
        <v>18</v>
      </c>
      <c r="D203" s="27">
        <v>39269090</v>
      </c>
      <c r="E203" s="28" t="s">
        <v>316</v>
      </c>
      <c r="F203" s="29" t="s">
        <v>317</v>
      </c>
      <c r="G203" s="30">
        <v>3</v>
      </c>
      <c r="H203" s="27" t="s">
        <v>137</v>
      </c>
      <c r="I203" s="26" t="s">
        <v>318</v>
      </c>
      <c r="J203" s="31">
        <v>0.04</v>
      </c>
      <c r="K203" s="32">
        <f t="shared" si="9"/>
        <v>0.12</v>
      </c>
      <c r="L203" s="29" t="s">
        <v>317</v>
      </c>
      <c r="M203" s="27">
        <f>IFERROR(VLOOKUP(C203,Custo_MI_Device!$B$2:$E$102,3,FALSE),0)</f>
        <v>0</v>
      </c>
      <c r="N203" s="27">
        <f t="shared" si="10"/>
        <v>0</v>
      </c>
      <c r="O203" s="178">
        <f t="shared" si="11"/>
        <v>0</v>
      </c>
    </row>
    <row r="204" spans="1:15" ht="12.75" hidden="1">
      <c r="A204" s="25">
        <v>5091</v>
      </c>
      <c r="B204" s="25" t="s">
        <v>17</v>
      </c>
      <c r="C204" s="26" t="s">
        <v>18</v>
      </c>
      <c r="D204" s="27">
        <v>73181500</v>
      </c>
      <c r="E204" s="28" t="s">
        <v>323</v>
      </c>
      <c r="F204" s="29" t="s">
        <v>324</v>
      </c>
      <c r="G204" s="30">
        <v>24</v>
      </c>
      <c r="H204" s="27" t="s">
        <v>137</v>
      </c>
      <c r="I204" s="26" t="s">
        <v>256</v>
      </c>
      <c r="J204" s="31">
        <v>0.04</v>
      </c>
      <c r="K204" s="32">
        <f t="shared" si="9"/>
        <v>0.96</v>
      </c>
      <c r="L204" s="29" t="s">
        <v>324</v>
      </c>
      <c r="M204" s="27">
        <f>IFERROR(VLOOKUP(C204,Custo_MI_Device!$B$2:$E$102,3,FALSE),0)</f>
        <v>0</v>
      </c>
      <c r="N204" s="27">
        <f t="shared" si="10"/>
        <v>0</v>
      </c>
      <c r="O204" s="178">
        <f t="shared" si="11"/>
        <v>0</v>
      </c>
    </row>
    <row r="205" spans="1:15" ht="12.75" hidden="1">
      <c r="A205" s="25">
        <v>1117</v>
      </c>
      <c r="B205" s="25" t="s">
        <v>17</v>
      </c>
      <c r="C205" s="26" t="s">
        <v>18</v>
      </c>
      <c r="D205" s="27"/>
      <c r="E205" s="28" t="s">
        <v>145</v>
      </c>
      <c r="F205" s="29" t="s">
        <v>146</v>
      </c>
      <c r="G205" s="30">
        <v>1</v>
      </c>
      <c r="H205" s="27" t="s">
        <v>137</v>
      </c>
      <c r="I205" s="26" t="s">
        <v>138</v>
      </c>
      <c r="J205" s="31">
        <v>1.95</v>
      </c>
      <c r="K205" s="32">
        <f t="shared" si="9"/>
        <v>1.95</v>
      </c>
      <c r="L205" s="29" t="s">
        <v>146</v>
      </c>
      <c r="M205" s="27">
        <f>IFERROR(VLOOKUP(C205,Custo_MI_Device!$B$2:$E$102,3,FALSE),0)</f>
        <v>0</v>
      </c>
      <c r="N205" s="27">
        <f t="shared" si="10"/>
        <v>0</v>
      </c>
      <c r="O205" s="178">
        <f t="shared" si="11"/>
        <v>0</v>
      </c>
    </row>
    <row r="206" spans="1:15" ht="12.75" hidden="1">
      <c r="A206" s="25">
        <v>3080</v>
      </c>
      <c r="B206" s="25" t="s">
        <v>17</v>
      </c>
      <c r="C206" s="26" t="s">
        <v>18</v>
      </c>
      <c r="D206" s="27">
        <v>74122000</v>
      </c>
      <c r="E206" s="28" t="s">
        <v>153</v>
      </c>
      <c r="F206" s="29" t="s">
        <v>154</v>
      </c>
      <c r="G206" s="30">
        <v>1</v>
      </c>
      <c r="H206" s="27" t="s">
        <v>137</v>
      </c>
      <c r="I206" s="26" t="s">
        <v>155</v>
      </c>
      <c r="J206" s="31">
        <v>3.3</v>
      </c>
      <c r="K206" s="32">
        <f t="shared" si="9"/>
        <v>3.3</v>
      </c>
      <c r="L206" s="29" t="s">
        <v>154</v>
      </c>
      <c r="M206" s="27">
        <f>IFERROR(VLOOKUP(C206,Custo_MI_Device!$B$2:$E$102,3,FALSE),0)</f>
        <v>0</v>
      </c>
      <c r="N206" s="27">
        <f t="shared" si="10"/>
        <v>0</v>
      </c>
      <c r="O206" s="178">
        <f t="shared" si="11"/>
        <v>0</v>
      </c>
    </row>
    <row r="207" spans="1:15" ht="38.25" hidden="1">
      <c r="A207" s="25">
        <v>3585</v>
      </c>
      <c r="B207" s="25" t="s">
        <v>17</v>
      </c>
      <c r="C207" s="26" t="s">
        <v>18</v>
      </c>
      <c r="D207" s="27">
        <v>85444900</v>
      </c>
      <c r="E207" s="28" t="s">
        <v>328</v>
      </c>
      <c r="F207" s="29">
        <v>900400</v>
      </c>
      <c r="G207" s="30">
        <v>50</v>
      </c>
      <c r="H207" s="27" t="s">
        <v>158</v>
      </c>
      <c r="I207" s="26" t="s">
        <v>164</v>
      </c>
      <c r="J207" s="31">
        <v>1.7</v>
      </c>
      <c r="K207" s="32">
        <f t="shared" si="9"/>
        <v>85</v>
      </c>
      <c r="L207" s="29">
        <v>900400</v>
      </c>
      <c r="M207" s="27">
        <f>IFERROR(VLOOKUP(C207,Custo_MI_Device!$B$2:$E$102,3,FALSE),0)</f>
        <v>0</v>
      </c>
      <c r="N207" s="27">
        <f t="shared" si="10"/>
        <v>0</v>
      </c>
      <c r="O207" s="178">
        <f t="shared" si="11"/>
        <v>0</v>
      </c>
    </row>
    <row r="208" spans="1:15" ht="12.75" hidden="1">
      <c r="A208" s="25">
        <v>2805</v>
      </c>
      <c r="B208" s="25" t="s">
        <v>17</v>
      </c>
      <c r="C208" s="26" t="s">
        <v>18</v>
      </c>
      <c r="D208" s="27">
        <v>72162100</v>
      </c>
      <c r="E208" s="28" t="s">
        <v>174</v>
      </c>
      <c r="F208" s="29">
        <v>0</v>
      </c>
      <c r="G208" s="30">
        <v>2.9</v>
      </c>
      <c r="H208" s="27" t="s">
        <v>175</v>
      </c>
      <c r="I208" s="26" t="s">
        <v>176</v>
      </c>
      <c r="J208" s="31">
        <v>4.22</v>
      </c>
      <c r="K208" s="32">
        <f t="shared" si="9"/>
        <v>12.238</v>
      </c>
      <c r="L208" s="29" t="s">
        <v>177</v>
      </c>
      <c r="M208" s="27">
        <f>IFERROR(VLOOKUP(C208,Custo_MI_Device!$B$2:$E$102,3,FALSE),0)</f>
        <v>0</v>
      </c>
      <c r="N208" s="27">
        <f t="shared" si="10"/>
        <v>0</v>
      </c>
      <c r="O208" s="178">
        <f t="shared" si="11"/>
        <v>0</v>
      </c>
    </row>
    <row r="209" spans="1:15" ht="12.75" hidden="1">
      <c r="A209" s="25">
        <v>2904</v>
      </c>
      <c r="B209" s="25" t="s">
        <v>17</v>
      </c>
      <c r="C209" s="26" t="s">
        <v>18</v>
      </c>
      <c r="D209" s="27">
        <v>76090000</v>
      </c>
      <c r="E209" s="28" t="s">
        <v>195</v>
      </c>
      <c r="F209" s="29" t="s">
        <v>196</v>
      </c>
      <c r="G209" s="30">
        <v>0.75</v>
      </c>
      <c r="H209" s="27" t="s">
        <v>137</v>
      </c>
      <c r="I209" s="26" t="s">
        <v>138</v>
      </c>
      <c r="J209" s="31">
        <v>6.7</v>
      </c>
      <c r="K209" s="32">
        <f t="shared" si="9"/>
        <v>5.0250000000000004</v>
      </c>
      <c r="L209" s="29" t="s">
        <v>196</v>
      </c>
      <c r="M209" s="27">
        <f>IFERROR(VLOOKUP(C209,Custo_MI_Device!$B$2:$E$102,3,FALSE),0)</f>
        <v>0</v>
      </c>
      <c r="N209" s="27">
        <f t="shared" si="10"/>
        <v>0</v>
      </c>
      <c r="O209" s="178">
        <f t="shared" si="11"/>
        <v>0</v>
      </c>
    </row>
    <row r="210" spans="1:15" ht="12.75" hidden="1">
      <c r="A210" s="25">
        <v>2911</v>
      </c>
      <c r="B210" s="25" t="s">
        <v>17</v>
      </c>
      <c r="C210" s="26" t="s">
        <v>18</v>
      </c>
      <c r="D210" s="27">
        <v>76090000</v>
      </c>
      <c r="E210" s="28" t="s">
        <v>197</v>
      </c>
      <c r="F210" s="29" t="s">
        <v>198</v>
      </c>
      <c r="G210" s="30">
        <v>0.75</v>
      </c>
      <c r="H210" s="27" t="s">
        <v>137</v>
      </c>
      <c r="I210" s="26" t="s">
        <v>138</v>
      </c>
      <c r="J210" s="31">
        <v>6.7</v>
      </c>
      <c r="K210" s="32">
        <f t="shared" si="9"/>
        <v>5.0250000000000004</v>
      </c>
      <c r="L210" s="29" t="s">
        <v>198</v>
      </c>
      <c r="M210" s="27">
        <f>IFERROR(VLOOKUP(C210,Custo_MI_Device!$B$2:$E$102,3,FALSE),0)</f>
        <v>0</v>
      </c>
      <c r="N210" s="27">
        <f t="shared" si="10"/>
        <v>0</v>
      </c>
      <c r="O210" s="178">
        <f t="shared" si="11"/>
        <v>0</v>
      </c>
    </row>
    <row r="211" spans="1:15" ht="12.75" hidden="1">
      <c r="A211" s="25">
        <v>4823</v>
      </c>
      <c r="B211" s="25" t="s">
        <v>17</v>
      </c>
      <c r="C211" s="26" t="s">
        <v>18</v>
      </c>
      <c r="D211" s="27">
        <v>76090000</v>
      </c>
      <c r="E211" s="28" t="s">
        <v>199</v>
      </c>
      <c r="F211" s="29" t="s">
        <v>200</v>
      </c>
      <c r="G211" s="30">
        <v>0.75</v>
      </c>
      <c r="H211" s="27" t="s">
        <v>137</v>
      </c>
      <c r="I211" s="26" t="s">
        <v>138</v>
      </c>
      <c r="J211" s="31">
        <v>6.7</v>
      </c>
      <c r="K211" s="32">
        <f t="shared" si="9"/>
        <v>5.0250000000000004</v>
      </c>
      <c r="L211" s="29" t="s">
        <v>200</v>
      </c>
      <c r="M211" s="27">
        <f>IFERROR(VLOOKUP(C211,Custo_MI_Device!$B$2:$E$102,3,FALSE),0)</f>
        <v>0</v>
      </c>
      <c r="N211" s="27">
        <f t="shared" si="10"/>
        <v>0</v>
      </c>
      <c r="O211" s="178">
        <f t="shared" si="11"/>
        <v>0</v>
      </c>
    </row>
    <row r="212" spans="1:15" ht="25.5" hidden="1">
      <c r="A212" s="25">
        <v>2909</v>
      </c>
      <c r="B212" s="25" t="s">
        <v>17</v>
      </c>
      <c r="C212" s="26" t="s">
        <v>18</v>
      </c>
      <c r="D212" s="27">
        <v>73072200</v>
      </c>
      <c r="E212" s="28" t="s">
        <v>216</v>
      </c>
      <c r="F212" s="29" t="s">
        <v>217</v>
      </c>
      <c r="G212" s="30">
        <v>2</v>
      </c>
      <c r="H212" s="27" t="s">
        <v>137</v>
      </c>
      <c r="I212" s="26" t="s">
        <v>218</v>
      </c>
      <c r="J212" s="31">
        <v>27.7</v>
      </c>
      <c r="K212" s="32">
        <f t="shared" si="9"/>
        <v>55.4</v>
      </c>
      <c r="L212" s="29" t="s">
        <v>217</v>
      </c>
      <c r="M212" s="27">
        <f>IFERROR(VLOOKUP(C212,Custo_MI_Device!$B$2:$E$102,3,FALSE),0)</f>
        <v>0</v>
      </c>
      <c r="N212" s="27">
        <f t="shared" si="10"/>
        <v>0</v>
      </c>
      <c r="O212" s="178">
        <f t="shared" si="11"/>
        <v>0</v>
      </c>
    </row>
    <row r="213" spans="1:15" ht="25.5" hidden="1">
      <c r="A213" s="25">
        <v>1535</v>
      </c>
      <c r="B213" s="25" t="s">
        <v>17</v>
      </c>
      <c r="C213" s="26" t="s">
        <v>18</v>
      </c>
      <c r="D213" s="27">
        <v>73072200</v>
      </c>
      <c r="E213" s="28" t="s">
        <v>219</v>
      </c>
      <c r="F213" s="29">
        <v>0</v>
      </c>
      <c r="G213" s="30">
        <v>2</v>
      </c>
      <c r="H213" s="27" t="s">
        <v>137</v>
      </c>
      <c r="I213" s="26" t="s">
        <v>220</v>
      </c>
      <c r="J213" s="31">
        <v>35</v>
      </c>
      <c r="K213" s="32">
        <f t="shared" si="9"/>
        <v>70</v>
      </c>
      <c r="L213" s="29" t="s">
        <v>221</v>
      </c>
      <c r="M213" s="27">
        <f>IFERROR(VLOOKUP(C213,Custo_MI_Device!$B$2:$E$102,3,FALSE),0)</f>
        <v>0</v>
      </c>
      <c r="N213" s="27">
        <f t="shared" si="10"/>
        <v>0</v>
      </c>
      <c r="O213" s="178">
        <f t="shared" si="11"/>
        <v>0</v>
      </c>
    </row>
    <row r="214" spans="1:15" ht="25.5" hidden="1">
      <c r="A214" s="25">
        <v>2300</v>
      </c>
      <c r="B214" s="25" t="s">
        <v>17</v>
      </c>
      <c r="C214" s="26" t="s">
        <v>18</v>
      </c>
      <c r="D214" s="27">
        <v>73072200</v>
      </c>
      <c r="E214" s="28" t="s">
        <v>222</v>
      </c>
      <c r="F214" s="29" t="s">
        <v>223</v>
      </c>
      <c r="G214" s="30">
        <v>1</v>
      </c>
      <c r="H214" s="27" t="s">
        <v>137</v>
      </c>
      <c r="I214" s="26" t="s">
        <v>218</v>
      </c>
      <c r="J214" s="31">
        <v>41</v>
      </c>
      <c r="K214" s="32">
        <f t="shared" si="9"/>
        <v>41</v>
      </c>
      <c r="L214" s="29" t="s">
        <v>223</v>
      </c>
      <c r="M214" s="27">
        <f>IFERROR(VLOOKUP(C214,Custo_MI_Device!$B$2:$E$102,3,FALSE),0)</f>
        <v>0</v>
      </c>
      <c r="N214" s="27">
        <f t="shared" si="10"/>
        <v>0</v>
      </c>
      <c r="O214" s="178">
        <f t="shared" si="11"/>
        <v>0</v>
      </c>
    </row>
    <row r="215" spans="1:15" ht="25.5" hidden="1">
      <c r="A215" s="25">
        <v>7163</v>
      </c>
      <c r="B215" s="25" t="s">
        <v>17</v>
      </c>
      <c r="C215" s="26" t="s">
        <v>18</v>
      </c>
      <c r="D215" s="27">
        <v>73072200</v>
      </c>
      <c r="E215" s="28" t="s">
        <v>224</v>
      </c>
      <c r="F215" s="29">
        <v>0</v>
      </c>
      <c r="G215" s="30">
        <v>4</v>
      </c>
      <c r="H215" s="27" t="s">
        <v>137</v>
      </c>
      <c r="I215" s="26" t="s">
        <v>220</v>
      </c>
      <c r="J215" s="31">
        <v>58</v>
      </c>
      <c r="K215" s="32">
        <f t="shared" si="9"/>
        <v>232</v>
      </c>
      <c r="L215" s="29" t="s">
        <v>225</v>
      </c>
      <c r="M215" s="27">
        <f>IFERROR(VLOOKUP(C215,Custo_MI_Device!$B$2:$E$102,3,FALSE),0)</f>
        <v>0</v>
      </c>
      <c r="N215" s="27">
        <f t="shared" si="10"/>
        <v>0</v>
      </c>
      <c r="O215" s="178">
        <f t="shared" si="11"/>
        <v>0</v>
      </c>
    </row>
    <row r="216" spans="1:15" ht="25.5" hidden="1">
      <c r="A216" s="25">
        <v>4306</v>
      </c>
      <c r="B216" s="25" t="s">
        <v>17</v>
      </c>
      <c r="C216" s="26" t="s">
        <v>18</v>
      </c>
      <c r="D216" s="27">
        <v>73063000</v>
      </c>
      <c r="E216" s="28" t="s">
        <v>239</v>
      </c>
      <c r="F216" s="29">
        <v>0</v>
      </c>
      <c r="G216" s="30">
        <v>2</v>
      </c>
      <c r="H216" s="27" t="s">
        <v>232</v>
      </c>
      <c r="I216" s="26" t="s">
        <v>233</v>
      </c>
      <c r="J216" s="31">
        <v>32</v>
      </c>
      <c r="K216" s="32">
        <f t="shared" si="9"/>
        <v>64</v>
      </c>
      <c r="L216" s="29" t="s">
        <v>240</v>
      </c>
      <c r="M216" s="27">
        <f>IFERROR(VLOOKUP(C216,Custo_MI_Device!$B$2:$E$102,3,FALSE),0)</f>
        <v>0</v>
      </c>
      <c r="N216" s="27">
        <f t="shared" si="10"/>
        <v>0</v>
      </c>
      <c r="O216" s="178">
        <f t="shared" si="11"/>
        <v>0</v>
      </c>
    </row>
    <row r="217" spans="1:15" ht="12.75" hidden="1">
      <c r="A217" s="25">
        <v>3274</v>
      </c>
      <c r="B217" s="25" t="s">
        <v>17</v>
      </c>
      <c r="C217" s="26" t="s">
        <v>18</v>
      </c>
      <c r="D217" s="27">
        <v>73181500</v>
      </c>
      <c r="E217" s="28" t="s">
        <v>265</v>
      </c>
      <c r="F217" s="29" t="s">
        <v>266</v>
      </c>
      <c r="G217" s="30">
        <v>24</v>
      </c>
      <c r="H217" s="27" t="s">
        <v>137</v>
      </c>
      <c r="I217" s="26" t="s">
        <v>256</v>
      </c>
      <c r="J217" s="31">
        <v>0.06</v>
      </c>
      <c r="K217" s="32">
        <f t="shared" si="9"/>
        <v>1.44</v>
      </c>
      <c r="L217" s="29" t="s">
        <v>266</v>
      </c>
      <c r="M217" s="27">
        <f>IFERROR(VLOOKUP(C217,Custo_MI_Device!$B$2:$E$102,3,FALSE),0)</f>
        <v>0</v>
      </c>
      <c r="N217" s="27">
        <f t="shared" si="10"/>
        <v>0</v>
      </c>
      <c r="O217" s="178">
        <f t="shared" si="11"/>
        <v>0</v>
      </c>
    </row>
    <row r="218" spans="1:15" ht="25.5" hidden="1">
      <c r="A218" s="25">
        <v>1611</v>
      </c>
      <c r="B218" s="25" t="s">
        <v>17</v>
      </c>
      <c r="C218" s="26" t="s">
        <v>18</v>
      </c>
      <c r="D218" s="27">
        <v>39174090</v>
      </c>
      <c r="E218" s="28" t="s">
        <v>275</v>
      </c>
      <c r="F218" s="29" t="s">
        <v>276</v>
      </c>
      <c r="G218" s="30">
        <v>2</v>
      </c>
      <c r="H218" s="27" t="s">
        <v>137</v>
      </c>
      <c r="I218" s="26" t="s">
        <v>277</v>
      </c>
      <c r="J218" s="31">
        <v>7.8</v>
      </c>
      <c r="K218" s="32">
        <f t="shared" si="9"/>
        <v>15.6</v>
      </c>
      <c r="L218" s="29" t="s">
        <v>276</v>
      </c>
      <c r="M218" s="27">
        <f>IFERROR(VLOOKUP(C218,Custo_MI_Device!$B$2:$E$102,3,FALSE),0)</f>
        <v>0</v>
      </c>
      <c r="N218" s="27">
        <f t="shared" si="10"/>
        <v>0</v>
      </c>
      <c r="O218" s="178">
        <f t="shared" si="11"/>
        <v>0</v>
      </c>
    </row>
    <row r="219" spans="1:15" ht="12.75" hidden="1">
      <c r="A219" s="25">
        <v>5081</v>
      </c>
      <c r="B219" s="25" t="s">
        <v>17</v>
      </c>
      <c r="C219" s="26" t="s">
        <v>18</v>
      </c>
      <c r="D219" s="27">
        <v>73145000</v>
      </c>
      <c r="E219" s="28" t="s">
        <v>278</v>
      </c>
      <c r="F219" s="29">
        <v>0</v>
      </c>
      <c r="G219" s="30">
        <v>1</v>
      </c>
      <c r="H219" s="27" t="s">
        <v>137</v>
      </c>
      <c r="I219" s="26" t="s">
        <v>279</v>
      </c>
      <c r="J219" s="31">
        <v>23</v>
      </c>
      <c r="K219" s="32">
        <f t="shared" si="9"/>
        <v>23</v>
      </c>
      <c r="L219" s="29" t="s">
        <v>280</v>
      </c>
      <c r="M219" s="27">
        <f>IFERROR(VLOOKUP(C219,Custo_MI_Device!$B$2:$E$102,3,FALSE),0)</f>
        <v>0</v>
      </c>
      <c r="N219" s="27">
        <f t="shared" si="10"/>
        <v>0</v>
      </c>
      <c r="O219" s="178">
        <f t="shared" si="11"/>
        <v>0</v>
      </c>
    </row>
    <row r="220" spans="1:15" ht="25.5" hidden="1">
      <c r="A220" s="25">
        <v>2973</v>
      </c>
      <c r="B220" s="25" t="s">
        <v>17</v>
      </c>
      <c r="C220" s="26" t="s">
        <v>18</v>
      </c>
      <c r="D220" s="27">
        <v>73072200</v>
      </c>
      <c r="E220" s="28" t="s">
        <v>281</v>
      </c>
      <c r="F220" s="29" t="s">
        <v>282</v>
      </c>
      <c r="G220" s="30">
        <v>4</v>
      </c>
      <c r="H220" s="27" t="s">
        <v>137</v>
      </c>
      <c r="I220" s="26" t="s">
        <v>218</v>
      </c>
      <c r="J220" s="31">
        <v>29</v>
      </c>
      <c r="K220" s="32">
        <f t="shared" si="9"/>
        <v>116</v>
      </c>
      <c r="L220" s="29" t="s">
        <v>282</v>
      </c>
      <c r="M220" s="27">
        <f>IFERROR(VLOOKUP(C220,Custo_MI_Device!$B$2:$E$102,3,FALSE),0)</f>
        <v>0</v>
      </c>
      <c r="N220" s="27">
        <f t="shared" si="10"/>
        <v>0</v>
      </c>
      <c r="O220" s="178">
        <f t="shared" si="11"/>
        <v>0</v>
      </c>
    </row>
    <row r="221" spans="1:15" ht="25.5" hidden="1">
      <c r="A221" s="25">
        <v>5194</v>
      </c>
      <c r="B221" s="25" t="s">
        <v>17</v>
      </c>
      <c r="C221" s="26" t="s">
        <v>18</v>
      </c>
      <c r="D221" s="27">
        <v>73041010</v>
      </c>
      <c r="E221" s="28" t="s">
        <v>289</v>
      </c>
      <c r="F221" s="29" t="s">
        <v>290</v>
      </c>
      <c r="G221" s="30">
        <v>3</v>
      </c>
      <c r="H221" s="27" t="s">
        <v>232</v>
      </c>
      <c r="I221" s="26" t="s">
        <v>218</v>
      </c>
      <c r="J221" s="31">
        <f>21.5*6</f>
        <v>129</v>
      </c>
      <c r="K221" s="32">
        <f t="shared" si="9"/>
        <v>387</v>
      </c>
      <c r="L221" s="29" t="s">
        <v>290</v>
      </c>
      <c r="M221" s="27">
        <f>IFERROR(VLOOKUP(C221,Custo_MI_Device!$B$2:$E$102,3,FALSE),0)</f>
        <v>0</v>
      </c>
      <c r="N221" s="27">
        <f t="shared" si="10"/>
        <v>0</v>
      </c>
      <c r="O221" s="178">
        <f t="shared" si="11"/>
        <v>0</v>
      </c>
    </row>
    <row r="222" spans="1:15" ht="25.5" hidden="1">
      <c r="A222" s="25">
        <v>2125</v>
      </c>
      <c r="B222" s="25" t="s">
        <v>17</v>
      </c>
      <c r="C222" s="26" t="s">
        <v>18</v>
      </c>
      <c r="D222" s="27">
        <v>84818039</v>
      </c>
      <c r="E222" s="28" t="s">
        <v>301</v>
      </c>
      <c r="F222" s="29">
        <v>0</v>
      </c>
      <c r="G222" s="30">
        <v>2</v>
      </c>
      <c r="H222" s="27" t="s">
        <v>137</v>
      </c>
      <c r="I222" s="26" t="s">
        <v>220</v>
      </c>
      <c r="J222" s="31">
        <v>175</v>
      </c>
      <c r="K222" s="32">
        <f t="shared" si="9"/>
        <v>350</v>
      </c>
      <c r="L222" s="29" t="s">
        <v>302</v>
      </c>
      <c r="M222" s="27">
        <f>IFERROR(VLOOKUP(C222,Custo_MI_Device!$B$2:$E$102,3,FALSE),0)</f>
        <v>0</v>
      </c>
      <c r="N222" s="27">
        <f t="shared" si="10"/>
        <v>0</v>
      </c>
      <c r="O222" s="178">
        <f t="shared" si="11"/>
        <v>0</v>
      </c>
    </row>
    <row r="223" spans="1:15" ht="12.75" hidden="1">
      <c r="A223" s="25">
        <v>2534</v>
      </c>
      <c r="B223" s="25" t="s">
        <v>17</v>
      </c>
      <c r="C223" s="26" t="s">
        <v>19</v>
      </c>
      <c r="D223" s="27">
        <v>73072900</v>
      </c>
      <c r="E223" s="28" t="s">
        <v>314</v>
      </c>
      <c r="F223" s="29" t="s">
        <v>315</v>
      </c>
      <c r="G223" s="30">
        <v>12</v>
      </c>
      <c r="H223" s="27" t="s">
        <v>137</v>
      </c>
      <c r="I223" s="26" t="s">
        <v>256</v>
      </c>
      <c r="J223" s="31">
        <v>1.2</v>
      </c>
      <c r="K223" s="32">
        <f t="shared" si="9"/>
        <v>14.399999999999999</v>
      </c>
      <c r="L223" s="29" t="s">
        <v>315</v>
      </c>
      <c r="M223" s="27">
        <f>IFERROR(VLOOKUP(C223,Custo_MI_Device!$B$2:$E$102,3,FALSE),0)</f>
        <v>0</v>
      </c>
      <c r="N223" s="27">
        <f t="shared" si="10"/>
        <v>0</v>
      </c>
      <c r="O223" s="178">
        <f t="shared" si="11"/>
        <v>0</v>
      </c>
    </row>
    <row r="224" spans="1:15" ht="12.75" hidden="1">
      <c r="A224" s="25">
        <v>1669</v>
      </c>
      <c r="B224" s="25" t="s">
        <v>17</v>
      </c>
      <c r="C224" s="26" t="s">
        <v>19</v>
      </c>
      <c r="D224" s="27">
        <v>39269090</v>
      </c>
      <c r="E224" s="28" t="s">
        <v>316</v>
      </c>
      <c r="F224" s="29" t="s">
        <v>317</v>
      </c>
      <c r="G224" s="30">
        <v>3</v>
      </c>
      <c r="H224" s="27" t="s">
        <v>137</v>
      </c>
      <c r="I224" s="26" t="s">
        <v>318</v>
      </c>
      <c r="J224" s="31">
        <v>0.04</v>
      </c>
      <c r="K224" s="32">
        <f t="shared" si="9"/>
        <v>0.12</v>
      </c>
      <c r="L224" s="29" t="s">
        <v>317</v>
      </c>
      <c r="M224" s="27">
        <f>IFERROR(VLOOKUP(C224,Custo_MI_Device!$B$2:$E$102,3,FALSE),0)</f>
        <v>0</v>
      </c>
      <c r="N224" s="27">
        <f t="shared" si="10"/>
        <v>0</v>
      </c>
      <c r="O224" s="178">
        <f t="shared" si="11"/>
        <v>0</v>
      </c>
    </row>
    <row r="225" spans="1:15" ht="12.75" hidden="1">
      <c r="A225" s="25">
        <v>5091</v>
      </c>
      <c r="B225" s="25" t="s">
        <v>17</v>
      </c>
      <c r="C225" s="26" t="s">
        <v>19</v>
      </c>
      <c r="D225" s="27">
        <v>73181500</v>
      </c>
      <c r="E225" s="28" t="s">
        <v>323</v>
      </c>
      <c r="F225" s="29" t="s">
        <v>324</v>
      </c>
      <c r="G225" s="30">
        <v>24</v>
      </c>
      <c r="H225" s="27" t="s">
        <v>137</v>
      </c>
      <c r="I225" s="26" t="s">
        <v>256</v>
      </c>
      <c r="J225" s="31">
        <v>0.04</v>
      </c>
      <c r="K225" s="32">
        <f t="shared" si="9"/>
        <v>0.96</v>
      </c>
      <c r="L225" s="29" t="s">
        <v>324</v>
      </c>
      <c r="M225" s="27">
        <f>IFERROR(VLOOKUP(C225,Custo_MI_Device!$B$2:$E$102,3,FALSE),0)</f>
        <v>0</v>
      </c>
      <c r="N225" s="27">
        <f t="shared" si="10"/>
        <v>0</v>
      </c>
      <c r="O225" s="178">
        <f t="shared" si="11"/>
        <v>0</v>
      </c>
    </row>
    <row r="226" spans="1:15" ht="12.75" hidden="1">
      <c r="A226" s="25">
        <v>1117</v>
      </c>
      <c r="B226" s="25" t="s">
        <v>17</v>
      </c>
      <c r="C226" s="26" t="s">
        <v>19</v>
      </c>
      <c r="D226" s="27"/>
      <c r="E226" s="28" t="s">
        <v>145</v>
      </c>
      <c r="F226" s="29" t="s">
        <v>146</v>
      </c>
      <c r="G226" s="30">
        <v>1</v>
      </c>
      <c r="H226" s="27" t="s">
        <v>137</v>
      </c>
      <c r="I226" s="26" t="s">
        <v>138</v>
      </c>
      <c r="J226" s="31">
        <v>1.95</v>
      </c>
      <c r="K226" s="32">
        <f t="shared" si="9"/>
        <v>1.95</v>
      </c>
      <c r="L226" s="29" t="s">
        <v>146</v>
      </c>
      <c r="M226" s="27">
        <f>IFERROR(VLOOKUP(C226,Custo_MI_Device!$B$2:$E$102,3,FALSE),0)</f>
        <v>0</v>
      </c>
      <c r="N226" s="27">
        <f t="shared" si="10"/>
        <v>0</v>
      </c>
      <c r="O226" s="178">
        <f t="shared" si="11"/>
        <v>0</v>
      </c>
    </row>
    <row r="227" spans="1:15" ht="12.75" hidden="1">
      <c r="A227" s="25">
        <v>3080</v>
      </c>
      <c r="B227" s="25" t="s">
        <v>17</v>
      </c>
      <c r="C227" s="26" t="s">
        <v>19</v>
      </c>
      <c r="D227" s="27">
        <v>74122000</v>
      </c>
      <c r="E227" s="28" t="s">
        <v>153</v>
      </c>
      <c r="F227" s="29" t="s">
        <v>154</v>
      </c>
      <c r="G227" s="30">
        <v>1</v>
      </c>
      <c r="H227" s="27" t="s">
        <v>137</v>
      </c>
      <c r="I227" s="26" t="s">
        <v>155</v>
      </c>
      <c r="J227" s="31">
        <v>3.3</v>
      </c>
      <c r="K227" s="32">
        <f t="shared" si="9"/>
        <v>3.3</v>
      </c>
      <c r="L227" s="29" t="s">
        <v>154</v>
      </c>
      <c r="M227" s="27">
        <f>IFERROR(VLOOKUP(C227,Custo_MI_Device!$B$2:$E$102,3,FALSE),0)</f>
        <v>0</v>
      </c>
      <c r="N227" s="27">
        <f t="shared" si="10"/>
        <v>0</v>
      </c>
      <c r="O227" s="178">
        <f t="shared" si="11"/>
        <v>0</v>
      </c>
    </row>
    <row r="228" spans="1:15" ht="25.5" hidden="1">
      <c r="A228" s="25">
        <v>5139</v>
      </c>
      <c r="B228" s="25" t="s">
        <v>17</v>
      </c>
      <c r="C228" s="26" t="s">
        <v>19</v>
      </c>
      <c r="D228" s="27">
        <v>85444900</v>
      </c>
      <c r="E228" s="28" t="s">
        <v>170</v>
      </c>
      <c r="F228" s="29" t="s">
        <v>171</v>
      </c>
      <c r="G228" s="30">
        <v>15</v>
      </c>
      <c r="H228" s="27" t="s">
        <v>158</v>
      </c>
      <c r="I228" s="26" t="s">
        <v>172</v>
      </c>
      <c r="J228" s="31">
        <v>7.5</v>
      </c>
      <c r="K228" s="32">
        <f t="shared" si="9"/>
        <v>112.5</v>
      </c>
      <c r="L228" s="29" t="s">
        <v>173</v>
      </c>
      <c r="M228" s="27">
        <f>IFERROR(VLOOKUP(C228,Custo_MI_Device!$B$2:$E$102,3,FALSE),0)</f>
        <v>0</v>
      </c>
      <c r="N228" s="27">
        <f t="shared" si="10"/>
        <v>0</v>
      </c>
      <c r="O228" s="178">
        <f t="shared" si="11"/>
        <v>0</v>
      </c>
    </row>
    <row r="229" spans="1:15" ht="12.75" hidden="1">
      <c r="A229" s="25">
        <v>2805</v>
      </c>
      <c r="B229" s="25" t="s">
        <v>17</v>
      </c>
      <c r="C229" s="26" t="s">
        <v>19</v>
      </c>
      <c r="D229" s="27">
        <v>72162100</v>
      </c>
      <c r="E229" s="28" t="s">
        <v>174</v>
      </c>
      <c r="F229" s="29">
        <v>0</v>
      </c>
      <c r="G229" s="30">
        <v>2.9</v>
      </c>
      <c r="H229" s="27" t="s">
        <v>175</v>
      </c>
      <c r="I229" s="26" t="s">
        <v>176</v>
      </c>
      <c r="J229" s="31">
        <v>4.22</v>
      </c>
      <c r="K229" s="32">
        <f t="shared" si="9"/>
        <v>12.238</v>
      </c>
      <c r="L229" s="29" t="s">
        <v>177</v>
      </c>
      <c r="M229" s="27">
        <f>IFERROR(VLOOKUP(C229,Custo_MI_Device!$B$2:$E$102,3,FALSE),0)</f>
        <v>0</v>
      </c>
      <c r="N229" s="27">
        <f t="shared" si="10"/>
        <v>0</v>
      </c>
      <c r="O229" s="178">
        <f t="shared" si="11"/>
        <v>0</v>
      </c>
    </row>
    <row r="230" spans="1:15" ht="12.75" hidden="1">
      <c r="A230" s="25">
        <v>2904</v>
      </c>
      <c r="B230" s="25" t="s">
        <v>17</v>
      </c>
      <c r="C230" s="26" t="s">
        <v>19</v>
      </c>
      <c r="D230" s="27">
        <v>76090000</v>
      </c>
      <c r="E230" s="28" t="s">
        <v>195</v>
      </c>
      <c r="F230" s="29" t="s">
        <v>196</v>
      </c>
      <c r="G230" s="30">
        <v>0.75</v>
      </c>
      <c r="H230" s="27" t="s">
        <v>137</v>
      </c>
      <c r="I230" s="26" t="s">
        <v>138</v>
      </c>
      <c r="J230" s="31">
        <v>6.7</v>
      </c>
      <c r="K230" s="32">
        <f t="shared" si="9"/>
        <v>5.0250000000000004</v>
      </c>
      <c r="L230" s="29" t="s">
        <v>196</v>
      </c>
      <c r="M230" s="27">
        <f>IFERROR(VLOOKUP(C230,Custo_MI_Device!$B$2:$E$102,3,FALSE),0)</f>
        <v>0</v>
      </c>
      <c r="N230" s="27">
        <f t="shared" si="10"/>
        <v>0</v>
      </c>
      <c r="O230" s="178">
        <f t="shared" si="11"/>
        <v>0</v>
      </c>
    </row>
    <row r="231" spans="1:15" ht="12.75" hidden="1">
      <c r="A231" s="25">
        <v>2911</v>
      </c>
      <c r="B231" s="25" t="s">
        <v>17</v>
      </c>
      <c r="C231" s="26" t="s">
        <v>19</v>
      </c>
      <c r="D231" s="27">
        <v>76090000</v>
      </c>
      <c r="E231" s="28" t="s">
        <v>197</v>
      </c>
      <c r="F231" s="29" t="s">
        <v>198</v>
      </c>
      <c r="G231" s="30">
        <v>0.75</v>
      </c>
      <c r="H231" s="27" t="s">
        <v>137</v>
      </c>
      <c r="I231" s="26" t="s">
        <v>138</v>
      </c>
      <c r="J231" s="31">
        <v>6.7</v>
      </c>
      <c r="K231" s="32">
        <f t="shared" si="9"/>
        <v>5.0250000000000004</v>
      </c>
      <c r="L231" s="29" t="s">
        <v>198</v>
      </c>
      <c r="M231" s="27">
        <f>IFERROR(VLOOKUP(C231,Custo_MI_Device!$B$2:$E$102,3,FALSE),0)</f>
        <v>0</v>
      </c>
      <c r="N231" s="27">
        <f t="shared" si="10"/>
        <v>0</v>
      </c>
      <c r="O231" s="178">
        <f t="shared" si="11"/>
        <v>0</v>
      </c>
    </row>
    <row r="232" spans="1:15" ht="12.75" hidden="1">
      <c r="A232" s="25">
        <v>4823</v>
      </c>
      <c r="B232" s="25" t="s">
        <v>17</v>
      </c>
      <c r="C232" s="26" t="s">
        <v>19</v>
      </c>
      <c r="D232" s="27">
        <v>76090000</v>
      </c>
      <c r="E232" s="28" t="s">
        <v>199</v>
      </c>
      <c r="F232" s="29" t="s">
        <v>200</v>
      </c>
      <c r="G232" s="30">
        <v>0.75</v>
      </c>
      <c r="H232" s="27" t="s">
        <v>137</v>
      </c>
      <c r="I232" s="26" t="s">
        <v>138</v>
      </c>
      <c r="J232" s="31">
        <v>6.7</v>
      </c>
      <c r="K232" s="32">
        <f t="shared" si="9"/>
        <v>5.0250000000000004</v>
      </c>
      <c r="L232" s="29" t="s">
        <v>200</v>
      </c>
      <c r="M232" s="27">
        <f>IFERROR(VLOOKUP(C232,Custo_MI_Device!$B$2:$E$102,3,FALSE),0)</f>
        <v>0</v>
      </c>
      <c r="N232" s="27">
        <f t="shared" si="10"/>
        <v>0</v>
      </c>
      <c r="O232" s="178">
        <f t="shared" si="11"/>
        <v>0</v>
      </c>
    </row>
    <row r="233" spans="1:15" ht="25.5" hidden="1">
      <c r="A233" s="25">
        <v>2909</v>
      </c>
      <c r="B233" s="25" t="s">
        <v>17</v>
      </c>
      <c r="C233" s="26" t="s">
        <v>19</v>
      </c>
      <c r="D233" s="27">
        <v>73072200</v>
      </c>
      <c r="E233" s="28" t="s">
        <v>216</v>
      </c>
      <c r="F233" s="29" t="s">
        <v>217</v>
      </c>
      <c r="G233" s="30">
        <v>2</v>
      </c>
      <c r="H233" s="27" t="s">
        <v>137</v>
      </c>
      <c r="I233" s="26" t="s">
        <v>218</v>
      </c>
      <c r="J233" s="31">
        <v>27.7</v>
      </c>
      <c r="K233" s="32">
        <f t="shared" si="9"/>
        <v>55.4</v>
      </c>
      <c r="L233" s="29" t="s">
        <v>217</v>
      </c>
      <c r="M233" s="27">
        <f>IFERROR(VLOOKUP(C233,Custo_MI_Device!$B$2:$E$102,3,FALSE),0)</f>
        <v>0</v>
      </c>
      <c r="N233" s="27">
        <f t="shared" si="10"/>
        <v>0</v>
      </c>
      <c r="O233" s="178">
        <f t="shared" si="11"/>
        <v>0</v>
      </c>
    </row>
    <row r="234" spans="1:15" ht="25.5" hidden="1">
      <c r="A234" s="25">
        <v>1535</v>
      </c>
      <c r="B234" s="25" t="s">
        <v>17</v>
      </c>
      <c r="C234" s="26" t="s">
        <v>19</v>
      </c>
      <c r="D234" s="27">
        <v>73072200</v>
      </c>
      <c r="E234" s="28" t="s">
        <v>219</v>
      </c>
      <c r="F234" s="29">
        <v>0</v>
      </c>
      <c r="G234" s="30">
        <v>2</v>
      </c>
      <c r="H234" s="27" t="s">
        <v>137</v>
      </c>
      <c r="I234" s="26" t="s">
        <v>220</v>
      </c>
      <c r="J234" s="31">
        <v>35</v>
      </c>
      <c r="K234" s="32">
        <f t="shared" si="9"/>
        <v>70</v>
      </c>
      <c r="L234" s="29" t="s">
        <v>221</v>
      </c>
      <c r="M234" s="27">
        <f>IFERROR(VLOOKUP(C234,Custo_MI_Device!$B$2:$E$102,3,FALSE),0)</f>
        <v>0</v>
      </c>
      <c r="N234" s="27">
        <f t="shared" si="10"/>
        <v>0</v>
      </c>
      <c r="O234" s="178">
        <f t="shared" si="11"/>
        <v>0</v>
      </c>
    </row>
    <row r="235" spans="1:15" ht="25.5" hidden="1">
      <c r="A235" s="25">
        <v>2300</v>
      </c>
      <c r="B235" s="25" t="s">
        <v>17</v>
      </c>
      <c r="C235" s="26" t="s">
        <v>19</v>
      </c>
      <c r="D235" s="27">
        <v>73072200</v>
      </c>
      <c r="E235" s="28" t="s">
        <v>222</v>
      </c>
      <c r="F235" s="29" t="s">
        <v>223</v>
      </c>
      <c r="G235" s="30">
        <v>1</v>
      </c>
      <c r="H235" s="27" t="s">
        <v>137</v>
      </c>
      <c r="I235" s="26" t="s">
        <v>218</v>
      </c>
      <c r="J235" s="31">
        <v>41</v>
      </c>
      <c r="K235" s="32">
        <f t="shared" si="9"/>
        <v>41</v>
      </c>
      <c r="L235" s="29" t="s">
        <v>223</v>
      </c>
      <c r="M235" s="27">
        <f>IFERROR(VLOOKUP(C235,Custo_MI_Device!$B$2:$E$102,3,FALSE),0)</f>
        <v>0</v>
      </c>
      <c r="N235" s="27">
        <f t="shared" si="10"/>
        <v>0</v>
      </c>
      <c r="O235" s="178">
        <f t="shared" si="11"/>
        <v>0</v>
      </c>
    </row>
    <row r="236" spans="1:15" ht="25.5" hidden="1">
      <c r="A236" s="25">
        <v>7163</v>
      </c>
      <c r="B236" s="25" t="s">
        <v>17</v>
      </c>
      <c r="C236" s="26" t="s">
        <v>19</v>
      </c>
      <c r="D236" s="27">
        <v>73072200</v>
      </c>
      <c r="E236" s="28" t="s">
        <v>224</v>
      </c>
      <c r="F236" s="29">
        <v>0</v>
      </c>
      <c r="G236" s="30">
        <v>4</v>
      </c>
      <c r="H236" s="27" t="s">
        <v>137</v>
      </c>
      <c r="I236" s="26" t="s">
        <v>220</v>
      </c>
      <c r="J236" s="31">
        <v>58</v>
      </c>
      <c r="K236" s="32">
        <f t="shared" si="9"/>
        <v>232</v>
      </c>
      <c r="L236" s="29" t="s">
        <v>225</v>
      </c>
      <c r="M236" s="27">
        <f>IFERROR(VLOOKUP(C236,Custo_MI_Device!$B$2:$E$102,3,FALSE),0)</f>
        <v>0</v>
      </c>
      <c r="N236" s="27">
        <f t="shared" si="10"/>
        <v>0</v>
      </c>
      <c r="O236" s="178">
        <f t="shared" si="11"/>
        <v>0</v>
      </c>
    </row>
    <row r="237" spans="1:15" ht="25.5" hidden="1">
      <c r="A237" s="25">
        <v>4306</v>
      </c>
      <c r="B237" s="25" t="s">
        <v>17</v>
      </c>
      <c r="C237" s="26" t="s">
        <v>19</v>
      </c>
      <c r="D237" s="27">
        <v>73063000</v>
      </c>
      <c r="E237" s="28" t="s">
        <v>239</v>
      </c>
      <c r="F237" s="29">
        <v>0</v>
      </c>
      <c r="G237" s="30">
        <v>2</v>
      </c>
      <c r="H237" s="27" t="s">
        <v>232</v>
      </c>
      <c r="I237" s="26" t="s">
        <v>233</v>
      </c>
      <c r="J237" s="31">
        <v>32</v>
      </c>
      <c r="K237" s="32">
        <f t="shared" si="9"/>
        <v>64</v>
      </c>
      <c r="L237" s="29" t="s">
        <v>240</v>
      </c>
      <c r="M237" s="27">
        <f>IFERROR(VLOOKUP(C237,Custo_MI_Device!$B$2:$E$102,3,FALSE),0)</f>
        <v>0</v>
      </c>
      <c r="N237" s="27">
        <f t="shared" si="10"/>
        <v>0</v>
      </c>
      <c r="O237" s="178">
        <f t="shared" si="11"/>
        <v>0</v>
      </c>
    </row>
    <row r="238" spans="1:15" ht="12.75" hidden="1">
      <c r="A238" s="25">
        <v>3274</v>
      </c>
      <c r="B238" s="25" t="s">
        <v>17</v>
      </c>
      <c r="C238" s="26" t="s">
        <v>19</v>
      </c>
      <c r="D238" s="27">
        <v>73181500</v>
      </c>
      <c r="E238" s="28" t="s">
        <v>265</v>
      </c>
      <c r="F238" s="29" t="s">
        <v>266</v>
      </c>
      <c r="G238" s="30">
        <v>24</v>
      </c>
      <c r="H238" s="27" t="s">
        <v>137</v>
      </c>
      <c r="I238" s="26" t="s">
        <v>256</v>
      </c>
      <c r="J238" s="31">
        <v>0.06</v>
      </c>
      <c r="K238" s="32">
        <f t="shared" si="9"/>
        <v>1.44</v>
      </c>
      <c r="L238" s="29" t="s">
        <v>266</v>
      </c>
      <c r="M238" s="27">
        <f>IFERROR(VLOOKUP(C238,Custo_MI_Device!$B$2:$E$102,3,FALSE),0)</f>
        <v>0</v>
      </c>
      <c r="N238" s="27">
        <f t="shared" si="10"/>
        <v>0</v>
      </c>
      <c r="O238" s="178">
        <f t="shared" si="11"/>
        <v>0</v>
      </c>
    </row>
    <row r="239" spans="1:15" ht="25.5" hidden="1">
      <c r="A239" s="25">
        <v>1611</v>
      </c>
      <c r="B239" s="25" t="s">
        <v>17</v>
      </c>
      <c r="C239" s="26" t="s">
        <v>19</v>
      </c>
      <c r="D239" s="27">
        <v>39174090</v>
      </c>
      <c r="E239" s="28" t="s">
        <v>275</v>
      </c>
      <c r="F239" s="29" t="s">
        <v>276</v>
      </c>
      <c r="G239" s="30">
        <v>2</v>
      </c>
      <c r="H239" s="27" t="s">
        <v>137</v>
      </c>
      <c r="I239" s="26" t="s">
        <v>277</v>
      </c>
      <c r="J239" s="31">
        <v>7.8</v>
      </c>
      <c r="K239" s="32">
        <f t="shared" si="9"/>
        <v>15.6</v>
      </c>
      <c r="L239" s="29" t="s">
        <v>276</v>
      </c>
      <c r="M239" s="27">
        <f>IFERROR(VLOOKUP(C239,Custo_MI_Device!$B$2:$E$102,3,FALSE),0)</f>
        <v>0</v>
      </c>
      <c r="N239" s="27">
        <f t="shared" si="10"/>
        <v>0</v>
      </c>
      <c r="O239" s="178">
        <f t="shared" si="11"/>
        <v>0</v>
      </c>
    </row>
    <row r="240" spans="1:15" ht="12.75" hidden="1">
      <c r="A240" s="25">
        <v>5081</v>
      </c>
      <c r="B240" s="25" t="s">
        <v>17</v>
      </c>
      <c r="C240" s="26" t="s">
        <v>19</v>
      </c>
      <c r="D240" s="27">
        <v>73145000</v>
      </c>
      <c r="E240" s="28" t="s">
        <v>278</v>
      </c>
      <c r="F240" s="29">
        <v>0</v>
      </c>
      <c r="G240" s="30">
        <v>1</v>
      </c>
      <c r="H240" s="27" t="s">
        <v>137</v>
      </c>
      <c r="I240" s="26" t="s">
        <v>279</v>
      </c>
      <c r="J240" s="31">
        <v>23</v>
      </c>
      <c r="K240" s="32">
        <f t="shared" si="9"/>
        <v>23</v>
      </c>
      <c r="L240" s="29" t="s">
        <v>280</v>
      </c>
      <c r="M240" s="27">
        <f>IFERROR(VLOOKUP(C240,Custo_MI_Device!$B$2:$E$102,3,FALSE),0)</f>
        <v>0</v>
      </c>
      <c r="N240" s="27">
        <f t="shared" si="10"/>
        <v>0</v>
      </c>
      <c r="O240" s="178">
        <f t="shared" si="11"/>
        <v>0</v>
      </c>
    </row>
    <row r="241" spans="1:15" ht="25.5" hidden="1">
      <c r="A241" s="25">
        <v>2973</v>
      </c>
      <c r="B241" s="25" t="s">
        <v>17</v>
      </c>
      <c r="C241" s="26" t="s">
        <v>19</v>
      </c>
      <c r="D241" s="27">
        <v>73072200</v>
      </c>
      <c r="E241" s="28" t="s">
        <v>281</v>
      </c>
      <c r="F241" s="29" t="s">
        <v>282</v>
      </c>
      <c r="G241" s="30">
        <v>4</v>
      </c>
      <c r="H241" s="27" t="s">
        <v>137</v>
      </c>
      <c r="I241" s="26" t="s">
        <v>218</v>
      </c>
      <c r="J241" s="31">
        <v>29</v>
      </c>
      <c r="K241" s="32">
        <f t="shared" si="9"/>
        <v>116</v>
      </c>
      <c r="L241" s="29" t="s">
        <v>282</v>
      </c>
      <c r="M241" s="27">
        <f>IFERROR(VLOOKUP(C241,Custo_MI_Device!$B$2:$E$102,3,FALSE),0)</f>
        <v>0</v>
      </c>
      <c r="N241" s="27">
        <f t="shared" si="10"/>
        <v>0</v>
      </c>
      <c r="O241" s="178">
        <f t="shared" si="11"/>
        <v>0</v>
      </c>
    </row>
    <row r="242" spans="1:15" ht="25.5" hidden="1">
      <c r="A242" s="25">
        <v>5194</v>
      </c>
      <c r="B242" s="25" t="s">
        <v>17</v>
      </c>
      <c r="C242" s="26" t="s">
        <v>19</v>
      </c>
      <c r="D242" s="27">
        <v>73041010</v>
      </c>
      <c r="E242" s="28" t="s">
        <v>289</v>
      </c>
      <c r="F242" s="29" t="s">
        <v>290</v>
      </c>
      <c r="G242" s="30">
        <v>3</v>
      </c>
      <c r="H242" s="27" t="s">
        <v>232</v>
      </c>
      <c r="I242" s="26" t="s">
        <v>218</v>
      </c>
      <c r="J242" s="31">
        <f>21.5*6</f>
        <v>129</v>
      </c>
      <c r="K242" s="32">
        <f t="shared" si="9"/>
        <v>387</v>
      </c>
      <c r="L242" s="29" t="s">
        <v>290</v>
      </c>
      <c r="M242" s="27">
        <f>IFERROR(VLOOKUP(C242,Custo_MI_Device!$B$2:$E$102,3,FALSE),0)</f>
        <v>0</v>
      </c>
      <c r="N242" s="27">
        <f t="shared" si="10"/>
        <v>0</v>
      </c>
      <c r="O242" s="178">
        <f t="shared" si="11"/>
        <v>0</v>
      </c>
    </row>
    <row r="243" spans="1:15" ht="25.5" hidden="1">
      <c r="A243" s="25">
        <v>2125</v>
      </c>
      <c r="B243" s="25" t="s">
        <v>17</v>
      </c>
      <c r="C243" s="26" t="s">
        <v>19</v>
      </c>
      <c r="D243" s="27">
        <v>84818039</v>
      </c>
      <c r="E243" s="28" t="s">
        <v>301</v>
      </c>
      <c r="F243" s="29">
        <v>0</v>
      </c>
      <c r="G243" s="30">
        <v>2</v>
      </c>
      <c r="H243" s="27" t="s">
        <v>137</v>
      </c>
      <c r="I243" s="26" t="s">
        <v>220</v>
      </c>
      <c r="J243" s="31">
        <v>175</v>
      </c>
      <c r="K243" s="32">
        <f t="shared" si="9"/>
        <v>350</v>
      </c>
      <c r="L243" s="29" t="s">
        <v>302</v>
      </c>
      <c r="M243" s="27">
        <f>IFERROR(VLOOKUP(C243,Custo_MI_Device!$B$2:$E$102,3,FALSE),0)</f>
        <v>0</v>
      </c>
      <c r="N243" s="27">
        <f t="shared" si="10"/>
        <v>0</v>
      </c>
      <c r="O243" s="178">
        <f t="shared" si="11"/>
        <v>0</v>
      </c>
    </row>
    <row r="244" spans="1:15" ht="12.75" hidden="1">
      <c r="A244" s="25">
        <v>2534</v>
      </c>
      <c r="B244" s="25" t="s">
        <v>17</v>
      </c>
      <c r="C244" s="26" t="s">
        <v>20</v>
      </c>
      <c r="D244" s="27">
        <v>73072900</v>
      </c>
      <c r="E244" s="28" t="s">
        <v>314</v>
      </c>
      <c r="F244" s="29" t="s">
        <v>315</v>
      </c>
      <c r="G244" s="30">
        <v>12</v>
      </c>
      <c r="H244" s="27" t="s">
        <v>137</v>
      </c>
      <c r="I244" s="26" t="s">
        <v>256</v>
      </c>
      <c r="J244" s="31">
        <v>1.2</v>
      </c>
      <c r="K244" s="32">
        <f t="shared" si="9"/>
        <v>14.399999999999999</v>
      </c>
      <c r="L244" s="29" t="s">
        <v>315</v>
      </c>
      <c r="M244" s="27">
        <f>IFERROR(VLOOKUP(C244,Custo_MI_Device!$B$2:$E$102,3,FALSE),0)</f>
        <v>0</v>
      </c>
      <c r="N244" s="27">
        <f t="shared" si="10"/>
        <v>0</v>
      </c>
      <c r="O244" s="178">
        <f t="shared" si="11"/>
        <v>0</v>
      </c>
    </row>
    <row r="245" spans="1:15" ht="12.75" hidden="1">
      <c r="A245" s="25">
        <v>1669</v>
      </c>
      <c r="B245" s="25" t="s">
        <v>17</v>
      </c>
      <c r="C245" s="26" t="s">
        <v>20</v>
      </c>
      <c r="D245" s="27">
        <v>39269090</v>
      </c>
      <c r="E245" s="28" t="s">
        <v>316</v>
      </c>
      <c r="F245" s="29" t="s">
        <v>317</v>
      </c>
      <c r="G245" s="30">
        <v>3</v>
      </c>
      <c r="H245" s="27" t="s">
        <v>137</v>
      </c>
      <c r="I245" s="26" t="s">
        <v>318</v>
      </c>
      <c r="J245" s="31">
        <v>0.04</v>
      </c>
      <c r="K245" s="32">
        <f t="shared" si="9"/>
        <v>0.12</v>
      </c>
      <c r="L245" s="29" t="s">
        <v>317</v>
      </c>
      <c r="M245" s="27">
        <f>IFERROR(VLOOKUP(C245,Custo_MI_Device!$B$2:$E$102,3,FALSE),0)</f>
        <v>0</v>
      </c>
      <c r="N245" s="27">
        <f t="shared" si="10"/>
        <v>0</v>
      </c>
      <c r="O245" s="178">
        <f t="shared" si="11"/>
        <v>0</v>
      </c>
    </row>
    <row r="246" spans="1:15" ht="12.75" hidden="1">
      <c r="A246" s="25">
        <v>5091</v>
      </c>
      <c r="B246" s="25" t="s">
        <v>17</v>
      </c>
      <c r="C246" s="26" t="s">
        <v>20</v>
      </c>
      <c r="D246" s="27">
        <v>73181500</v>
      </c>
      <c r="E246" s="28" t="s">
        <v>323</v>
      </c>
      <c r="F246" s="29" t="s">
        <v>324</v>
      </c>
      <c r="G246" s="30">
        <v>24</v>
      </c>
      <c r="H246" s="27" t="s">
        <v>137</v>
      </c>
      <c r="I246" s="26" t="s">
        <v>256</v>
      </c>
      <c r="J246" s="31">
        <v>0.04</v>
      </c>
      <c r="K246" s="32">
        <f t="shared" si="9"/>
        <v>0.96</v>
      </c>
      <c r="L246" s="29" t="s">
        <v>324</v>
      </c>
      <c r="M246" s="27">
        <f>IFERROR(VLOOKUP(C246,Custo_MI_Device!$B$2:$E$102,3,FALSE),0)</f>
        <v>0</v>
      </c>
      <c r="N246" s="27">
        <f t="shared" si="10"/>
        <v>0</v>
      </c>
      <c r="O246" s="178">
        <f t="shared" si="11"/>
        <v>0</v>
      </c>
    </row>
    <row r="247" spans="1:15" ht="12.75" hidden="1">
      <c r="A247" s="25">
        <v>83</v>
      </c>
      <c r="B247" s="25" t="s">
        <v>17</v>
      </c>
      <c r="C247" s="26" t="s">
        <v>20</v>
      </c>
      <c r="D247" s="27">
        <v>31</v>
      </c>
      <c r="E247" s="28" t="s">
        <v>150</v>
      </c>
      <c r="F247" s="29" t="s">
        <v>148</v>
      </c>
      <c r="G247" s="30">
        <v>1</v>
      </c>
      <c r="H247" s="27" t="s">
        <v>137</v>
      </c>
      <c r="I247" s="26" t="s">
        <v>149</v>
      </c>
      <c r="J247" s="31">
        <v>4.8</v>
      </c>
      <c r="K247" s="32">
        <f t="shared" si="9"/>
        <v>4.8</v>
      </c>
      <c r="L247" s="29" t="s">
        <v>148</v>
      </c>
      <c r="M247" s="27">
        <f>IFERROR(VLOOKUP(C247,Custo_MI_Device!$B$2:$E$102,3,FALSE),0)</f>
        <v>0</v>
      </c>
      <c r="N247" s="27">
        <f t="shared" si="10"/>
        <v>0</v>
      </c>
      <c r="O247" s="178">
        <f t="shared" si="11"/>
        <v>0</v>
      </c>
    </row>
    <row r="248" spans="1:15" ht="12.75" hidden="1">
      <c r="A248" s="25">
        <v>3080</v>
      </c>
      <c r="B248" s="25" t="s">
        <v>17</v>
      </c>
      <c r="C248" s="26" t="s">
        <v>20</v>
      </c>
      <c r="D248" s="27">
        <v>74122000</v>
      </c>
      <c r="E248" s="28" t="s">
        <v>153</v>
      </c>
      <c r="F248" s="29" t="s">
        <v>154</v>
      </c>
      <c r="G248" s="30">
        <v>1</v>
      </c>
      <c r="H248" s="27" t="s">
        <v>137</v>
      </c>
      <c r="I248" s="26" t="s">
        <v>155</v>
      </c>
      <c r="J248" s="31">
        <v>3.3</v>
      </c>
      <c r="K248" s="32">
        <f t="shared" si="9"/>
        <v>3.3</v>
      </c>
      <c r="L248" s="29" t="s">
        <v>154</v>
      </c>
      <c r="M248" s="27">
        <f>IFERROR(VLOOKUP(C248,Custo_MI_Device!$B$2:$E$102,3,FALSE),0)</f>
        <v>0</v>
      </c>
      <c r="N248" s="27">
        <f t="shared" si="10"/>
        <v>0</v>
      </c>
      <c r="O248" s="178">
        <f t="shared" si="11"/>
        <v>0</v>
      </c>
    </row>
    <row r="249" spans="1:15" ht="38.25" hidden="1">
      <c r="A249" s="25">
        <v>3585</v>
      </c>
      <c r="B249" s="25" t="s">
        <v>17</v>
      </c>
      <c r="C249" s="26" t="s">
        <v>20</v>
      </c>
      <c r="D249" s="27">
        <v>85444900</v>
      </c>
      <c r="E249" s="28" t="s">
        <v>328</v>
      </c>
      <c r="F249" s="29">
        <v>900400</v>
      </c>
      <c r="G249" s="33">
        <v>0</v>
      </c>
      <c r="H249" s="27" t="s">
        <v>158</v>
      </c>
      <c r="I249" s="26" t="s">
        <v>164</v>
      </c>
      <c r="J249" s="31">
        <v>1.7</v>
      </c>
      <c r="K249" s="32">
        <f t="shared" si="9"/>
        <v>0</v>
      </c>
      <c r="L249" s="29">
        <v>900400</v>
      </c>
      <c r="M249" s="27">
        <f>IFERROR(VLOOKUP(C249,Custo_MI_Device!$B$2:$E$102,3,FALSE),0)</f>
        <v>0</v>
      </c>
      <c r="N249" s="27">
        <f t="shared" si="10"/>
        <v>0</v>
      </c>
      <c r="O249" s="178">
        <f t="shared" si="11"/>
        <v>0</v>
      </c>
    </row>
    <row r="250" spans="1:15" ht="12.75" hidden="1">
      <c r="A250" s="25">
        <v>2805</v>
      </c>
      <c r="B250" s="25" t="s">
        <v>17</v>
      </c>
      <c r="C250" s="26" t="s">
        <v>20</v>
      </c>
      <c r="D250" s="27">
        <v>72162100</v>
      </c>
      <c r="E250" s="28" t="s">
        <v>174</v>
      </c>
      <c r="F250" s="29">
        <v>0</v>
      </c>
      <c r="G250" s="30">
        <v>2.9</v>
      </c>
      <c r="H250" s="27" t="s">
        <v>175</v>
      </c>
      <c r="I250" s="26" t="s">
        <v>176</v>
      </c>
      <c r="J250" s="31">
        <v>4.22</v>
      </c>
      <c r="K250" s="32">
        <f t="shared" si="9"/>
        <v>12.238</v>
      </c>
      <c r="L250" s="29" t="s">
        <v>177</v>
      </c>
      <c r="M250" s="27">
        <f>IFERROR(VLOOKUP(C250,Custo_MI_Device!$B$2:$E$102,3,FALSE),0)</f>
        <v>0</v>
      </c>
      <c r="N250" s="27">
        <f t="shared" si="10"/>
        <v>0</v>
      </c>
      <c r="O250" s="178">
        <f t="shared" si="11"/>
        <v>0</v>
      </c>
    </row>
    <row r="251" spans="1:15" ht="25.5" hidden="1">
      <c r="A251" s="25">
        <v>3738</v>
      </c>
      <c r="B251" s="25" t="s">
        <v>17</v>
      </c>
      <c r="C251" s="26" t="s">
        <v>20</v>
      </c>
      <c r="D251" s="27">
        <v>73071100</v>
      </c>
      <c r="E251" s="28" t="s">
        <v>205</v>
      </c>
      <c r="F251" s="29" t="s">
        <v>206</v>
      </c>
      <c r="G251" s="30">
        <v>0.75</v>
      </c>
      <c r="H251" s="27" t="s">
        <v>137</v>
      </c>
      <c r="I251" s="26" t="s">
        <v>149</v>
      </c>
      <c r="J251" s="31">
        <v>27</v>
      </c>
      <c r="K251" s="32">
        <f t="shared" si="9"/>
        <v>20.25</v>
      </c>
      <c r="L251" s="29" t="s">
        <v>206</v>
      </c>
      <c r="M251" s="27">
        <f>IFERROR(VLOOKUP(C251,Custo_MI_Device!$B$2:$E$102,3,FALSE),0)</f>
        <v>0</v>
      </c>
      <c r="N251" s="27">
        <f t="shared" si="10"/>
        <v>0</v>
      </c>
      <c r="O251" s="178">
        <f t="shared" si="11"/>
        <v>0</v>
      </c>
    </row>
    <row r="252" spans="1:15" ht="25.5" hidden="1">
      <c r="A252" s="25">
        <v>1710</v>
      </c>
      <c r="B252" s="25" t="s">
        <v>17</v>
      </c>
      <c r="C252" s="26" t="s">
        <v>20</v>
      </c>
      <c r="D252" s="27">
        <v>73071100</v>
      </c>
      <c r="E252" s="28" t="s">
        <v>207</v>
      </c>
      <c r="F252" s="29" t="s">
        <v>208</v>
      </c>
      <c r="G252" s="30">
        <v>0.75</v>
      </c>
      <c r="H252" s="27" t="s">
        <v>137</v>
      </c>
      <c r="I252" s="26" t="s">
        <v>149</v>
      </c>
      <c r="J252" s="31">
        <v>27</v>
      </c>
      <c r="K252" s="32">
        <f t="shared" si="9"/>
        <v>20.25</v>
      </c>
      <c r="L252" s="29" t="s">
        <v>208</v>
      </c>
      <c r="M252" s="27">
        <f>IFERROR(VLOOKUP(C252,Custo_MI_Device!$B$2:$E$102,3,FALSE),0)</f>
        <v>0</v>
      </c>
      <c r="N252" s="27">
        <f t="shared" si="10"/>
        <v>0</v>
      </c>
      <c r="O252" s="178">
        <f t="shared" si="11"/>
        <v>0</v>
      </c>
    </row>
    <row r="253" spans="1:15" ht="25.5" hidden="1">
      <c r="A253" s="25">
        <v>1715</v>
      </c>
      <c r="B253" s="25" t="s">
        <v>17</v>
      </c>
      <c r="C253" s="26" t="s">
        <v>20</v>
      </c>
      <c r="D253" s="27">
        <v>73071100</v>
      </c>
      <c r="E253" s="28" t="s">
        <v>209</v>
      </c>
      <c r="F253" s="29" t="s">
        <v>210</v>
      </c>
      <c r="G253" s="30">
        <v>0.75</v>
      </c>
      <c r="H253" s="27" t="s">
        <v>137</v>
      </c>
      <c r="I253" s="26" t="s">
        <v>149</v>
      </c>
      <c r="J253" s="31">
        <v>27</v>
      </c>
      <c r="K253" s="32">
        <f t="shared" si="9"/>
        <v>20.25</v>
      </c>
      <c r="L253" s="29" t="s">
        <v>210</v>
      </c>
      <c r="M253" s="27">
        <f>IFERROR(VLOOKUP(C253,Custo_MI_Device!$B$2:$E$102,3,FALSE),0)</f>
        <v>0</v>
      </c>
      <c r="N253" s="27">
        <f t="shared" si="10"/>
        <v>0</v>
      </c>
      <c r="O253" s="178">
        <f t="shared" si="11"/>
        <v>0</v>
      </c>
    </row>
    <row r="254" spans="1:15" ht="25.5" hidden="1">
      <c r="A254" s="25">
        <v>2909</v>
      </c>
      <c r="B254" s="25" t="s">
        <v>17</v>
      </c>
      <c r="C254" s="26" t="s">
        <v>20</v>
      </c>
      <c r="D254" s="27">
        <v>73072200</v>
      </c>
      <c r="E254" s="28" t="s">
        <v>216</v>
      </c>
      <c r="F254" s="29" t="s">
        <v>217</v>
      </c>
      <c r="G254" s="30">
        <v>2</v>
      </c>
      <c r="H254" s="27" t="s">
        <v>137</v>
      </c>
      <c r="I254" s="26" t="s">
        <v>218</v>
      </c>
      <c r="J254" s="31">
        <v>27.7</v>
      </c>
      <c r="K254" s="32">
        <f t="shared" si="9"/>
        <v>55.4</v>
      </c>
      <c r="L254" s="29" t="s">
        <v>217</v>
      </c>
      <c r="M254" s="27">
        <f>IFERROR(VLOOKUP(C254,Custo_MI_Device!$B$2:$E$102,3,FALSE),0)</f>
        <v>0</v>
      </c>
      <c r="N254" s="27">
        <f t="shared" si="10"/>
        <v>0</v>
      </c>
      <c r="O254" s="178">
        <f t="shared" si="11"/>
        <v>0</v>
      </c>
    </row>
    <row r="255" spans="1:15" ht="25.5" hidden="1">
      <c r="A255" s="25">
        <v>1535</v>
      </c>
      <c r="B255" s="25" t="s">
        <v>17</v>
      </c>
      <c r="C255" s="26" t="s">
        <v>20</v>
      </c>
      <c r="D255" s="27">
        <v>73072200</v>
      </c>
      <c r="E255" s="28" t="s">
        <v>219</v>
      </c>
      <c r="F255" s="29">
        <v>0</v>
      </c>
      <c r="G255" s="30">
        <v>2</v>
      </c>
      <c r="H255" s="27" t="s">
        <v>137</v>
      </c>
      <c r="I255" s="26" t="s">
        <v>220</v>
      </c>
      <c r="J255" s="31">
        <v>35</v>
      </c>
      <c r="K255" s="32">
        <f t="shared" si="9"/>
        <v>70</v>
      </c>
      <c r="L255" s="29" t="s">
        <v>221</v>
      </c>
      <c r="M255" s="27">
        <f>IFERROR(VLOOKUP(C255,Custo_MI_Device!$B$2:$E$102,3,FALSE),0)</f>
        <v>0</v>
      </c>
      <c r="N255" s="27">
        <f t="shared" si="10"/>
        <v>0</v>
      </c>
      <c r="O255" s="178">
        <f t="shared" si="11"/>
        <v>0</v>
      </c>
    </row>
    <row r="256" spans="1:15" ht="25.5" hidden="1">
      <c r="A256" s="25">
        <v>2300</v>
      </c>
      <c r="B256" s="25" t="s">
        <v>17</v>
      </c>
      <c r="C256" s="26" t="s">
        <v>20</v>
      </c>
      <c r="D256" s="27">
        <v>73072200</v>
      </c>
      <c r="E256" s="28" t="s">
        <v>222</v>
      </c>
      <c r="F256" s="29" t="s">
        <v>223</v>
      </c>
      <c r="G256" s="30">
        <v>1</v>
      </c>
      <c r="H256" s="27" t="s">
        <v>137</v>
      </c>
      <c r="I256" s="26" t="s">
        <v>218</v>
      </c>
      <c r="J256" s="31">
        <v>41</v>
      </c>
      <c r="K256" s="32">
        <f t="shared" si="9"/>
        <v>41</v>
      </c>
      <c r="L256" s="29" t="s">
        <v>223</v>
      </c>
      <c r="M256" s="27">
        <f>IFERROR(VLOOKUP(C256,Custo_MI_Device!$B$2:$E$102,3,FALSE),0)</f>
        <v>0</v>
      </c>
      <c r="N256" s="27">
        <f t="shared" si="10"/>
        <v>0</v>
      </c>
      <c r="O256" s="178">
        <f t="shared" si="11"/>
        <v>0</v>
      </c>
    </row>
    <row r="257" spans="1:15" ht="25.5" hidden="1">
      <c r="A257" s="25">
        <v>7163</v>
      </c>
      <c r="B257" s="25" t="s">
        <v>17</v>
      </c>
      <c r="C257" s="26" t="s">
        <v>20</v>
      </c>
      <c r="D257" s="27">
        <v>73072200</v>
      </c>
      <c r="E257" s="28" t="s">
        <v>224</v>
      </c>
      <c r="F257" s="29">
        <v>0</v>
      </c>
      <c r="G257" s="30">
        <v>4</v>
      </c>
      <c r="H257" s="27" t="s">
        <v>137</v>
      </c>
      <c r="I257" s="26" t="s">
        <v>220</v>
      </c>
      <c r="J257" s="31">
        <v>58</v>
      </c>
      <c r="K257" s="32">
        <f t="shared" si="9"/>
        <v>232</v>
      </c>
      <c r="L257" s="29" t="s">
        <v>225</v>
      </c>
      <c r="M257" s="27">
        <f>IFERROR(VLOOKUP(C257,Custo_MI_Device!$B$2:$E$102,3,FALSE),0)</f>
        <v>0</v>
      </c>
      <c r="N257" s="27">
        <f t="shared" si="10"/>
        <v>0</v>
      </c>
      <c r="O257" s="178">
        <f t="shared" si="11"/>
        <v>0</v>
      </c>
    </row>
    <row r="258" spans="1:15" ht="25.5" hidden="1">
      <c r="A258" s="25">
        <v>3417</v>
      </c>
      <c r="B258" s="25" t="s">
        <v>17</v>
      </c>
      <c r="C258" s="26" t="s">
        <v>20</v>
      </c>
      <c r="D258" s="27">
        <v>73063000</v>
      </c>
      <c r="E258" s="28" t="s">
        <v>231</v>
      </c>
      <c r="F258" s="29">
        <v>0</v>
      </c>
      <c r="G258" s="30">
        <v>2</v>
      </c>
      <c r="H258" s="27" t="s">
        <v>232</v>
      </c>
      <c r="I258" s="26" t="s">
        <v>233</v>
      </c>
      <c r="J258" s="31">
        <v>33.47</v>
      </c>
      <c r="K258" s="32">
        <f t="shared" si="9"/>
        <v>66.94</v>
      </c>
      <c r="L258" s="29" t="s">
        <v>234</v>
      </c>
      <c r="M258" s="27">
        <f>IFERROR(VLOOKUP(C258,Custo_MI_Device!$B$2:$E$102,3,FALSE),0)</f>
        <v>0</v>
      </c>
      <c r="N258" s="27">
        <f t="shared" si="10"/>
        <v>0</v>
      </c>
      <c r="O258" s="178">
        <f t="shared" si="11"/>
        <v>0</v>
      </c>
    </row>
    <row r="259" spans="1:15" ht="12.75" hidden="1">
      <c r="A259" s="25">
        <v>1965</v>
      </c>
      <c r="B259" s="25" t="s">
        <v>17</v>
      </c>
      <c r="C259" s="26" t="s">
        <v>20</v>
      </c>
      <c r="D259" s="27">
        <v>73071100</v>
      </c>
      <c r="E259" s="28" t="s">
        <v>251</v>
      </c>
      <c r="F259" s="29" t="s">
        <v>252</v>
      </c>
      <c r="G259" s="30">
        <v>1</v>
      </c>
      <c r="H259" s="27" t="s">
        <v>137</v>
      </c>
      <c r="I259" s="26" t="s">
        <v>253</v>
      </c>
      <c r="J259" s="31">
        <v>5.5</v>
      </c>
      <c r="K259" s="32">
        <f t="shared" ref="K259:K322" si="12">G259*J259</f>
        <v>5.5</v>
      </c>
      <c r="L259" s="29" t="s">
        <v>252</v>
      </c>
      <c r="M259" s="27">
        <f>IFERROR(VLOOKUP(C259,Custo_MI_Device!$B$2:$E$102,3,FALSE),0)</f>
        <v>0</v>
      </c>
      <c r="N259" s="27">
        <f t="shared" ref="N259:N322" si="13">ROUNDUP(M259*G259,0)</f>
        <v>0</v>
      </c>
      <c r="O259" s="178">
        <f t="shared" ref="O259:O322" si="14">N259*J259</f>
        <v>0</v>
      </c>
    </row>
    <row r="260" spans="1:15" ht="12.75" hidden="1">
      <c r="A260" s="25">
        <v>3274</v>
      </c>
      <c r="B260" s="25" t="s">
        <v>17</v>
      </c>
      <c r="C260" s="26" t="s">
        <v>20</v>
      </c>
      <c r="D260" s="27">
        <v>73181500</v>
      </c>
      <c r="E260" s="28" t="s">
        <v>265</v>
      </c>
      <c r="F260" s="29" t="s">
        <v>266</v>
      </c>
      <c r="G260" s="30">
        <v>24</v>
      </c>
      <c r="H260" s="27" t="s">
        <v>137</v>
      </c>
      <c r="I260" s="26" t="s">
        <v>256</v>
      </c>
      <c r="J260" s="31">
        <v>0.06</v>
      </c>
      <c r="K260" s="32">
        <f t="shared" si="12"/>
        <v>1.44</v>
      </c>
      <c r="L260" s="29" t="s">
        <v>266</v>
      </c>
      <c r="M260" s="27">
        <f>IFERROR(VLOOKUP(C260,Custo_MI_Device!$B$2:$E$102,3,FALSE),0)</f>
        <v>0</v>
      </c>
      <c r="N260" s="27">
        <f t="shared" si="13"/>
        <v>0</v>
      </c>
      <c r="O260" s="178">
        <f t="shared" si="14"/>
        <v>0</v>
      </c>
    </row>
    <row r="261" spans="1:15" ht="12.75" hidden="1">
      <c r="A261" s="25">
        <v>5081</v>
      </c>
      <c r="B261" s="25" t="s">
        <v>17</v>
      </c>
      <c r="C261" s="26" t="s">
        <v>20</v>
      </c>
      <c r="D261" s="27">
        <v>73145000</v>
      </c>
      <c r="E261" s="28" t="s">
        <v>278</v>
      </c>
      <c r="F261" s="29">
        <v>0</v>
      </c>
      <c r="G261" s="30">
        <v>1</v>
      </c>
      <c r="H261" s="27" t="s">
        <v>137</v>
      </c>
      <c r="I261" s="26" t="s">
        <v>279</v>
      </c>
      <c r="J261" s="31">
        <v>23</v>
      </c>
      <c r="K261" s="32">
        <f t="shared" si="12"/>
        <v>23</v>
      </c>
      <c r="L261" s="29" t="s">
        <v>280</v>
      </c>
      <c r="M261" s="27">
        <f>IFERROR(VLOOKUP(C261,Custo_MI_Device!$B$2:$E$102,3,FALSE),0)</f>
        <v>0</v>
      </c>
      <c r="N261" s="27">
        <f t="shared" si="13"/>
        <v>0</v>
      </c>
      <c r="O261" s="178">
        <f t="shared" si="14"/>
        <v>0</v>
      </c>
    </row>
    <row r="262" spans="1:15" ht="25.5" hidden="1">
      <c r="A262" s="25">
        <v>2973</v>
      </c>
      <c r="B262" s="25" t="s">
        <v>17</v>
      </c>
      <c r="C262" s="26" t="s">
        <v>20</v>
      </c>
      <c r="D262" s="27">
        <v>73072200</v>
      </c>
      <c r="E262" s="28" t="s">
        <v>281</v>
      </c>
      <c r="F262" s="29" t="s">
        <v>282</v>
      </c>
      <c r="G262" s="30">
        <v>4</v>
      </c>
      <c r="H262" s="27" t="s">
        <v>137</v>
      </c>
      <c r="I262" s="26" t="s">
        <v>218</v>
      </c>
      <c r="J262" s="31">
        <v>29</v>
      </c>
      <c r="K262" s="32">
        <f t="shared" si="12"/>
        <v>116</v>
      </c>
      <c r="L262" s="29" t="s">
        <v>282</v>
      </c>
      <c r="M262" s="27">
        <f>IFERROR(VLOOKUP(C262,Custo_MI_Device!$B$2:$E$102,3,FALSE),0)</f>
        <v>0</v>
      </c>
      <c r="N262" s="27">
        <f t="shared" si="13"/>
        <v>0</v>
      </c>
      <c r="O262" s="178">
        <f t="shared" si="14"/>
        <v>0</v>
      </c>
    </row>
    <row r="263" spans="1:15" ht="25.5" hidden="1">
      <c r="A263" s="25">
        <v>5194</v>
      </c>
      <c r="B263" s="25" t="s">
        <v>17</v>
      </c>
      <c r="C263" s="26" t="s">
        <v>20</v>
      </c>
      <c r="D263" s="27">
        <v>73041010</v>
      </c>
      <c r="E263" s="28" t="s">
        <v>289</v>
      </c>
      <c r="F263" s="29" t="s">
        <v>290</v>
      </c>
      <c r="G263" s="30">
        <v>3</v>
      </c>
      <c r="H263" s="27" t="s">
        <v>232</v>
      </c>
      <c r="I263" s="26" t="s">
        <v>218</v>
      </c>
      <c r="J263" s="31">
        <f>21.5*6</f>
        <v>129</v>
      </c>
      <c r="K263" s="32">
        <f t="shared" si="12"/>
        <v>387</v>
      </c>
      <c r="L263" s="29" t="s">
        <v>290</v>
      </c>
      <c r="M263" s="27">
        <f>IFERROR(VLOOKUP(C263,Custo_MI_Device!$B$2:$E$102,3,FALSE),0)</f>
        <v>0</v>
      </c>
      <c r="N263" s="27">
        <f t="shared" si="13"/>
        <v>0</v>
      </c>
      <c r="O263" s="178">
        <f t="shared" si="14"/>
        <v>0</v>
      </c>
    </row>
    <row r="264" spans="1:15" ht="25.5" hidden="1">
      <c r="A264" s="25">
        <v>5147</v>
      </c>
      <c r="B264" s="25" t="s">
        <v>17</v>
      </c>
      <c r="C264" s="26" t="s">
        <v>20</v>
      </c>
      <c r="D264" s="27">
        <v>83079000</v>
      </c>
      <c r="E264" s="28" t="s">
        <v>293</v>
      </c>
      <c r="F264" s="29" t="s">
        <v>294</v>
      </c>
      <c r="G264" s="30">
        <v>1</v>
      </c>
      <c r="H264" s="27" t="s">
        <v>137</v>
      </c>
      <c r="I264" s="26" t="s">
        <v>180</v>
      </c>
      <c r="J264" s="31">
        <v>155</v>
      </c>
      <c r="K264" s="32">
        <f t="shared" si="12"/>
        <v>155</v>
      </c>
      <c r="L264" s="29" t="s">
        <v>294</v>
      </c>
      <c r="M264" s="27">
        <f>IFERROR(VLOOKUP(C264,Custo_MI_Device!$B$2:$E$102,3,FALSE),0)</f>
        <v>0</v>
      </c>
      <c r="N264" s="27">
        <f t="shared" si="13"/>
        <v>0</v>
      </c>
      <c r="O264" s="178">
        <f t="shared" si="14"/>
        <v>0</v>
      </c>
    </row>
    <row r="265" spans="1:15" ht="25.5" hidden="1">
      <c r="A265" s="25">
        <v>4834</v>
      </c>
      <c r="B265" s="25" t="s">
        <v>17</v>
      </c>
      <c r="C265" s="26" t="s">
        <v>20</v>
      </c>
      <c r="D265" s="27">
        <v>73071100</v>
      </c>
      <c r="E265" s="28" t="s">
        <v>299</v>
      </c>
      <c r="F265" s="29" t="s">
        <v>300</v>
      </c>
      <c r="G265" s="30">
        <v>1</v>
      </c>
      <c r="H265" s="27" t="s">
        <v>137</v>
      </c>
      <c r="I265" s="26" t="s">
        <v>149</v>
      </c>
      <c r="J265" s="31">
        <v>28</v>
      </c>
      <c r="K265" s="32">
        <f t="shared" si="12"/>
        <v>28</v>
      </c>
      <c r="L265" s="29" t="s">
        <v>300</v>
      </c>
      <c r="M265" s="27">
        <f>IFERROR(VLOOKUP(C265,Custo_MI_Device!$B$2:$E$102,3,FALSE),0)</f>
        <v>0</v>
      </c>
      <c r="N265" s="27">
        <f t="shared" si="13"/>
        <v>0</v>
      </c>
      <c r="O265" s="178">
        <f t="shared" si="14"/>
        <v>0</v>
      </c>
    </row>
    <row r="266" spans="1:15" ht="25.5" hidden="1">
      <c r="A266" s="25">
        <v>2125</v>
      </c>
      <c r="B266" s="25" t="s">
        <v>17</v>
      </c>
      <c r="C266" s="26" t="s">
        <v>20</v>
      </c>
      <c r="D266" s="27">
        <v>84818039</v>
      </c>
      <c r="E266" s="28" t="s">
        <v>301</v>
      </c>
      <c r="F266" s="29">
        <v>0</v>
      </c>
      <c r="G266" s="30">
        <v>2</v>
      </c>
      <c r="H266" s="27" t="s">
        <v>137</v>
      </c>
      <c r="I266" s="26" t="s">
        <v>220</v>
      </c>
      <c r="J266" s="31">
        <v>175</v>
      </c>
      <c r="K266" s="32">
        <f t="shared" si="12"/>
        <v>350</v>
      </c>
      <c r="L266" s="29" t="s">
        <v>302</v>
      </c>
      <c r="M266" s="27">
        <f>IFERROR(VLOOKUP(C266,Custo_MI_Device!$B$2:$E$102,3,FALSE),0)</f>
        <v>0</v>
      </c>
      <c r="N266" s="27">
        <f t="shared" si="13"/>
        <v>0</v>
      </c>
      <c r="O266" s="178">
        <f t="shared" si="14"/>
        <v>0</v>
      </c>
    </row>
    <row r="267" spans="1:15" ht="12.75" hidden="1">
      <c r="A267" s="25">
        <v>2534</v>
      </c>
      <c r="B267" s="25" t="s">
        <v>17</v>
      </c>
      <c r="C267" s="26" t="s">
        <v>21</v>
      </c>
      <c r="D267" s="27">
        <v>73072900</v>
      </c>
      <c r="E267" s="28" t="s">
        <v>314</v>
      </c>
      <c r="F267" s="29" t="s">
        <v>315</v>
      </c>
      <c r="G267" s="30">
        <v>12</v>
      </c>
      <c r="H267" s="27" t="s">
        <v>137</v>
      </c>
      <c r="I267" s="26" t="s">
        <v>256</v>
      </c>
      <c r="J267" s="31">
        <v>1.2</v>
      </c>
      <c r="K267" s="32">
        <f t="shared" si="12"/>
        <v>14.399999999999999</v>
      </c>
      <c r="L267" s="29" t="s">
        <v>315</v>
      </c>
      <c r="M267" s="27">
        <f>IFERROR(VLOOKUP(C267,Custo_MI_Device!$B$2:$E$102,3,FALSE),0)</f>
        <v>0</v>
      </c>
      <c r="N267" s="27">
        <f t="shared" si="13"/>
        <v>0</v>
      </c>
      <c r="O267" s="178">
        <f t="shared" si="14"/>
        <v>0</v>
      </c>
    </row>
    <row r="268" spans="1:15" ht="12.75" hidden="1">
      <c r="A268" s="25">
        <v>1669</v>
      </c>
      <c r="B268" s="25" t="s">
        <v>17</v>
      </c>
      <c r="C268" s="26" t="s">
        <v>21</v>
      </c>
      <c r="D268" s="27">
        <v>39269090</v>
      </c>
      <c r="E268" s="28" t="s">
        <v>316</v>
      </c>
      <c r="F268" s="29" t="s">
        <v>317</v>
      </c>
      <c r="G268" s="30">
        <v>3</v>
      </c>
      <c r="H268" s="27" t="s">
        <v>137</v>
      </c>
      <c r="I268" s="26" t="s">
        <v>318</v>
      </c>
      <c r="J268" s="31">
        <v>0.04</v>
      </c>
      <c r="K268" s="32">
        <f t="shared" si="12"/>
        <v>0.12</v>
      </c>
      <c r="L268" s="29" t="s">
        <v>317</v>
      </c>
      <c r="M268" s="27">
        <f>IFERROR(VLOOKUP(C268,Custo_MI_Device!$B$2:$E$102,3,FALSE),0)</f>
        <v>0</v>
      </c>
      <c r="N268" s="27">
        <f t="shared" si="13"/>
        <v>0</v>
      </c>
      <c r="O268" s="178">
        <f t="shared" si="14"/>
        <v>0</v>
      </c>
    </row>
    <row r="269" spans="1:15" ht="12.75" hidden="1">
      <c r="A269" s="25">
        <v>5091</v>
      </c>
      <c r="B269" s="25" t="s">
        <v>17</v>
      </c>
      <c r="C269" s="26" t="s">
        <v>21</v>
      </c>
      <c r="D269" s="27">
        <v>73181500</v>
      </c>
      <c r="E269" s="28" t="s">
        <v>323</v>
      </c>
      <c r="F269" s="29" t="s">
        <v>324</v>
      </c>
      <c r="G269" s="30">
        <v>24</v>
      </c>
      <c r="H269" s="27" t="s">
        <v>137</v>
      </c>
      <c r="I269" s="26" t="s">
        <v>256</v>
      </c>
      <c r="J269" s="31">
        <v>0.04</v>
      </c>
      <c r="K269" s="32">
        <f t="shared" si="12"/>
        <v>0.96</v>
      </c>
      <c r="L269" s="29" t="s">
        <v>324</v>
      </c>
      <c r="M269" s="27">
        <f>IFERROR(VLOOKUP(C269,Custo_MI_Device!$B$2:$E$102,3,FALSE),0)</f>
        <v>0</v>
      </c>
      <c r="N269" s="27">
        <f t="shared" si="13"/>
        <v>0</v>
      </c>
      <c r="O269" s="178">
        <f t="shared" si="14"/>
        <v>0</v>
      </c>
    </row>
    <row r="270" spans="1:15" ht="12.75" hidden="1">
      <c r="A270" s="25">
        <v>83</v>
      </c>
      <c r="B270" s="25" t="s">
        <v>17</v>
      </c>
      <c r="C270" s="26" t="s">
        <v>21</v>
      </c>
      <c r="D270" s="27"/>
      <c r="E270" s="28" t="s">
        <v>150</v>
      </c>
      <c r="F270" s="29" t="s">
        <v>148</v>
      </c>
      <c r="G270" s="30">
        <v>1</v>
      </c>
      <c r="H270" s="27" t="s">
        <v>137</v>
      </c>
      <c r="I270" s="26" t="s">
        <v>149</v>
      </c>
      <c r="J270" s="31">
        <v>4.8</v>
      </c>
      <c r="K270" s="32">
        <f t="shared" si="12"/>
        <v>4.8</v>
      </c>
      <c r="L270" s="29" t="s">
        <v>148</v>
      </c>
      <c r="M270" s="27">
        <f>IFERROR(VLOOKUP(C270,Custo_MI_Device!$B$2:$E$102,3,FALSE),0)</f>
        <v>0</v>
      </c>
      <c r="N270" s="27">
        <f t="shared" si="13"/>
        <v>0</v>
      </c>
      <c r="O270" s="178">
        <f t="shared" si="14"/>
        <v>0</v>
      </c>
    </row>
    <row r="271" spans="1:15" ht="12.75" hidden="1">
      <c r="A271" s="25">
        <v>3080</v>
      </c>
      <c r="B271" s="25" t="s">
        <v>17</v>
      </c>
      <c r="C271" s="26" t="s">
        <v>21</v>
      </c>
      <c r="D271" s="27">
        <v>74122000</v>
      </c>
      <c r="E271" s="28" t="s">
        <v>153</v>
      </c>
      <c r="F271" s="29" t="s">
        <v>154</v>
      </c>
      <c r="G271" s="30">
        <v>1</v>
      </c>
      <c r="H271" s="27" t="s">
        <v>137</v>
      </c>
      <c r="I271" s="26" t="s">
        <v>155</v>
      </c>
      <c r="J271" s="31">
        <v>3.3</v>
      </c>
      <c r="K271" s="32">
        <f t="shared" si="12"/>
        <v>3.3</v>
      </c>
      <c r="L271" s="29" t="s">
        <v>154</v>
      </c>
      <c r="M271" s="27">
        <f>IFERROR(VLOOKUP(C271,Custo_MI_Device!$B$2:$E$102,3,FALSE),0)</f>
        <v>0</v>
      </c>
      <c r="N271" s="27">
        <f t="shared" si="13"/>
        <v>0</v>
      </c>
      <c r="O271" s="178">
        <f t="shared" si="14"/>
        <v>0</v>
      </c>
    </row>
    <row r="272" spans="1:15" ht="25.5" hidden="1">
      <c r="A272" s="25">
        <v>5139</v>
      </c>
      <c r="B272" s="25" t="s">
        <v>17</v>
      </c>
      <c r="C272" s="26" t="s">
        <v>21</v>
      </c>
      <c r="D272" s="27">
        <v>85444900</v>
      </c>
      <c r="E272" s="28" t="s">
        <v>170</v>
      </c>
      <c r="F272" s="29" t="s">
        <v>171</v>
      </c>
      <c r="G272" s="30">
        <v>15</v>
      </c>
      <c r="H272" s="27" t="s">
        <v>158</v>
      </c>
      <c r="I272" s="26" t="s">
        <v>172</v>
      </c>
      <c r="J272" s="31">
        <v>7.5</v>
      </c>
      <c r="K272" s="32">
        <f t="shared" si="12"/>
        <v>112.5</v>
      </c>
      <c r="L272" s="29" t="s">
        <v>173</v>
      </c>
      <c r="M272" s="27">
        <f>IFERROR(VLOOKUP(C272,Custo_MI_Device!$B$2:$E$102,3,FALSE),0)</f>
        <v>0</v>
      </c>
      <c r="N272" s="27">
        <f t="shared" si="13"/>
        <v>0</v>
      </c>
      <c r="O272" s="178">
        <f t="shared" si="14"/>
        <v>0</v>
      </c>
    </row>
    <row r="273" spans="1:15" ht="12.75" hidden="1">
      <c r="A273" s="25">
        <v>2805</v>
      </c>
      <c r="B273" s="25" t="s">
        <v>17</v>
      </c>
      <c r="C273" s="26" t="s">
        <v>21</v>
      </c>
      <c r="D273" s="27">
        <v>72162100</v>
      </c>
      <c r="E273" s="28" t="s">
        <v>174</v>
      </c>
      <c r="F273" s="29">
        <v>0</v>
      </c>
      <c r="G273" s="30">
        <v>2.9</v>
      </c>
      <c r="H273" s="27" t="s">
        <v>175</v>
      </c>
      <c r="I273" s="26" t="s">
        <v>176</v>
      </c>
      <c r="J273" s="31">
        <v>4.22</v>
      </c>
      <c r="K273" s="32">
        <f t="shared" si="12"/>
        <v>12.238</v>
      </c>
      <c r="L273" s="29" t="s">
        <v>177</v>
      </c>
      <c r="M273" s="27">
        <f>IFERROR(VLOOKUP(C273,Custo_MI_Device!$B$2:$E$102,3,FALSE),0)</f>
        <v>0</v>
      </c>
      <c r="N273" s="27">
        <f t="shared" si="13"/>
        <v>0</v>
      </c>
      <c r="O273" s="178">
        <f t="shared" si="14"/>
        <v>0</v>
      </c>
    </row>
    <row r="274" spans="1:15" ht="25.5" hidden="1">
      <c r="A274" s="25">
        <v>3738</v>
      </c>
      <c r="B274" s="25" t="s">
        <v>17</v>
      </c>
      <c r="C274" s="26" t="s">
        <v>21</v>
      </c>
      <c r="D274" s="27">
        <v>73071100</v>
      </c>
      <c r="E274" s="28" t="s">
        <v>205</v>
      </c>
      <c r="F274" s="29" t="s">
        <v>206</v>
      </c>
      <c r="G274" s="30">
        <v>0.75</v>
      </c>
      <c r="H274" s="27" t="s">
        <v>137</v>
      </c>
      <c r="I274" s="26" t="s">
        <v>149</v>
      </c>
      <c r="J274" s="31">
        <v>27</v>
      </c>
      <c r="K274" s="32">
        <f t="shared" si="12"/>
        <v>20.25</v>
      </c>
      <c r="L274" s="29" t="s">
        <v>206</v>
      </c>
      <c r="M274" s="27">
        <f>IFERROR(VLOOKUP(C274,Custo_MI_Device!$B$2:$E$102,3,FALSE),0)</f>
        <v>0</v>
      </c>
      <c r="N274" s="27">
        <f t="shared" si="13"/>
        <v>0</v>
      </c>
      <c r="O274" s="178">
        <f t="shared" si="14"/>
        <v>0</v>
      </c>
    </row>
    <row r="275" spans="1:15" ht="25.5" hidden="1">
      <c r="A275" s="25">
        <v>1710</v>
      </c>
      <c r="B275" s="25" t="s">
        <v>17</v>
      </c>
      <c r="C275" s="26" t="s">
        <v>21</v>
      </c>
      <c r="D275" s="27">
        <v>73071100</v>
      </c>
      <c r="E275" s="28" t="s">
        <v>207</v>
      </c>
      <c r="F275" s="29" t="s">
        <v>208</v>
      </c>
      <c r="G275" s="30">
        <v>0.75</v>
      </c>
      <c r="H275" s="27" t="s">
        <v>137</v>
      </c>
      <c r="I275" s="26" t="s">
        <v>149</v>
      </c>
      <c r="J275" s="31">
        <v>27</v>
      </c>
      <c r="K275" s="32">
        <f t="shared" si="12"/>
        <v>20.25</v>
      </c>
      <c r="L275" s="29" t="s">
        <v>208</v>
      </c>
      <c r="M275" s="27">
        <f>IFERROR(VLOOKUP(C275,Custo_MI_Device!$B$2:$E$102,3,FALSE),0)</f>
        <v>0</v>
      </c>
      <c r="N275" s="27">
        <f t="shared" si="13"/>
        <v>0</v>
      </c>
      <c r="O275" s="178">
        <f t="shared" si="14"/>
        <v>0</v>
      </c>
    </row>
    <row r="276" spans="1:15" ht="25.5" hidden="1">
      <c r="A276" s="25">
        <v>1715</v>
      </c>
      <c r="B276" s="25" t="s">
        <v>17</v>
      </c>
      <c r="C276" s="26" t="s">
        <v>21</v>
      </c>
      <c r="D276" s="27">
        <v>73071100</v>
      </c>
      <c r="E276" s="28" t="s">
        <v>209</v>
      </c>
      <c r="F276" s="29" t="s">
        <v>210</v>
      </c>
      <c r="G276" s="30">
        <v>0.75</v>
      </c>
      <c r="H276" s="27" t="s">
        <v>137</v>
      </c>
      <c r="I276" s="26" t="s">
        <v>149</v>
      </c>
      <c r="J276" s="31">
        <v>27</v>
      </c>
      <c r="K276" s="32">
        <f t="shared" si="12"/>
        <v>20.25</v>
      </c>
      <c r="L276" s="29" t="s">
        <v>210</v>
      </c>
      <c r="M276" s="27">
        <f>IFERROR(VLOOKUP(C276,Custo_MI_Device!$B$2:$E$102,3,FALSE),0)</f>
        <v>0</v>
      </c>
      <c r="N276" s="27">
        <f t="shared" si="13"/>
        <v>0</v>
      </c>
      <c r="O276" s="178">
        <f t="shared" si="14"/>
        <v>0</v>
      </c>
    </row>
    <row r="277" spans="1:15" ht="25.5" hidden="1">
      <c r="A277" s="25">
        <v>2909</v>
      </c>
      <c r="B277" s="25" t="s">
        <v>17</v>
      </c>
      <c r="C277" s="26" t="s">
        <v>21</v>
      </c>
      <c r="D277" s="27">
        <v>73072200</v>
      </c>
      <c r="E277" s="28" t="s">
        <v>216</v>
      </c>
      <c r="F277" s="29" t="s">
        <v>217</v>
      </c>
      <c r="G277" s="30">
        <v>2</v>
      </c>
      <c r="H277" s="27" t="s">
        <v>137</v>
      </c>
      <c r="I277" s="26" t="s">
        <v>218</v>
      </c>
      <c r="J277" s="31">
        <v>27.7</v>
      </c>
      <c r="K277" s="32">
        <f t="shared" si="12"/>
        <v>55.4</v>
      </c>
      <c r="L277" s="29" t="s">
        <v>217</v>
      </c>
      <c r="M277" s="27">
        <f>IFERROR(VLOOKUP(C277,Custo_MI_Device!$B$2:$E$102,3,FALSE),0)</f>
        <v>0</v>
      </c>
      <c r="N277" s="27">
        <f t="shared" si="13"/>
        <v>0</v>
      </c>
      <c r="O277" s="178">
        <f t="shared" si="14"/>
        <v>0</v>
      </c>
    </row>
    <row r="278" spans="1:15" ht="25.5" hidden="1">
      <c r="A278" s="25">
        <v>1535</v>
      </c>
      <c r="B278" s="25" t="s">
        <v>17</v>
      </c>
      <c r="C278" s="26" t="s">
        <v>21</v>
      </c>
      <c r="D278" s="27">
        <v>73072200</v>
      </c>
      <c r="E278" s="28" t="s">
        <v>219</v>
      </c>
      <c r="F278" s="29">
        <v>0</v>
      </c>
      <c r="G278" s="30">
        <v>2</v>
      </c>
      <c r="H278" s="27" t="s">
        <v>137</v>
      </c>
      <c r="I278" s="26" t="s">
        <v>220</v>
      </c>
      <c r="J278" s="31">
        <v>35</v>
      </c>
      <c r="K278" s="32">
        <f t="shared" si="12"/>
        <v>70</v>
      </c>
      <c r="L278" s="29" t="s">
        <v>221</v>
      </c>
      <c r="M278" s="27">
        <f>IFERROR(VLOOKUP(C278,Custo_MI_Device!$B$2:$E$102,3,FALSE),0)</f>
        <v>0</v>
      </c>
      <c r="N278" s="27">
        <f t="shared" si="13"/>
        <v>0</v>
      </c>
      <c r="O278" s="178">
        <f t="shared" si="14"/>
        <v>0</v>
      </c>
    </row>
    <row r="279" spans="1:15" ht="25.5" hidden="1">
      <c r="A279" s="25">
        <v>2300</v>
      </c>
      <c r="B279" s="25" t="s">
        <v>17</v>
      </c>
      <c r="C279" s="26" t="s">
        <v>21</v>
      </c>
      <c r="D279" s="27">
        <v>73072200</v>
      </c>
      <c r="E279" s="28" t="s">
        <v>222</v>
      </c>
      <c r="F279" s="29" t="s">
        <v>223</v>
      </c>
      <c r="G279" s="30">
        <v>1</v>
      </c>
      <c r="H279" s="27" t="s">
        <v>137</v>
      </c>
      <c r="I279" s="26" t="s">
        <v>218</v>
      </c>
      <c r="J279" s="31">
        <v>41</v>
      </c>
      <c r="K279" s="32">
        <f t="shared" si="12"/>
        <v>41</v>
      </c>
      <c r="L279" s="29" t="s">
        <v>223</v>
      </c>
      <c r="M279" s="27">
        <f>IFERROR(VLOOKUP(C279,Custo_MI_Device!$B$2:$E$102,3,FALSE),0)</f>
        <v>0</v>
      </c>
      <c r="N279" s="27">
        <f t="shared" si="13"/>
        <v>0</v>
      </c>
      <c r="O279" s="178">
        <f t="shared" si="14"/>
        <v>0</v>
      </c>
    </row>
    <row r="280" spans="1:15" ht="25.5" hidden="1">
      <c r="A280" s="25">
        <v>7163</v>
      </c>
      <c r="B280" s="25" t="s">
        <v>17</v>
      </c>
      <c r="C280" s="26" t="s">
        <v>21</v>
      </c>
      <c r="D280" s="27">
        <v>73072200</v>
      </c>
      <c r="E280" s="28" t="s">
        <v>224</v>
      </c>
      <c r="F280" s="29">
        <v>0</v>
      </c>
      <c r="G280" s="30">
        <v>4</v>
      </c>
      <c r="H280" s="27" t="s">
        <v>137</v>
      </c>
      <c r="I280" s="26" t="s">
        <v>220</v>
      </c>
      <c r="J280" s="31">
        <v>58</v>
      </c>
      <c r="K280" s="32">
        <f t="shared" si="12"/>
        <v>232</v>
      </c>
      <c r="L280" s="29" t="s">
        <v>225</v>
      </c>
      <c r="M280" s="27">
        <f>IFERROR(VLOOKUP(C280,Custo_MI_Device!$B$2:$E$102,3,FALSE),0)</f>
        <v>0</v>
      </c>
      <c r="N280" s="27">
        <f t="shared" si="13"/>
        <v>0</v>
      </c>
      <c r="O280" s="178">
        <f t="shared" si="14"/>
        <v>0</v>
      </c>
    </row>
    <row r="281" spans="1:15" ht="25.5" hidden="1">
      <c r="A281" s="25">
        <v>3417</v>
      </c>
      <c r="B281" s="25" t="s">
        <v>17</v>
      </c>
      <c r="C281" s="26" t="s">
        <v>21</v>
      </c>
      <c r="D281" s="27">
        <v>73063000</v>
      </c>
      <c r="E281" s="28" t="s">
        <v>231</v>
      </c>
      <c r="F281" s="29">
        <v>0</v>
      </c>
      <c r="G281" s="30">
        <v>2</v>
      </c>
      <c r="H281" s="27" t="s">
        <v>232</v>
      </c>
      <c r="I281" s="26" t="s">
        <v>233</v>
      </c>
      <c r="J281" s="31">
        <v>33.47</v>
      </c>
      <c r="K281" s="32">
        <f t="shared" si="12"/>
        <v>66.94</v>
      </c>
      <c r="L281" s="29" t="s">
        <v>234</v>
      </c>
      <c r="M281" s="27">
        <f>IFERROR(VLOOKUP(C281,Custo_MI_Device!$B$2:$E$102,3,FALSE),0)</f>
        <v>0</v>
      </c>
      <c r="N281" s="27">
        <f t="shared" si="13"/>
        <v>0</v>
      </c>
      <c r="O281" s="178">
        <f t="shared" si="14"/>
        <v>0</v>
      </c>
    </row>
    <row r="282" spans="1:15" ht="12.75" hidden="1">
      <c r="A282" s="25">
        <v>1965</v>
      </c>
      <c r="B282" s="25" t="s">
        <v>17</v>
      </c>
      <c r="C282" s="26" t="s">
        <v>21</v>
      </c>
      <c r="D282" s="27">
        <v>73071100</v>
      </c>
      <c r="E282" s="28" t="s">
        <v>251</v>
      </c>
      <c r="F282" s="29" t="s">
        <v>252</v>
      </c>
      <c r="G282" s="30">
        <v>1</v>
      </c>
      <c r="H282" s="27" t="s">
        <v>137</v>
      </c>
      <c r="I282" s="26" t="s">
        <v>253</v>
      </c>
      <c r="J282" s="31">
        <v>5.5</v>
      </c>
      <c r="K282" s="32">
        <f t="shared" si="12"/>
        <v>5.5</v>
      </c>
      <c r="L282" s="29" t="s">
        <v>252</v>
      </c>
      <c r="M282" s="27">
        <f>IFERROR(VLOOKUP(C282,Custo_MI_Device!$B$2:$E$102,3,FALSE),0)</f>
        <v>0</v>
      </c>
      <c r="N282" s="27">
        <f t="shared" si="13"/>
        <v>0</v>
      </c>
      <c r="O282" s="178">
        <f t="shared" si="14"/>
        <v>0</v>
      </c>
    </row>
    <row r="283" spans="1:15" ht="12.75" hidden="1">
      <c r="A283" s="25">
        <v>3274</v>
      </c>
      <c r="B283" s="25" t="s">
        <v>17</v>
      </c>
      <c r="C283" s="26" t="s">
        <v>21</v>
      </c>
      <c r="D283" s="27">
        <v>73181500</v>
      </c>
      <c r="E283" s="28" t="s">
        <v>265</v>
      </c>
      <c r="F283" s="29" t="s">
        <v>266</v>
      </c>
      <c r="G283" s="30">
        <v>24</v>
      </c>
      <c r="H283" s="27" t="s">
        <v>137</v>
      </c>
      <c r="I283" s="26" t="s">
        <v>256</v>
      </c>
      <c r="J283" s="31">
        <v>0.06</v>
      </c>
      <c r="K283" s="32">
        <f t="shared" si="12"/>
        <v>1.44</v>
      </c>
      <c r="L283" s="29" t="s">
        <v>266</v>
      </c>
      <c r="M283" s="27">
        <f>IFERROR(VLOOKUP(C283,Custo_MI_Device!$B$2:$E$102,3,FALSE),0)</f>
        <v>0</v>
      </c>
      <c r="N283" s="27">
        <f t="shared" si="13"/>
        <v>0</v>
      </c>
      <c r="O283" s="178">
        <f t="shared" si="14"/>
        <v>0</v>
      </c>
    </row>
    <row r="284" spans="1:15" ht="12.75" hidden="1">
      <c r="A284" s="25">
        <v>5081</v>
      </c>
      <c r="B284" s="25" t="s">
        <v>17</v>
      </c>
      <c r="C284" s="26" t="s">
        <v>21</v>
      </c>
      <c r="D284" s="27">
        <v>73145000</v>
      </c>
      <c r="E284" s="28" t="s">
        <v>278</v>
      </c>
      <c r="F284" s="29">
        <v>0</v>
      </c>
      <c r="G284" s="30">
        <v>1</v>
      </c>
      <c r="H284" s="27" t="s">
        <v>137</v>
      </c>
      <c r="I284" s="26" t="s">
        <v>279</v>
      </c>
      <c r="J284" s="31">
        <v>23</v>
      </c>
      <c r="K284" s="32">
        <f t="shared" si="12"/>
        <v>23</v>
      </c>
      <c r="L284" s="29" t="s">
        <v>280</v>
      </c>
      <c r="M284" s="27">
        <f>IFERROR(VLOOKUP(C284,Custo_MI_Device!$B$2:$E$102,3,FALSE),0)</f>
        <v>0</v>
      </c>
      <c r="N284" s="27">
        <f t="shared" si="13"/>
        <v>0</v>
      </c>
      <c r="O284" s="178">
        <f t="shared" si="14"/>
        <v>0</v>
      </c>
    </row>
    <row r="285" spans="1:15" ht="25.5" hidden="1">
      <c r="A285" s="25">
        <v>2973</v>
      </c>
      <c r="B285" s="25" t="s">
        <v>17</v>
      </c>
      <c r="C285" s="26" t="s">
        <v>21</v>
      </c>
      <c r="D285" s="27">
        <v>73072200</v>
      </c>
      <c r="E285" s="28" t="s">
        <v>281</v>
      </c>
      <c r="F285" s="29" t="s">
        <v>282</v>
      </c>
      <c r="G285" s="30">
        <v>4</v>
      </c>
      <c r="H285" s="27" t="s">
        <v>137</v>
      </c>
      <c r="I285" s="26" t="s">
        <v>218</v>
      </c>
      <c r="J285" s="31">
        <v>29</v>
      </c>
      <c r="K285" s="32">
        <f t="shared" si="12"/>
        <v>116</v>
      </c>
      <c r="L285" s="29" t="s">
        <v>282</v>
      </c>
      <c r="M285" s="27">
        <f>IFERROR(VLOOKUP(C285,Custo_MI_Device!$B$2:$E$102,3,FALSE),0)</f>
        <v>0</v>
      </c>
      <c r="N285" s="27">
        <f t="shared" si="13"/>
        <v>0</v>
      </c>
      <c r="O285" s="178">
        <f t="shared" si="14"/>
        <v>0</v>
      </c>
    </row>
    <row r="286" spans="1:15" ht="25.5" hidden="1">
      <c r="A286" s="25">
        <v>5194</v>
      </c>
      <c r="B286" s="25" t="s">
        <v>17</v>
      </c>
      <c r="C286" s="26" t="s">
        <v>21</v>
      </c>
      <c r="D286" s="27">
        <v>73041010</v>
      </c>
      <c r="E286" s="28" t="s">
        <v>289</v>
      </c>
      <c r="F286" s="29" t="s">
        <v>290</v>
      </c>
      <c r="G286" s="30">
        <v>3</v>
      </c>
      <c r="H286" s="27" t="s">
        <v>232</v>
      </c>
      <c r="I286" s="26" t="s">
        <v>218</v>
      </c>
      <c r="J286" s="31">
        <f>21.5*6</f>
        <v>129</v>
      </c>
      <c r="K286" s="32">
        <f t="shared" si="12"/>
        <v>387</v>
      </c>
      <c r="L286" s="29" t="s">
        <v>290</v>
      </c>
      <c r="M286" s="27">
        <f>IFERROR(VLOOKUP(C286,Custo_MI_Device!$B$2:$E$102,3,FALSE),0)</f>
        <v>0</v>
      </c>
      <c r="N286" s="27">
        <f t="shared" si="13"/>
        <v>0</v>
      </c>
      <c r="O286" s="178">
        <f t="shared" si="14"/>
        <v>0</v>
      </c>
    </row>
    <row r="287" spans="1:15" ht="25.5" hidden="1">
      <c r="A287" s="25">
        <v>5147</v>
      </c>
      <c r="B287" s="25" t="s">
        <v>17</v>
      </c>
      <c r="C287" s="26" t="s">
        <v>21</v>
      </c>
      <c r="D287" s="27">
        <v>83079000</v>
      </c>
      <c r="E287" s="28" t="s">
        <v>293</v>
      </c>
      <c r="F287" s="29" t="s">
        <v>294</v>
      </c>
      <c r="G287" s="30">
        <v>1</v>
      </c>
      <c r="H287" s="27" t="s">
        <v>137</v>
      </c>
      <c r="I287" s="26" t="s">
        <v>180</v>
      </c>
      <c r="J287" s="31">
        <v>155</v>
      </c>
      <c r="K287" s="32">
        <f t="shared" si="12"/>
        <v>155</v>
      </c>
      <c r="L287" s="29" t="s">
        <v>294</v>
      </c>
      <c r="M287" s="27">
        <f>IFERROR(VLOOKUP(C287,Custo_MI_Device!$B$2:$E$102,3,FALSE),0)</f>
        <v>0</v>
      </c>
      <c r="N287" s="27">
        <f t="shared" si="13"/>
        <v>0</v>
      </c>
      <c r="O287" s="178">
        <f t="shared" si="14"/>
        <v>0</v>
      </c>
    </row>
    <row r="288" spans="1:15" ht="25.5" hidden="1">
      <c r="A288" s="25">
        <v>4834</v>
      </c>
      <c r="B288" s="25" t="s">
        <v>17</v>
      </c>
      <c r="C288" s="26" t="s">
        <v>21</v>
      </c>
      <c r="D288" s="27">
        <v>73071100</v>
      </c>
      <c r="E288" s="28" t="s">
        <v>299</v>
      </c>
      <c r="F288" s="29" t="s">
        <v>300</v>
      </c>
      <c r="G288" s="30">
        <v>1</v>
      </c>
      <c r="H288" s="27" t="s">
        <v>137</v>
      </c>
      <c r="I288" s="26" t="s">
        <v>149</v>
      </c>
      <c r="J288" s="31">
        <v>28</v>
      </c>
      <c r="K288" s="32">
        <f t="shared" si="12"/>
        <v>28</v>
      </c>
      <c r="L288" s="29" t="s">
        <v>300</v>
      </c>
      <c r="M288" s="27">
        <f>IFERROR(VLOOKUP(C288,Custo_MI_Device!$B$2:$E$102,3,FALSE),0)</f>
        <v>0</v>
      </c>
      <c r="N288" s="27">
        <f t="shared" si="13"/>
        <v>0</v>
      </c>
      <c r="O288" s="178">
        <f t="shared" si="14"/>
        <v>0</v>
      </c>
    </row>
    <row r="289" spans="1:15" ht="25.5" hidden="1">
      <c r="A289" s="25">
        <v>2125</v>
      </c>
      <c r="B289" s="25" t="s">
        <v>17</v>
      </c>
      <c r="C289" s="26" t="s">
        <v>21</v>
      </c>
      <c r="D289" s="27">
        <v>84818039</v>
      </c>
      <c r="E289" s="28" t="s">
        <v>301</v>
      </c>
      <c r="F289" s="29">
        <v>0</v>
      </c>
      <c r="G289" s="30">
        <v>2</v>
      </c>
      <c r="H289" s="27" t="s">
        <v>137</v>
      </c>
      <c r="I289" s="26" t="s">
        <v>220</v>
      </c>
      <c r="J289" s="31">
        <v>175</v>
      </c>
      <c r="K289" s="32">
        <f t="shared" si="12"/>
        <v>350</v>
      </c>
      <c r="L289" s="29" t="s">
        <v>302</v>
      </c>
      <c r="M289" s="27">
        <f>IFERROR(VLOOKUP(C289,Custo_MI_Device!$B$2:$E$102,3,FALSE),0)</f>
        <v>0</v>
      </c>
      <c r="N289" s="27">
        <f t="shared" si="13"/>
        <v>0</v>
      </c>
      <c r="O289" s="178">
        <f t="shared" si="14"/>
        <v>0</v>
      </c>
    </row>
    <row r="290" spans="1:15" ht="12.75" hidden="1">
      <c r="A290" s="25">
        <v>2534</v>
      </c>
      <c r="B290" s="25" t="s">
        <v>17</v>
      </c>
      <c r="C290" s="26" t="s">
        <v>22</v>
      </c>
      <c r="D290" s="27">
        <v>73072900</v>
      </c>
      <c r="E290" s="28" t="s">
        <v>314</v>
      </c>
      <c r="F290" s="29" t="s">
        <v>315</v>
      </c>
      <c r="G290" s="30">
        <v>12</v>
      </c>
      <c r="H290" s="27" t="s">
        <v>137</v>
      </c>
      <c r="I290" s="26" t="s">
        <v>256</v>
      </c>
      <c r="J290" s="31">
        <v>1.2</v>
      </c>
      <c r="K290" s="32">
        <f t="shared" si="12"/>
        <v>14.399999999999999</v>
      </c>
      <c r="L290" s="29" t="s">
        <v>315</v>
      </c>
      <c r="M290" s="27">
        <f>IFERROR(VLOOKUP(C290,Custo_MI_Device!$B$2:$E$102,3,FALSE),0)</f>
        <v>0</v>
      </c>
      <c r="N290" s="27">
        <f t="shared" si="13"/>
        <v>0</v>
      </c>
      <c r="O290" s="178">
        <f t="shared" si="14"/>
        <v>0</v>
      </c>
    </row>
    <row r="291" spans="1:15" ht="12.75" hidden="1">
      <c r="A291" s="25">
        <v>1669</v>
      </c>
      <c r="B291" s="25" t="s">
        <v>17</v>
      </c>
      <c r="C291" s="26" t="s">
        <v>22</v>
      </c>
      <c r="D291" s="27">
        <v>39269090</v>
      </c>
      <c r="E291" s="28" t="s">
        <v>316</v>
      </c>
      <c r="F291" s="29" t="s">
        <v>317</v>
      </c>
      <c r="G291" s="30">
        <v>3</v>
      </c>
      <c r="H291" s="27" t="s">
        <v>137</v>
      </c>
      <c r="I291" s="26" t="s">
        <v>318</v>
      </c>
      <c r="J291" s="31">
        <v>0.04</v>
      </c>
      <c r="K291" s="32">
        <f t="shared" si="12"/>
        <v>0.12</v>
      </c>
      <c r="L291" s="29" t="s">
        <v>317</v>
      </c>
      <c r="M291" s="27">
        <f>IFERROR(VLOOKUP(C291,Custo_MI_Device!$B$2:$E$102,3,FALSE),0)</f>
        <v>0</v>
      </c>
      <c r="N291" s="27">
        <f t="shared" si="13"/>
        <v>0</v>
      </c>
      <c r="O291" s="178">
        <f t="shared" si="14"/>
        <v>0</v>
      </c>
    </row>
    <row r="292" spans="1:15" ht="12.75" hidden="1">
      <c r="A292" s="25">
        <v>5091</v>
      </c>
      <c r="B292" s="25" t="s">
        <v>17</v>
      </c>
      <c r="C292" s="26" t="s">
        <v>22</v>
      </c>
      <c r="D292" s="27">
        <v>73181500</v>
      </c>
      <c r="E292" s="28" t="s">
        <v>323</v>
      </c>
      <c r="F292" s="29" t="s">
        <v>324</v>
      </c>
      <c r="G292" s="30">
        <v>24</v>
      </c>
      <c r="H292" s="27" t="s">
        <v>137</v>
      </c>
      <c r="I292" s="26" t="s">
        <v>256</v>
      </c>
      <c r="J292" s="31">
        <v>0.04</v>
      </c>
      <c r="K292" s="32">
        <f t="shared" si="12"/>
        <v>0.96</v>
      </c>
      <c r="L292" s="29" t="s">
        <v>324</v>
      </c>
      <c r="M292" s="27">
        <f>IFERROR(VLOOKUP(C292,Custo_MI_Device!$B$2:$E$102,3,FALSE),0)</f>
        <v>0</v>
      </c>
      <c r="N292" s="27">
        <f t="shared" si="13"/>
        <v>0</v>
      </c>
      <c r="O292" s="178">
        <f t="shared" si="14"/>
        <v>0</v>
      </c>
    </row>
    <row r="293" spans="1:15" ht="12.75" hidden="1">
      <c r="A293" s="25">
        <v>1117</v>
      </c>
      <c r="B293" s="25" t="s">
        <v>17</v>
      </c>
      <c r="C293" s="26" t="s">
        <v>22</v>
      </c>
      <c r="D293" s="27"/>
      <c r="E293" s="28" t="s">
        <v>145</v>
      </c>
      <c r="F293" s="29" t="s">
        <v>146</v>
      </c>
      <c r="G293" s="30">
        <v>1</v>
      </c>
      <c r="H293" s="27" t="s">
        <v>137</v>
      </c>
      <c r="I293" s="26" t="s">
        <v>138</v>
      </c>
      <c r="J293" s="31">
        <v>1.95</v>
      </c>
      <c r="K293" s="32">
        <f t="shared" si="12"/>
        <v>1.95</v>
      </c>
      <c r="L293" s="29" t="s">
        <v>146</v>
      </c>
      <c r="M293" s="27">
        <f>IFERROR(VLOOKUP(C293,Custo_MI_Device!$B$2:$E$102,3,FALSE),0)</f>
        <v>0</v>
      </c>
      <c r="N293" s="27">
        <f t="shared" si="13"/>
        <v>0</v>
      </c>
      <c r="O293" s="178">
        <f t="shared" si="14"/>
        <v>0</v>
      </c>
    </row>
    <row r="294" spans="1:15" ht="12.75" hidden="1">
      <c r="A294" s="25">
        <v>3080</v>
      </c>
      <c r="B294" s="25" t="s">
        <v>17</v>
      </c>
      <c r="C294" s="26" t="s">
        <v>22</v>
      </c>
      <c r="D294" s="27">
        <v>74122000</v>
      </c>
      <c r="E294" s="28" t="s">
        <v>153</v>
      </c>
      <c r="F294" s="29" t="s">
        <v>154</v>
      </c>
      <c r="G294" s="30">
        <v>1</v>
      </c>
      <c r="H294" s="27" t="s">
        <v>137</v>
      </c>
      <c r="I294" s="26" t="s">
        <v>155</v>
      </c>
      <c r="J294" s="31">
        <v>3.3</v>
      </c>
      <c r="K294" s="32">
        <f t="shared" si="12"/>
        <v>3.3</v>
      </c>
      <c r="L294" s="29" t="s">
        <v>154</v>
      </c>
      <c r="M294" s="27">
        <f>IFERROR(VLOOKUP(C294,Custo_MI_Device!$B$2:$E$102,3,FALSE),0)</f>
        <v>0</v>
      </c>
      <c r="N294" s="27">
        <f t="shared" si="13"/>
        <v>0</v>
      </c>
      <c r="O294" s="178">
        <f t="shared" si="14"/>
        <v>0</v>
      </c>
    </row>
    <row r="295" spans="1:15" ht="38.25" hidden="1">
      <c r="A295" s="25">
        <v>3585</v>
      </c>
      <c r="B295" s="25" t="s">
        <v>17</v>
      </c>
      <c r="C295" s="26" t="s">
        <v>22</v>
      </c>
      <c r="D295" s="27">
        <v>85444900</v>
      </c>
      <c r="E295" s="28" t="s">
        <v>328</v>
      </c>
      <c r="F295" s="29">
        <v>900400</v>
      </c>
      <c r="G295" s="33">
        <v>0</v>
      </c>
      <c r="H295" s="27" t="s">
        <v>158</v>
      </c>
      <c r="I295" s="26" t="s">
        <v>164</v>
      </c>
      <c r="J295" s="31">
        <v>1.7</v>
      </c>
      <c r="K295" s="32">
        <f t="shared" si="12"/>
        <v>0</v>
      </c>
      <c r="L295" s="29">
        <v>900400</v>
      </c>
      <c r="M295" s="27">
        <f>IFERROR(VLOOKUP(C295,Custo_MI_Device!$B$2:$E$102,3,FALSE),0)</f>
        <v>0</v>
      </c>
      <c r="N295" s="27">
        <f t="shared" si="13"/>
        <v>0</v>
      </c>
      <c r="O295" s="178">
        <f t="shared" si="14"/>
        <v>0</v>
      </c>
    </row>
    <row r="296" spans="1:15" ht="12.75" hidden="1">
      <c r="A296" s="25">
        <v>2805</v>
      </c>
      <c r="B296" s="25" t="s">
        <v>17</v>
      </c>
      <c r="C296" s="26" t="s">
        <v>22</v>
      </c>
      <c r="D296" s="27">
        <v>72162100</v>
      </c>
      <c r="E296" s="28" t="s">
        <v>174</v>
      </c>
      <c r="F296" s="29">
        <v>0</v>
      </c>
      <c r="G296" s="30">
        <v>2.9</v>
      </c>
      <c r="H296" s="27" t="s">
        <v>175</v>
      </c>
      <c r="I296" s="26" t="s">
        <v>176</v>
      </c>
      <c r="J296" s="31">
        <v>4.22</v>
      </c>
      <c r="K296" s="32">
        <f t="shared" si="12"/>
        <v>12.238</v>
      </c>
      <c r="L296" s="29" t="s">
        <v>177</v>
      </c>
      <c r="M296" s="27">
        <f>IFERROR(VLOOKUP(C296,Custo_MI_Device!$B$2:$E$102,3,FALSE),0)</f>
        <v>0</v>
      </c>
      <c r="N296" s="27">
        <f t="shared" si="13"/>
        <v>0</v>
      </c>
      <c r="O296" s="178">
        <f t="shared" si="14"/>
        <v>0</v>
      </c>
    </row>
    <row r="297" spans="1:15" ht="12.75" hidden="1">
      <c r="A297" s="25">
        <v>2904</v>
      </c>
      <c r="B297" s="25" t="s">
        <v>17</v>
      </c>
      <c r="C297" s="26" t="s">
        <v>22</v>
      </c>
      <c r="D297" s="27">
        <v>76090000</v>
      </c>
      <c r="E297" s="28" t="s">
        <v>195</v>
      </c>
      <c r="F297" s="29" t="s">
        <v>196</v>
      </c>
      <c r="G297" s="30">
        <v>0.75</v>
      </c>
      <c r="H297" s="27" t="s">
        <v>137</v>
      </c>
      <c r="I297" s="26" t="s">
        <v>138</v>
      </c>
      <c r="J297" s="31">
        <v>6.7</v>
      </c>
      <c r="K297" s="32">
        <f t="shared" si="12"/>
        <v>5.0250000000000004</v>
      </c>
      <c r="L297" s="29" t="s">
        <v>196</v>
      </c>
      <c r="M297" s="27">
        <f>IFERROR(VLOOKUP(C297,Custo_MI_Device!$B$2:$E$102,3,FALSE),0)</f>
        <v>0</v>
      </c>
      <c r="N297" s="27">
        <f t="shared" si="13"/>
        <v>0</v>
      </c>
      <c r="O297" s="178">
        <f t="shared" si="14"/>
        <v>0</v>
      </c>
    </row>
    <row r="298" spans="1:15" ht="12.75" hidden="1">
      <c r="A298" s="25">
        <v>2911</v>
      </c>
      <c r="B298" s="25" t="s">
        <v>17</v>
      </c>
      <c r="C298" s="26" t="s">
        <v>22</v>
      </c>
      <c r="D298" s="27">
        <v>76090000</v>
      </c>
      <c r="E298" s="28" t="s">
        <v>197</v>
      </c>
      <c r="F298" s="29" t="s">
        <v>198</v>
      </c>
      <c r="G298" s="30">
        <v>0.75</v>
      </c>
      <c r="H298" s="27" t="s">
        <v>137</v>
      </c>
      <c r="I298" s="26" t="s">
        <v>138</v>
      </c>
      <c r="J298" s="31">
        <v>6.7</v>
      </c>
      <c r="K298" s="32">
        <f t="shared" si="12"/>
        <v>5.0250000000000004</v>
      </c>
      <c r="L298" s="29" t="s">
        <v>198</v>
      </c>
      <c r="M298" s="27">
        <f>IFERROR(VLOOKUP(C298,Custo_MI_Device!$B$2:$E$102,3,FALSE),0)</f>
        <v>0</v>
      </c>
      <c r="N298" s="27">
        <f t="shared" si="13"/>
        <v>0</v>
      </c>
      <c r="O298" s="178">
        <f t="shared" si="14"/>
        <v>0</v>
      </c>
    </row>
    <row r="299" spans="1:15" ht="12.75" hidden="1">
      <c r="A299" s="25">
        <v>4823</v>
      </c>
      <c r="B299" s="25" t="s">
        <v>17</v>
      </c>
      <c r="C299" s="26" t="s">
        <v>22</v>
      </c>
      <c r="D299" s="27">
        <v>76090000</v>
      </c>
      <c r="E299" s="28" t="s">
        <v>199</v>
      </c>
      <c r="F299" s="29" t="s">
        <v>200</v>
      </c>
      <c r="G299" s="30">
        <v>0.75</v>
      </c>
      <c r="H299" s="27" t="s">
        <v>137</v>
      </c>
      <c r="I299" s="26" t="s">
        <v>138</v>
      </c>
      <c r="J299" s="31">
        <v>6.7</v>
      </c>
      <c r="K299" s="32">
        <f t="shared" si="12"/>
        <v>5.0250000000000004</v>
      </c>
      <c r="L299" s="29" t="s">
        <v>200</v>
      </c>
      <c r="M299" s="27">
        <f>IFERROR(VLOOKUP(C299,Custo_MI_Device!$B$2:$E$102,3,FALSE),0)</f>
        <v>0</v>
      </c>
      <c r="N299" s="27">
        <f t="shared" si="13"/>
        <v>0</v>
      </c>
      <c r="O299" s="178">
        <f t="shared" si="14"/>
        <v>0</v>
      </c>
    </row>
    <row r="300" spans="1:15" ht="25.5" hidden="1">
      <c r="A300" s="25">
        <v>4306</v>
      </c>
      <c r="B300" s="25" t="s">
        <v>17</v>
      </c>
      <c r="C300" s="26" t="s">
        <v>22</v>
      </c>
      <c r="D300" s="27">
        <v>73063000</v>
      </c>
      <c r="E300" s="28" t="s">
        <v>239</v>
      </c>
      <c r="F300" s="29">
        <v>0</v>
      </c>
      <c r="G300" s="30">
        <v>2</v>
      </c>
      <c r="H300" s="27" t="s">
        <v>232</v>
      </c>
      <c r="I300" s="26" t="s">
        <v>233</v>
      </c>
      <c r="J300" s="31">
        <v>32</v>
      </c>
      <c r="K300" s="32">
        <f t="shared" si="12"/>
        <v>64</v>
      </c>
      <c r="L300" s="29" t="s">
        <v>240</v>
      </c>
      <c r="M300" s="27">
        <f>IFERROR(VLOOKUP(C300,Custo_MI_Device!$B$2:$E$102,3,FALSE),0)</f>
        <v>0</v>
      </c>
      <c r="N300" s="27">
        <f t="shared" si="13"/>
        <v>0</v>
      </c>
      <c r="O300" s="178">
        <f t="shared" si="14"/>
        <v>0</v>
      </c>
    </row>
    <row r="301" spans="1:15" ht="12.75" hidden="1">
      <c r="A301" s="25">
        <v>3274</v>
      </c>
      <c r="B301" s="25" t="s">
        <v>17</v>
      </c>
      <c r="C301" s="26" t="s">
        <v>22</v>
      </c>
      <c r="D301" s="27">
        <v>73181500</v>
      </c>
      <c r="E301" s="28" t="s">
        <v>265</v>
      </c>
      <c r="F301" s="29" t="s">
        <v>266</v>
      </c>
      <c r="G301" s="30">
        <v>24</v>
      </c>
      <c r="H301" s="27" t="s">
        <v>137</v>
      </c>
      <c r="I301" s="26" t="s">
        <v>256</v>
      </c>
      <c r="J301" s="31">
        <v>0.06</v>
      </c>
      <c r="K301" s="32">
        <f t="shared" si="12"/>
        <v>1.44</v>
      </c>
      <c r="L301" s="29" t="s">
        <v>266</v>
      </c>
      <c r="M301" s="27">
        <f>IFERROR(VLOOKUP(C301,Custo_MI_Device!$B$2:$E$102,3,FALSE),0)</f>
        <v>0</v>
      </c>
      <c r="N301" s="27">
        <f t="shared" si="13"/>
        <v>0</v>
      </c>
      <c r="O301" s="178">
        <f t="shared" si="14"/>
        <v>0</v>
      </c>
    </row>
    <row r="302" spans="1:15" ht="25.5" hidden="1">
      <c r="A302" s="25">
        <v>1611</v>
      </c>
      <c r="B302" s="25" t="s">
        <v>17</v>
      </c>
      <c r="C302" s="26" t="s">
        <v>22</v>
      </c>
      <c r="D302" s="27">
        <v>39174090</v>
      </c>
      <c r="E302" s="28" t="s">
        <v>275</v>
      </c>
      <c r="F302" s="29" t="s">
        <v>276</v>
      </c>
      <c r="G302" s="30">
        <v>2</v>
      </c>
      <c r="H302" s="27" t="s">
        <v>137</v>
      </c>
      <c r="I302" s="26" t="s">
        <v>277</v>
      </c>
      <c r="J302" s="31">
        <v>7.8</v>
      </c>
      <c r="K302" s="32">
        <f t="shared" si="12"/>
        <v>15.6</v>
      </c>
      <c r="L302" s="29" t="s">
        <v>276</v>
      </c>
      <c r="M302" s="27">
        <f>IFERROR(VLOOKUP(C302,Custo_MI_Device!$B$2:$E$102,3,FALSE),0)</f>
        <v>0</v>
      </c>
      <c r="N302" s="27">
        <f t="shared" si="13"/>
        <v>0</v>
      </c>
      <c r="O302" s="178">
        <f t="shared" si="14"/>
        <v>0</v>
      </c>
    </row>
    <row r="303" spans="1:15" ht="12.75" hidden="1">
      <c r="A303" s="25">
        <v>2534</v>
      </c>
      <c r="B303" s="25" t="s">
        <v>17</v>
      </c>
      <c r="C303" s="26" t="s">
        <v>23</v>
      </c>
      <c r="D303" s="27">
        <v>73072900</v>
      </c>
      <c r="E303" s="28" t="s">
        <v>314</v>
      </c>
      <c r="F303" s="29" t="s">
        <v>315</v>
      </c>
      <c r="G303" s="30">
        <v>12</v>
      </c>
      <c r="H303" s="27" t="s">
        <v>137</v>
      </c>
      <c r="I303" s="26" t="s">
        <v>256</v>
      </c>
      <c r="J303" s="31">
        <v>1.2</v>
      </c>
      <c r="K303" s="32">
        <f t="shared" si="12"/>
        <v>14.399999999999999</v>
      </c>
      <c r="L303" s="29" t="s">
        <v>315</v>
      </c>
      <c r="M303" s="27">
        <f>IFERROR(VLOOKUP(C303,Custo_MI_Device!$B$2:$E$102,3,FALSE),0)</f>
        <v>0</v>
      </c>
      <c r="N303" s="27">
        <f t="shared" si="13"/>
        <v>0</v>
      </c>
      <c r="O303" s="178">
        <f t="shared" si="14"/>
        <v>0</v>
      </c>
    </row>
    <row r="304" spans="1:15" ht="12.75" hidden="1">
      <c r="A304" s="25">
        <v>1669</v>
      </c>
      <c r="B304" s="25" t="s">
        <v>17</v>
      </c>
      <c r="C304" s="26" t="s">
        <v>23</v>
      </c>
      <c r="D304" s="27">
        <v>39269090</v>
      </c>
      <c r="E304" s="28" t="s">
        <v>316</v>
      </c>
      <c r="F304" s="29" t="s">
        <v>317</v>
      </c>
      <c r="G304" s="30">
        <v>3</v>
      </c>
      <c r="H304" s="27" t="s">
        <v>137</v>
      </c>
      <c r="I304" s="26" t="s">
        <v>318</v>
      </c>
      <c r="J304" s="31">
        <v>0.04</v>
      </c>
      <c r="K304" s="32">
        <f t="shared" si="12"/>
        <v>0.12</v>
      </c>
      <c r="L304" s="29" t="s">
        <v>317</v>
      </c>
      <c r="M304" s="27">
        <f>IFERROR(VLOOKUP(C304,Custo_MI_Device!$B$2:$E$102,3,FALSE),0)</f>
        <v>0</v>
      </c>
      <c r="N304" s="27">
        <f t="shared" si="13"/>
        <v>0</v>
      </c>
      <c r="O304" s="178">
        <f t="shared" si="14"/>
        <v>0</v>
      </c>
    </row>
    <row r="305" spans="1:15" ht="12.75" hidden="1">
      <c r="A305" s="25">
        <v>5091</v>
      </c>
      <c r="B305" s="25" t="s">
        <v>17</v>
      </c>
      <c r="C305" s="26" t="s">
        <v>23</v>
      </c>
      <c r="D305" s="27">
        <v>73181500</v>
      </c>
      <c r="E305" s="28" t="s">
        <v>323</v>
      </c>
      <c r="F305" s="29" t="s">
        <v>324</v>
      </c>
      <c r="G305" s="30">
        <v>24</v>
      </c>
      <c r="H305" s="27" t="s">
        <v>137</v>
      </c>
      <c r="I305" s="26" t="s">
        <v>256</v>
      </c>
      <c r="J305" s="31">
        <v>0.04</v>
      </c>
      <c r="K305" s="32">
        <f t="shared" si="12"/>
        <v>0.96</v>
      </c>
      <c r="L305" s="29" t="s">
        <v>324</v>
      </c>
      <c r="M305" s="27">
        <f>IFERROR(VLOOKUP(C305,Custo_MI_Device!$B$2:$E$102,3,FALSE),0)</f>
        <v>0</v>
      </c>
      <c r="N305" s="27">
        <f t="shared" si="13"/>
        <v>0</v>
      </c>
      <c r="O305" s="178">
        <f t="shared" si="14"/>
        <v>0</v>
      </c>
    </row>
    <row r="306" spans="1:15" ht="12.75" hidden="1">
      <c r="A306" s="25">
        <v>1117</v>
      </c>
      <c r="B306" s="25" t="s">
        <v>17</v>
      </c>
      <c r="C306" s="26" t="s">
        <v>23</v>
      </c>
      <c r="D306" s="27"/>
      <c r="E306" s="28" t="s">
        <v>145</v>
      </c>
      <c r="F306" s="29" t="s">
        <v>146</v>
      </c>
      <c r="G306" s="30">
        <v>1</v>
      </c>
      <c r="H306" s="27" t="s">
        <v>137</v>
      </c>
      <c r="I306" s="26" t="s">
        <v>138</v>
      </c>
      <c r="J306" s="31">
        <v>1.95</v>
      </c>
      <c r="K306" s="32">
        <f t="shared" si="12"/>
        <v>1.95</v>
      </c>
      <c r="L306" s="29" t="s">
        <v>146</v>
      </c>
      <c r="M306" s="27">
        <f>IFERROR(VLOOKUP(C306,Custo_MI_Device!$B$2:$E$102,3,FALSE),0)</f>
        <v>0</v>
      </c>
      <c r="N306" s="27">
        <f t="shared" si="13"/>
        <v>0</v>
      </c>
      <c r="O306" s="178">
        <f t="shared" si="14"/>
        <v>0</v>
      </c>
    </row>
    <row r="307" spans="1:15" ht="12.75" hidden="1">
      <c r="A307" s="25">
        <v>3080</v>
      </c>
      <c r="B307" s="25" t="s">
        <v>17</v>
      </c>
      <c r="C307" s="26" t="s">
        <v>23</v>
      </c>
      <c r="D307" s="27">
        <v>74122000</v>
      </c>
      <c r="E307" s="28" t="s">
        <v>153</v>
      </c>
      <c r="F307" s="29" t="s">
        <v>154</v>
      </c>
      <c r="G307" s="30">
        <v>1</v>
      </c>
      <c r="H307" s="27" t="s">
        <v>137</v>
      </c>
      <c r="I307" s="26" t="s">
        <v>155</v>
      </c>
      <c r="J307" s="31">
        <v>3.3</v>
      </c>
      <c r="K307" s="32">
        <f t="shared" si="12"/>
        <v>3.3</v>
      </c>
      <c r="L307" s="29" t="s">
        <v>154</v>
      </c>
      <c r="M307" s="27">
        <f>IFERROR(VLOOKUP(C307,Custo_MI_Device!$B$2:$E$102,3,FALSE),0)</f>
        <v>0</v>
      </c>
      <c r="N307" s="27">
        <f t="shared" si="13"/>
        <v>0</v>
      </c>
      <c r="O307" s="178">
        <f t="shared" si="14"/>
        <v>0</v>
      </c>
    </row>
    <row r="308" spans="1:15" ht="25.5" hidden="1">
      <c r="A308" s="25">
        <v>5139</v>
      </c>
      <c r="B308" s="25" t="s">
        <v>17</v>
      </c>
      <c r="C308" s="26" t="s">
        <v>23</v>
      </c>
      <c r="D308" s="27">
        <v>85444900</v>
      </c>
      <c r="E308" s="28" t="s">
        <v>170</v>
      </c>
      <c r="F308" s="29" t="s">
        <v>171</v>
      </c>
      <c r="G308" s="30">
        <v>15</v>
      </c>
      <c r="H308" s="27" t="s">
        <v>158</v>
      </c>
      <c r="I308" s="26" t="s">
        <v>172</v>
      </c>
      <c r="J308" s="31">
        <v>7.5</v>
      </c>
      <c r="K308" s="32">
        <f t="shared" si="12"/>
        <v>112.5</v>
      </c>
      <c r="L308" s="29" t="s">
        <v>173</v>
      </c>
      <c r="M308" s="27">
        <f>IFERROR(VLOOKUP(C308,Custo_MI_Device!$B$2:$E$102,3,FALSE),0)</f>
        <v>0</v>
      </c>
      <c r="N308" s="27">
        <f t="shared" si="13"/>
        <v>0</v>
      </c>
      <c r="O308" s="178">
        <f t="shared" si="14"/>
        <v>0</v>
      </c>
    </row>
    <row r="309" spans="1:15" ht="12.75" hidden="1">
      <c r="A309" s="25">
        <v>2805</v>
      </c>
      <c r="B309" s="25" t="s">
        <v>17</v>
      </c>
      <c r="C309" s="26" t="s">
        <v>23</v>
      </c>
      <c r="D309" s="27">
        <v>72162100</v>
      </c>
      <c r="E309" s="28" t="s">
        <v>174</v>
      </c>
      <c r="F309" s="29">
        <v>0</v>
      </c>
      <c r="G309" s="30">
        <v>2.9</v>
      </c>
      <c r="H309" s="27" t="s">
        <v>175</v>
      </c>
      <c r="I309" s="26" t="s">
        <v>176</v>
      </c>
      <c r="J309" s="31">
        <v>4.22</v>
      </c>
      <c r="K309" s="32">
        <f t="shared" si="12"/>
        <v>12.238</v>
      </c>
      <c r="L309" s="29" t="s">
        <v>177</v>
      </c>
      <c r="M309" s="27">
        <f>IFERROR(VLOOKUP(C309,Custo_MI_Device!$B$2:$E$102,3,FALSE),0)</f>
        <v>0</v>
      </c>
      <c r="N309" s="27">
        <f t="shared" si="13"/>
        <v>0</v>
      </c>
      <c r="O309" s="178">
        <f t="shared" si="14"/>
        <v>0</v>
      </c>
    </row>
    <row r="310" spans="1:15" ht="12.75" hidden="1">
      <c r="A310" s="25">
        <v>2904</v>
      </c>
      <c r="B310" s="25" t="s">
        <v>17</v>
      </c>
      <c r="C310" s="26" t="s">
        <v>23</v>
      </c>
      <c r="D310" s="27">
        <v>76090000</v>
      </c>
      <c r="E310" s="28" t="s">
        <v>195</v>
      </c>
      <c r="F310" s="29" t="s">
        <v>196</v>
      </c>
      <c r="G310" s="30">
        <v>0.75</v>
      </c>
      <c r="H310" s="27" t="s">
        <v>137</v>
      </c>
      <c r="I310" s="26" t="s">
        <v>138</v>
      </c>
      <c r="J310" s="31">
        <v>6.7</v>
      </c>
      <c r="K310" s="32">
        <f t="shared" si="12"/>
        <v>5.0250000000000004</v>
      </c>
      <c r="L310" s="29" t="s">
        <v>196</v>
      </c>
      <c r="M310" s="27">
        <f>IFERROR(VLOOKUP(C310,Custo_MI_Device!$B$2:$E$102,3,FALSE),0)</f>
        <v>0</v>
      </c>
      <c r="N310" s="27">
        <f t="shared" si="13"/>
        <v>0</v>
      </c>
      <c r="O310" s="178">
        <f t="shared" si="14"/>
        <v>0</v>
      </c>
    </row>
    <row r="311" spans="1:15" ht="12.75" hidden="1">
      <c r="A311" s="25">
        <v>2911</v>
      </c>
      <c r="B311" s="25" t="s">
        <v>17</v>
      </c>
      <c r="C311" s="26" t="s">
        <v>23</v>
      </c>
      <c r="D311" s="27">
        <v>76090000</v>
      </c>
      <c r="E311" s="28" t="s">
        <v>197</v>
      </c>
      <c r="F311" s="29" t="s">
        <v>198</v>
      </c>
      <c r="G311" s="30">
        <v>0.75</v>
      </c>
      <c r="H311" s="27" t="s">
        <v>137</v>
      </c>
      <c r="I311" s="26" t="s">
        <v>138</v>
      </c>
      <c r="J311" s="31">
        <v>6.7</v>
      </c>
      <c r="K311" s="32">
        <f t="shared" si="12"/>
        <v>5.0250000000000004</v>
      </c>
      <c r="L311" s="29" t="s">
        <v>198</v>
      </c>
      <c r="M311" s="27">
        <f>IFERROR(VLOOKUP(C311,Custo_MI_Device!$B$2:$E$102,3,FALSE),0)</f>
        <v>0</v>
      </c>
      <c r="N311" s="27">
        <f t="shared" si="13"/>
        <v>0</v>
      </c>
      <c r="O311" s="178">
        <f t="shared" si="14"/>
        <v>0</v>
      </c>
    </row>
    <row r="312" spans="1:15" ht="12.75" hidden="1">
      <c r="A312" s="25">
        <v>4823</v>
      </c>
      <c r="B312" s="25" t="s">
        <v>17</v>
      </c>
      <c r="C312" s="26" t="s">
        <v>23</v>
      </c>
      <c r="D312" s="27">
        <v>76090000</v>
      </c>
      <c r="E312" s="28" t="s">
        <v>199</v>
      </c>
      <c r="F312" s="29" t="s">
        <v>200</v>
      </c>
      <c r="G312" s="30">
        <v>0.75</v>
      </c>
      <c r="H312" s="27" t="s">
        <v>137</v>
      </c>
      <c r="I312" s="26" t="s">
        <v>138</v>
      </c>
      <c r="J312" s="31">
        <v>6.7</v>
      </c>
      <c r="K312" s="32">
        <f t="shared" si="12"/>
        <v>5.0250000000000004</v>
      </c>
      <c r="L312" s="29" t="s">
        <v>200</v>
      </c>
      <c r="M312" s="27">
        <f>IFERROR(VLOOKUP(C312,Custo_MI_Device!$B$2:$E$102,3,FALSE),0)</f>
        <v>0</v>
      </c>
      <c r="N312" s="27">
        <f t="shared" si="13"/>
        <v>0</v>
      </c>
      <c r="O312" s="178">
        <f t="shared" si="14"/>
        <v>0</v>
      </c>
    </row>
    <row r="313" spans="1:15" ht="25.5" hidden="1">
      <c r="A313" s="25">
        <v>4306</v>
      </c>
      <c r="B313" s="25" t="s">
        <v>17</v>
      </c>
      <c r="C313" s="26" t="s">
        <v>23</v>
      </c>
      <c r="D313" s="27">
        <v>73063000</v>
      </c>
      <c r="E313" s="28" t="s">
        <v>239</v>
      </c>
      <c r="F313" s="29">
        <v>0</v>
      </c>
      <c r="G313" s="30">
        <v>2</v>
      </c>
      <c r="H313" s="27" t="s">
        <v>232</v>
      </c>
      <c r="I313" s="26" t="s">
        <v>233</v>
      </c>
      <c r="J313" s="31">
        <v>32</v>
      </c>
      <c r="K313" s="32">
        <f t="shared" si="12"/>
        <v>64</v>
      </c>
      <c r="L313" s="29" t="s">
        <v>240</v>
      </c>
      <c r="M313" s="27">
        <f>IFERROR(VLOOKUP(C313,Custo_MI_Device!$B$2:$E$102,3,FALSE),0)</f>
        <v>0</v>
      </c>
      <c r="N313" s="27">
        <f t="shared" si="13"/>
        <v>0</v>
      </c>
      <c r="O313" s="178">
        <f t="shared" si="14"/>
        <v>0</v>
      </c>
    </row>
    <row r="314" spans="1:15" ht="12.75" hidden="1">
      <c r="A314" s="25">
        <v>3274</v>
      </c>
      <c r="B314" s="25" t="s">
        <v>17</v>
      </c>
      <c r="C314" s="26" t="s">
        <v>23</v>
      </c>
      <c r="D314" s="27">
        <v>73181500</v>
      </c>
      <c r="E314" s="28" t="s">
        <v>265</v>
      </c>
      <c r="F314" s="29" t="s">
        <v>266</v>
      </c>
      <c r="G314" s="30">
        <v>24</v>
      </c>
      <c r="H314" s="27" t="s">
        <v>137</v>
      </c>
      <c r="I314" s="26" t="s">
        <v>256</v>
      </c>
      <c r="J314" s="31">
        <v>0.06</v>
      </c>
      <c r="K314" s="32">
        <f t="shared" si="12"/>
        <v>1.44</v>
      </c>
      <c r="L314" s="29" t="s">
        <v>266</v>
      </c>
      <c r="M314" s="27">
        <f>IFERROR(VLOOKUP(C314,Custo_MI_Device!$B$2:$E$102,3,FALSE),0)</f>
        <v>0</v>
      </c>
      <c r="N314" s="27">
        <f t="shared" si="13"/>
        <v>0</v>
      </c>
      <c r="O314" s="178">
        <f t="shared" si="14"/>
        <v>0</v>
      </c>
    </row>
    <row r="315" spans="1:15" ht="25.5" hidden="1">
      <c r="A315" s="25">
        <v>1611</v>
      </c>
      <c r="B315" s="25" t="s">
        <v>17</v>
      </c>
      <c r="C315" s="26" t="s">
        <v>23</v>
      </c>
      <c r="D315" s="27">
        <v>39174090</v>
      </c>
      <c r="E315" s="28" t="s">
        <v>275</v>
      </c>
      <c r="F315" s="29" t="s">
        <v>276</v>
      </c>
      <c r="G315" s="30">
        <v>2</v>
      </c>
      <c r="H315" s="27" t="s">
        <v>137</v>
      </c>
      <c r="I315" s="26" t="s">
        <v>277</v>
      </c>
      <c r="J315" s="31">
        <v>7.8</v>
      </c>
      <c r="K315" s="32">
        <f t="shared" si="12"/>
        <v>15.6</v>
      </c>
      <c r="L315" s="29" t="s">
        <v>276</v>
      </c>
      <c r="M315" s="27">
        <f>IFERROR(VLOOKUP(C315,Custo_MI_Device!$B$2:$E$102,3,FALSE),0)</f>
        <v>0</v>
      </c>
      <c r="N315" s="27">
        <f t="shared" si="13"/>
        <v>0</v>
      </c>
      <c r="O315" s="178">
        <f t="shared" si="14"/>
        <v>0</v>
      </c>
    </row>
    <row r="316" spans="1:15" ht="12.75" hidden="1">
      <c r="A316" s="25">
        <v>2534</v>
      </c>
      <c r="B316" s="25" t="s">
        <v>17</v>
      </c>
      <c r="C316" s="26" t="s">
        <v>24</v>
      </c>
      <c r="D316" s="27">
        <v>73072900</v>
      </c>
      <c r="E316" s="28" t="s">
        <v>314</v>
      </c>
      <c r="F316" s="29" t="s">
        <v>315</v>
      </c>
      <c r="G316" s="30">
        <v>12</v>
      </c>
      <c r="H316" s="27" t="s">
        <v>137</v>
      </c>
      <c r="I316" s="26" t="s">
        <v>256</v>
      </c>
      <c r="J316" s="31">
        <v>1.2</v>
      </c>
      <c r="K316" s="32">
        <f t="shared" si="12"/>
        <v>14.399999999999999</v>
      </c>
      <c r="L316" s="29" t="s">
        <v>315</v>
      </c>
      <c r="M316" s="27">
        <f>IFERROR(VLOOKUP(C316,Custo_MI_Device!$B$2:$E$102,3,FALSE),0)</f>
        <v>0</v>
      </c>
      <c r="N316" s="27">
        <f t="shared" si="13"/>
        <v>0</v>
      </c>
      <c r="O316" s="178">
        <f t="shared" si="14"/>
        <v>0</v>
      </c>
    </row>
    <row r="317" spans="1:15" ht="12.75" hidden="1">
      <c r="A317" s="25">
        <v>1669</v>
      </c>
      <c r="B317" s="25" t="s">
        <v>17</v>
      </c>
      <c r="C317" s="26" t="s">
        <v>24</v>
      </c>
      <c r="D317" s="27">
        <v>39269090</v>
      </c>
      <c r="E317" s="28" t="s">
        <v>316</v>
      </c>
      <c r="F317" s="29" t="s">
        <v>317</v>
      </c>
      <c r="G317" s="30">
        <v>3</v>
      </c>
      <c r="H317" s="27" t="s">
        <v>137</v>
      </c>
      <c r="I317" s="26" t="s">
        <v>318</v>
      </c>
      <c r="J317" s="31">
        <v>0.04</v>
      </c>
      <c r="K317" s="32">
        <f t="shared" si="12"/>
        <v>0.12</v>
      </c>
      <c r="L317" s="29" t="s">
        <v>317</v>
      </c>
      <c r="M317" s="27">
        <f>IFERROR(VLOOKUP(C317,Custo_MI_Device!$B$2:$E$102,3,FALSE),0)</f>
        <v>0</v>
      </c>
      <c r="N317" s="27">
        <f t="shared" si="13"/>
        <v>0</v>
      </c>
      <c r="O317" s="178">
        <f t="shared" si="14"/>
        <v>0</v>
      </c>
    </row>
    <row r="318" spans="1:15" ht="12.75" hidden="1">
      <c r="A318" s="25">
        <v>5091</v>
      </c>
      <c r="B318" s="25" t="s">
        <v>17</v>
      </c>
      <c r="C318" s="26" t="s">
        <v>24</v>
      </c>
      <c r="D318" s="27">
        <v>73181500</v>
      </c>
      <c r="E318" s="28" t="s">
        <v>323</v>
      </c>
      <c r="F318" s="29" t="s">
        <v>324</v>
      </c>
      <c r="G318" s="30">
        <v>24</v>
      </c>
      <c r="H318" s="27" t="s">
        <v>137</v>
      </c>
      <c r="I318" s="26" t="s">
        <v>256</v>
      </c>
      <c r="J318" s="31">
        <v>0.04</v>
      </c>
      <c r="K318" s="32">
        <f t="shared" si="12"/>
        <v>0.96</v>
      </c>
      <c r="L318" s="29" t="s">
        <v>324</v>
      </c>
      <c r="M318" s="27">
        <f>IFERROR(VLOOKUP(C318,Custo_MI_Device!$B$2:$E$102,3,FALSE),0)</f>
        <v>0</v>
      </c>
      <c r="N318" s="27">
        <f t="shared" si="13"/>
        <v>0</v>
      </c>
      <c r="O318" s="178">
        <f t="shared" si="14"/>
        <v>0</v>
      </c>
    </row>
    <row r="319" spans="1:15" ht="12.75" hidden="1">
      <c r="A319" s="25">
        <v>83</v>
      </c>
      <c r="B319" s="25" t="s">
        <v>17</v>
      </c>
      <c r="C319" s="26" t="s">
        <v>24</v>
      </c>
      <c r="D319" s="27"/>
      <c r="E319" s="28" t="s">
        <v>150</v>
      </c>
      <c r="F319" s="29" t="s">
        <v>148</v>
      </c>
      <c r="G319" s="30">
        <v>1</v>
      </c>
      <c r="H319" s="27" t="s">
        <v>137</v>
      </c>
      <c r="I319" s="26" t="s">
        <v>149</v>
      </c>
      <c r="J319" s="31">
        <v>4.8</v>
      </c>
      <c r="K319" s="32">
        <f t="shared" si="12"/>
        <v>4.8</v>
      </c>
      <c r="L319" s="29" t="s">
        <v>148</v>
      </c>
      <c r="M319" s="27">
        <f>IFERROR(VLOOKUP(C319,Custo_MI_Device!$B$2:$E$102,3,FALSE),0)</f>
        <v>0</v>
      </c>
      <c r="N319" s="27">
        <f t="shared" si="13"/>
        <v>0</v>
      </c>
      <c r="O319" s="178">
        <f t="shared" si="14"/>
        <v>0</v>
      </c>
    </row>
    <row r="320" spans="1:15" ht="12.75" hidden="1">
      <c r="A320" s="25">
        <v>3080</v>
      </c>
      <c r="B320" s="25" t="s">
        <v>17</v>
      </c>
      <c r="C320" s="26" t="s">
        <v>24</v>
      </c>
      <c r="D320" s="27">
        <v>74122000</v>
      </c>
      <c r="E320" s="28" t="s">
        <v>153</v>
      </c>
      <c r="F320" s="29" t="s">
        <v>154</v>
      </c>
      <c r="G320" s="30">
        <v>1</v>
      </c>
      <c r="H320" s="27" t="s">
        <v>137</v>
      </c>
      <c r="I320" s="26" t="s">
        <v>155</v>
      </c>
      <c r="J320" s="31">
        <v>3.3</v>
      </c>
      <c r="K320" s="32">
        <f t="shared" si="12"/>
        <v>3.3</v>
      </c>
      <c r="L320" s="29" t="s">
        <v>154</v>
      </c>
      <c r="M320" s="27">
        <f>IFERROR(VLOOKUP(C320,Custo_MI_Device!$B$2:$E$102,3,FALSE),0)</f>
        <v>0</v>
      </c>
      <c r="N320" s="27">
        <f t="shared" si="13"/>
        <v>0</v>
      </c>
      <c r="O320" s="178">
        <f t="shared" si="14"/>
        <v>0</v>
      </c>
    </row>
    <row r="321" spans="1:15" ht="38.25" hidden="1">
      <c r="A321" s="25">
        <v>3585</v>
      </c>
      <c r="B321" s="25" t="s">
        <v>17</v>
      </c>
      <c r="C321" s="26" t="s">
        <v>24</v>
      </c>
      <c r="D321" s="27">
        <v>85444900</v>
      </c>
      <c r="E321" s="28" t="s">
        <v>328</v>
      </c>
      <c r="F321" s="29">
        <v>900400</v>
      </c>
      <c r="G321" s="33">
        <v>0</v>
      </c>
      <c r="H321" s="27" t="s">
        <v>158</v>
      </c>
      <c r="I321" s="26" t="s">
        <v>164</v>
      </c>
      <c r="J321" s="31">
        <v>1.7</v>
      </c>
      <c r="K321" s="32">
        <f t="shared" si="12"/>
        <v>0</v>
      </c>
      <c r="L321" s="29">
        <v>900400</v>
      </c>
      <c r="M321" s="27">
        <f>IFERROR(VLOOKUP(C321,Custo_MI_Device!$B$2:$E$102,3,FALSE),0)</f>
        <v>0</v>
      </c>
      <c r="N321" s="27">
        <f t="shared" si="13"/>
        <v>0</v>
      </c>
      <c r="O321" s="178">
        <f t="shared" si="14"/>
        <v>0</v>
      </c>
    </row>
    <row r="322" spans="1:15" ht="12.75" hidden="1">
      <c r="A322" s="25">
        <v>2805</v>
      </c>
      <c r="B322" s="25" t="s">
        <v>17</v>
      </c>
      <c r="C322" s="26" t="s">
        <v>24</v>
      </c>
      <c r="D322" s="27">
        <v>72162100</v>
      </c>
      <c r="E322" s="28" t="s">
        <v>174</v>
      </c>
      <c r="F322" s="29">
        <v>0</v>
      </c>
      <c r="G322" s="30">
        <v>2.9</v>
      </c>
      <c r="H322" s="27" t="s">
        <v>175</v>
      </c>
      <c r="I322" s="26" t="s">
        <v>176</v>
      </c>
      <c r="J322" s="31">
        <v>4.22</v>
      </c>
      <c r="K322" s="32">
        <f t="shared" si="12"/>
        <v>12.238</v>
      </c>
      <c r="L322" s="29" t="s">
        <v>177</v>
      </c>
      <c r="M322" s="27">
        <f>IFERROR(VLOOKUP(C322,Custo_MI_Device!$B$2:$E$102,3,FALSE),0)</f>
        <v>0</v>
      </c>
      <c r="N322" s="27">
        <f t="shared" si="13"/>
        <v>0</v>
      </c>
      <c r="O322" s="178">
        <f t="shared" si="14"/>
        <v>0</v>
      </c>
    </row>
    <row r="323" spans="1:15" ht="25.5" hidden="1">
      <c r="A323" s="25">
        <v>3738</v>
      </c>
      <c r="B323" s="25" t="s">
        <v>17</v>
      </c>
      <c r="C323" s="26" t="s">
        <v>24</v>
      </c>
      <c r="D323" s="27">
        <v>73071100</v>
      </c>
      <c r="E323" s="28" t="s">
        <v>205</v>
      </c>
      <c r="F323" s="29" t="s">
        <v>206</v>
      </c>
      <c r="G323" s="30">
        <v>0.75</v>
      </c>
      <c r="H323" s="27" t="s">
        <v>137</v>
      </c>
      <c r="I323" s="26" t="s">
        <v>149</v>
      </c>
      <c r="J323" s="31">
        <v>27</v>
      </c>
      <c r="K323" s="32">
        <f t="shared" ref="K323:K386" si="15">G323*J323</f>
        <v>20.25</v>
      </c>
      <c r="L323" s="29" t="s">
        <v>206</v>
      </c>
      <c r="M323" s="27">
        <f>IFERROR(VLOOKUP(C323,Custo_MI_Device!$B$2:$E$102,3,FALSE),0)</f>
        <v>0</v>
      </c>
      <c r="N323" s="27">
        <f t="shared" ref="N323:N386" si="16">ROUNDUP(M323*G323,0)</f>
        <v>0</v>
      </c>
      <c r="O323" s="178">
        <f t="shared" ref="O323:O386" si="17">N323*J323</f>
        <v>0</v>
      </c>
    </row>
    <row r="324" spans="1:15" ht="25.5" hidden="1">
      <c r="A324" s="25">
        <v>1710</v>
      </c>
      <c r="B324" s="25" t="s">
        <v>17</v>
      </c>
      <c r="C324" s="26" t="s">
        <v>24</v>
      </c>
      <c r="D324" s="27">
        <v>73071100</v>
      </c>
      <c r="E324" s="28" t="s">
        <v>207</v>
      </c>
      <c r="F324" s="29" t="s">
        <v>208</v>
      </c>
      <c r="G324" s="30">
        <v>0.75</v>
      </c>
      <c r="H324" s="27" t="s">
        <v>137</v>
      </c>
      <c r="I324" s="26" t="s">
        <v>149</v>
      </c>
      <c r="J324" s="31">
        <v>27</v>
      </c>
      <c r="K324" s="32">
        <f t="shared" si="15"/>
        <v>20.25</v>
      </c>
      <c r="L324" s="29" t="s">
        <v>208</v>
      </c>
      <c r="M324" s="27">
        <f>IFERROR(VLOOKUP(C324,Custo_MI_Device!$B$2:$E$102,3,FALSE),0)</f>
        <v>0</v>
      </c>
      <c r="N324" s="27">
        <f t="shared" si="16"/>
        <v>0</v>
      </c>
      <c r="O324" s="178">
        <f t="shared" si="17"/>
        <v>0</v>
      </c>
    </row>
    <row r="325" spans="1:15" ht="25.5" hidden="1">
      <c r="A325" s="25">
        <v>1715</v>
      </c>
      <c r="B325" s="25" t="s">
        <v>17</v>
      </c>
      <c r="C325" s="26" t="s">
        <v>24</v>
      </c>
      <c r="D325" s="27">
        <v>73071100</v>
      </c>
      <c r="E325" s="28" t="s">
        <v>209</v>
      </c>
      <c r="F325" s="29" t="s">
        <v>210</v>
      </c>
      <c r="G325" s="30">
        <v>0.75</v>
      </c>
      <c r="H325" s="27" t="s">
        <v>137</v>
      </c>
      <c r="I325" s="26" t="s">
        <v>149</v>
      </c>
      <c r="J325" s="31">
        <v>27</v>
      </c>
      <c r="K325" s="32">
        <f t="shared" si="15"/>
        <v>20.25</v>
      </c>
      <c r="L325" s="29" t="s">
        <v>210</v>
      </c>
      <c r="M325" s="27">
        <f>IFERROR(VLOOKUP(C325,Custo_MI_Device!$B$2:$E$102,3,FALSE),0)</f>
        <v>0</v>
      </c>
      <c r="N325" s="27">
        <f t="shared" si="16"/>
        <v>0</v>
      </c>
      <c r="O325" s="178">
        <f t="shared" si="17"/>
        <v>0</v>
      </c>
    </row>
    <row r="326" spans="1:15" ht="25.5" hidden="1">
      <c r="A326" s="25">
        <v>3417</v>
      </c>
      <c r="B326" s="25" t="s">
        <v>17</v>
      </c>
      <c r="C326" s="26" t="s">
        <v>24</v>
      </c>
      <c r="D326" s="27">
        <v>73063000</v>
      </c>
      <c r="E326" s="28" t="s">
        <v>231</v>
      </c>
      <c r="F326" s="29">
        <v>0</v>
      </c>
      <c r="G326" s="30">
        <v>2</v>
      </c>
      <c r="H326" s="27" t="s">
        <v>232</v>
      </c>
      <c r="I326" s="26" t="s">
        <v>233</v>
      </c>
      <c r="J326" s="31">
        <v>33.47</v>
      </c>
      <c r="K326" s="32">
        <f t="shared" si="15"/>
        <v>66.94</v>
      </c>
      <c r="L326" s="29" t="s">
        <v>234</v>
      </c>
      <c r="M326" s="27">
        <f>IFERROR(VLOOKUP(C326,Custo_MI_Device!$B$2:$E$102,3,FALSE),0)</f>
        <v>0</v>
      </c>
      <c r="N326" s="27">
        <f t="shared" si="16"/>
        <v>0</v>
      </c>
      <c r="O326" s="178">
        <f t="shared" si="17"/>
        <v>0</v>
      </c>
    </row>
    <row r="327" spans="1:15" ht="12.75" hidden="1">
      <c r="A327" s="25">
        <v>1965</v>
      </c>
      <c r="B327" s="25" t="s">
        <v>17</v>
      </c>
      <c r="C327" s="26" t="s">
        <v>24</v>
      </c>
      <c r="D327" s="27">
        <v>73071100</v>
      </c>
      <c r="E327" s="28" t="s">
        <v>251</v>
      </c>
      <c r="F327" s="29" t="s">
        <v>252</v>
      </c>
      <c r="G327" s="30">
        <v>1</v>
      </c>
      <c r="H327" s="27" t="s">
        <v>137</v>
      </c>
      <c r="I327" s="26" t="s">
        <v>253</v>
      </c>
      <c r="J327" s="31">
        <v>5.5</v>
      </c>
      <c r="K327" s="32">
        <f t="shared" si="15"/>
        <v>5.5</v>
      </c>
      <c r="L327" s="29" t="s">
        <v>252</v>
      </c>
      <c r="M327" s="27">
        <f>IFERROR(VLOOKUP(C327,Custo_MI_Device!$B$2:$E$102,3,FALSE),0)</f>
        <v>0</v>
      </c>
      <c r="N327" s="27">
        <f t="shared" si="16"/>
        <v>0</v>
      </c>
      <c r="O327" s="178">
        <f t="shared" si="17"/>
        <v>0</v>
      </c>
    </row>
    <row r="328" spans="1:15" ht="12.75" hidden="1">
      <c r="A328" s="25">
        <v>3274</v>
      </c>
      <c r="B328" s="25" t="s">
        <v>17</v>
      </c>
      <c r="C328" s="26" t="s">
        <v>24</v>
      </c>
      <c r="D328" s="27">
        <v>73181500</v>
      </c>
      <c r="E328" s="28" t="s">
        <v>265</v>
      </c>
      <c r="F328" s="29" t="s">
        <v>266</v>
      </c>
      <c r="G328" s="30">
        <v>24</v>
      </c>
      <c r="H328" s="27" t="s">
        <v>137</v>
      </c>
      <c r="I328" s="26" t="s">
        <v>256</v>
      </c>
      <c r="J328" s="31">
        <v>0.06</v>
      </c>
      <c r="K328" s="32">
        <f t="shared" si="15"/>
        <v>1.44</v>
      </c>
      <c r="L328" s="29" t="s">
        <v>266</v>
      </c>
      <c r="M328" s="27">
        <f>IFERROR(VLOOKUP(C328,Custo_MI_Device!$B$2:$E$102,3,FALSE),0)</f>
        <v>0</v>
      </c>
      <c r="N328" s="27">
        <f t="shared" si="16"/>
        <v>0</v>
      </c>
      <c r="O328" s="178">
        <f t="shared" si="17"/>
        <v>0</v>
      </c>
    </row>
    <row r="329" spans="1:15" ht="12.75" hidden="1">
      <c r="A329" s="25">
        <v>5081</v>
      </c>
      <c r="B329" s="25" t="s">
        <v>17</v>
      </c>
      <c r="C329" s="26" t="s">
        <v>24</v>
      </c>
      <c r="D329" s="27">
        <v>73145000</v>
      </c>
      <c r="E329" s="28" t="s">
        <v>278</v>
      </c>
      <c r="F329" s="29">
        <v>0</v>
      </c>
      <c r="G329" s="30">
        <v>1</v>
      </c>
      <c r="H329" s="27" t="s">
        <v>137</v>
      </c>
      <c r="I329" s="26" t="s">
        <v>279</v>
      </c>
      <c r="J329" s="31">
        <v>23</v>
      </c>
      <c r="K329" s="32">
        <f t="shared" si="15"/>
        <v>23</v>
      </c>
      <c r="L329" s="29" t="s">
        <v>280</v>
      </c>
      <c r="M329" s="27">
        <f>IFERROR(VLOOKUP(C329,Custo_MI_Device!$B$2:$E$102,3,FALSE),0)</f>
        <v>0</v>
      </c>
      <c r="N329" s="27">
        <f t="shared" si="16"/>
        <v>0</v>
      </c>
      <c r="O329" s="178">
        <f t="shared" si="17"/>
        <v>0</v>
      </c>
    </row>
    <row r="330" spans="1:15" ht="25.5" hidden="1">
      <c r="A330" s="25">
        <v>5147</v>
      </c>
      <c r="B330" s="25" t="s">
        <v>17</v>
      </c>
      <c r="C330" s="26" t="s">
        <v>24</v>
      </c>
      <c r="D330" s="27">
        <v>83079000</v>
      </c>
      <c r="E330" s="28" t="s">
        <v>293</v>
      </c>
      <c r="F330" s="29" t="s">
        <v>294</v>
      </c>
      <c r="G330" s="30">
        <v>1</v>
      </c>
      <c r="H330" s="27" t="s">
        <v>137</v>
      </c>
      <c r="I330" s="26" t="s">
        <v>180</v>
      </c>
      <c r="J330" s="31">
        <v>155</v>
      </c>
      <c r="K330" s="32">
        <f t="shared" si="15"/>
        <v>155</v>
      </c>
      <c r="L330" s="29" t="s">
        <v>294</v>
      </c>
      <c r="M330" s="27">
        <f>IFERROR(VLOOKUP(C330,Custo_MI_Device!$B$2:$E$102,3,FALSE),0)</f>
        <v>0</v>
      </c>
      <c r="N330" s="27">
        <f t="shared" si="16"/>
        <v>0</v>
      </c>
      <c r="O330" s="178">
        <f t="shared" si="17"/>
        <v>0</v>
      </c>
    </row>
    <row r="331" spans="1:15" ht="25.5" hidden="1">
      <c r="A331" s="25">
        <v>4834</v>
      </c>
      <c r="B331" s="25" t="s">
        <v>17</v>
      </c>
      <c r="C331" s="26" t="s">
        <v>24</v>
      </c>
      <c r="D331" s="27">
        <v>73071100</v>
      </c>
      <c r="E331" s="28" t="s">
        <v>299</v>
      </c>
      <c r="F331" s="29" t="s">
        <v>300</v>
      </c>
      <c r="G331" s="30">
        <v>1</v>
      </c>
      <c r="H331" s="27" t="s">
        <v>137</v>
      </c>
      <c r="I331" s="26" t="s">
        <v>149</v>
      </c>
      <c r="J331" s="31">
        <v>28</v>
      </c>
      <c r="K331" s="32">
        <f t="shared" si="15"/>
        <v>28</v>
      </c>
      <c r="L331" s="29" t="s">
        <v>300</v>
      </c>
      <c r="M331" s="27">
        <f>IFERROR(VLOOKUP(C331,Custo_MI_Device!$B$2:$E$102,3,FALSE),0)</f>
        <v>0</v>
      </c>
      <c r="N331" s="27">
        <f t="shared" si="16"/>
        <v>0</v>
      </c>
      <c r="O331" s="178">
        <f t="shared" si="17"/>
        <v>0</v>
      </c>
    </row>
    <row r="332" spans="1:15" ht="12.75" hidden="1">
      <c r="A332" s="25">
        <v>2534</v>
      </c>
      <c r="B332" s="25" t="s">
        <v>17</v>
      </c>
      <c r="C332" s="26" t="s">
        <v>25</v>
      </c>
      <c r="D332" s="27">
        <v>73072900</v>
      </c>
      <c r="E332" s="28" t="s">
        <v>314</v>
      </c>
      <c r="F332" s="29" t="s">
        <v>315</v>
      </c>
      <c r="G332" s="30">
        <v>12</v>
      </c>
      <c r="H332" s="27" t="s">
        <v>137</v>
      </c>
      <c r="I332" s="26" t="s">
        <v>256</v>
      </c>
      <c r="J332" s="31">
        <v>1.2</v>
      </c>
      <c r="K332" s="32">
        <f t="shared" si="15"/>
        <v>14.399999999999999</v>
      </c>
      <c r="L332" s="29" t="s">
        <v>315</v>
      </c>
      <c r="M332" s="27">
        <f>IFERROR(VLOOKUP(C332,Custo_MI_Device!$B$2:$E$102,3,FALSE),0)</f>
        <v>0</v>
      </c>
      <c r="N332" s="27">
        <f t="shared" si="16"/>
        <v>0</v>
      </c>
      <c r="O332" s="178">
        <f t="shared" si="17"/>
        <v>0</v>
      </c>
    </row>
    <row r="333" spans="1:15" ht="12.75" hidden="1">
      <c r="A333" s="25">
        <v>1669</v>
      </c>
      <c r="B333" s="25" t="s">
        <v>17</v>
      </c>
      <c r="C333" s="26" t="s">
        <v>25</v>
      </c>
      <c r="D333" s="27">
        <v>39269090</v>
      </c>
      <c r="E333" s="28" t="s">
        <v>316</v>
      </c>
      <c r="F333" s="29" t="s">
        <v>317</v>
      </c>
      <c r="G333" s="30">
        <v>3</v>
      </c>
      <c r="H333" s="27" t="s">
        <v>137</v>
      </c>
      <c r="I333" s="26" t="s">
        <v>318</v>
      </c>
      <c r="J333" s="31">
        <v>0.04</v>
      </c>
      <c r="K333" s="32">
        <f t="shared" si="15"/>
        <v>0.12</v>
      </c>
      <c r="L333" s="29" t="s">
        <v>317</v>
      </c>
      <c r="M333" s="27">
        <f>IFERROR(VLOOKUP(C333,Custo_MI_Device!$B$2:$E$102,3,FALSE),0)</f>
        <v>0</v>
      </c>
      <c r="N333" s="27">
        <f t="shared" si="16"/>
        <v>0</v>
      </c>
      <c r="O333" s="178">
        <f t="shared" si="17"/>
        <v>0</v>
      </c>
    </row>
    <row r="334" spans="1:15" ht="12.75" hidden="1">
      <c r="A334" s="25">
        <v>5091</v>
      </c>
      <c r="B334" s="25" t="s">
        <v>17</v>
      </c>
      <c r="C334" s="26" t="s">
        <v>25</v>
      </c>
      <c r="D334" s="27">
        <v>73181500</v>
      </c>
      <c r="E334" s="28" t="s">
        <v>323</v>
      </c>
      <c r="F334" s="29" t="s">
        <v>324</v>
      </c>
      <c r="G334" s="30">
        <v>24</v>
      </c>
      <c r="H334" s="27" t="s">
        <v>137</v>
      </c>
      <c r="I334" s="26" t="s">
        <v>256</v>
      </c>
      <c r="J334" s="31">
        <v>0.04</v>
      </c>
      <c r="K334" s="32">
        <f t="shared" si="15"/>
        <v>0.96</v>
      </c>
      <c r="L334" s="29" t="s">
        <v>324</v>
      </c>
      <c r="M334" s="27">
        <f>IFERROR(VLOOKUP(C334,Custo_MI_Device!$B$2:$E$102,3,FALSE),0)</f>
        <v>0</v>
      </c>
      <c r="N334" s="27">
        <f t="shared" si="16"/>
        <v>0</v>
      </c>
      <c r="O334" s="178">
        <f t="shared" si="17"/>
        <v>0</v>
      </c>
    </row>
    <row r="335" spans="1:15" ht="12.75" hidden="1">
      <c r="A335" s="25">
        <v>83</v>
      </c>
      <c r="B335" s="25" t="s">
        <v>17</v>
      </c>
      <c r="C335" s="26" t="s">
        <v>25</v>
      </c>
      <c r="D335" s="27"/>
      <c r="E335" s="28" t="s">
        <v>150</v>
      </c>
      <c r="F335" s="29" t="s">
        <v>148</v>
      </c>
      <c r="G335" s="30">
        <v>1</v>
      </c>
      <c r="H335" s="27" t="s">
        <v>137</v>
      </c>
      <c r="I335" s="26" t="s">
        <v>149</v>
      </c>
      <c r="J335" s="31">
        <v>4.8</v>
      </c>
      <c r="K335" s="32">
        <f t="shared" si="15"/>
        <v>4.8</v>
      </c>
      <c r="L335" s="29" t="s">
        <v>148</v>
      </c>
      <c r="M335" s="27">
        <f>IFERROR(VLOOKUP(C335,Custo_MI_Device!$B$2:$E$102,3,FALSE),0)</f>
        <v>0</v>
      </c>
      <c r="N335" s="27">
        <f t="shared" si="16"/>
        <v>0</v>
      </c>
      <c r="O335" s="178">
        <f t="shared" si="17"/>
        <v>0</v>
      </c>
    </row>
    <row r="336" spans="1:15" ht="12.75" hidden="1">
      <c r="A336" s="25">
        <v>3080</v>
      </c>
      <c r="B336" s="25" t="s">
        <v>17</v>
      </c>
      <c r="C336" s="26" t="s">
        <v>25</v>
      </c>
      <c r="D336" s="27">
        <v>74122000</v>
      </c>
      <c r="E336" s="28" t="s">
        <v>153</v>
      </c>
      <c r="F336" s="29" t="s">
        <v>154</v>
      </c>
      <c r="G336" s="30">
        <v>1</v>
      </c>
      <c r="H336" s="27" t="s">
        <v>137</v>
      </c>
      <c r="I336" s="26" t="s">
        <v>155</v>
      </c>
      <c r="J336" s="31">
        <v>3.3</v>
      </c>
      <c r="K336" s="32">
        <f t="shared" si="15"/>
        <v>3.3</v>
      </c>
      <c r="L336" s="29" t="s">
        <v>154</v>
      </c>
      <c r="M336" s="27">
        <f>IFERROR(VLOOKUP(C336,Custo_MI_Device!$B$2:$E$102,3,FALSE),0)</f>
        <v>0</v>
      </c>
      <c r="N336" s="27">
        <f t="shared" si="16"/>
        <v>0</v>
      </c>
      <c r="O336" s="178">
        <f t="shared" si="17"/>
        <v>0</v>
      </c>
    </row>
    <row r="337" spans="1:15" ht="25.5" hidden="1">
      <c r="A337" s="25">
        <v>5139</v>
      </c>
      <c r="B337" s="25" t="s">
        <v>17</v>
      </c>
      <c r="C337" s="26" t="s">
        <v>25</v>
      </c>
      <c r="D337" s="27">
        <v>85444900</v>
      </c>
      <c r="E337" s="28" t="s">
        <v>170</v>
      </c>
      <c r="F337" s="29" t="s">
        <v>171</v>
      </c>
      <c r="G337" s="30">
        <v>15</v>
      </c>
      <c r="H337" s="27" t="s">
        <v>158</v>
      </c>
      <c r="I337" s="26" t="s">
        <v>172</v>
      </c>
      <c r="J337" s="31">
        <v>7.5</v>
      </c>
      <c r="K337" s="32">
        <f t="shared" si="15"/>
        <v>112.5</v>
      </c>
      <c r="L337" s="29" t="s">
        <v>173</v>
      </c>
      <c r="M337" s="27">
        <f>IFERROR(VLOOKUP(C337,Custo_MI_Device!$B$2:$E$102,3,FALSE),0)</f>
        <v>0</v>
      </c>
      <c r="N337" s="27">
        <f t="shared" si="16"/>
        <v>0</v>
      </c>
      <c r="O337" s="178">
        <f t="shared" si="17"/>
        <v>0</v>
      </c>
    </row>
    <row r="338" spans="1:15" ht="12.75" hidden="1">
      <c r="A338" s="25">
        <v>2805</v>
      </c>
      <c r="B338" s="25" t="s">
        <v>17</v>
      </c>
      <c r="C338" s="26" t="s">
        <v>25</v>
      </c>
      <c r="D338" s="27">
        <v>72162100</v>
      </c>
      <c r="E338" s="28" t="s">
        <v>174</v>
      </c>
      <c r="F338" s="29">
        <v>0</v>
      </c>
      <c r="G338" s="30">
        <v>2.9</v>
      </c>
      <c r="H338" s="27" t="s">
        <v>175</v>
      </c>
      <c r="I338" s="26" t="s">
        <v>176</v>
      </c>
      <c r="J338" s="31">
        <v>4.22</v>
      </c>
      <c r="K338" s="32">
        <f t="shared" si="15"/>
        <v>12.238</v>
      </c>
      <c r="L338" s="29" t="s">
        <v>177</v>
      </c>
      <c r="M338" s="27">
        <f>IFERROR(VLOOKUP(C338,Custo_MI_Device!$B$2:$E$102,3,FALSE),0)</f>
        <v>0</v>
      </c>
      <c r="N338" s="27">
        <f t="shared" si="16"/>
        <v>0</v>
      </c>
      <c r="O338" s="178">
        <f t="shared" si="17"/>
        <v>0</v>
      </c>
    </row>
    <row r="339" spans="1:15" ht="25.5" hidden="1">
      <c r="A339" s="25">
        <v>3738</v>
      </c>
      <c r="B339" s="25" t="s">
        <v>17</v>
      </c>
      <c r="C339" s="26" t="s">
        <v>25</v>
      </c>
      <c r="D339" s="27">
        <v>73071100</v>
      </c>
      <c r="E339" s="28" t="s">
        <v>205</v>
      </c>
      <c r="F339" s="29" t="s">
        <v>206</v>
      </c>
      <c r="G339" s="30">
        <v>0.75</v>
      </c>
      <c r="H339" s="27" t="s">
        <v>137</v>
      </c>
      <c r="I339" s="26" t="s">
        <v>149</v>
      </c>
      <c r="J339" s="31">
        <v>27</v>
      </c>
      <c r="K339" s="32">
        <f t="shared" si="15"/>
        <v>20.25</v>
      </c>
      <c r="L339" s="29" t="s">
        <v>206</v>
      </c>
      <c r="M339" s="27">
        <f>IFERROR(VLOOKUP(C339,Custo_MI_Device!$B$2:$E$102,3,FALSE),0)</f>
        <v>0</v>
      </c>
      <c r="N339" s="27">
        <f t="shared" si="16"/>
        <v>0</v>
      </c>
      <c r="O339" s="178">
        <f t="shared" si="17"/>
        <v>0</v>
      </c>
    </row>
    <row r="340" spans="1:15" ht="25.5" hidden="1">
      <c r="A340" s="25">
        <v>1710</v>
      </c>
      <c r="B340" s="25" t="s">
        <v>17</v>
      </c>
      <c r="C340" s="26" t="s">
        <v>25</v>
      </c>
      <c r="D340" s="27">
        <v>73071100</v>
      </c>
      <c r="E340" s="28" t="s">
        <v>207</v>
      </c>
      <c r="F340" s="29" t="s">
        <v>208</v>
      </c>
      <c r="G340" s="30">
        <v>0.75</v>
      </c>
      <c r="H340" s="27" t="s">
        <v>137</v>
      </c>
      <c r="I340" s="26" t="s">
        <v>149</v>
      </c>
      <c r="J340" s="31">
        <v>27</v>
      </c>
      <c r="K340" s="32">
        <f t="shared" si="15"/>
        <v>20.25</v>
      </c>
      <c r="L340" s="29" t="s">
        <v>208</v>
      </c>
      <c r="M340" s="27">
        <f>IFERROR(VLOOKUP(C340,Custo_MI_Device!$B$2:$E$102,3,FALSE),0)</f>
        <v>0</v>
      </c>
      <c r="N340" s="27">
        <f t="shared" si="16"/>
        <v>0</v>
      </c>
      <c r="O340" s="178">
        <f t="shared" si="17"/>
        <v>0</v>
      </c>
    </row>
    <row r="341" spans="1:15" ht="25.5" hidden="1">
      <c r="A341" s="25">
        <v>1715</v>
      </c>
      <c r="B341" s="25" t="s">
        <v>17</v>
      </c>
      <c r="C341" s="26" t="s">
        <v>25</v>
      </c>
      <c r="D341" s="27">
        <v>73071100</v>
      </c>
      <c r="E341" s="28" t="s">
        <v>209</v>
      </c>
      <c r="F341" s="29" t="s">
        <v>210</v>
      </c>
      <c r="G341" s="30">
        <v>0.75</v>
      </c>
      <c r="H341" s="27" t="s">
        <v>137</v>
      </c>
      <c r="I341" s="26" t="s">
        <v>149</v>
      </c>
      <c r="J341" s="31">
        <v>27</v>
      </c>
      <c r="K341" s="32">
        <f t="shared" si="15"/>
        <v>20.25</v>
      </c>
      <c r="L341" s="29" t="s">
        <v>210</v>
      </c>
      <c r="M341" s="27">
        <f>IFERROR(VLOOKUP(C341,Custo_MI_Device!$B$2:$E$102,3,FALSE),0)</f>
        <v>0</v>
      </c>
      <c r="N341" s="27">
        <f t="shared" si="16"/>
        <v>0</v>
      </c>
      <c r="O341" s="178">
        <f t="shared" si="17"/>
        <v>0</v>
      </c>
    </row>
    <row r="342" spans="1:15" ht="25.5" hidden="1">
      <c r="A342" s="25">
        <v>3417</v>
      </c>
      <c r="B342" s="25" t="s">
        <v>17</v>
      </c>
      <c r="C342" s="26" t="s">
        <v>25</v>
      </c>
      <c r="D342" s="27">
        <v>73063000</v>
      </c>
      <c r="E342" s="28" t="s">
        <v>231</v>
      </c>
      <c r="F342" s="29">
        <v>0</v>
      </c>
      <c r="G342" s="30">
        <v>2</v>
      </c>
      <c r="H342" s="27" t="s">
        <v>232</v>
      </c>
      <c r="I342" s="26" t="s">
        <v>233</v>
      </c>
      <c r="J342" s="31">
        <v>33.47</v>
      </c>
      <c r="K342" s="32">
        <f t="shared" si="15"/>
        <v>66.94</v>
      </c>
      <c r="L342" s="29" t="s">
        <v>234</v>
      </c>
      <c r="M342" s="27">
        <f>IFERROR(VLOOKUP(C342,Custo_MI_Device!$B$2:$E$102,3,FALSE),0)</f>
        <v>0</v>
      </c>
      <c r="N342" s="27">
        <f t="shared" si="16"/>
        <v>0</v>
      </c>
      <c r="O342" s="178">
        <f t="shared" si="17"/>
        <v>0</v>
      </c>
    </row>
    <row r="343" spans="1:15" ht="12.75" hidden="1">
      <c r="A343" s="25">
        <v>1965</v>
      </c>
      <c r="B343" s="25" t="s">
        <v>17</v>
      </c>
      <c r="C343" s="26" t="s">
        <v>25</v>
      </c>
      <c r="D343" s="27">
        <v>73071100</v>
      </c>
      <c r="E343" s="28" t="s">
        <v>251</v>
      </c>
      <c r="F343" s="29" t="s">
        <v>252</v>
      </c>
      <c r="G343" s="30">
        <v>1</v>
      </c>
      <c r="H343" s="27" t="s">
        <v>137</v>
      </c>
      <c r="I343" s="26" t="s">
        <v>253</v>
      </c>
      <c r="J343" s="31">
        <v>5.5</v>
      </c>
      <c r="K343" s="32">
        <f t="shared" si="15"/>
        <v>5.5</v>
      </c>
      <c r="L343" s="29" t="s">
        <v>252</v>
      </c>
      <c r="M343" s="27">
        <f>IFERROR(VLOOKUP(C343,Custo_MI_Device!$B$2:$E$102,3,FALSE),0)</f>
        <v>0</v>
      </c>
      <c r="N343" s="27">
        <f t="shared" si="16"/>
        <v>0</v>
      </c>
      <c r="O343" s="178">
        <f t="shared" si="17"/>
        <v>0</v>
      </c>
    </row>
    <row r="344" spans="1:15" ht="12.75" hidden="1">
      <c r="A344" s="25">
        <v>3274</v>
      </c>
      <c r="B344" s="25" t="s">
        <v>17</v>
      </c>
      <c r="C344" s="26" t="s">
        <v>25</v>
      </c>
      <c r="D344" s="27">
        <v>73181500</v>
      </c>
      <c r="E344" s="28" t="s">
        <v>265</v>
      </c>
      <c r="F344" s="29" t="s">
        <v>266</v>
      </c>
      <c r="G344" s="30">
        <v>24</v>
      </c>
      <c r="H344" s="27" t="s">
        <v>137</v>
      </c>
      <c r="I344" s="26" t="s">
        <v>256</v>
      </c>
      <c r="J344" s="31">
        <v>0.06</v>
      </c>
      <c r="K344" s="32">
        <f t="shared" si="15"/>
        <v>1.44</v>
      </c>
      <c r="L344" s="29" t="s">
        <v>266</v>
      </c>
      <c r="M344" s="27">
        <f>IFERROR(VLOOKUP(C344,Custo_MI_Device!$B$2:$E$102,3,FALSE),0)</f>
        <v>0</v>
      </c>
      <c r="N344" s="27">
        <f t="shared" si="16"/>
        <v>0</v>
      </c>
      <c r="O344" s="178">
        <f t="shared" si="17"/>
        <v>0</v>
      </c>
    </row>
    <row r="345" spans="1:15" ht="12.75" hidden="1">
      <c r="A345" s="25">
        <v>5081</v>
      </c>
      <c r="B345" s="25" t="s">
        <v>17</v>
      </c>
      <c r="C345" s="26" t="s">
        <v>25</v>
      </c>
      <c r="D345" s="27">
        <v>73145000</v>
      </c>
      <c r="E345" s="28" t="s">
        <v>278</v>
      </c>
      <c r="F345" s="29">
        <v>0</v>
      </c>
      <c r="G345" s="30">
        <v>1</v>
      </c>
      <c r="H345" s="27" t="s">
        <v>137</v>
      </c>
      <c r="I345" s="26" t="s">
        <v>279</v>
      </c>
      <c r="J345" s="31">
        <v>23</v>
      </c>
      <c r="K345" s="32">
        <f t="shared" si="15"/>
        <v>23</v>
      </c>
      <c r="L345" s="29" t="s">
        <v>280</v>
      </c>
      <c r="M345" s="27">
        <f>IFERROR(VLOOKUP(C345,Custo_MI_Device!$B$2:$E$102,3,FALSE),0)</f>
        <v>0</v>
      </c>
      <c r="N345" s="27">
        <f t="shared" si="16"/>
        <v>0</v>
      </c>
      <c r="O345" s="178">
        <f t="shared" si="17"/>
        <v>0</v>
      </c>
    </row>
    <row r="346" spans="1:15" ht="25.5" hidden="1">
      <c r="A346" s="25">
        <v>5147</v>
      </c>
      <c r="B346" s="25" t="s">
        <v>17</v>
      </c>
      <c r="C346" s="26" t="s">
        <v>25</v>
      </c>
      <c r="D346" s="27">
        <v>83079000</v>
      </c>
      <c r="E346" s="28" t="s">
        <v>293</v>
      </c>
      <c r="F346" s="29" t="s">
        <v>294</v>
      </c>
      <c r="G346" s="30">
        <v>1</v>
      </c>
      <c r="H346" s="27" t="s">
        <v>137</v>
      </c>
      <c r="I346" s="26" t="s">
        <v>180</v>
      </c>
      <c r="J346" s="31">
        <v>155</v>
      </c>
      <c r="K346" s="32">
        <f t="shared" si="15"/>
        <v>155</v>
      </c>
      <c r="L346" s="29" t="s">
        <v>294</v>
      </c>
      <c r="M346" s="27">
        <f>IFERROR(VLOOKUP(C346,Custo_MI_Device!$B$2:$E$102,3,FALSE),0)</f>
        <v>0</v>
      </c>
      <c r="N346" s="27">
        <f t="shared" si="16"/>
        <v>0</v>
      </c>
      <c r="O346" s="178">
        <f t="shared" si="17"/>
        <v>0</v>
      </c>
    </row>
    <row r="347" spans="1:15" ht="25.5" hidden="1">
      <c r="A347" s="25">
        <v>4834</v>
      </c>
      <c r="B347" s="25" t="s">
        <v>17</v>
      </c>
      <c r="C347" s="26" t="s">
        <v>25</v>
      </c>
      <c r="D347" s="27">
        <v>73071100</v>
      </c>
      <c r="E347" s="28" t="s">
        <v>299</v>
      </c>
      <c r="F347" s="29" t="s">
        <v>300</v>
      </c>
      <c r="G347" s="30">
        <v>1</v>
      </c>
      <c r="H347" s="27" t="s">
        <v>137</v>
      </c>
      <c r="I347" s="26" t="s">
        <v>149</v>
      </c>
      <c r="J347" s="31">
        <v>28</v>
      </c>
      <c r="K347" s="32">
        <f t="shared" si="15"/>
        <v>28</v>
      </c>
      <c r="L347" s="29" t="s">
        <v>300</v>
      </c>
      <c r="M347" s="27">
        <f>IFERROR(VLOOKUP(C347,Custo_MI_Device!$B$2:$E$102,3,FALSE),0)</f>
        <v>0</v>
      </c>
      <c r="N347" s="27">
        <f t="shared" si="16"/>
        <v>0</v>
      </c>
      <c r="O347" s="178">
        <f t="shared" si="17"/>
        <v>0</v>
      </c>
    </row>
    <row r="348" spans="1:15" ht="12.75">
      <c r="A348" s="25">
        <v>2534</v>
      </c>
      <c r="B348" s="25" t="s">
        <v>17</v>
      </c>
      <c r="C348" s="26" t="s">
        <v>26</v>
      </c>
      <c r="D348" s="27">
        <v>73072900</v>
      </c>
      <c r="E348" s="28" t="s">
        <v>314</v>
      </c>
      <c r="F348" s="29" t="s">
        <v>315</v>
      </c>
      <c r="G348" s="30">
        <v>12</v>
      </c>
      <c r="H348" s="27" t="s">
        <v>137</v>
      </c>
      <c r="I348" s="26" t="s">
        <v>256</v>
      </c>
      <c r="J348" s="191">
        <v>2.02</v>
      </c>
      <c r="K348" s="32">
        <f t="shared" si="15"/>
        <v>24.240000000000002</v>
      </c>
      <c r="L348" s="29" t="s">
        <v>315</v>
      </c>
      <c r="M348" s="27">
        <f>IFERROR(VLOOKUP(C348,Custo_MI_Device!$B$2:$E$102,3,FALSE),0)</f>
        <v>41</v>
      </c>
      <c r="N348" s="27">
        <f t="shared" si="16"/>
        <v>492</v>
      </c>
      <c r="O348" s="178">
        <f t="shared" si="17"/>
        <v>993.84</v>
      </c>
    </row>
    <row r="349" spans="1:15" ht="12.75">
      <c r="A349" s="25">
        <v>1669</v>
      </c>
      <c r="B349" s="25" t="s">
        <v>17</v>
      </c>
      <c r="C349" s="26" t="s">
        <v>26</v>
      </c>
      <c r="D349" s="27">
        <v>39269090</v>
      </c>
      <c r="E349" s="28" t="s">
        <v>316</v>
      </c>
      <c r="F349" s="29" t="s">
        <v>317</v>
      </c>
      <c r="G349" s="30">
        <v>3</v>
      </c>
      <c r="H349" s="27" t="s">
        <v>137</v>
      </c>
      <c r="I349" s="26" t="s">
        <v>318</v>
      </c>
      <c r="J349" s="191">
        <v>0.1</v>
      </c>
      <c r="K349" s="32">
        <f t="shared" si="15"/>
        <v>0.30000000000000004</v>
      </c>
      <c r="L349" s="29" t="s">
        <v>317</v>
      </c>
      <c r="M349" s="27">
        <f>IFERROR(VLOOKUP(C349,Custo_MI_Device!$B$2:$E$102,3,FALSE),0)</f>
        <v>41</v>
      </c>
      <c r="N349" s="27">
        <f t="shared" si="16"/>
        <v>123</v>
      </c>
      <c r="O349" s="178">
        <f t="shared" si="17"/>
        <v>12.3</v>
      </c>
    </row>
    <row r="350" spans="1:15" ht="12.75">
      <c r="A350" s="25">
        <v>5091</v>
      </c>
      <c r="B350" s="25" t="s">
        <v>17</v>
      </c>
      <c r="C350" s="26" t="s">
        <v>26</v>
      </c>
      <c r="D350" s="27">
        <v>73181500</v>
      </c>
      <c r="E350" s="28" t="s">
        <v>323</v>
      </c>
      <c r="F350" s="29" t="s">
        <v>324</v>
      </c>
      <c r="G350" s="30">
        <v>24</v>
      </c>
      <c r="H350" s="27" t="s">
        <v>137</v>
      </c>
      <c r="I350" s="26" t="s">
        <v>256</v>
      </c>
      <c r="J350" s="191">
        <v>0.1</v>
      </c>
      <c r="K350" s="32">
        <f t="shared" si="15"/>
        <v>2.4000000000000004</v>
      </c>
      <c r="L350" s="29" t="s">
        <v>324</v>
      </c>
      <c r="M350" s="27">
        <f>IFERROR(VLOOKUP(C350,Custo_MI_Device!$B$2:$E$102,3,FALSE),0)</f>
        <v>41</v>
      </c>
      <c r="N350" s="27">
        <f t="shared" si="16"/>
        <v>984</v>
      </c>
      <c r="O350" s="178">
        <f t="shared" si="17"/>
        <v>98.4</v>
      </c>
    </row>
    <row r="351" spans="1:15" ht="12.75">
      <c r="A351" s="25">
        <v>1117</v>
      </c>
      <c r="B351" s="25" t="s">
        <v>17</v>
      </c>
      <c r="C351" s="26" t="s">
        <v>26</v>
      </c>
      <c r="D351" s="27"/>
      <c r="E351" s="28" t="s">
        <v>145</v>
      </c>
      <c r="F351" s="29" t="s">
        <v>146</v>
      </c>
      <c r="G351" s="30">
        <v>1</v>
      </c>
      <c r="H351" s="27" t="s">
        <v>137</v>
      </c>
      <c r="I351" s="26" t="s">
        <v>138</v>
      </c>
      <c r="J351" s="191">
        <v>1.95</v>
      </c>
      <c r="K351" s="190">
        <v>4.8499999999999996</v>
      </c>
      <c r="L351" s="29" t="s">
        <v>146</v>
      </c>
      <c r="M351" s="27">
        <f>IFERROR(VLOOKUP(C351,Custo_MI_Device!$B$2:$E$102,3,FALSE),0)</f>
        <v>41</v>
      </c>
      <c r="N351" s="27">
        <f t="shared" si="16"/>
        <v>41</v>
      </c>
      <c r="O351" s="178">
        <f t="shared" si="17"/>
        <v>79.95</v>
      </c>
    </row>
    <row r="352" spans="1:15" ht="12.75">
      <c r="A352" s="25">
        <v>3080</v>
      </c>
      <c r="B352" s="25" t="s">
        <v>17</v>
      </c>
      <c r="C352" s="26" t="s">
        <v>26</v>
      </c>
      <c r="D352" s="27">
        <v>74122000</v>
      </c>
      <c r="E352" s="28" t="s">
        <v>153</v>
      </c>
      <c r="F352" s="29" t="s">
        <v>154</v>
      </c>
      <c r="G352" s="30">
        <v>1</v>
      </c>
      <c r="H352" s="27" t="s">
        <v>137</v>
      </c>
      <c r="I352" s="26" t="s">
        <v>155</v>
      </c>
      <c r="J352" s="191">
        <v>3.3</v>
      </c>
      <c r="K352" s="32"/>
      <c r="L352" s="29" t="s">
        <v>154</v>
      </c>
      <c r="M352" s="27">
        <f>IFERROR(VLOOKUP(C352,Custo_MI_Device!$B$2:$E$102,3,FALSE),0)</f>
        <v>41</v>
      </c>
      <c r="N352" s="27">
        <f t="shared" si="16"/>
        <v>41</v>
      </c>
      <c r="O352" s="178">
        <f t="shared" si="17"/>
        <v>135.29999999999998</v>
      </c>
    </row>
    <row r="353" spans="1:15" ht="25.5">
      <c r="A353" s="25">
        <v>4054</v>
      </c>
      <c r="B353" s="25" t="s">
        <v>17</v>
      </c>
      <c r="C353" s="26" t="s">
        <v>26</v>
      </c>
      <c r="D353" s="27">
        <v>85444900</v>
      </c>
      <c r="E353" s="28" t="s">
        <v>163</v>
      </c>
      <c r="F353" s="29">
        <v>900550</v>
      </c>
      <c r="G353" s="33">
        <v>0</v>
      </c>
      <c r="H353" s="27" t="s">
        <v>158</v>
      </c>
      <c r="I353" s="26" t="s">
        <v>164</v>
      </c>
      <c r="J353" s="191">
        <v>5.0999999999999996</v>
      </c>
      <c r="K353" s="32">
        <f t="shared" si="15"/>
        <v>0</v>
      </c>
      <c r="L353" s="29">
        <v>900550</v>
      </c>
      <c r="M353" s="27">
        <f>IFERROR(VLOOKUP(C353,Custo_MI_Device!$B$2:$E$102,3,FALSE),0)</f>
        <v>41</v>
      </c>
      <c r="N353" s="27">
        <f t="shared" si="16"/>
        <v>0</v>
      </c>
      <c r="O353" s="178">
        <f t="shared" si="17"/>
        <v>0</v>
      </c>
    </row>
    <row r="354" spans="1:15" ht="38.25">
      <c r="A354" s="25">
        <v>3585</v>
      </c>
      <c r="B354" s="25" t="s">
        <v>17</v>
      </c>
      <c r="C354" s="26" t="s">
        <v>26</v>
      </c>
      <c r="D354" s="27">
        <v>85444900</v>
      </c>
      <c r="E354" s="28" t="s">
        <v>328</v>
      </c>
      <c r="F354" s="29">
        <v>900400</v>
      </c>
      <c r="G354" s="33">
        <v>0</v>
      </c>
      <c r="H354" s="27" t="s">
        <v>158</v>
      </c>
      <c r="I354" s="26" t="s">
        <v>164</v>
      </c>
      <c r="J354" s="191">
        <v>4.7</v>
      </c>
      <c r="K354" s="32">
        <f t="shared" si="15"/>
        <v>0</v>
      </c>
      <c r="L354" s="29">
        <v>900400</v>
      </c>
      <c r="M354" s="27">
        <f>IFERROR(VLOOKUP(C354,Custo_MI_Device!$B$2:$E$102,3,FALSE),0)</f>
        <v>41</v>
      </c>
      <c r="N354" s="27">
        <f t="shared" si="16"/>
        <v>0</v>
      </c>
      <c r="O354" s="178">
        <f t="shared" si="17"/>
        <v>0</v>
      </c>
    </row>
    <row r="355" spans="1:15" ht="12.75">
      <c r="A355" s="25">
        <v>2805</v>
      </c>
      <c r="B355" s="25" t="s">
        <v>17</v>
      </c>
      <c r="C355" s="26" t="s">
        <v>26</v>
      </c>
      <c r="D355" s="27">
        <v>72162100</v>
      </c>
      <c r="E355" s="28" t="s">
        <v>174</v>
      </c>
      <c r="F355" s="29">
        <v>0</v>
      </c>
      <c r="G355" s="33">
        <v>0</v>
      </c>
      <c r="H355" s="27" t="s">
        <v>175</v>
      </c>
      <c r="I355" s="26" t="s">
        <v>176</v>
      </c>
      <c r="J355" s="191">
        <v>11</v>
      </c>
      <c r="K355" s="32">
        <f t="shared" si="15"/>
        <v>0</v>
      </c>
      <c r="L355" s="29" t="s">
        <v>177</v>
      </c>
      <c r="M355" s="27">
        <f>IFERROR(VLOOKUP(C355,Custo_MI_Device!$B$2:$E$102,3,FALSE),0)</f>
        <v>41</v>
      </c>
      <c r="N355" s="27">
        <f t="shared" si="16"/>
        <v>0</v>
      </c>
      <c r="O355" s="178">
        <f t="shared" si="17"/>
        <v>0</v>
      </c>
    </row>
    <row r="356" spans="1:15" ht="12.75">
      <c r="A356" s="25">
        <v>2904</v>
      </c>
      <c r="B356" s="25" t="s">
        <v>17</v>
      </c>
      <c r="C356" s="26" t="s">
        <v>26</v>
      </c>
      <c r="D356" s="27">
        <v>76090000</v>
      </c>
      <c r="E356" s="28" t="s">
        <v>195</v>
      </c>
      <c r="F356" s="29" t="s">
        <v>196</v>
      </c>
      <c r="G356" s="30">
        <v>2</v>
      </c>
      <c r="H356" s="27" t="s">
        <v>137</v>
      </c>
      <c r="I356" s="26" t="s">
        <v>138</v>
      </c>
      <c r="J356" s="31">
        <v>26.06</v>
      </c>
      <c r="K356" s="32">
        <f t="shared" si="15"/>
        <v>52.12</v>
      </c>
      <c r="L356" s="29" t="s">
        <v>196</v>
      </c>
      <c r="M356" s="27">
        <f>IFERROR(VLOOKUP(C356,Custo_MI_Device!$B$2:$E$102,3,FALSE),0)</f>
        <v>41</v>
      </c>
      <c r="N356" s="27">
        <f t="shared" si="16"/>
        <v>82</v>
      </c>
      <c r="O356" s="178">
        <f t="shared" si="17"/>
        <v>2136.92</v>
      </c>
    </row>
    <row r="357" spans="1:15" ht="12.75">
      <c r="A357" s="25">
        <v>2911</v>
      </c>
      <c r="B357" s="25" t="s">
        <v>17</v>
      </c>
      <c r="C357" s="26" t="s">
        <v>26</v>
      </c>
      <c r="D357" s="27">
        <v>76090000</v>
      </c>
      <c r="E357" s="28" t="s">
        <v>197</v>
      </c>
      <c r="F357" s="29" t="s">
        <v>198</v>
      </c>
      <c r="G357" s="30">
        <v>2</v>
      </c>
      <c r="H357" s="27" t="s">
        <v>137</v>
      </c>
      <c r="I357" s="26" t="s">
        <v>138</v>
      </c>
      <c r="J357" s="31">
        <v>26.06</v>
      </c>
      <c r="K357" s="32">
        <f t="shared" si="15"/>
        <v>52.12</v>
      </c>
      <c r="L357" s="29" t="s">
        <v>198</v>
      </c>
      <c r="M357" s="27">
        <f>IFERROR(VLOOKUP(C357,Custo_MI_Device!$B$2:$E$102,3,FALSE),0)</f>
        <v>41</v>
      </c>
      <c r="N357" s="27">
        <f t="shared" si="16"/>
        <v>82</v>
      </c>
      <c r="O357" s="178">
        <f t="shared" si="17"/>
        <v>2136.92</v>
      </c>
    </row>
    <row r="358" spans="1:15" ht="12.75">
      <c r="A358" s="25">
        <v>4823</v>
      </c>
      <c r="B358" s="25" t="s">
        <v>17</v>
      </c>
      <c r="C358" s="26" t="s">
        <v>26</v>
      </c>
      <c r="D358" s="27">
        <v>76090000</v>
      </c>
      <c r="E358" s="28" t="s">
        <v>199</v>
      </c>
      <c r="F358" s="29" t="s">
        <v>200</v>
      </c>
      <c r="G358" s="30">
        <v>2</v>
      </c>
      <c r="H358" s="27" t="s">
        <v>137</v>
      </c>
      <c r="I358" s="26" t="s">
        <v>138</v>
      </c>
      <c r="J358" s="31">
        <v>26.06</v>
      </c>
      <c r="K358" s="32">
        <f t="shared" si="15"/>
        <v>52.12</v>
      </c>
      <c r="L358" s="29" t="s">
        <v>200</v>
      </c>
      <c r="M358" s="27">
        <f>IFERROR(VLOOKUP(C358,Custo_MI_Device!$B$2:$E$102,3,FALSE),0)</f>
        <v>41</v>
      </c>
      <c r="N358" s="27">
        <f t="shared" si="16"/>
        <v>82</v>
      </c>
      <c r="O358" s="178">
        <f t="shared" si="17"/>
        <v>2136.92</v>
      </c>
    </row>
    <row r="359" spans="1:15" ht="25.5">
      <c r="A359" s="25">
        <v>4306</v>
      </c>
      <c r="B359" s="25" t="s">
        <v>17</v>
      </c>
      <c r="C359" s="26" t="s">
        <v>26</v>
      </c>
      <c r="D359" s="27">
        <v>73063000</v>
      </c>
      <c r="E359" s="28" t="s">
        <v>239</v>
      </c>
      <c r="F359" s="29">
        <v>0</v>
      </c>
      <c r="G359" s="30">
        <v>0</v>
      </c>
      <c r="H359" s="27" t="s">
        <v>232</v>
      </c>
      <c r="I359" s="26" t="s">
        <v>233</v>
      </c>
      <c r="J359" s="191">
        <v>54</v>
      </c>
      <c r="K359" s="32">
        <f t="shared" si="15"/>
        <v>0</v>
      </c>
      <c r="L359" s="29" t="s">
        <v>240</v>
      </c>
      <c r="M359" s="27">
        <f>IFERROR(VLOOKUP(C359,Custo_MI_Device!$B$2:$E$102,3,FALSE),0)</f>
        <v>41</v>
      </c>
      <c r="N359" s="27">
        <f t="shared" si="16"/>
        <v>0</v>
      </c>
      <c r="O359" s="178">
        <f t="shared" si="17"/>
        <v>0</v>
      </c>
    </row>
    <row r="360" spans="1:15" ht="12.75">
      <c r="A360" s="25">
        <v>3274</v>
      </c>
      <c r="B360" s="25" t="s">
        <v>17</v>
      </c>
      <c r="C360" s="26" t="s">
        <v>26</v>
      </c>
      <c r="D360" s="27">
        <v>73181500</v>
      </c>
      <c r="E360" s="28" t="s">
        <v>265</v>
      </c>
      <c r="F360" s="29" t="s">
        <v>266</v>
      </c>
      <c r="G360" s="30">
        <v>24</v>
      </c>
      <c r="H360" s="27" t="s">
        <v>137</v>
      </c>
      <c r="I360" s="26" t="s">
        <v>256</v>
      </c>
      <c r="J360" s="191">
        <v>0.11</v>
      </c>
      <c r="K360" s="32">
        <f t="shared" si="15"/>
        <v>2.64</v>
      </c>
      <c r="L360" s="29" t="s">
        <v>266</v>
      </c>
      <c r="M360" s="27">
        <f>IFERROR(VLOOKUP(C360,Custo_MI_Device!$B$2:$E$102,3,FALSE),0)</f>
        <v>41</v>
      </c>
      <c r="N360" s="27">
        <f t="shared" si="16"/>
        <v>984</v>
      </c>
      <c r="O360" s="178">
        <f t="shared" si="17"/>
        <v>108.24</v>
      </c>
    </row>
    <row r="361" spans="1:15" ht="25.5">
      <c r="A361" s="25">
        <v>1611</v>
      </c>
      <c r="B361" s="25" t="s">
        <v>17</v>
      </c>
      <c r="C361" s="26" t="s">
        <v>26</v>
      </c>
      <c r="D361" s="27">
        <v>39174090</v>
      </c>
      <c r="E361" s="28" t="s">
        <v>275</v>
      </c>
      <c r="F361" s="29" t="s">
        <v>276</v>
      </c>
      <c r="G361" s="30">
        <v>2</v>
      </c>
      <c r="H361" s="27" t="s">
        <v>137</v>
      </c>
      <c r="I361" s="26" t="s">
        <v>277</v>
      </c>
      <c r="J361" s="191">
        <v>7.8</v>
      </c>
      <c r="K361" s="32">
        <f t="shared" si="15"/>
        <v>15.6</v>
      </c>
      <c r="L361" s="29" t="s">
        <v>276</v>
      </c>
      <c r="M361" s="27">
        <f>IFERROR(VLOOKUP(C361,Custo_MI_Device!$B$2:$E$102,3,FALSE),0)</f>
        <v>41</v>
      </c>
      <c r="N361" s="27">
        <f t="shared" si="16"/>
        <v>82</v>
      </c>
      <c r="O361" s="178">
        <f t="shared" si="17"/>
        <v>639.6</v>
      </c>
    </row>
    <row r="362" spans="1:15" ht="12.75" hidden="1">
      <c r="A362" s="25">
        <v>2534</v>
      </c>
      <c r="B362" s="25" t="s">
        <v>17</v>
      </c>
      <c r="C362" s="26" t="s">
        <v>27</v>
      </c>
      <c r="D362" s="27">
        <v>73072900</v>
      </c>
      <c r="E362" s="28" t="s">
        <v>314</v>
      </c>
      <c r="F362" s="29" t="s">
        <v>315</v>
      </c>
      <c r="G362" s="30">
        <v>12</v>
      </c>
      <c r="H362" s="27" t="s">
        <v>137</v>
      </c>
      <c r="I362" s="26" t="s">
        <v>256</v>
      </c>
      <c r="J362" s="31">
        <v>1.2</v>
      </c>
      <c r="K362" s="32">
        <f t="shared" si="15"/>
        <v>14.399999999999999</v>
      </c>
      <c r="L362" s="29" t="s">
        <v>315</v>
      </c>
      <c r="M362" s="27">
        <f>IFERROR(VLOOKUP(C362,Custo_MI_Device!$B$2:$E$102,3,FALSE),0)</f>
        <v>0</v>
      </c>
      <c r="N362" s="27">
        <f t="shared" si="16"/>
        <v>0</v>
      </c>
      <c r="O362" s="178">
        <f t="shared" si="17"/>
        <v>0</v>
      </c>
    </row>
    <row r="363" spans="1:15" ht="12.75" hidden="1">
      <c r="A363" s="25">
        <v>1669</v>
      </c>
      <c r="B363" s="25" t="s">
        <v>17</v>
      </c>
      <c r="C363" s="26" t="s">
        <v>27</v>
      </c>
      <c r="D363" s="27">
        <v>39269090</v>
      </c>
      <c r="E363" s="28" t="s">
        <v>316</v>
      </c>
      <c r="F363" s="29" t="s">
        <v>317</v>
      </c>
      <c r="G363" s="30">
        <v>3</v>
      </c>
      <c r="H363" s="27" t="s">
        <v>137</v>
      </c>
      <c r="I363" s="26" t="s">
        <v>318</v>
      </c>
      <c r="J363" s="31">
        <v>0.04</v>
      </c>
      <c r="K363" s="32">
        <f t="shared" si="15"/>
        <v>0.12</v>
      </c>
      <c r="L363" s="29" t="s">
        <v>317</v>
      </c>
      <c r="M363" s="27">
        <f>IFERROR(VLOOKUP(C363,Custo_MI_Device!$B$2:$E$102,3,FALSE),0)</f>
        <v>0</v>
      </c>
      <c r="N363" s="27">
        <f t="shared" si="16"/>
        <v>0</v>
      </c>
      <c r="O363" s="178">
        <f t="shared" si="17"/>
        <v>0</v>
      </c>
    </row>
    <row r="364" spans="1:15" ht="12.75" hidden="1">
      <c r="A364" s="25">
        <v>5091</v>
      </c>
      <c r="B364" s="25" t="s">
        <v>17</v>
      </c>
      <c r="C364" s="26" t="s">
        <v>27</v>
      </c>
      <c r="D364" s="27">
        <v>73181500</v>
      </c>
      <c r="E364" s="28" t="s">
        <v>323</v>
      </c>
      <c r="F364" s="29" t="s">
        <v>324</v>
      </c>
      <c r="G364" s="30">
        <v>24</v>
      </c>
      <c r="H364" s="27" t="s">
        <v>137</v>
      </c>
      <c r="I364" s="26" t="s">
        <v>256</v>
      </c>
      <c r="J364" s="31">
        <v>0.04</v>
      </c>
      <c r="K364" s="32">
        <f t="shared" si="15"/>
        <v>0.96</v>
      </c>
      <c r="L364" s="29" t="s">
        <v>324</v>
      </c>
      <c r="M364" s="27">
        <f>IFERROR(VLOOKUP(C364,Custo_MI_Device!$B$2:$E$102,3,FALSE),0)</f>
        <v>0</v>
      </c>
      <c r="N364" s="27">
        <f t="shared" si="16"/>
        <v>0</v>
      </c>
      <c r="O364" s="178">
        <f t="shared" si="17"/>
        <v>0</v>
      </c>
    </row>
    <row r="365" spans="1:15" ht="12.75" hidden="1">
      <c r="A365" s="25">
        <v>1117</v>
      </c>
      <c r="B365" s="25" t="s">
        <v>17</v>
      </c>
      <c r="C365" s="26" t="s">
        <v>27</v>
      </c>
      <c r="D365" s="27"/>
      <c r="E365" s="28" t="s">
        <v>145</v>
      </c>
      <c r="F365" s="29" t="s">
        <v>146</v>
      </c>
      <c r="G365" s="30">
        <v>1</v>
      </c>
      <c r="H365" s="27" t="s">
        <v>137</v>
      </c>
      <c r="I365" s="26" t="s">
        <v>138</v>
      </c>
      <c r="J365" s="31">
        <v>1.95</v>
      </c>
      <c r="K365" s="32">
        <f t="shared" si="15"/>
        <v>1.95</v>
      </c>
      <c r="L365" s="29" t="s">
        <v>146</v>
      </c>
      <c r="M365" s="27">
        <f>IFERROR(VLOOKUP(C365,Custo_MI_Device!$B$2:$E$102,3,FALSE),0)</f>
        <v>0</v>
      </c>
      <c r="N365" s="27">
        <f t="shared" si="16"/>
        <v>0</v>
      </c>
      <c r="O365" s="178">
        <f t="shared" si="17"/>
        <v>0</v>
      </c>
    </row>
    <row r="366" spans="1:15" ht="12.75" hidden="1">
      <c r="A366" s="25">
        <v>3080</v>
      </c>
      <c r="B366" s="25" t="s">
        <v>17</v>
      </c>
      <c r="C366" s="26" t="s">
        <v>27</v>
      </c>
      <c r="D366" s="27">
        <v>74122000</v>
      </c>
      <c r="E366" s="28" t="s">
        <v>153</v>
      </c>
      <c r="F366" s="29" t="s">
        <v>154</v>
      </c>
      <c r="G366" s="30">
        <v>1</v>
      </c>
      <c r="H366" s="27" t="s">
        <v>137</v>
      </c>
      <c r="I366" s="26" t="s">
        <v>155</v>
      </c>
      <c r="J366" s="31">
        <v>3.3</v>
      </c>
      <c r="K366" s="32">
        <f t="shared" si="15"/>
        <v>3.3</v>
      </c>
      <c r="L366" s="29" t="s">
        <v>154</v>
      </c>
      <c r="M366" s="27">
        <f>IFERROR(VLOOKUP(C366,Custo_MI_Device!$B$2:$E$102,3,FALSE),0)</f>
        <v>0</v>
      </c>
      <c r="N366" s="27">
        <f t="shared" si="16"/>
        <v>0</v>
      </c>
      <c r="O366" s="178">
        <f t="shared" si="17"/>
        <v>0</v>
      </c>
    </row>
    <row r="367" spans="1:15" ht="25.5" hidden="1">
      <c r="A367" s="25">
        <v>4054</v>
      </c>
      <c r="B367" s="25" t="s">
        <v>17</v>
      </c>
      <c r="C367" s="26" t="s">
        <v>27</v>
      </c>
      <c r="D367" s="27">
        <v>85444900</v>
      </c>
      <c r="E367" s="28" t="s">
        <v>163</v>
      </c>
      <c r="F367" s="29">
        <v>900550</v>
      </c>
      <c r="G367" s="30">
        <v>40</v>
      </c>
      <c r="H367" s="27" t="s">
        <v>158</v>
      </c>
      <c r="I367" s="26" t="s">
        <v>164</v>
      </c>
      <c r="J367" s="31">
        <v>3.1</v>
      </c>
      <c r="K367" s="32">
        <f t="shared" si="15"/>
        <v>124</v>
      </c>
      <c r="L367" s="29">
        <v>900550</v>
      </c>
      <c r="M367" s="27">
        <f>IFERROR(VLOOKUP(C367,Custo_MI_Device!$B$2:$E$102,3,FALSE),0)</f>
        <v>0</v>
      </c>
      <c r="N367" s="27">
        <f t="shared" si="16"/>
        <v>0</v>
      </c>
      <c r="O367" s="178">
        <f t="shared" si="17"/>
        <v>0</v>
      </c>
    </row>
    <row r="368" spans="1:15" ht="25.5" hidden="1">
      <c r="A368" s="25">
        <v>5139</v>
      </c>
      <c r="B368" s="25" t="s">
        <v>17</v>
      </c>
      <c r="C368" s="26" t="s">
        <v>27</v>
      </c>
      <c r="D368" s="27">
        <v>85444900</v>
      </c>
      <c r="E368" s="28" t="s">
        <v>170</v>
      </c>
      <c r="F368" s="29" t="s">
        <v>171</v>
      </c>
      <c r="G368" s="30">
        <v>15</v>
      </c>
      <c r="H368" s="27" t="s">
        <v>158</v>
      </c>
      <c r="I368" s="26" t="s">
        <v>172</v>
      </c>
      <c r="J368" s="31">
        <v>7.5</v>
      </c>
      <c r="K368" s="32">
        <f t="shared" si="15"/>
        <v>112.5</v>
      </c>
      <c r="L368" s="29" t="s">
        <v>173</v>
      </c>
      <c r="M368" s="27">
        <f>IFERROR(VLOOKUP(C368,Custo_MI_Device!$B$2:$E$102,3,FALSE),0)</f>
        <v>0</v>
      </c>
      <c r="N368" s="27">
        <f t="shared" si="16"/>
        <v>0</v>
      </c>
      <c r="O368" s="178">
        <f t="shared" si="17"/>
        <v>0</v>
      </c>
    </row>
    <row r="369" spans="1:15" ht="12.75" hidden="1">
      <c r="A369" s="25">
        <v>2805</v>
      </c>
      <c r="B369" s="25" t="s">
        <v>17</v>
      </c>
      <c r="C369" s="26" t="s">
        <v>27</v>
      </c>
      <c r="D369" s="27">
        <v>72162100</v>
      </c>
      <c r="E369" s="28" t="s">
        <v>174</v>
      </c>
      <c r="F369" s="29">
        <v>0</v>
      </c>
      <c r="G369" s="30">
        <v>2.9</v>
      </c>
      <c r="H369" s="27" t="s">
        <v>175</v>
      </c>
      <c r="I369" s="26" t="s">
        <v>176</v>
      </c>
      <c r="J369" s="31">
        <v>4.22</v>
      </c>
      <c r="K369" s="32">
        <f t="shared" si="15"/>
        <v>12.238</v>
      </c>
      <c r="L369" s="29" t="s">
        <v>177</v>
      </c>
      <c r="M369" s="27">
        <f>IFERROR(VLOOKUP(C369,Custo_MI_Device!$B$2:$E$102,3,FALSE),0)</f>
        <v>0</v>
      </c>
      <c r="N369" s="27">
        <f t="shared" si="16"/>
        <v>0</v>
      </c>
      <c r="O369" s="178">
        <f t="shared" si="17"/>
        <v>0</v>
      </c>
    </row>
    <row r="370" spans="1:15" ht="12.75" hidden="1">
      <c r="A370" s="25">
        <v>2904</v>
      </c>
      <c r="B370" s="25" t="s">
        <v>17</v>
      </c>
      <c r="C370" s="26" t="s">
        <v>27</v>
      </c>
      <c r="D370" s="27">
        <v>76090000</v>
      </c>
      <c r="E370" s="28" t="s">
        <v>195</v>
      </c>
      <c r="F370" s="29" t="s">
        <v>196</v>
      </c>
      <c r="G370" s="30">
        <v>0.75</v>
      </c>
      <c r="H370" s="27" t="s">
        <v>137</v>
      </c>
      <c r="I370" s="26" t="s">
        <v>138</v>
      </c>
      <c r="J370" s="31">
        <v>6.7</v>
      </c>
      <c r="K370" s="32">
        <f t="shared" si="15"/>
        <v>5.0250000000000004</v>
      </c>
      <c r="L370" s="29" t="s">
        <v>196</v>
      </c>
      <c r="M370" s="27">
        <f>IFERROR(VLOOKUP(C370,Custo_MI_Device!$B$2:$E$102,3,FALSE),0)</f>
        <v>0</v>
      </c>
      <c r="N370" s="27">
        <f t="shared" si="16"/>
        <v>0</v>
      </c>
      <c r="O370" s="178">
        <f t="shared" si="17"/>
        <v>0</v>
      </c>
    </row>
    <row r="371" spans="1:15" ht="12.75" hidden="1">
      <c r="A371" s="25">
        <v>2911</v>
      </c>
      <c r="B371" s="25" t="s">
        <v>17</v>
      </c>
      <c r="C371" s="26" t="s">
        <v>27</v>
      </c>
      <c r="D371" s="27">
        <v>76090000</v>
      </c>
      <c r="E371" s="28" t="s">
        <v>197</v>
      </c>
      <c r="F371" s="29" t="s">
        <v>198</v>
      </c>
      <c r="G371" s="30">
        <v>0.75</v>
      </c>
      <c r="H371" s="27" t="s">
        <v>137</v>
      </c>
      <c r="I371" s="26" t="s">
        <v>138</v>
      </c>
      <c r="J371" s="31">
        <v>6.7</v>
      </c>
      <c r="K371" s="32">
        <f t="shared" si="15"/>
        <v>5.0250000000000004</v>
      </c>
      <c r="L371" s="29" t="s">
        <v>198</v>
      </c>
      <c r="M371" s="27">
        <f>IFERROR(VLOOKUP(C371,Custo_MI_Device!$B$2:$E$102,3,FALSE),0)</f>
        <v>0</v>
      </c>
      <c r="N371" s="27">
        <f t="shared" si="16"/>
        <v>0</v>
      </c>
      <c r="O371" s="178">
        <f t="shared" si="17"/>
        <v>0</v>
      </c>
    </row>
    <row r="372" spans="1:15" ht="12.75" hidden="1">
      <c r="A372" s="25">
        <v>4823</v>
      </c>
      <c r="B372" s="25" t="s">
        <v>17</v>
      </c>
      <c r="C372" s="26" t="s">
        <v>27</v>
      </c>
      <c r="D372" s="27">
        <v>76090000</v>
      </c>
      <c r="E372" s="28" t="s">
        <v>199</v>
      </c>
      <c r="F372" s="29" t="s">
        <v>200</v>
      </c>
      <c r="G372" s="30">
        <v>0.75</v>
      </c>
      <c r="H372" s="27" t="s">
        <v>137</v>
      </c>
      <c r="I372" s="26" t="s">
        <v>138</v>
      </c>
      <c r="J372" s="31">
        <v>6.7</v>
      </c>
      <c r="K372" s="32">
        <f t="shared" si="15"/>
        <v>5.0250000000000004</v>
      </c>
      <c r="L372" s="29" t="s">
        <v>200</v>
      </c>
      <c r="M372" s="27">
        <f>IFERROR(VLOOKUP(C372,Custo_MI_Device!$B$2:$E$102,3,FALSE),0)</f>
        <v>0</v>
      </c>
      <c r="N372" s="27">
        <f t="shared" si="16"/>
        <v>0</v>
      </c>
      <c r="O372" s="178">
        <f t="shared" si="17"/>
        <v>0</v>
      </c>
    </row>
    <row r="373" spans="1:15" ht="25.5" hidden="1">
      <c r="A373" s="25">
        <v>4306</v>
      </c>
      <c r="B373" s="25" t="s">
        <v>17</v>
      </c>
      <c r="C373" s="26" t="s">
        <v>27</v>
      </c>
      <c r="D373" s="27">
        <v>73063000</v>
      </c>
      <c r="E373" s="28" t="s">
        <v>239</v>
      </c>
      <c r="F373" s="29">
        <v>0</v>
      </c>
      <c r="G373" s="30">
        <v>2</v>
      </c>
      <c r="H373" s="27" t="s">
        <v>232</v>
      </c>
      <c r="I373" s="26" t="s">
        <v>233</v>
      </c>
      <c r="J373" s="31">
        <v>32</v>
      </c>
      <c r="K373" s="32">
        <f t="shared" si="15"/>
        <v>64</v>
      </c>
      <c r="L373" s="29" t="s">
        <v>240</v>
      </c>
      <c r="M373" s="27">
        <f>IFERROR(VLOOKUP(C373,Custo_MI_Device!$B$2:$E$102,3,FALSE),0)</f>
        <v>0</v>
      </c>
      <c r="N373" s="27">
        <f t="shared" si="16"/>
        <v>0</v>
      </c>
      <c r="O373" s="178">
        <f t="shared" si="17"/>
        <v>0</v>
      </c>
    </row>
    <row r="374" spans="1:15" ht="12.75" hidden="1">
      <c r="A374" s="25">
        <v>3274</v>
      </c>
      <c r="B374" s="25" t="s">
        <v>17</v>
      </c>
      <c r="C374" s="26" t="s">
        <v>27</v>
      </c>
      <c r="D374" s="27">
        <v>73181500</v>
      </c>
      <c r="E374" s="28" t="s">
        <v>265</v>
      </c>
      <c r="F374" s="29" t="s">
        <v>266</v>
      </c>
      <c r="G374" s="30">
        <v>24</v>
      </c>
      <c r="H374" s="27" t="s">
        <v>137</v>
      </c>
      <c r="I374" s="26" t="s">
        <v>256</v>
      </c>
      <c r="J374" s="31">
        <v>0.06</v>
      </c>
      <c r="K374" s="32">
        <f t="shared" si="15"/>
        <v>1.44</v>
      </c>
      <c r="L374" s="29" t="s">
        <v>266</v>
      </c>
      <c r="M374" s="27">
        <f>IFERROR(VLOOKUP(C374,Custo_MI_Device!$B$2:$E$102,3,FALSE),0)</f>
        <v>0</v>
      </c>
      <c r="N374" s="27">
        <f t="shared" si="16"/>
        <v>0</v>
      </c>
      <c r="O374" s="178">
        <f t="shared" si="17"/>
        <v>0</v>
      </c>
    </row>
    <row r="375" spans="1:15" ht="25.5" hidden="1">
      <c r="A375" s="25">
        <v>1611</v>
      </c>
      <c r="B375" s="25" t="s">
        <v>17</v>
      </c>
      <c r="C375" s="26" t="s">
        <v>27</v>
      </c>
      <c r="D375" s="27">
        <v>39174090</v>
      </c>
      <c r="E375" s="28" t="s">
        <v>275</v>
      </c>
      <c r="F375" s="29" t="s">
        <v>276</v>
      </c>
      <c r="G375" s="30">
        <v>2</v>
      </c>
      <c r="H375" s="27" t="s">
        <v>137</v>
      </c>
      <c r="I375" s="26" t="s">
        <v>277</v>
      </c>
      <c r="J375" s="31">
        <v>7.8</v>
      </c>
      <c r="K375" s="32">
        <f t="shared" si="15"/>
        <v>15.6</v>
      </c>
      <c r="L375" s="29" t="s">
        <v>276</v>
      </c>
      <c r="M375" s="27">
        <f>IFERROR(VLOOKUP(C375,Custo_MI_Device!$B$2:$E$102,3,FALSE),0)</f>
        <v>0</v>
      </c>
      <c r="N375" s="27">
        <f t="shared" si="16"/>
        <v>0</v>
      </c>
      <c r="O375" s="178">
        <f t="shared" si="17"/>
        <v>0</v>
      </c>
    </row>
    <row r="376" spans="1:15" ht="12.75" hidden="1">
      <c r="A376" s="25">
        <v>2534</v>
      </c>
      <c r="B376" s="25" t="s">
        <v>17</v>
      </c>
      <c r="C376" s="26" t="s">
        <v>28</v>
      </c>
      <c r="D376" s="27">
        <v>73072900</v>
      </c>
      <c r="E376" s="28" t="s">
        <v>314</v>
      </c>
      <c r="F376" s="29" t="s">
        <v>315</v>
      </c>
      <c r="G376" s="30">
        <v>12</v>
      </c>
      <c r="H376" s="27" t="s">
        <v>137</v>
      </c>
      <c r="I376" s="26" t="s">
        <v>256</v>
      </c>
      <c r="J376" s="31">
        <v>1.2</v>
      </c>
      <c r="K376" s="32">
        <f t="shared" si="15"/>
        <v>14.399999999999999</v>
      </c>
      <c r="L376" s="29" t="s">
        <v>315</v>
      </c>
      <c r="M376" s="27">
        <f>IFERROR(VLOOKUP(C376,Custo_MI_Device!$B$2:$E$102,3,FALSE),0)</f>
        <v>0</v>
      </c>
      <c r="N376" s="27">
        <f t="shared" si="16"/>
        <v>0</v>
      </c>
      <c r="O376" s="178">
        <f t="shared" si="17"/>
        <v>0</v>
      </c>
    </row>
    <row r="377" spans="1:15" ht="12.75" hidden="1">
      <c r="A377" s="25">
        <v>1669</v>
      </c>
      <c r="B377" s="25" t="s">
        <v>17</v>
      </c>
      <c r="C377" s="26" t="s">
        <v>28</v>
      </c>
      <c r="D377" s="27">
        <v>39269090</v>
      </c>
      <c r="E377" s="28" t="s">
        <v>316</v>
      </c>
      <c r="F377" s="29" t="s">
        <v>317</v>
      </c>
      <c r="G377" s="30">
        <v>3</v>
      </c>
      <c r="H377" s="27" t="s">
        <v>137</v>
      </c>
      <c r="I377" s="26" t="s">
        <v>318</v>
      </c>
      <c r="J377" s="31">
        <v>0.04</v>
      </c>
      <c r="K377" s="32">
        <f t="shared" si="15"/>
        <v>0.12</v>
      </c>
      <c r="L377" s="29" t="s">
        <v>317</v>
      </c>
      <c r="M377" s="27">
        <f>IFERROR(VLOOKUP(C377,Custo_MI_Device!$B$2:$E$102,3,FALSE),0)</f>
        <v>0</v>
      </c>
      <c r="N377" s="27">
        <f t="shared" si="16"/>
        <v>0</v>
      </c>
      <c r="O377" s="178">
        <f t="shared" si="17"/>
        <v>0</v>
      </c>
    </row>
    <row r="378" spans="1:15" ht="12.75" hidden="1">
      <c r="A378" s="25">
        <v>5091</v>
      </c>
      <c r="B378" s="25" t="s">
        <v>17</v>
      </c>
      <c r="C378" s="26" t="s">
        <v>28</v>
      </c>
      <c r="D378" s="27">
        <v>73181500</v>
      </c>
      <c r="E378" s="28" t="s">
        <v>323</v>
      </c>
      <c r="F378" s="29" t="s">
        <v>324</v>
      </c>
      <c r="G378" s="30">
        <v>24</v>
      </c>
      <c r="H378" s="27" t="s">
        <v>137</v>
      </c>
      <c r="I378" s="26" t="s">
        <v>256</v>
      </c>
      <c r="J378" s="31">
        <v>0.04</v>
      </c>
      <c r="K378" s="32">
        <f t="shared" si="15"/>
        <v>0.96</v>
      </c>
      <c r="L378" s="29" t="s">
        <v>324</v>
      </c>
      <c r="M378" s="27">
        <f>IFERROR(VLOOKUP(C378,Custo_MI_Device!$B$2:$E$102,3,FALSE),0)</f>
        <v>0</v>
      </c>
      <c r="N378" s="27">
        <f t="shared" si="16"/>
        <v>0</v>
      </c>
      <c r="O378" s="178">
        <f t="shared" si="17"/>
        <v>0</v>
      </c>
    </row>
    <row r="379" spans="1:15" ht="12.75" hidden="1">
      <c r="A379" s="25">
        <v>83</v>
      </c>
      <c r="B379" s="25" t="s">
        <v>17</v>
      </c>
      <c r="C379" s="26" t="s">
        <v>28</v>
      </c>
      <c r="D379" s="27"/>
      <c r="E379" s="28" t="s">
        <v>150</v>
      </c>
      <c r="F379" s="29" t="s">
        <v>148</v>
      </c>
      <c r="G379" s="30">
        <v>1</v>
      </c>
      <c r="H379" s="27" t="s">
        <v>137</v>
      </c>
      <c r="I379" s="26" t="s">
        <v>149</v>
      </c>
      <c r="J379" s="31">
        <v>4.8</v>
      </c>
      <c r="K379" s="32">
        <f t="shared" si="15"/>
        <v>4.8</v>
      </c>
      <c r="L379" s="29" t="s">
        <v>148</v>
      </c>
      <c r="M379" s="27">
        <f>IFERROR(VLOOKUP(C379,Custo_MI_Device!$B$2:$E$102,3,FALSE),0)</f>
        <v>0</v>
      </c>
      <c r="N379" s="27">
        <f t="shared" si="16"/>
        <v>0</v>
      </c>
      <c r="O379" s="178">
        <f t="shared" si="17"/>
        <v>0</v>
      </c>
    </row>
    <row r="380" spans="1:15" ht="12.75" hidden="1">
      <c r="A380" s="25">
        <v>3080</v>
      </c>
      <c r="B380" s="25" t="s">
        <v>17</v>
      </c>
      <c r="C380" s="26" t="s">
        <v>28</v>
      </c>
      <c r="D380" s="27">
        <v>74122000</v>
      </c>
      <c r="E380" s="28" t="s">
        <v>153</v>
      </c>
      <c r="F380" s="29" t="s">
        <v>154</v>
      </c>
      <c r="G380" s="30">
        <v>1</v>
      </c>
      <c r="H380" s="27" t="s">
        <v>137</v>
      </c>
      <c r="I380" s="26" t="s">
        <v>155</v>
      </c>
      <c r="J380" s="31">
        <v>3.3</v>
      </c>
      <c r="K380" s="32">
        <f t="shared" si="15"/>
        <v>3.3</v>
      </c>
      <c r="L380" s="29" t="s">
        <v>154</v>
      </c>
      <c r="M380" s="27">
        <f>IFERROR(VLOOKUP(C380,Custo_MI_Device!$B$2:$E$102,3,FALSE),0)</f>
        <v>0</v>
      </c>
      <c r="N380" s="27">
        <f t="shared" si="16"/>
        <v>0</v>
      </c>
      <c r="O380" s="178">
        <f t="shared" si="17"/>
        <v>0</v>
      </c>
    </row>
    <row r="381" spans="1:15" ht="25.5" hidden="1">
      <c r="A381" s="25">
        <v>4054</v>
      </c>
      <c r="B381" s="25" t="s">
        <v>17</v>
      </c>
      <c r="C381" s="26" t="s">
        <v>28</v>
      </c>
      <c r="D381" s="27">
        <v>85444900</v>
      </c>
      <c r="E381" s="28" t="s">
        <v>163</v>
      </c>
      <c r="F381" s="29">
        <v>900550</v>
      </c>
      <c r="G381" s="30">
        <v>40</v>
      </c>
      <c r="H381" s="27" t="s">
        <v>158</v>
      </c>
      <c r="I381" s="26" t="s">
        <v>164</v>
      </c>
      <c r="J381" s="31">
        <v>3.1</v>
      </c>
      <c r="K381" s="32">
        <f t="shared" si="15"/>
        <v>124</v>
      </c>
      <c r="L381" s="29">
        <v>900550</v>
      </c>
      <c r="M381" s="27">
        <f>IFERROR(VLOOKUP(C381,Custo_MI_Device!$B$2:$E$102,3,FALSE),0)</f>
        <v>0</v>
      </c>
      <c r="N381" s="27">
        <f t="shared" si="16"/>
        <v>0</v>
      </c>
      <c r="O381" s="178">
        <f t="shared" si="17"/>
        <v>0</v>
      </c>
    </row>
    <row r="382" spans="1:15" ht="38.25" hidden="1">
      <c r="A382" s="25">
        <v>3585</v>
      </c>
      <c r="B382" s="25" t="s">
        <v>17</v>
      </c>
      <c r="C382" s="26" t="s">
        <v>28</v>
      </c>
      <c r="D382" s="27">
        <v>85444900</v>
      </c>
      <c r="E382" s="28" t="s">
        <v>328</v>
      </c>
      <c r="F382" s="29">
        <v>900400</v>
      </c>
      <c r="G382" s="33">
        <v>0</v>
      </c>
      <c r="H382" s="27" t="s">
        <v>158</v>
      </c>
      <c r="I382" s="26" t="s">
        <v>164</v>
      </c>
      <c r="J382" s="31">
        <v>1.7</v>
      </c>
      <c r="K382" s="32">
        <f t="shared" si="15"/>
        <v>0</v>
      </c>
      <c r="L382" s="29">
        <v>900400</v>
      </c>
      <c r="M382" s="27">
        <f>IFERROR(VLOOKUP(C382,Custo_MI_Device!$B$2:$E$102,3,FALSE),0)</f>
        <v>0</v>
      </c>
      <c r="N382" s="27">
        <f t="shared" si="16"/>
        <v>0</v>
      </c>
      <c r="O382" s="178">
        <f t="shared" si="17"/>
        <v>0</v>
      </c>
    </row>
    <row r="383" spans="1:15" ht="12.75" hidden="1">
      <c r="A383" s="25">
        <v>2805</v>
      </c>
      <c r="B383" s="25" t="s">
        <v>17</v>
      </c>
      <c r="C383" s="26" t="s">
        <v>28</v>
      </c>
      <c r="D383" s="27">
        <v>72162100</v>
      </c>
      <c r="E383" s="28" t="s">
        <v>174</v>
      </c>
      <c r="F383" s="29">
        <v>0</v>
      </c>
      <c r="G383" s="30">
        <v>2.9</v>
      </c>
      <c r="H383" s="27" t="s">
        <v>175</v>
      </c>
      <c r="I383" s="26" t="s">
        <v>176</v>
      </c>
      <c r="J383" s="31">
        <v>4.22</v>
      </c>
      <c r="K383" s="32">
        <f t="shared" si="15"/>
        <v>12.238</v>
      </c>
      <c r="L383" s="29" t="s">
        <v>177</v>
      </c>
      <c r="M383" s="27">
        <f>IFERROR(VLOOKUP(C383,Custo_MI_Device!$B$2:$E$102,3,FALSE),0)</f>
        <v>0</v>
      </c>
      <c r="N383" s="27">
        <f t="shared" si="16"/>
        <v>0</v>
      </c>
      <c r="O383" s="178">
        <f t="shared" si="17"/>
        <v>0</v>
      </c>
    </row>
    <row r="384" spans="1:15" ht="25.5" hidden="1">
      <c r="A384" s="25">
        <v>3738</v>
      </c>
      <c r="B384" s="25" t="s">
        <v>17</v>
      </c>
      <c r="C384" s="26" t="s">
        <v>28</v>
      </c>
      <c r="D384" s="27">
        <v>73071100</v>
      </c>
      <c r="E384" s="28" t="s">
        <v>205</v>
      </c>
      <c r="F384" s="29" t="s">
        <v>206</v>
      </c>
      <c r="G384" s="30">
        <v>0.75</v>
      </c>
      <c r="H384" s="27" t="s">
        <v>137</v>
      </c>
      <c r="I384" s="26" t="s">
        <v>149</v>
      </c>
      <c r="J384" s="31">
        <v>27</v>
      </c>
      <c r="K384" s="32">
        <f t="shared" si="15"/>
        <v>20.25</v>
      </c>
      <c r="L384" s="29" t="s">
        <v>206</v>
      </c>
      <c r="M384" s="27">
        <f>IFERROR(VLOOKUP(C384,Custo_MI_Device!$B$2:$E$102,3,FALSE),0)</f>
        <v>0</v>
      </c>
      <c r="N384" s="27">
        <f t="shared" si="16"/>
        <v>0</v>
      </c>
      <c r="O384" s="178">
        <f t="shared" si="17"/>
        <v>0</v>
      </c>
    </row>
    <row r="385" spans="1:15" ht="25.5" hidden="1">
      <c r="A385" s="25">
        <v>1710</v>
      </c>
      <c r="B385" s="25" t="s">
        <v>17</v>
      </c>
      <c r="C385" s="26" t="s">
        <v>28</v>
      </c>
      <c r="D385" s="27">
        <v>73071100</v>
      </c>
      <c r="E385" s="28" t="s">
        <v>207</v>
      </c>
      <c r="F385" s="29" t="s">
        <v>208</v>
      </c>
      <c r="G385" s="30">
        <v>0.75</v>
      </c>
      <c r="H385" s="27" t="s">
        <v>137</v>
      </c>
      <c r="I385" s="26" t="s">
        <v>149</v>
      </c>
      <c r="J385" s="31">
        <v>27</v>
      </c>
      <c r="K385" s="32">
        <f t="shared" si="15"/>
        <v>20.25</v>
      </c>
      <c r="L385" s="29" t="s">
        <v>208</v>
      </c>
      <c r="M385" s="27">
        <f>IFERROR(VLOOKUP(C385,Custo_MI_Device!$B$2:$E$102,3,FALSE),0)</f>
        <v>0</v>
      </c>
      <c r="N385" s="27">
        <f t="shared" si="16"/>
        <v>0</v>
      </c>
      <c r="O385" s="178">
        <f t="shared" si="17"/>
        <v>0</v>
      </c>
    </row>
    <row r="386" spans="1:15" ht="25.5" hidden="1">
      <c r="A386" s="25">
        <v>1715</v>
      </c>
      <c r="B386" s="25" t="s">
        <v>17</v>
      </c>
      <c r="C386" s="26" t="s">
        <v>28</v>
      </c>
      <c r="D386" s="27">
        <v>73071100</v>
      </c>
      <c r="E386" s="28" t="s">
        <v>209</v>
      </c>
      <c r="F386" s="29" t="s">
        <v>210</v>
      </c>
      <c r="G386" s="30">
        <v>0.75</v>
      </c>
      <c r="H386" s="27" t="s">
        <v>137</v>
      </c>
      <c r="I386" s="26" t="s">
        <v>149</v>
      </c>
      <c r="J386" s="31">
        <v>27</v>
      </c>
      <c r="K386" s="32">
        <f t="shared" si="15"/>
        <v>20.25</v>
      </c>
      <c r="L386" s="29" t="s">
        <v>210</v>
      </c>
      <c r="M386" s="27">
        <f>IFERROR(VLOOKUP(C386,Custo_MI_Device!$B$2:$E$102,3,FALSE),0)</f>
        <v>0</v>
      </c>
      <c r="N386" s="27">
        <f t="shared" si="16"/>
        <v>0</v>
      </c>
      <c r="O386" s="178">
        <f t="shared" si="17"/>
        <v>0</v>
      </c>
    </row>
    <row r="387" spans="1:15" ht="25.5" hidden="1">
      <c r="A387" s="25">
        <v>3417</v>
      </c>
      <c r="B387" s="25" t="s">
        <v>17</v>
      </c>
      <c r="C387" s="26" t="s">
        <v>28</v>
      </c>
      <c r="D387" s="27">
        <v>73063000</v>
      </c>
      <c r="E387" s="28" t="s">
        <v>231</v>
      </c>
      <c r="F387" s="29">
        <v>0</v>
      </c>
      <c r="G387" s="30">
        <v>2</v>
      </c>
      <c r="H387" s="27" t="s">
        <v>232</v>
      </c>
      <c r="I387" s="26" t="s">
        <v>233</v>
      </c>
      <c r="J387" s="31">
        <v>33.47</v>
      </c>
      <c r="K387" s="32">
        <f t="shared" ref="K387:K450" si="18">G387*J387</f>
        <v>66.94</v>
      </c>
      <c r="L387" s="29" t="s">
        <v>234</v>
      </c>
      <c r="M387" s="27">
        <f>IFERROR(VLOOKUP(C387,Custo_MI_Device!$B$2:$E$102,3,FALSE),0)</f>
        <v>0</v>
      </c>
      <c r="N387" s="27">
        <f t="shared" ref="N387:N450" si="19">ROUNDUP(M387*G387,0)</f>
        <v>0</v>
      </c>
      <c r="O387" s="178">
        <f t="shared" ref="O387:O450" si="20">N387*J387</f>
        <v>0</v>
      </c>
    </row>
    <row r="388" spans="1:15" ht="12.75" hidden="1">
      <c r="A388" s="25">
        <v>1965</v>
      </c>
      <c r="B388" s="25" t="s">
        <v>17</v>
      </c>
      <c r="C388" s="26" t="s">
        <v>28</v>
      </c>
      <c r="D388" s="27">
        <v>73071100</v>
      </c>
      <c r="E388" s="28" t="s">
        <v>251</v>
      </c>
      <c r="F388" s="29" t="s">
        <v>252</v>
      </c>
      <c r="G388" s="30">
        <v>1</v>
      </c>
      <c r="H388" s="27" t="s">
        <v>137</v>
      </c>
      <c r="I388" s="26" t="s">
        <v>253</v>
      </c>
      <c r="J388" s="31">
        <v>5.5</v>
      </c>
      <c r="K388" s="32">
        <f t="shared" si="18"/>
        <v>5.5</v>
      </c>
      <c r="L388" s="29" t="s">
        <v>252</v>
      </c>
      <c r="M388" s="27">
        <f>IFERROR(VLOOKUP(C388,Custo_MI_Device!$B$2:$E$102,3,FALSE),0)</f>
        <v>0</v>
      </c>
      <c r="N388" s="27">
        <f t="shared" si="19"/>
        <v>0</v>
      </c>
      <c r="O388" s="178">
        <f t="shared" si="20"/>
        <v>0</v>
      </c>
    </row>
    <row r="389" spans="1:15" ht="12.75" hidden="1">
      <c r="A389" s="25">
        <v>3274</v>
      </c>
      <c r="B389" s="25" t="s">
        <v>17</v>
      </c>
      <c r="C389" s="26" t="s">
        <v>28</v>
      </c>
      <c r="D389" s="27">
        <v>73181500</v>
      </c>
      <c r="E389" s="28" t="s">
        <v>265</v>
      </c>
      <c r="F389" s="29" t="s">
        <v>266</v>
      </c>
      <c r="G389" s="30">
        <v>24</v>
      </c>
      <c r="H389" s="27" t="s">
        <v>137</v>
      </c>
      <c r="I389" s="26" t="s">
        <v>256</v>
      </c>
      <c r="J389" s="31">
        <v>0.06</v>
      </c>
      <c r="K389" s="32">
        <f t="shared" si="18"/>
        <v>1.44</v>
      </c>
      <c r="L389" s="29" t="s">
        <v>266</v>
      </c>
      <c r="M389" s="27">
        <f>IFERROR(VLOOKUP(C389,Custo_MI_Device!$B$2:$E$102,3,FALSE),0)</f>
        <v>0</v>
      </c>
      <c r="N389" s="27">
        <f t="shared" si="19"/>
        <v>0</v>
      </c>
      <c r="O389" s="178">
        <f t="shared" si="20"/>
        <v>0</v>
      </c>
    </row>
    <row r="390" spans="1:15" ht="12.75" hidden="1">
      <c r="A390" s="25">
        <v>5081</v>
      </c>
      <c r="B390" s="25" t="s">
        <v>17</v>
      </c>
      <c r="C390" s="26" t="s">
        <v>28</v>
      </c>
      <c r="D390" s="27">
        <v>73145000</v>
      </c>
      <c r="E390" s="28" t="s">
        <v>278</v>
      </c>
      <c r="F390" s="29">
        <v>0</v>
      </c>
      <c r="G390" s="30">
        <v>1</v>
      </c>
      <c r="H390" s="27" t="s">
        <v>137</v>
      </c>
      <c r="I390" s="26" t="s">
        <v>279</v>
      </c>
      <c r="J390" s="31">
        <v>23</v>
      </c>
      <c r="K390" s="32">
        <f t="shared" si="18"/>
        <v>23</v>
      </c>
      <c r="L390" s="29" t="s">
        <v>280</v>
      </c>
      <c r="M390" s="27">
        <f>IFERROR(VLOOKUP(C390,Custo_MI_Device!$B$2:$E$102,3,FALSE),0)</f>
        <v>0</v>
      </c>
      <c r="N390" s="27">
        <f t="shared" si="19"/>
        <v>0</v>
      </c>
      <c r="O390" s="178">
        <f t="shared" si="20"/>
        <v>0</v>
      </c>
    </row>
    <row r="391" spans="1:15" ht="25.5" hidden="1">
      <c r="A391" s="25">
        <v>5147</v>
      </c>
      <c r="B391" s="25" t="s">
        <v>17</v>
      </c>
      <c r="C391" s="26" t="s">
        <v>28</v>
      </c>
      <c r="D391" s="27">
        <v>83079000</v>
      </c>
      <c r="E391" s="28" t="s">
        <v>293</v>
      </c>
      <c r="F391" s="29" t="s">
        <v>294</v>
      </c>
      <c r="G391" s="30">
        <v>1</v>
      </c>
      <c r="H391" s="27" t="s">
        <v>137</v>
      </c>
      <c r="I391" s="26" t="s">
        <v>180</v>
      </c>
      <c r="J391" s="31">
        <v>155</v>
      </c>
      <c r="K391" s="32">
        <f t="shared" si="18"/>
        <v>155</v>
      </c>
      <c r="L391" s="29" t="s">
        <v>294</v>
      </c>
      <c r="M391" s="27">
        <f>IFERROR(VLOOKUP(C391,Custo_MI_Device!$B$2:$E$102,3,FALSE),0)</f>
        <v>0</v>
      </c>
      <c r="N391" s="27">
        <f t="shared" si="19"/>
        <v>0</v>
      </c>
      <c r="O391" s="178">
        <f t="shared" si="20"/>
        <v>0</v>
      </c>
    </row>
    <row r="392" spans="1:15" ht="25.5" hidden="1">
      <c r="A392" s="25">
        <v>4834</v>
      </c>
      <c r="B392" s="25" t="s">
        <v>17</v>
      </c>
      <c r="C392" s="26" t="s">
        <v>28</v>
      </c>
      <c r="D392" s="27">
        <v>73071100</v>
      </c>
      <c r="E392" s="28" t="s">
        <v>299</v>
      </c>
      <c r="F392" s="29" t="s">
        <v>300</v>
      </c>
      <c r="G392" s="30">
        <v>1</v>
      </c>
      <c r="H392" s="27" t="s">
        <v>137</v>
      </c>
      <c r="I392" s="26" t="s">
        <v>149</v>
      </c>
      <c r="J392" s="31">
        <v>28</v>
      </c>
      <c r="K392" s="32">
        <f t="shared" si="18"/>
        <v>28</v>
      </c>
      <c r="L392" s="29" t="s">
        <v>300</v>
      </c>
      <c r="M392" s="27">
        <f>IFERROR(VLOOKUP(C392,Custo_MI_Device!$B$2:$E$102,3,FALSE),0)</f>
        <v>0</v>
      </c>
      <c r="N392" s="27">
        <f t="shared" si="19"/>
        <v>0</v>
      </c>
      <c r="O392" s="178">
        <f t="shared" si="20"/>
        <v>0</v>
      </c>
    </row>
    <row r="393" spans="1:15" ht="12.75" hidden="1">
      <c r="A393" s="25">
        <v>2534</v>
      </c>
      <c r="B393" s="25" t="s">
        <v>17</v>
      </c>
      <c r="C393" s="26" t="s">
        <v>29</v>
      </c>
      <c r="D393" s="27">
        <v>73072900</v>
      </c>
      <c r="E393" s="28" t="s">
        <v>314</v>
      </c>
      <c r="F393" s="29" t="s">
        <v>315</v>
      </c>
      <c r="G393" s="30">
        <v>12</v>
      </c>
      <c r="H393" s="27" t="s">
        <v>137</v>
      </c>
      <c r="I393" s="26" t="s">
        <v>256</v>
      </c>
      <c r="J393" s="31">
        <v>1.2</v>
      </c>
      <c r="K393" s="32">
        <f t="shared" si="18"/>
        <v>14.399999999999999</v>
      </c>
      <c r="L393" s="29" t="s">
        <v>315</v>
      </c>
      <c r="M393" s="27">
        <f>IFERROR(VLOOKUP(C393,Custo_MI_Device!$B$2:$E$102,3,FALSE),0)</f>
        <v>0</v>
      </c>
      <c r="N393" s="27">
        <f t="shared" si="19"/>
        <v>0</v>
      </c>
      <c r="O393" s="178">
        <f t="shared" si="20"/>
        <v>0</v>
      </c>
    </row>
    <row r="394" spans="1:15" ht="12.75" hidden="1">
      <c r="A394" s="25">
        <v>1669</v>
      </c>
      <c r="B394" s="25" t="s">
        <v>17</v>
      </c>
      <c r="C394" s="26" t="s">
        <v>29</v>
      </c>
      <c r="D394" s="27">
        <v>39269090</v>
      </c>
      <c r="E394" s="28" t="s">
        <v>316</v>
      </c>
      <c r="F394" s="29" t="s">
        <v>317</v>
      </c>
      <c r="G394" s="30">
        <v>3</v>
      </c>
      <c r="H394" s="27" t="s">
        <v>137</v>
      </c>
      <c r="I394" s="26" t="s">
        <v>318</v>
      </c>
      <c r="J394" s="31">
        <v>0.04</v>
      </c>
      <c r="K394" s="32">
        <f t="shared" si="18"/>
        <v>0.12</v>
      </c>
      <c r="L394" s="29" t="s">
        <v>317</v>
      </c>
      <c r="M394" s="27">
        <f>IFERROR(VLOOKUP(C394,Custo_MI_Device!$B$2:$E$102,3,FALSE),0)</f>
        <v>0</v>
      </c>
      <c r="N394" s="27">
        <f t="shared" si="19"/>
        <v>0</v>
      </c>
      <c r="O394" s="178">
        <f t="shared" si="20"/>
        <v>0</v>
      </c>
    </row>
    <row r="395" spans="1:15" ht="12.75" hidden="1">
      <c r="A395" s="25">
        <v>5091</v>
      </c>
      <c r="B395" s="25" t="s">
        <v>17</v>
      </c>
      <c r="C395" s="26" t="s">
        <v>29</v>
      </c>
      <c r="D395" s="27">
        <v>73181500</v>
      </c>
      <c r="E395" s="28" t="s">
        <v>323</v>
      </c>
      <c r="F395" s="29" t="s">
        <v>324</v>
      </c>
      <c r="G395" s="30">
        <v>24</v>
      </c>
      <c r="H395" s="27" t="s">
        <v>137</v>
      </c>
      <c r="I395" s="26" t="s">
        <v>256</v>
      </c>
      <c r="J395" s="31">
        <v>0.04</v>
      </c>
      <c r="K395" s="32">
        <f t="shared" si="18"/>
        <v>0.96</v>
      </c>
      <c r="L395" s="29" t="s">
        <v>324</v>
      </c>
      <c r="M395" s="27">
        <f>IFERROR(VLOOKUP(C395,Custo_MI_Device!$B$2:$E$102,3,FALSE),0)</f>
        <v>0</v>
      </c>
      <c r="N395" s="27">
        <f t="shared" si="19"/>
        <v>0</v>
      </c>
      <c r="O395" s="178">
        <f t="shared" si="20"/>
        <v>0</v>
      </c>
    </row>
    <row r="396" spans="1:15" ht="12.75" hidden="1">
      <c r="A396" s="25">
        <v>83</v>
      </c>
      <c r="B396" s="25" t="s">
        <v>17</v>
      </c>
      <c r="C396" s="26" t="s">
        <v>29</v>
      </c>
      <c r="D396" s="27"/>
      <c r="E396" s="28" t="s">
        <v>150</v>
      </c>
      <c r="F396" s="29" t="s">
        <v>148</v>
      </c>
      <c r="G396" s="30">
        <v>1</v>
      </c>
      <c r="H396" s="27" t="s">
        <v>137</v>
      </c>
      <c r="I396" s="26" t="s">
        <v>149</v>
      </c>
      <c r="J396" s="31">
        <v>4.8</v>
      </c>
      <c r="K396" s="32">
        <f t="shared" si="18"/>
        <v>4.8</v>
      </c>
      <c r="L396" s="29" t="s">
        <v>148</v>
      </c>
      <c r="M396" s="27">
        <f>IFERROR(VLOOKUP(C396,Custo_MI_Device!$B$2:$E$102,3,FALSE),0)</f>
        <v>0</v>
      </c>
      <c r="N396" s="27">
        <f t="shared" si="19"/>
        <v>0</v>
      </c>
      <c r="O396" s="178">
        <f t="shared" si="20"/>
        <v>0</v>
      </c>
    </row>
    <row r="397" spans="1:15" ht="12.75" hidden="1">
      <c r="A397" s="25">
        <v>3080</v>
      </c>
      <c r="B397" s="25" t="s">
        <v>17</v>
      </c>
      <c r="C397" s="26" t="s">
        <v>29</v>
      </c>
      <c r="D397" s="27">
        <v>74122000</v>
      </c>
      <c r="E397" s="28" t="s">
        <v>153</v>
      </c>
      <c r="F397" s="29" t="s">
        <v>154</v>
      </c>
      <c r="G397" s="30">
        <v>1</v>
      </c>
      <c r="H397" s="27" t="s">
        <v>137</v>
      </c>
      <c r="I397" s="26" t="s">
        <v>155</v>
      </c>
      <c r="J397" s="31">
        <v>3.3</v>
      </c>
      <c r="K397" s="32">
        <f t="shared" si="18"/>
        <v>3.3</v>
      </c>
      <c r="L397" s="29" t="s">
        <v>154</v>
      </c>
      <c r="M397" s="27">
        <f>IFERROR(VLOOKUP(C397,Custo_MI_Device!$B$2:$E$102,3,FALSE),0)</f>
        <v>0</v>
      </c>
      <c r="N397" s="27">
        <f t="shared" si="19"/>
        <v>0</v>
      </c>
      <c r="O397" s="178">
        <f t="shared" si="20"/>
        <v>0</v>
      </c>
    </row>
    <row r="398" spans="1:15" ht="25.5" hidden="1">
      <c r="A398" s="25">
        <v>4054</v>
      </c>
      <c r="B398" s="25" t="s">
        <v>17</v>
      </c>
      <c r="C398" s="26" t="s">
        <v>29</v>
      </c>
      <c r="D398" s="27">
        <v>85444900</v>
      </c>
      <c r="E398" s="28" t="s">
        <v>163</v>
      </c>
      <c r="F398" s="29">
        <v>900550</v>
      </c>
      <c r="G398" s="30">
        <v>40</v>
      </c>
      <c r="H398" s="27" t="s">
        <v>158</v>
      </c>
      <c r="I398" s="26" t="s">
        <v>164</v>
      </c>
      <c r="J398" s="31">
        <v>3.1</v>
      </c>
      <c r="K398" s="32">
        <f t="shared" si="18"/>
        <v>124</v>
      </c>
      <c r="L398" s="29">
        <v>900550</v>
      </c>
      <c r="M398" s="27">
        <f>IFERROR(VLOOKUP(C398,Custo_MI_Device!$B$2:$E$102,3,FALSE),0)</f>
        <v>0</v>
      </c>
      <c r="N398" s="27">
        <f t="shared" si="19"/>
        <v>0</v>
      </c>
      <c r="O398" s="178">
        <f t="shared" si="20"/>
        <v>0</v>
      </c>
    </row>
    <row r="399" spans="1:15" ht="25.5" hidden="1">
      <c r="A399" s="25">
        <v>5139</v>
      </c>
      <c r="B399" s="25" t="s">
        <v>17</v>
      </c>
      <c r="C399" s="26" t="s">
        <v>29</v>
      </c>
      <c r="D399" s="27">
        <v>85444900</v>
      </c>
      <c r="E399" s="28" t="s">
        <v>170</v>
      </c>
      <c r="F399" s="29" t="s">
        <v>171</v>
      </c>
      <c r="G399" s="30">
        <v>15</v>
      </c>
      <c r="H399" s="27" t="s">
        <v>158</v>
      </c>
      <c r="I399" s="26" t="s">
        <v>172</v>
      </c>
      <c r="J399" s="31">
        <v>7.5</v>
      </c>
      <c r="K399" s="32">
        <f t="shared" si="18"/>
        <v>112.5</v>
      </c>
      <c r="L399" s="29" t="s">
        <v>173</v>
      </c>
      <c r="M399" s="27">
        <f>IFERROR(VLOOKUP(C399,Custo_MI_Device!$B$2:$E$102,3,FALSE),0)</f>
        <v>0</v>
      </c>
      <c r="N399" s="27">
        <f t="shared" si="19"/>
        <v>0</v>
      </c>
      <c r="O399" s="178">
        <f t="shared" si="20"/>
        <v>0</v>
      </c>
    </row>
    <row r="400" spans="1:15" ht="12.75" hidden="1">
      <c r="A400" s="25">
        <v>2805</v>
      </c>
      <c r="B400" s="25" t="s">
        <v>17</v>
      </c>
      <c r="C400" s="26" t="s">
        <v>29</v>
      </c>
      <c r="D400" s="27">
        <v>72162100</v>
      </c>
      <c r="E400" s="28" t="s">
        <v>174</v>
      </c>
      <c r="F400" s="29">
        <v>0</v>
      </c>
      <c r="G400" s="30">
        <v>2.9</v>
      </c>
      <c r="H400" s="27" t="s">
        <v>175</v>
      </c>
      <c r="I400" s="26" t="s">
        <v>176</v>
      </c>
      <c r="J400" s="31">
        <v>4.22</v>
      </c>
      <c r="K400" s="32">
        <f t="shared" si="18"/>
        <v>12.238</v>
      </c>
      <c r="L400" s="29" t="s">
        <v>177</v>
      </c>
      <c r="M400" s="27">
        <f>IFERROR(VLOOKUP(C400,Custo_MI_Device!$B$2:$E$102,3,FALSE),0)</f>
        <v>0</v>
      </c>
      <c r="N400" s="27">
        <f t="shared" si="19"/>
        <v>0</v>
      </c>
      <c r="O400" s="178">
        <f t="shared" si="20"/>
        <v>0</v>
      </c>
    </row>
    <row r="401" spans="1:15" ht="25.5" hidden="1">
      <c r="A401" s="25">
        <v>3738</v>
      </c>
      <c r="B401" s="25" t="s">
        <v>17</v>
      </c>
      <c r="C401" s="26" t="s">
        <v>29</v>
      </c>
      <c r="D401" s="27">
        <v>73071100</v>
      </c>
      <c r="E401" s="28" t="s">
        <v>205</v>
      </c>
      <c r="F401" s="29" t="s">
        <v>206</v>
      </c>
      <c r="G401" s="30">
        <v>0.75</v>
      </c>
      <c r="H401" s="27" t="s">
        <v>137</v>
      </c>
      <c r="I401" s="26" t="s">
        <v>149</v>
      </c>
      <c r="J401" s="31">
        <v>27</v>
      </c>
      <c r="K401" s="32">
        <f t="shared" si="18"/>
        <v>20.25</v>
      </c>
      <c r="L401" s="29" t="s">
        <v>206</v>
      </c>
      <c r="M401" s="27">
        <f>IFERROR(VLOOKUP(C401,Custo_MI_Device!$B$2:$E$102,3,FALSE),0)</f>
        <v>0</v>
      </c>
      <c r="N401" s="27">
        <f t="shared" si="19"/>
        <v>0</v>
      </c>
      <c r="O401" s="178">
        <f t="shared" si="20"/>
        <v>0</v>
      </c>
    </row>
    <row r="402" spans="1:15" ht="25.5" hidden="1">
      <c r="A402" s="25">
        <v>1710</v>
      </c>
      <c r="B402" s="25" t="s">
        <v>17</v>
      </c>
      <c r="C402" s="26" t="s">
        <v>29</v>
      </c>
      <c r="D402" s="27">
        <v>73071100</v>
      </c>
      <c r="E402" s="28" t="s">
        <v>207</v>
      </c>
      <c r="F402" s="29" t="s">
        <v>208</v>
      </c>
      <c r="G402" s="30">
        <v>0.75</v>
      </c>
      <c r="H402" s="27" t="s">
        <v>137</v>
      </c>
      <c r="I402" s="26" t="s">
        <v>149</v>
      </c>
      <c r="J402" s="31">
        <v>27</v>
      </c>
      <c r="K402" s="32">
        <f t="shared" si="18"/>
        <v>20.25</v>
      </c>
      <c r="L402" s="29" t="s">
        <v>208</v>
      </c>
      <c r="M402" s="27">
        <f>IFERROR(VLOOKUP(C402,Custo_MI_Device!$B$2:$E$102,3,FALSE),0)</f>
        <v>0</v>
      </c>
      <c r="N402" s="27">
        <f t="shared" si="19"/>
        <v>0</v>
      </c>
      <c r="O402" s="178">
        <f t="shared" si="20"/>
        <v>0</v>
      </c>
    </row>
    <row r="403" spans="1:15" ht="25.5" hidden="1">
      <c r="A403" s="25">
        <v>1715</v>
      </c>
      <c r="B403" s="25" t="s">
        <v>17</v>
      </c>
      <c r="C403" s="26" t="s">
        <v>29</v>
      </c>
      <c r="D403" s="27">
        <v>73071100</v>
      </c>
      <c r="E403" s="28" t="s">
        <v>209</v>
      </c>
      <c r="F403" s="29" t="s">
        <v>210</v>
      </c>
      <c r="G403" s="30">
        <v>0.75</v>
      </c>
      <c r="H403" s="27" t="s">
        <v>137</v>
      </c>
      <c r="I403" s="26" t="s">
        <v>149</v>
      </c>
      <c r="J403" s="31">
        <v>27</v>
      </c>
      <c r="K403" s="32">
        <f t="shared" si="18"/>
        <v>20.25</v>
      </c>
      <c r="L403" s="29" t="s">
        <v>210</v>
      </c>
      <c r="M403" s="27">
        <f>IFERROR(VLOOKUP(C403,Custo_MI_Device!$B$2:$E$102,3,FALSE),0)</f>
        <v>0</v>
      </c>
      <c r="N403" s="27">
        <f t="shared" si="19"/>
        <v>0</v>
      </c>
      <c r="O403" s="178">
        <f t="shared" si="20"/>
        <v>0</v>
      </c>
    </row>
    <row r="404" spans="1:15" ht="25.5" hidden="1">
      <c r="A404" s="25">
        <v>3417</v>
      </c>
      <c r="B404" s="25" t="s">
        <v>17</v>
      </c>
      <c r="C404" s="26" t="s">
        <v>29</v>
      </c>
      <c r="D404" s="27">
        <v>73063000</v>
      </c>
      <c r="E404" s="28" t="s">
        <v>231</v>
      </c>
      <c r="F404" s="29">
        <v>0</v>
      </c>
      <c r="G404" s="30">
        <v>2</v>
      </c>
      <c r="H404" s="27" t="s">
        <v>232</v>
      </c>
      <c r="I404" s="26" t="s">
        <v>233</v>
      </c>
      <c r="J404" s="31">
        <v>33.47</v>
      </c>
      <c r="K404" s="32">
        <f t="shared" si="18"/>
        <v>66.94</v>
      </c>
      <c r="L404" s="29" t="s">
        <v>234</v>
      </c>
      <c r="M404" s="27">
        <f>IFERROR(VLOOKUP(C404,Custo_MI_Device!$B$2:$E$102,3,FALSE),0)</f>
        <v>0</v>
      </c>
      <c r="N404" s="27">
        <f t="shared" si="19"/>
        <v>0</v>
      </c>
      <c r="O404" s="178">
        <f t="shared" si="20"/>
        <v>0</v>
      </c>
    </row>
    <row r="405" spans="1:15" ht="12.75" hidden="1">
      <c r="A405" s="25">
        <v>1965</v>
      </c>
      <c r="B405" s="25" t="s">
        <v>17</v>
      </c>
      <c r="C405" s="26" t="s">
        <v>29</v>
      </c>
      <c r="D405" s="27">
        <v>73071100</v>
      </c>
      <c r="E405" s="28" t="s">
        <v>251</v>
      </c>
      <c r="F405" s="29" t="s">
        <v>252</v>
      </c>
      <c r="G405" s="30">
        <v>1</v>
      </c>
      <c r="H405" s="27" t="s">
        <v>137</v>
      </c>
      <c r="I405" s="26" t="s">
        <v>253</v>
      </c>
      <c r="J405" s="31">
        <v>5.5</v>
      </c>
      <c r="K405" s="32">
        <f t="shared" si="18"/>
        <v>5.5</v>
      </c>
      <c r="L405" s="29" t="s">
        <v>252</v>
      </c>
      <c r="M405" s="27">
        <f>IFERROR(VLOOKUP(C405,Custo_MI_Device!$B$2:$E$102,3,FALSE),0)</f>
        <v>0</v>
      </c>
      <c r="N405" s="27">
        <f t="shared" si="19"/>
        <v>0</v>
      </c>
      <c r="O405" s="178">
        <f t="shared" si="20"/>
        <v>0</v>
      </c>
    </row>
    <row r="406" spans="1:15" ht="12.75" hidden="1">
      <c r="A406" s="25">
        <v>3274</v>
      </c>
      <c r="B406" s="25" t="s">
        <v>17</v>
      </c>
      <c r="C406" s="26" t="s">
        <v>29</v>
      </c>
      <c r="D406" s="27">
        <v>73181500</v>
      </c>
      <c r="E406" s="28" t="s">
        <v>265</v>
      </c>
      <c r="F406" s="29" t="s">
        <v>266</v>
      </c>
      <c r="G406" s="30">
        <v>24</v>
      </c>
      <c r="H406" s="27" t="s">
        <v>137</v>
      </c>
      <c r="I406" s="26" t="s">
        <v>256</v>
      </c>
      <c r="J406" s="31">
        <v>0.06</v>
      </c>
      <c r="K406" s="32">
        <f t="shared" si="18"/>
        <v>1.44</v>
      </c>
      <c r="L406" s="29" t="s">
        <v>266</v>
      </c>
      <c r="M406" s="27">
        <f>IFERROR(VLOOKUP(C406,Custo_MI_Device!$B$2:$E$102,3,FALSE),0)</f>
        <v>0</v>
      </c>
      <c r="N406" s="27">
        <f t="shared" si="19"/>
        <v>0</v>
      </c>
      <c r="O406" s="178">
        <f t="shared" si="20"/>
        <v>0</v>
      </c>
    </row>
    <row r="407" spans="1:15" ht="12.75" hidden="1">
      <c r="A407" s="25">
        <v>5081</v>
      </c>
      <c r="B407" s="25" t="s">
        <v>17</v>
      </c>
      <c r="C407" s="26" t="s">
        <v>29</v>
      </c>
      <c r="D407" s="27">
        <v>73145000</v>
      </c>
      <c r="E407" s="28" t="s">
        <v>278</v>
      </c>
      <c r="F407" s="29">
        <v>0</v>
      </c>
      <c r="G407" s="30">
        <v>1</v>
      </c>
      <c r="H407" s="27" t="s">
        <v>137</v>
      </c>
      <c r="I407" s="26" t="s">
        <v>279</v>
      </c>
      <c r="J407" s="31">
        <v>23</v>
      </c>
      <c r="K407" s="32">
        <f t="shared" si="18"/>
        <v>23</v>
      </c>
      <c r="L407" s="29" t="s">
        <v>280</v>
      </c>
      <c r="M407" s="27">
        <f>IFERROR(VLOOKUP(C407,Custo_MI_Device!$B$2:$E$102,3,FALSE),0)</f>
        <v>0</v>
      </c>
      <c r="N407" s="27">
        <f t="shared" si="19"/>
        <v>0</v>
      </c>
      <c r="O407" s="178">
        <f t="shared" si="20"/>
        <v>0</v>
      </c>
    </row>
    <row r="408" spans="1:15" ht="25.5" hidden="1">
      <c r="A408" s="25">
        <v>5147</v>
      </c>
      <c r="B408" s="25" t="s">
        <v>17</v>
      </c>
      <c r="C408" s="26" t="s">
        <v>29</v>
      </c>
      <c r="D408" s="27">
        <v>83079000</v>
      </c>
      <c r="E408" s="28" t="s">
        <v>293</v>
      </c>
      <c r="F408" s="29" t="s">
        <v>294</v>
      </c>
      <c r="G408" s="30">
        <v>1</v>
      </c>
      <c r="H408" s="27" t="s">
        <v>137</v>
      </c>
      <c r="I408" s="26" t="s">
        <v>180</v>
      </c>
      <c r="J408" s="31">
        <v>155</v>
      </c>
      <c r="K408" s="32">
        <f t="shared" si="18"/>
        <v>155</v>
      </c>
      <c r="L408" s="29" t="s">
        <v>294</v>
      </c>
      <c r="M408" s="27">
        <f>IFERROR(VLOOKUP(C408,Custo_MI_Device!$B$2:$E$102,3,FALSE),0)</f>
        <v>0</v>
      </c>
      <c r="N408" s="27">
        <f t="shared" si="19"/>
        <v>0</v>
      </c>
      <c r="O408" s="178">
        <f t="shared" si="20"/>
        <v>0</v>
      </c>
    </row>
    <row r="409" spans="1:15" ht="25.5" hidden="1">
      <c r="A409" s="25">
        <v>4834</v>
      </c>
      <c r="B409" s="25" t="s">
        <v>17</v>
      </c>
      <c r="C409" s="26" t="s">
        <v>29</v>
      </c>
      <c r="D409" s="27">
        <v>73071100</v>
      </c>
      <c r="E409" s="28" t="s">
        <v>299</v>
      </c>
      <c r="F409" s="29" t="s">
        <v>300</v>
      </c>
      <c r="G409" s="30">
        <v>1</v>
      </c>
      <c r="H409" s="27" t="s">
        <v>137</v>
      </c>
      <c r="I409" s="26" t="s">
        <v>149</v>
      </c>
      <c r="J409" s="31">
        <v>28</v>
      </c>
      <c r="K409" s="32">
        <f t="shared" si="18"/>
        <v>28</v>
      </c>
      <c r="L409" s="29" t="s">
        <v>300</v>
      </c>
      <c r="M409" s="27">
        <f>IFERROR(VLOOKUP(C409,Custo_MI_Device!$B$2:$E$102,3,FALSE),0)</f>
        <v>0</v>
      </c>
      <c r="N409" s="27">
        <f t="shared" si="19"/>
        <v>0</v>
      </c>
      <c r="O409" s="178">
        <f t="shared" si="20"/>
        <v>0</v>
      </c>
    </row>
    <row r="410" spans="1:15" ht="12.75">
      <c r="A410" s="25">
        <v>3778</v>
      </c>
      <c r="B410" s="25" t="s">
        <v>17</v>
      </c>
      <c r="C410" s="26" t="s">
        <v>30</v>
      </c>
      <c r="D410" s="27">
        <v>73072900</v>
      </c>
      <c r="E410" s="28" t="s">
        <v>310</v>
      </c>
      <c r="F410" s="29" t="s">
        <v>311</v>
      </c>
      <c r="G410" s="30">
        <v>24</v>
      </c>
      <c r="H410" s="27" t="s">
        <v>137</v>
      </c>
      <c r="I410" s="26" t="s">
        <v>256</v>
      </c>
      <c r="J410" s="191">
        <v>1.82</v>
      </c>
      <c r="K410" s="32">
        <f t="shared" si="18"/>
        <v>43.68</v>
      </c>
      <c r="L410" s="29" t="s">
        <v>311</v>
      </c>
      <c r="M410" s="27">
        <f>IFERROR(VLOOKUP(C410,Custo_MI_Device!$B$2:$E$102,3,FALSE),0)</f>
        <v>3</v>
      </c>
      <c r="N410" s="27">
        <f t="shared" si="19"/>
        <v>72</v>
      </c>
      <c r="O410" s="178">
        <f t="shared" si="20"/>
        <v>131.04</v>
      </c>
    </row>
    <row r="411" spans="1:15" ht="12.75">
      <c r="A411" s="25">
        <v>2534</v>
      </c>
      <c r="B411" s="25" t="s">
        <v>17</v>
      </c>
      <c r="C411" s="26" t="s">
        <v>30</v>
      </c>
      <c r="D411" s="27">
        <v>73072900</v>
      </c>
      <c r="E411" s="28" t="s">
        <v>314</v>
      </c>
      <c r="F411" s="29" t="s">
        <v>315</v>
      </c>
      <c r="G411" s="30">
        <v>12</v>
      </c>
      <c r="H411" s="27" t="s">
        <v>137</v>
      </c>
      <c r="I411" s="26" t="s">
        <v>256</v>
      </c>
      <c r="J411" s="191">
        <v>2.02</v>
      </c>
      <c r="K411" s="32">
        <f t="shared" si="18"/>
        <v>24.240000000000002</v>
      </c>
      <c r="L411" s="29" t="s">
        <v>315</v>
      </c>
      <c r="M411" s="27">
        <f>IFERROR(VLOOKUP(C411,Custo_MI_Device!$B$2:$E$102,3,FALSE),0)</f>
        <v>3</v>
      </c>
      <c r="N411" s="27">
        <f t="shared" si="19"/>
        <v>36</v>
      </c>
      <c r="O411" s="178">
        <f t="shared" si="20"/>
        <v>72.72</v>
      </c>
    </row>
    <row r="412" spans="1:15" ht="12.75">
      <c r="A412" s="25">
        <v>1669</v>
      </c>
      <c r="B412" s="25" t="s">
        <v>17</v>
      </c>
      <c r="C412" s="26" t="s">
        <v>30</v>
      </c>
      <c r="D412" s="27">
        <v>39269090</v>
      </c>
      <c r="E412" s="28" t="s">
        <v>316</v>
      </c>
      <c r="F412" s="29" t="s">
        <v>317</v>
      </c>
      <c r="G412" s="30">
        <v>3</v>
      </c>
      <c r="H412" s="27" t="s">
        <v>137</v>
      </c>
      <c r="I412" s="26" t="s">
        <v>318</v>
      </c>
      <c r="J412" s="191">
        <v>0.1</v>
      </c>
      <c r="K412" s="32">
        <f t="shared" si="18"/>
        <v>0.30000000000000004</v>
      </c>
      <c r="L412" s="29" t="s">
        <v>317</v>
      </c>
      <c r="M412" s="27">
        <f>IFERROR(VLOOKUP(C412,Custo_MI_Device!$B$2:$E$102,3,FALSE),0)</f>
        <v>3</v>
      </c>
      <c r="N412" s="27">
        <f t="shared" si="19"/>
        <v>9</v>
      </c>
      <c r="O412" s="178">
        <f t="shared" si="20"/>
        <v>0.9</v>
      </c>
    </row>
    <row r="413" spans="1:15" ht="12.75">
      <c r="A413" s="25">
        <v>5091</v>
      </c>
      <c r="B413" s="25" t="s">
        <v>17</v>
      </c>
      <c r="C413" s="26" t="s">
        <v>30</v>
      </c>
      <c r="D413" s="27">
        <v>73181500</v>
      </c>
      <c r="E413" s="28" t="s">
        <v>323</v>
      </c>
      <c r="F413" s="29" t="s">
        <v>324</v>
      </c>
      <c r="G413" s="30">
        <v>24</v>
      </c>
      <c r="H413" s="27" t="s">
        <v>137</v>
      </c>
      <c r="I413" s="26" t="s">
        <v>256</v>
      </c>
      <c r="J413" s="191">
        <v>0.1</v>
      </c>
      <c r="K413" s="32">
        <f t="shared" si="18"/>
        <v>2.4000000000000004</v>
      </c>
      <c r="L413" s="29" t="s">
        <v>324</v>
      </c>
      <c r="M413" s="27">
        <f>IFERROR(VLOOKUP(C413,Custo_MI_Device!$B$2:$E$102,3,FALSE),0)</f>
        <v>3</v>
      </c>
      <c r="N413" s="27">
        <f t="shared" si="19"/>
        <v>72</v>
      </c>
      <c r="O413" s="178">
        <f t="shared" si="20"/>
        <v>7.2</v>
      </c>
    </row>
    <row r="414" spans="1:15" ht="12.75">
      <c r="A414" s="25">
        <v>5091</v>
      </c>
      <c r="B414" s="25" t="s">
        <v>17</v>
      </c>
      <c r="C414" s="26" t="s">
        <v>30</v>
      </c>
      <c r="D414" s="27">
        <v>73181500</v>
      </c>
      <c r="E414" s="28" t="s">
        <v>323</v>
      </c>
      <c r="F414" s="29" t="s">
        <v>324</v>
      </c>
      <c r="G414" s="30">
        <v>48</v>
      </c>
      <c r="H414" s="27" t="s">
        <v>137</v>
      </c>
      <c r="I414" s="26" t="s">
        <v>256</v>
      </c>
      <c r="J414" s="191">
        <v>0.1</v>
      </c>
      <c r="K414" s="32">
        <f t="shared" si="18"/>
        <v>4.8000000000000007</v>
      </c>
      <c r="L414" s="29" t="s">
        <v>324</v>
      </c>
      <c r="M414" s="27">
        <f>IFERROR(VLOOKUP(C414,Custo_MI_Device!$B$2:$E$102,3,FALSE),0)</f>
        <v>3</v>
      </c>
      <c r="N414" s="27">
        <f t="shared" si="19"/>
        <v>144</v>
      </c>
      <c r="O414" s="178">
        <f t="shared" si="20"/>
        <v>14.4</v>
      </c>
    </row>
    <row r="415" spans="1:15" ht="12.75">
      <c r="A415" s="25">
        <v>1117</v>
      </c>
      <c r="B415" s="25" t="s">
        <v>17</v>
      </c>
      <c r="C415" s="26" t="s">
        <v>30</v>
      </c>
      <c r="D415" s="27"/>
      <c r="E415" s="28" t="s">
        <v>145</v>
      </c>
      <c r="F415" s="29" t="s">
        <v>146</v>
      </c>
      <c r="G415" s="30">
        <v>1</v>
      </c>
      <c r="H415" s="27" t="s">
        <v>137</v>
      </c>
      <c r="I415" s="26" t="s">
        <v>138</v>
      </c>
      <c r="J415" s="191">
        <v>1.95</v>
      </c>
      <c r="K415" s="190">
        <v>4.8499999999999996</v>
      </c>
      <c r="L415" s="29" t="s">
        <v>146</v>
      </c>
      <c r="M415" s="27">
        <f>IFERROR(VLOOKUP(C415,Custo_MI_Device!$B$2:$E$102,3,FALSE),0)</f>
        <v>3</v>
      </c>
      <c r="N415" s="27">
        <f t="shared" si="19"/>
        <v>3</v>
      </c>
      <c r="O415" s="178">
        <f t="shared" si="20"/>
        <v>5.85</v>
      </c>
    </row>
    <row r="416" spans="1:15" ht="12.75">
      <c r="A416" s="25">
        <v>3080</v>
      </c>
      <c r="B416" s="25" t="s">
        <v>17</v>
      </c>
      <c r="C416" s="26" t="s">
        <v>30</v>
      </c>
      <c r="D416" s="27">
        <v>74122000</v>
      </c>
      <c r="E416" s="28" t="s">
        <v>153</v>
      </c>
      <c r="F416" s="29" t="s">
        <v>154</v>
      </c>
      <c r="G416" s="30">
        <v>1</v>
      </c>
      <c r="H416" s="27" t="s">
        <v>137</v>
      </c>
      <c r="I416" s="26" t="s">
        <v>155</v>
      </c>
      <c r="J416" s="191">
        <v>3.3</v>
      </c>
      <c r="K416" s="32"/>
      <c r="L416" s="29" t="s">
        <v>154</v>
      </c>
      <c r="M416" s="27">
        <f>IFERROR(VLOOKUP(C416,Custo_MI_Device!$B$2:$E$102,3,FALSE),0)</f>
        <v>3</v>
      </c>
      <c r="N416" s="27">
        <f t="shared" si="19"/>
        <v>3</v>
      </c>
      <c r="O416" s="178">
        <f t="shared" si="20"/>
        <v>9.8999999999999986</v>
      </c>
    </row>
    <row r="417" spans="1:15" ht="38.25">
      <c r="A417" s="25">
        <v>3585</v>
      </c>
      <c r="B417" s="25" t="s">
        <v>17</v>
      </c>
      <c r="C417" s="26" t="s">
        <v>30</v>
      </c>
      <c r="D417" s="27">
        <v>85444900</v>
      </c>
      <c r="E417" s="28" t="s">
        <v>328</v>
      </c>
      <c r="F417" s="29">
        <v>900400</v>
      </c>
      <c r="G417" s="33">
        <v>0</v>
      </c>
      <c r="H417" s="27" t="s">
        <v>158</v>
      </c>
      <c r="I417" s="26" t="s">
        <v>164</v>
      </c>
      <c r="J417" s="191">
        <v>1.7</v>
      </c>
      <c r="K417" s="32">
        <f t="shared" si="18"/>
        <v>0</v>
      </c>
      <c r="L417" s="29">
        <v>900400</v>
      </c>
      <c r="M417" s="27">
        <f>IFERROR(VLOOKUP(C417,Custo_MI_Device!$B$2:$E$102,3,FALSE),0)</f>
        <v>3</v>
      </c>
      <c r="N417" s="27">
        <f t="shared" si="19"/>
        <v>0</v>
      </c>
      <c r="O417" s="178">
        <f t="shared" si="20"/>
        <v>0</v>
      </c>
    </row>
    <row r="418" spans="1:15" ht="12.75">
      <c r="A418" s="25">
        <v>2805</v>
      </c>
      <c r="B418" s="25" t="s">
        <v>17</v>
      </c>
      <c r="C418" s="26" t="s">
        <v>30</v>
      </c>
      <c r="D418" s="27">
        <v>72162100</v>
      </c>
      <c r="E418" s="28" t="s">
        <v>174</v>
      </c>
      <c r="F418" s="29">
        <v>0</v>
      </c>
      <c r="G418" s="33">
        <v>0</v>
      </c>
      <c r="H418" s="27" t="s">
        <v>175</v>
      </c>
      <c r="I418" s="26" t="s">
        <v>176</v>
      </c>
      <c r="J418" s="191">
        <v>4.22</v>
      </c>
      <c r="K418" s="32">
        <f t="shared" si="18"/>
        <v>0</v>
      </c>
      <c r="L418" s="29" t="s">
        <v>177</v>
      </c>
      <c r="M418" s="27">
        <f>IFERROR(VLOOKUP(C418,Custo_MI_Device!$B$2:$E$102,3,FALSE),0)</f>
        <v>3</v>
      </c>
      <c r="N418" s="27">
        <f t="shared" si="19"/>
        <v>0</v>
      </c>
      <c r="O418" s="178">
        <f t="shared" si="20"/>
        <v>0</v>
      </c>
    </row>
    <row r="419" spans="1:15" ht="12.75">
      <c r="A419" s="25">
        <v>2904</v>
      </c>
      <c r="B419" s="25" t="s">
        <v>17</v>
      </c>
      <c r="C419" s="26" t="s">
        <v>30</v>
      </c>
      <c r="D419" s="27">
        <v>76090000</v>
      </c>
      <c r="E419" s="28" t="s">
        <v>195</v>
      </c>
      <c r="F419" s="29" t="s">
        <v>196</v>
      </c>
      <c r="G419" s="30">
        <v>2</v>
      </c>
      <c r="H419" s="27" t="s">
        <v>137</v>
      </c>
      <c r="I419" s="26" t="s">
        <v>138</v>
      </c>
      <c r="J419" s="31">
        <v>26.06</v>
      </c>
      <c r="K419" s="32">
        <f t="shared" si="18"/>
        <v>52.12</v>
      </c>
      <c r="L419" s="29" t="s">
        <v>196</v>
      </c>
      <c r="M419" s="27">
        <f>IFERROR(VLOOKUP(C419,Custo_MI_Device!$B$2:$E$102,3,FALSE),0)</f>
        <v>3</v>
      </c>
      <c r="N419" s="27">
        <f t="shared" si="19"/>
        <v>6</v>
      </c>
      <c r="O419" s="178">
        <f t="shared" si="20"/>
        <v>156.35999999999999</v>
      </c>
    </row>
    <row r="420" spans="1:15" ht="12.75">
      <c r="A420" s="25">
        <v>2911</v>
      </c>
      <c r="B420" s="25" t="s">
        <v>17</v>
      </c>
      <c r="C420" s="26" t="s">
        <v>30</v>
      </c>
      <c r="D420" s="27">
        <v>76090000</v>
      </c>
      <c r="E420" s="28" t="s">
        <v>197</v>
      </c>
      <c r="F420" s="29" t="s">
        <v>198</v>
      </c>
      <c r="G420" s="30">
        <v>2</v>
      </c>
      <c r="H420" s="27" t="s">
        <v>137</v>
      </c>
      <c r="I420" s="26" t="s">
        <v>138</v>
      </c>
      <c r="J420" s="31">
        <v>26.06</v>
      </c>
      <c r="K420" s="32">
        <f t="shared" si="18"/>
        <v>52.12</v>
      </c>
      <c r="L420" s="29" t="s">
        <v>198</v>
      </c>
      <c r="M420" s="27">
        <f>IFERROR(VLOOKUP(C420,Custo_MI_Device!$B$2:$E$102,3,FALSE),0)</f>
        <v>3</v>
      </c>
      <c r="N420" s="27">
        <f t="shared" si="19"/>
        <v>6</v>
      </c>
      <c r="O420" s="178">
        <f t="shared" si="20"/>
        <v>156.35999999999999</v>
      </c>
    </row>
    <row r="421" spans="1:15" ht="12.75">
      <c r="A421" s="25">
        <v>4823</v>
      </c>
      <c r="B421" s="25" t="s">
        <v>17</v>
      </c>
      <c r="C421" s="26" t="s">
        <v>30</v>
      </c>
      <c r="D421" s="27">
        <v>76090000</v>
      </c>
      <c r="E421" s="28" t="s">
        <v>199</v>
      </c>
      <c r="F421" s="29" t="s">
        <v>200</v>
      </c>
      <c r="G421" s="30">
        <v>2</v>
      </c>
      <c r="H421" s="27" t="s">
        <v>137</v>
      </c>
      <c r="I421" s="26" t="s">
        <v>138</v>
      </c>
      <c r="J421" s="31">
        <v>26.06</v>
      </c>
      <c r="K421" s="32">
        <f t="shared" si="18"/>
        <v>52.12</v>
      </c>
      <c r="L421" s="29" t="s">
        <v>200</v>
      </c>
      <c r="M421" s="27">
        <f>IFERROR(VLOOKUP(C421,Custo_MI_Device!$B$2:$E$102,3,FALSE),0)</f>
        <v>3</v>
      </c>
      <c r="N421" s="27">
        <f t="shared" si="19"/>
        <v>6</v>
      </c>
      <c r="O421" s="178">
        <f t="shared" si="20"/>
        <v>156.35999999999999</v>
      </c>
    </row>
    <row r="422" spans="1:15" ht="25.5">
      <c r="A422" s="25">
        <v>2909</v>
      </c>
      <c r="B422" s="25" t="s">
        <v>17</v>
      </c>
      <c r="C422" s="26" t="s">
        <v>30</v>
      </c>
      <c r="D422" s="27">
        <v>73072200</v>
      </c>
      <c r="E422" s="28" t="s">
        <v>216</v>
      </c>
      <c r="F422" s="29" t="s">
        <v>217</v>
      </c>
      <c r="G422" s="30">
        <v>4</v>
      </c>
      <c r="H422" s="27" t="s">
        <v>137</v>
      </c>
      <c r="I422" s="26" t="s">
        <v>218</v>
      </c>
      <c r="J422" s="191">
        <v>89.89</v>
      </c>
      <c r="K422" s="32">
        <f t="shared" si="18"/>
        <v>359.56</v>
      </c>
      <c r="L422" s="29" t="s">
        <v>217</v>
      </c>
      <c r="M422" s="27">
        <f>IFERROR(VLOOKUP(C422,Custo_MI_Device!$B$2:$E$102,3,FALSE),0)</f>
        <v>3</v>
      </c>
      <c r="N422" s="27">
        <f t="shared" si="19"/>
        <v>12</v>
      </c>
      <c r="O422" s="178">
        <f t="shared" si="20"/>
        <v>1078.68</v>
      </c>
    </row>
    <row r="423" spans="1:15" ht="25.5">
      <c r="A423" s="25">
        <v>2300</v>
      </c>
      <c r="B423" s="25" t="s">
        <v>17</v>
      </c>
      <c r="C423" s="26" t="s">
        <v>30</v>
      </c>
      <c r="D423" s="27">
        <v>73072200</v>
      </c>
      <c r="E423" s="28" t="s">
        <v>222</v>
      </c>
      <c r="F423" s="29" t="s">
        <v>223</v>
      </c>
      <c r="G423" s="30">
        <v>1</v>
      </c>
      <c r="H423" s="27" t="s">
        <v>137</v>
      </c>
      <c r="I423" s="26" t="s">
        <v>218</v>
      </c>
      <c r="J423" s="191">
        <v>98.7</v>
      </c>
      <c r="K423" s="32">
        <f t="shared" si="18"/>
        <v>98.7</v>
      </c>
      <c r="L423" s="29" t="s">
        <v>223</v>
      </c>
      <c r="M423" s="27">
        <f>IFERROR(VLOOKUP(C423,Custo_MI_Device!$B$2:$E$102,3,FALSE),0)</f>
        <v>3</v>
      </c>
      <c r="N423" s="27">
        <f t="shared" si="19"/>
        <v>3</v>
      </c>
      <c r="O423" s="178">
        <f t="shared" si="20"/>
        <v>296.10000000000002</v>
      </c>
    </row>
    <row r="424" spans="1:15" ht="25.5">
      <c r="A424" s="25">
        <v>2941</v>
      </c>
      <c r="B424" s="25" t="s">
        <v>17</v>
      </c>
      <c r="C424" s="26" t="s">
        <v>30</v>
      </c>
      <c r="D424" s="27">
        <v>73072200</v>
      </c>
      <c r="E424" s="28" t="s">
        <v>226</v>
      </c>
      <c r="F424" s="29" t="s">
        <v>228</v>
      </c>
      <c r="G424" s="30">
        <v>2</v>
      </c>
      <c r="H424" s="27" t="s">
        <v>137</v>
      </c>
      <c r="I424" s="26" t="s">
        <v>218</v>
      </c>
      <c r="J424" s="191">
        <v>113.56</v>
      </c>
      <c r="K424" s="32">
        <f t="shared" si="18"/>
        <v>227.12</v>
      </c>
      <c r="L424" s="29" t="s">
        <v>228</v>
      </c>
      <c r="M424" s="27">
        <f>IFERROR(VLOOKUP(C424,Custo_MI_Device!$B$2:$E$102,3,FALSE),0)</f>
        <v>3</v>
      </c>
      <c r="N424" s="27">
        <f t="shared" si="19"/>
        <v>6</v>
      </c>
      <c r="O424" s="178">
        <f t="shared" si="20"/>
        <v>681.36</v>
      </c>
    </row>
    <row r="425" spans="1:15" ht="25.5">
      <c r="A425" s="25">
        <v>4306</v>
      </c>
      <c r="B425" s="25" t="s">
        <v>17</v>
      </c>
      <c r="C425" s="26" t="s">
        <v>30</v>
      </c>
      <c r="D425" s="27">
        <v>73063000</v>
      </c>
      <c r="E425" s="28" t="s">
        <v>239</v>
      </c>
      <c r="F425" s="29">
        <v>0</v>
      </c>
      <c r="G425" s="30">
        <v>0</v>
      </c>
      <c r="H425" s="27" t="s">
        <v>232</v>
      </c>
      <c r="I425" s="26" t="s">
        <v>233</v>
      </c>
      <c r="J425" s="191">
        <v>32</v>
      </c>
      <c r="K425" s="32">
        <f t="shared" si="18"/>
        <v>0</v>
      </c>
      <c r="L425" s="29" t="s">
        <v>240</v>
      </c>
      <c r="M425" s="27">
        <f>IFERROR(VLOOKUP(C425,Custo_MI_Device!$B$2:$E$102,3,FALSE),0)</f>
        <v>3</v>
      </c>
      <c r="N425" s="27">
        <f t="shared" si="19"/>
        <v>0</v>
      </c>
      <c r="O425" s="178">
        <f t="shared" si="20"/>
        <v>0</v>
      </c>
    </row>
    <row r="426" spans="1:15" ht="12.75">
      <c r="A426" s="25">
        <v>3274</v>
      </c>
      <c r="B426" s="25" t="s">
        <v>17</v>
      </c>
      <c r="C426" s="26" t="s">
        <v>30</v>
      </c>
      <c r="D426" s="27">
        <v>73181500</v>
      </c>
      <c r="E426" s="28" t="s">
        <v>265</v>
      </c>
      <c r="F426" s="29" t="s">
        <v>266</v>
      </c>
      <c r="G426" s="30">
        <v>24</v>
      </c>
      <c r="H426" s="27" t="s">
        <v>137</v>
      </c>
      <c r="I426" s="26" t="s">
        <v>256</v>
      </c>
      <c r="J426" s="191">
        <v>0.11</v>
      </c>
      <c r="K426" s="32">
        <f t="shared" si="18"/>
        <v>2.64</v>
      </c>
      <c r="L426" s="29" t="s">
        <v>266</v>
      </c>
      <c r="M426" s="27">
        <f>IFERROR(VLOOKUP(C426,Custo_MI_Device!$B$2:$E$102,3,FALSE),0)</f>
        <v>3</v>
      </c>
      <c r="N426" s="27">
        <f t="shared" si="19"/>
        <v>72</v>
      </c>
      <c r="O426" s="178">
        <f t="shared" si="20"/>
        <v>7.92</v>
      </c>
    </row>
    <row r="427" spans="1:15" ht="12.75">
      <c r="A427" s="25">
        <v>3274</v>
      </c>
      <c r="B427" s="25" t="s">
        <v>17</v>
      </c>
      <c r="C427" s="26" t="s">
        <v>30</v>
      </c>
      <c r="D427" s="27">
        <v>73181500</v>
      </c>
      <c r="E427" s="28" t="s">
        <v>265</v>
      </c>
      <c r="F427" s="29" t="s">
        <v>266</v>
      </c>
      <c r="G427" s="30">
        <v>48</v>
      </c>
      <c r="H427" s="27" t="s">
        <v>137</v>
      </c>
      <c r="I427" s="26" t="s">
        <v>256</v>
      </c>
      <c r="J427" s="191">
        <v>0.11</v>
      </c>
      <c r="K427" s="32">
        <f t="shared" si="18"/>
        <v>5.28</v>
      </c>
      <c r="L427" s="29" t="s">
        <v>266</v>
      </c>
      <c r="M427" s="27">
        <f>IFERROR(VLOOKUP(C427,Custo_MI_Device!$B$2:$E$102,3,FALSE),0)</f>
        <v>3</v>
      </c>
      <c r="N427" s="27">
        <f t="shared" si="19"/>
        <v>144</v>
      </c>
      <c r="O427" s="178">
        <f t="shared" si="20"/>
        <v>15.84</v>
      </c>
    </row>
    <row r="428" spans="1:15" ht="25.5">
      <c r="A428" s="25">
        <v>2388</v>
      </c>
      <c r="B428" s="25" t="s">
        <v>17</v>
      </c>
      <c r="C428" s="26" t="s">
        <v>30</v>
      </c>
      <c r="D428" s="27">
        <v>90262090</v>
      </c>
      <c r="E428" s="28" t="s">
        <v>270</v>
      </c>
      <c r="F428" s="29">
        <v>0</v>
      </c>
      <c r="G428" s="33">
        <v>0</v>
      </c>
      <c r="H428" s="27" t="s">
        <v>137</v>
      </c>
      <c r="I428" s="26" t="s">
        <v>271</v>
      </c>
      <c r="J428" s="191">
        <v>1100</v>
      </c>
      <c r="K428" s="32">
        <f t="shared" si="18"/>
        <v>0</v>
      </c>
      <c r="L428" s="29" t="s">
        <v>272</v>
      </c>
      <c r="M428" s="27">
        <f>IFERROR(VLOOKUP(C428,Custo_MI_Device!$B$2:$E$102,3,FALSE),0)</f>
        <v>3</v>
      </c>
      <c r="N428" s="27">
        <f t="shared" si="19"/>
        <v>0</v>
      </c>
      <c r="O428" s="178">
        <f t="shared" si="20"/>
        <v>0</v>
      </c>
    </row>
    <row r="429" spans="1:15" ht="25.5">
      <c r="A429" s="25">
        <v>1611</v>
      </c>
      <c r="B429" s="25" t="s">
        <v>17</v>
      </c>
      <c r="C429" s="26" t="s">
        <v>30</v>
      </c>
      <c r="D429" s="27">
        <v>39174090</v>
      </c>
      <c r="E429" s="28" t="s">
        <v>275</v>
      </c>
      <c r="F429" s="29" t="s">
        <v>276</v>
      </c>
      <c r="G429" s="30">
        <v>2</v>
      </c>
      <c r="H429" s="27" t="s">
        <v>137</v>
      </c>
      <c r="I429" s="26" t="s">
        <v>277</v>
      </c>
      <c r="J429" s="191">
        <v>7.8</v>
      </c>
      <c r="K429" s="32">
        <f t="shared" si="18"/>
        <v>15.6</v>
      </c>
      <c r="L429" s="29" t="s">
        <v>276</v>
      </c>
      <c r="M429" s="27">
        <f>IFERROR(VLOOKUP(C429,Custo_MI_Device!$B$2:$E$102,3,FALSE),0)</f>
        <v>3</v>
      </c>
      <c r="N429" s="27">
        <f t="shared" si="19"/>
        <v>6</v>
      </c>
      <c r="O429" s="178">
        <f t="shared" si="20"/>
        <v>46.8</v>
      </c>
    </row>
    <row r="430" spans="1:15" ht="12.75">
      <c r="A430" s="25">
        <v>5081</v>
      </c>
      <c r="B430" s="25" t="s">
        <v>17</v>
      </c>
      <c r="C430" s="26" t="s">
        <v>30</v>
      </c>
      <c r="D430" s="27">
        <v>73145000</v>
      </c>
      <c r="E430" s="28" t="s">
        <v>278</v>
      </c>
      <c r="F430" s="29">
        <v>0</v>
      </c>
      <c r="G430" s="30">
        <v>1</v>
      </c>
      <c r="H430" s="27" t="s">
        <v>137</v>
      </c>
      <c r="I430" s="26" t="s">
        <v>279</v>
      </c>
      <c r="J430" s="191">
        <v>45</v>
      </c>
      <c r="K430" s="32">
        <f t="shared" si="18"/>
        <v>45</v>
      </c>
      <c r="L430" s="29" t="s">
        <v>280</v>
      </c>
      <c r="M430" s="27">
        <f>IFERROR(VLOOKUP(C430,Custo_MI_Device!$B$2:$E$102,3,FALSE),0)</f>
        <v>3</v>
      </c>
      <c r="N430" s="27">
        <f t="shared" si="19"/>
        <v>3</v>
      </c>
      <c r="O430" s="178">
        <f t="shared" si="20"/>
        <v>135</v>
      </c>
    </row>
    <row r="431" spans="1:15" ht="25.5">
      <c r="A431" s="25">
        <v>2973</v>
      </c>
      <c r="B431" s="25" t="s">
        <v>17</v>
      </c>
      <c r="C431" s="26" t="s">
        <v>30</v>
      </c>
      <c r="D431" s="27">
        <v>73072200</v>
      </c>
      <c r="E431" s="28" t="s">
        <v>281</v>
      </c>
      <c r="F431" s="29" t="s">
        <v>282</v>
      </c>
      <c r="G431" s="30">
        <v>2</v>
      </c>
      <c r="H431" s="27" t="s">
        <v>137</v>
      </c>
      <c r="I431" s="26" t="s">
        <v>218</v>
      </c>
      <c r="J431" s="191">
        <v>41.53</v>
      </c>
      <c r="K431" s="32">
        <f t="shared" si="18"/>
        <v>83.06</v>
      </c>
      <c r="L431" s="29" t="s">
        <v>282</v>
      </c>
      <c r="M431" s="27">
        <f>IFERROR(VLOOKUP(C431,Custo_MI_Device!$B$2:$E$102,3,FALSE),0)</f>
        <v>3</v>
      </c>
      <c r="N431" s="27">
        <f t="shared" si="19"/>
        <v>6</v>
      </c>
      <c r="O431" s="178">
        <f t="shared" si="20"/>
        <v>249.18</v>
      </c>
    </row>
    <row r="432" spans="1:15" ht="25.5">
      <c r="A432" s="25">
        <v>5194</v>
      </c>
      <c r="B432" s="25" t="s">
        <v>17</v>
      </c>
      <c r="C432" s="26" t="s">
        <v>30</v>
      </c>
      <c r="D432" s="27">
        <v>73041010</v>
      </c>
      <c r="E432" s="28" t="s">
        <v>289</v>
      </c>
      <c r="F432" s="29" t="s">
        <v>290</v>
      </c>
      <c r="G432" s="30">
        <v>2</v>
      </c>
      <c r="H432" s="27" t="s">
        <v>232</v>
      </c>
      <c r="I432" s="26" t="s">
        <v>218</v>
      </c>
      <c r="J432" s="191">
        <v>298</v>
      </c>
      <c r="K432" s="32">
        <f t="shared" si="18"/>
        <v>596</v>
      </c>
      <c r="L432" s="29" t="s">
        <v>290</v>
      </c>
      <c r="M432" s="27">
        <f>IFERROR(VLOOKUP(C432,Custo_MI_Device!$B$2:$E$102,3,FALSE),0)</f>
        <v>3</v>
      </c>
      <c r="N432" s="27">
        <f t="shared" si="19"/>
        <v>6</v>
      </c>
      <c r="O432" s="178">
        <f t="shared" si="20"/>
        <v>1788</v>
      </c>
    </row>
    <row r="433" spans="1:15" ht="25.5">
      <c r="A433" s="25">
        <v>2125</v>
      </c>
      <c r="B433" s="25" t="s">
        <v>17</v>
      </c>
      <c r="C433" s="26" t="s">
        <v>30</v>
      </c>
      <c r="D433" s="27">
        <v>84818039</v>
      </c>
      <c r="E433" s="28" t="s">
        <v>301</v>
      </c>
      <c r="F433" s="29">
        <v>0</v>
      </c>
      <c r="G433" s="30">
        <v>2</v>
      </c>
      <c r="H433" s="27" t="s">
        <v>137</v>
      </c>
      <c r="I433" s="26" t="s">
        <v>220</v>
      </c>
      <c r="J433" s="191">
        <v>275</v>
      </c>
      <c r="K433" s="32">
        <f t="shared" si="18"/>
        <v>550</v>
      </c>
      <c r="L433" s="29" t="s">
        <v>302</v>
      </c>
      <c r="M433" s="27">
        <f>IFERROR(VLOOKUP(C433,Custo_MI_Device!$B$2:$E$102,3,FALSE),0)</f>
        <v>3</v>
      </c>
      <c r="N433" s="27">
        <f t="shared" si="19"/>
        <v>6</v>
      </c>
      <c r="O433" s="178">
        <f t="shared" si="20"/>
        <v>1650</v>
      </c>
    </row>
    <row r="434" spans="1:15" ht="12.75" hidden="1">
      <c r="A434" s="25">
        <v>3778</v>
      </c>
      <c r="B434" s="25" t="s">
        <v>17</v>
      </c>
      <c r="C434" s="26" t="s">
        <v>31</v>
      </c>
      <c r="D434" s="27">
        <v>73072900</v>
      </c>
      <c r="E434" s="28" t="s">
        <v>310</v>
      </c>
      <c r="F434" s="29" t="s">
        <v>311</v>
      </c>
      <c r="G434" s="30">
        <v>24</v>
      </c>
      <c r="H434" s="27" t="s">
        <v>137</v>
      </c>
      <c r="I434" s="26" t="s">
        <v>256</v>
      </c>
      <c r="J434" s="31">
        <v>0.65</v>
      </c>
      <c r="K434" s="32">
        <f t="shared" si="18"/>
        <v>15.600000000000001</v>
      </c>
      <c r="L434" s="29" t="s">
        <v>311</v>
      </c>
      <c r="M434" s="27">
        <f>IFERROR(VLOOKUP(C434,Custo_MI_Device!$B$2:$E$102,3,FALSE),0)</f>
        <v>0</v>
      </c>
      <c r="N434" s="27">
        <f t="shared" si="19"/>
        <v>0</v>
      </c>
      <c r="O434" s="178">
        <f t="shared" si="20"/>
        <v>0</v>
      </c>
    </row>
    <row r="435" spans="1:15" ht="12.75" hidden="1">
      <c r="A435" s="25">
        <v>2534</v>
      </c>
      <c r="B435" s="25" t="s">
        <v>17</v>
      </c>
      <c r="C435" s="26" t="s">
        <v>31</v>
      </c>
      <c r="D435" s="27">
        <v>73072900</v>
      </c>
      <c r="E435" s="28" t="s">
        <v>314</v>
      </c>
      <c r="F435" s="29" t="s">
        <v>315</v>
      </c>
      <c r="G435" s="30">
        <v>12</v>
      </c>
      <c r="H435" s="27" t="s">
        <v>137</v>
      </c>
      <c r="I435" s="26" t="s">
        <v>256</v>
      </c>
      <c r="J435" s="31">
        <v>1.2</v>
      </c>
      <c r="K435" s="32">
        <f t="shared" si="18"/>
        <v>14.399999999999999</v>
      </c>
      <c r="L435" s="29" t="s">
        <v>315</v>
      </c>
      <c r="M435" s="27">
        <f>IFERROR(VLOOKUP(C435,Custo_MI_Device!$B$2:$E$102,3,FALSE),0)</f>
        <v>0</v>
      </c>
      <c r="N435" s="27">
        <f t="shared" si="19"/>
        <v>0</v>
      </c>
      <c r="O435" s="178">
        <f t="shared" si="20"/>
        <v>0</v>
      </c>
    </row>
    <row r="436" spans="1:15" ht="12.75" hidden="1">
      <c r="A436" s="25">
        <v>1669</v>
      </c>
      <c r="B436" s="25" t="s">
        <v>17</v>
      </c>
      <c r="C436" s="26" t="s">
        <v>31</v>
      </c>
      <c r="D436" s="27">
        <v>39269090</v>
      </c>
      <c r="E436" s="28" t="s">
        <v>316</v>
      </c>
      <c r="F436" s="29" t="s">
        <v>317</v>
      </c>
      <c r="G436" s="30">
        <v>3</v>
      </c>
      <c r="H436" s="27" t="s">
        <v>137</v>
      </c>
      <c r="I436" s="26" t="s">
        <v>318</v>
      </c>
      <c r="J436" s="31">
        <v>0.04</v>
      </c>
      <c r="K436" s="32">
        <f t="shared" si="18"/>
        <v>0.12</v>
      </c>
      <c r="L436" s="29" t="s">
        <v>317</v>
      </c>
      <c r="M436" s="27">
        <f>IFERROR(VLOOKUP(C436,Custo_MI_Device!$B$2:$E$102,3,FALSE),0)</f>
        <v>0</v>
      </c>
      <c r="N436" s="27">
        <f t="shared" si="19"/>
        <v>0</v>
      </c>
      <c r="O436" s="178">
        <f t="shared" si="20"/>
        <v>0</v>
      </c>
    </row>
    <row r="437" spans="1:15" ht="12.75" hidden="1">
      <c r="A437" s="25">
        <v>5091</v>
      </c>
      <c r="B437" s="25" t="s">
        <v>17</v>
      </c>
      <c r="C437" s="26" t="s">
        <v>31</v>
      </c>
      <c r="D437" s="27">
        <v>73181500</v>
      </c>
      <c r="E437" s="28" t="s">
        <v>323</v>
      </c>
      <c r="F437" s="29" t="s">
        <v>324</v>
      </c>
      <c r="G437" s="30">
        <v>24</v>
      </c>
      <c r="H437" s="27" t="s">
        <v>137</v>
      </c>
      <c r="I437" s="26" t="s">
        <v>256</v>
      </c>
      <c r="J437" s="31">
        <v>0.04</v>
      </c>
      <c r="K437" s="32">
        <f t="shared" si="18"/>
        <v>0.96</v>
      </c>
      <c r="L437" s="29" t="s">
        <v>324</v>
      </c>
      <c r="M437" s="27">
        <f>IFERROR(VLOOKUP(C437,Custo_MI_Device!$B$2:$E$102,3,FALSE),0)</f>
        <v>0</v>
      </c>
      <c r="N437" s="27">
        <f t="shared" si="19"/>
        <v>0</v>
      </c>
      <c r="O437" s="178">
        <f t="shared" si="20"/>
        <v>0</v>
      </c>
    </row>
    <row r="438" spans="1:15" ht="12.75" hidden="1">
      <c r="A438" s="25">
        <v>5091</v>
      </c>
      <c r="B438" s="25" t="s">
        <v>17</v>
      </c>
      <c r="C438" s="26" t="s">
        <v>31</v>
      </c>
      <c r="D438" s="27">
        <v>73181500</v>
      </c>
      <c r="E438" s="28" t="s">
        <v>323</v>
      </c>
      <c r="F438" s="29" t="s">
        <v>324</v>
      </c>
      <c r="G438" s="30">
        <v>48</v>
      </c>
      <c r="H438" s="27" t="s">
        <v>137</v>
      </c>
      <c r="I438" s="26" t="s">
        <v>256</v>
      </c>
      <c r="J438" s="31">
        <v>0.04</v>
      </c>
      <c r="K438" s="32">
        <f t="shared" si="18"/>
        <v>1.92</v>
      </c>
      <c r="L438" s="29" t="s">
        <v>324</v>
      </c>
      <c r="M438" s="27">
        <f>IFERROR(VLOOKUP(C438,Custo_MI_Device!$B$2:$E$102,3,FALSE),0)</f>
        <v>0</v>
      </c>
      <c r="N438" s="27">
        <f t="shared" si="19"/>
        <v>0</v>
      </c>
      <c r="O438" s="178">
        <f t="shared" si="20"/>
        <v>0</v>
      </c>
    </row>
    <row r="439" spans="1:15" ht="12.75" hidden="1">
      <c r="A439" s="25">
        <v>1117</v>
      </c>
      <c r="B439" s="25" t="s">
        <v>17</v>
      </c>
      <c r="C439" s="26" t="s">
        <v>31</v>
      </c>
      <c r="D439" s="27"/>
      <c r="E439" s="28" t="s">
        <v>145</v>
      </c>
      <c r="F439" s="29" t="s">
        <v>146</v>
      </c>
      <c r="G439" s="30">
        <v>1</v>
      </c>
      <c r="H439" s="27" t="s">
        <v>137</v>
      </c>
      <c r="I439" s="26" t="s">
        <v>138</v>
      </c>
      <c r="J439" s="31">
        <v>1.95</v>
      </c>
      <c r="K439" s="32">
        <f t="shared" si="18"/>
        <v>1.95</v>
      </c>
      <c r="L439" s="29" t="s">
        <v>146</v>
      </c>
      <c r="M439" s="27">
        <f>IFERROR(VLOOKUP(C439,Custo_MI_Device!$B$2:$E$102,3,FALSE),0)</f>
        <v>0</v>
      </c>
      <c r="N439" s="27">
        <f t="shared" si="19"/>
        <v>0</v>
      </c>
      <c r="O439" s="178">
        <f t="shared" si="20"/>
        <v>0</v>
      </c>
    </row>
    <row r="440" spans="1:15" ht="12.75" hidden="1">
      <c r="A440" s="25">
        <v>3080</v>
      </c>
      <c r="B440" s="25" t="s">
        <v>17</v>
      </c>
      <c r="C440" s="26" t="s">
        <v>31</v>
      </c>
      <c r="D440" s="27">
        <v>74122000</v>
      </c>
      <c r="E440" s="28" t="s">
        <v>153</v>
      </c>
      <c r="F440" s="29" t="s">
        <v>154</v>
      </c>
      <c r="G440" s="30">
        <v>1</v>
      </c>
      <c r="H440" s="27" t="s">
        <v>137</v>
      </c>
      <c r="I440" s="26" t="s">
        <v>155</v>
      </c>
      <c r="J440" s="31">
        <v>3.3</v>
      </c>
      <c r="K440" s="32">
        <f t="shared" si="18"/>
        <v>3.3</v>
      </c>
      <c r="L440" s="29" t="s">
        <v>154</v>
      </c>
      <c r="M440" s="27">
        <f>IFERROR(VLOOKUP(C440,Custo_MI_Device!$B$2:$E$102,3,FALSE),0)</f>
        <v>0</v>
      </c>
      <c r="N440" s="27">
        <f t="shared" si="19"/>
        <v>0</v>
      </c>
      <c r="O440" s="178">
        <f t="shared" si="20"/>
        <v>0</v>
      </c>
    </row>
    <row r="441" spans="1:15" ht="25.5" hidden="1">
      <c r="A441" s="25">
        <v>5139</v>
      </c>
      <c r="B441" s="25" t="s">
        <v>17</v>
      </c>
      <c r="C441" s="26" t="s">
        <v>31</v>
      </c>
      <c r="D441" s="27">
        <v>85444900</v>
      </c>
      <c r="E441" s="28" t="s">
        <v>170</v>
      </c>
      <c r="F441" s="29" t="s">
        <v>171</v>
      </c>
      <c r="G441" s="30">
        <v>15</v>
      </c>
      <c r="H441" s="27" t="s">
        <v>158</v>
      </c>
      <c r="I441" s="26" t="s">
        <v>172</v>
      </c>
      <c r="J441" s="31">
        <v>7.5</v>
      </c>
      <c r="K441" s="32">
        <f t="shared" si="18"/>
        <v>112.5</v>
      </c>
      <c r="L441" s="29" t="s">
        <v>173</v>
      </c>
      <c r="M441" s="27">
        <f>IFERROR(VLOOKUP(C441,Custo_MI_Device!$B$2:$E$102,3,FALSE),0)</f>
        <v>0</v>
      </c>
      <c r="N441" s="27">
        <f t="shared" si="19"/>
        <v>0</v>
      </c>
      <c r="O441" s="178">
        <f t="shared" si="20"/>
        <v>0</v>
      </c>
    </row>
    <row r="442" spans="1:15" ht="12.75" hidden="1">
      <c r="A442" s="25">
        <v>2805</v>
      </c>
      <c r="B442" s="25" t="s">
        <v>17</v>
      </c>
      <c r="C442" s="26" t="s">
        <v>31</v>
      </c>
      <c r="D442" s="27">
        <v>72162100</v>
      </c>
      <c r="E442" s="28" t="s">
        <v>174</v>
      </c>
      <c r="F442" s="29">
        <v>0</v>
      </c>
      <c r="G442" s="30">
        <v>2.9</v>
      </c>
      <c r="H442" s="27" t="s">
        <v>175</v>
      </c>
      <c r="I442" s="26" t="s">
        <v>176</v>
      </c>
      <c r="J442" s="31">
        <v>4.22</v>
      </c>
      <c r="K442" s="32">
        <f t="shared" si="18"/>
        <v>12.238</v>
      </c>
      <c r="L442" s="29" t="s">
        <v>177</v>
      </c>
      <c r="M442" s="27">
        <f>IFERROR(VLOOKUP(C442,Custo_MI_Device!$B$2:$E$102,3,FALSE),0)</f>
        <v>0</v>
      </c>
      <c r="N442" s="27">
        <f t="shared" si="19"/>
        <v>0</v>
      </c>
      <c r="O442" s="178">
        <f t="shared" si="20"/>
        <v>0</v>
      </c>
    </row>
    <row r="443" spans="1:15" ht="12.75" hidden="1">
      <c r="A443" s="25">
        <v>2904</v>
      </c>
      <c r="B443" s="25" t="s">
        <v>17</v>
      </c>
      <c r="C443" s="26" t="s">
        <v>31</v>
      </c>
      <c r="D443" s="27">
        <v>76090000</v>
      </c>
      <c r="E443" s="28" t="s">
        <v>195</v>
      </c>
      <c r="F443" s="29" t="s">
        <v>196</v>
      </c>
      <c r="G443" s="30">
        <v>0.75</v>
      </c>
      <c r="H443" s="27" t="s">
        <v>137</v>
      </c>
      <c r="I443" s="26" t="s">
        <v>138</v>
      </c>
      <c r="J443" s="31">
        <v>6.7</v>
      </c>
      <c r="K443" s="32">
        <f t="shared" si="18"/>
        <v>5.0250000000000004</v>
      </c>
      <c r="L443" s="29" t="s">
        <v>196</v>
      </c>
      <c r="M443" s="27">
        <f>IFERROR(VLOOKUP(C443,Custo_MI_Device!$B$2:$E$102,3,FALSE),0)</f>
        <v>0</v>
      </c>
      <c r="N443" s="27">
        <f t="shared" si="19"/>
        <v>0</v>
      </c>
      <c r="O443" s="178">
        <f t="shared" si="20"/>
        <v>0</v>
      </c>
    </row>
    <row r="444" spans="1:15" ht="12.75" hidden="1">
      <c r="A444" s="25">
        <v>2911</v>
      </c>
      <c r="B444" s="25" t="s">
        <v>17</v>
      </c>
      <c r="C444" s="26" t="s">
        <v>31</v>
      </c>
      <c r="D444" s="27">
        <v>76090000</v>
      </c>
      <c r="E444" s="28" t="s">
        <v>197</v>
      </c>
      <c r="F444" s="29" t="s">
        <v>198</v>
      </c>
      <c r="G444" s="30">
        <v>0.75</v>
      </c>
      <c r="H444" s="27" t="s">
        <v>137</v>
      </c>
      <c r="I444" s="26" t="s">
        <v>138</v>
      </c>
      <c r="J444" s="31">
        <v>6.7</v>
      </c>
      <c r="K444" s="32">
        <f t="shared" si="18"/>
        <v>5.0250000000000004</v>
      </c>
      <c r="L444" s="29" t="s">
        <v>198</v>
      </c>
      <c r="M444" s="27">
        <f>IFERROR(VLOOKUP(C444,Custo_MI_Device!$B$2:$E$102,3,FALSE),0)</f>
        <v>0</v>
      </c>
      <c r="N444" s="27">
        <f t="shared" si="19"/>
        <v>0</v>
      </c>
      <c r="O444" s="178">
        <f t="shared" si="20"/>
        <v>0</v>
      </c>
    </row>
    <row r="445" spans="1:15" ht="12.75" hidden="1">
      <c r="A445" s="25">
        <v>4823</v>
      </c>
      <c r="B445" s="25" t="s">
        <v>17</v>
      </c>
      <c r="C445" s="26" t="s">
        <v>31</v>
      </c>
      <c r="D445" s="27">
        <v>76090000</v>
      </c>
      <c r="E445" s="28" t="s">
        <v>199</v>
      </c>
      <c r="F445" s="29" t="s">
        <v>200</v>
      </c>
      <c r="G445" s="30">
        <v>0.75</v>
      </c>
      <c r="H445" s="27" t="s">
        <v>137</v>
      </c>
      <c r="I445" s="26" t="s">
        <v>138</v>
      </c>
      <c r="J445" s="31">
        <v>6.7</v>
      </c>
      <c r="K445" s="32">
        <f t="shared" si="18"/>
        <v>5.0250000000000004</v>
      </c>
      <c r="L445" s="29" t="s">
        <v>200</v>
      </c>
      <c r="M445" s="27">
        <f>IFERROR(VLOOKUP(C445,Custo_MI_Device!$B$2:$E$102,3,FALSE),0)</f>
        <v>0</v>
      </c>
      <c r="N445" s="27">
        <f t="shared" si="19"/>
        <v>0</v>
      </c>
      <c r="O445" s="178">
        <f t="shared" si="20"/>
        <v>0</v>
      </c>
    </row>
    <row r="446" spans="1:15" ht="25.5" hidden="1">
      <c r="A446" s="25">
        <v>2909</v>
      </c>
      <c r="B446" s="25" t="s">
        <v>17</v>
      </c>
      <c r="C446" s="26" t="s">
        <v>31</v>
      </c>
      <c r="D446" s="27">
        <v>73072200</v>
      </c>
      <c r="E446" s="28" t="s">
        <v>216</v>
      </c>
      <c r="F446" s="29" t="s">
        <v>217</v>
      </c>
      <c r="G446" s="30">
        <v>4</v>
      </c>
      <c r="H446" s="27" t="s">
        <v>137</v>
      </c>
      <c r="I446" s="26" t="s">
        <v>218</v>
      </c>
      <c r="J446" s="31">
        <v>27.7</v>
      </c>
      <c r="K446" s="32">
        <f t="shared" si="18"/>
        <v>110.8</v>
      </c>
      <c r="L446" s="29" t="s">
        <v>217</v>
      </c>
      <c r="M446" s="27">
        <f>IFERROR(VLOOKUP(C446,Custo_MI_Device!$B$2:$E$102,3,FALSE),0)</f>
        <v>0</v>
      </c>
      <c r="N446" s="27">
        <f t="shared" si="19"/>
        <v>0</v>
      </c>
      <c r="O446" s="178">
        <f t="shared" si="20"/>
        <v>0</v>
      </c>
    </row>
    <row r="447" spans="1:15" ht="25.5" hidden="1">
      <c r="A447" s="25">
        <v>2300</v>
      </c>
      <c r="B447" s="25" t="s">
        <v>17</v>
      </c>
      <c r="C447" s="26" t="s">
        <v>31</v>
      </c>
      <c r="D447" s="27">
        <v>73072200</v>
      </c>
      <c r="E447" s="28" t="s">
        <v>222</v>
      </c>
      <c r="F447" s="29" t="s">
        <v>223</v>
      </c>
      <c r="G447" s="30">
        <v>1</v>
      </c>
      <c r="H447" s="27" t="s">
        <v>137</v>
      </c>
      <c r="I447" s="26" t="s">
        <v>218</v>
      </c>
      <c r="J447" s="31">
        <v>41</v>
      </c>
      <c r="K447" s="32">
        <f t="shared" si="18"/>
        <v>41</v>
      </c>
      <c r="L447" s="29" t="s">
        <v>223</v>
      </c>
      <c r="M447" s="27">
        <f>IFERROR(VLOOKUP(C447,Custo_MI_Device!$B$2:$E$102,3,FALSE),0)</f>
        <v>0</v>
      </c>
      <c r="N447" s="27">
        <f t="shared" si="19"/>
        <v>0</v>
      </c>
      <c r="O447" s="178">
        <f t="shared" si="20"/>
        <v>0</v>
      </c>
    </row>
    <row r="448" spans="1:15" ht="25.5" hidden="1">
      <c r="A448" s="25">
        <v>2941</v>
      </c>
      <c r="B448" s="25" t="s">
        <v>17</v>
      </c>
      <c r="C448" s="26" t="s">
        <v>31</v>
      </c>
      <c r="D448" s="27">
        <v>73072200</v>
      </c>
      <c r="E448" s="28" t="s">
        <v>226</v>
      </c>
      <c r="F448" s="29" t="s">
        <v>228</v>
      </c>
      <c r="G448" s="30">
        <v>2</v>
      </c>
      <c r="H448" s="27" t="s">
        <v>137</v>
      </c>
      <c r="I448" s="26" t="s">
        <v>218</v>
      </c>
      <c r="J448" s="31">
        <v>65</v>
      </c>
      <c r="K448" s="32">
        <f t="shared" si="18"/>
        <v>130</v>
      </c>
      <c r="L448" s="29" t="s">
        <v>228</v>
      </c>
      <c r="M448" s="27">
        <f>IFERROR(VLOOKUP(C448,Custo_MI_Device!$B$2:$E$102,3,FALSE),0)</f>
        <v>0</v>
      </c>
      <c r="N448" s="27">
        <f t="shared" si="19"/>
        <v>0</v>
      </c>
      <c r="O448" s="178">
        <f t="shared" si="20"/>
        <v>0</v>
      </c>
    </row>
    <row r="449" spans="1:15" ht="25.5" hidden="1">
      <c r="A449" s="25">
        <v>4306</v>
      </c>
      <c r="B449" s="25" t="s">
        <v>17</v>
      </c>
      <c r="C449" s="26" t="s">
        <v>31</v>
      </c>
      <c r="D449" s="27">
        <v>73063000</v>
      </c>
      <c r="E449" s="28" t="s">
        <v>239</v>
      </c>
      <c r="F449" s="29">
        <v>0</v>
      </c>
      <c r="G449" s="30">
        <v>2</v>
      </c>
      <c r="H449" s="27" t="s">
        <v>232</v>
      </c>
      <c r="I449" s="26" t="s">
        <v>233</v>
      </c>
      <c r="J449" s="31">
        <v>32</v>
      </c>
      <c r="K449" s="32">
        <f t="shared" si="18"/>
        <v>64</v>
      </c>
      <c r="L449" s="29" t="s">
        <v>240</v>
      </c>
      <c r="M449" s="27">
        <f>IFERROR(VLOOKUP(C449,Custo_MI_Device!$B$2:$E$102,3,FALSE),0)</f>
        <v>0</v>
      </c>
      <c r="N449" s="27">
        <f t="shared" si="19"/>
        <v>0</v>
      </c>
      <c r="O449" s="178">
        <f t="shared" si="20"/>
        <v>0</v>
      </c>
    </row>
    <row r="450" spans="1:15" ht="12.75" hidden="1">
      <c r="A450" s="25">
        <v>3274</v>
      </c>
      <c r="B450" s="25" t="s">
        <v>17</v>
      </c>
      <c r="C450" s="26" t="s">
        <v>31</v>
      </c>
      <c r="D450" s="27">
        <v>73181500</v>
      </c>
      <c r="E450" s="28" t="s">
        <v>265</v>
      </c>
      <c r="F450" s="29" t="s">
        <v>266</v>
      </c>
      <c r="G450" s="30">
        <v>24</v>
      </c>
      <c r="H450" s="27" t="s">
        <v>137</v>
      </c>
      <c r="I450" s="26" t="s">
        <v>256</v>
      </c>
      <c r="J450" s="31">
        <v>0.06</v>
      </c>
      <c r="K450" s="32">
        <f t="shared" si="18"/>
        <v>1.44</v>
      </c>
      <c r="L450" s="29" t="s">
        <v>266</v>
      </c>
      <c r="M450" s="27">
        <f>IFERROR(VLOOKUP(C450,Custo_MI_Device!$B$2:$E$102,3,FALSE),0)</f>
        <v>0</v>
      </c>
      <c r="N450" s="27">
        <f t="shared" si="19"/>
        <v>0</v>
      </c>
      <c r="O450" s="178">
        <f t="shared" si="20"/>
        <v>0</v>
      </c>
    </row>
    <row r="451" spans="1:15" ht="12.75" hidden="1">
      <c r="A451" s="25">
        <v>3274</v>
      </c>
      <c r="B451" s="25" t="s">
        <v>17</v>
      </c>
      <c r="C451" s="26" t="s">
        <v>31</v>
      </c>
      <c r="D451" s="27">
        <v>73181500</v>
      </c>
      <c r="E451" s="28" t="s">
        <v>265</v>
      </c>
      <c r="F451" s="29" t="s">
        <v>266</v>
      </c>
      <c r="G451" s="30">
        <v>48</v>
      </c>
      <c r="H451" s="27" t="s">
        <v>137</v>
      </c>
      <c r="I451" s="26" t="s">
        <v>256</v>
      </c>
      <c r="J451" s="31">
        <v>0.06</v>
      </c>
      <c r="K451" s="32">
        <f t="shared" ref="K451:K514" si="21">G451*J451</f>
        <v>2.88</v>
      </c>
      <c r="L451" s="29" t="s">
        <v>266</v>
      </c>
      <c r="M451" s="27">
        <f>IFERROR(VLOOKUP(C451,Custo_MI_Device!$B$2:$E$102,3,FALSE),0)</f>
        <v>0</v>
      </c>
      <c r="N451" s="27">
        <f t="shared" ref="N451:N514" si="22">ROUNDUP(M451*G451,0)</f>
        <v>0</v>
      </c>
      <c r="O451" s="178">
        <f t="shared" ref="O451:O514" si="23">N451*J451</f>
        <v>0</v>
      </c>
    </row>
    <row r="452" spans="1:15" ht="25.5" hidden="1">
      <c r="A452" s="25">
        <v>2388</v>
      </c>
      <c r="B452" s="25" t="s">
        <v>17</v>
      </c>
      <c r="C452" s="26" t="s">
        <v>31</v>
      </c>
      <c r="D452" s="27">
        <v>90262090</v>
      </c>
      <c r="E452" s="28" t="s">
        <v>270</v>
      </c>
      <c r="F452" s="29">
        <v>0</v>
      </c>
      <c r="G452" s="33">
        <v>0</v>
      </c>
      <c r="H452" s="27" t="s">
        <v>137</v>
      </c>
      <c r="I452" s="26" t="s">
        <v>271</v>
      </c>
      <c r="J452" s="31">
        <v>1430</v>
      </c>
      <c r="K452" s="32">
        <f t="shared" si="21"/>
        <v>0</v>
      </c>
      <c r="L452" s="29" t="s">
        <v>272</v>
      </c>
      <c r="M452" s="27">
        <f>IFERROR(VLOOKUP(C452,Custo_MI_Device!$B$2:$E$102,3,FALSE),0)</f>
        <v>0</v>
      </c>
      <c r="N452" s="27">
        <f t="shared" si="22"/>
        <v>0</v>
      </c>
      <c r="O452" s="178">
        <f t="shared" si="23"/>
        <v>0</v>
      </c>
    </row>
    <row r="453" spans="1:15" ht="25.5" hidden="1">
      <c r="A453" s="25">
        <v>1611</v>
      </c>
      <c r="B453" s="25" t="s">
        <v>17</v>
      </c>
      <c r="C453" s="26" t="s">
        <v>31</v>
      </c>
      <c r="D453" s="27">
        <v>39174090</v>
      </c>
      <c r="E453" s="28" t="s">
        <v>275</v>
      </c>
      <c r="F453" s="29" t="s">
        <v>276</v>
      </c>
      <c r="G453" s="30">
        <v>2</v>
      </c>
      <c r="H453" s="27" t="s">
        <v>137</v>
      </c>
      <c r="I453" s="26" t="s">
        <v>277</v>
      </c>
      <c r="J453" s="31">
        <v>7.8</v>
      </c>
      <c r="K453" s="32">
        <f t="shared" si="21"/>
        <v>15.6</v>
      </c>
      <c r="L453" s="29" t="s">
        <v>276</v>
      </c>
      <c r="M453" s="27">
        <f>IFERROR(VLOOKUP(C453,Custo_MI_Device!$B$2:$E$102,3,FALSE),0)</f>
        <v>0</v>
      </c>
      <c r="N453" s="27">
        <f t="shared" si="22"/>
        <v>0</v>
      </c>
      <c r="O453" s="178">
        <f t="shared" si="23"/>
        <v>0</v>
      </c>
    </row>
    <row r="454" spans="1:15" ht="12.75" hidden="1">
      <c r="A454" s="25">
        <v>5081</v>
      </c>
      <c r="B454" s="25" t="s">
        <v>17</v>
      </c>
      <c r="C454" s="26" t="s">
        <v>31</v>
      </c>
      <c r="D454" s="27">
        <v>73145000</v>
      </c>
      <c r="E454" s="28" t="s">
        <v>278</v>
      </c>
      <c r="F454" s="29">
        <v>0</v>
      </c>
      <c r="G454" s="30">
        <v>1</v>
      </c>
      <c r="H454" s="27" t="s">
        <v>137</v>
      </c>
      <c r="I454" s="26" t="s">
        <v>279</v>
      </c>
      <c r="J454" s="31">
        <v>23</v>
      </c>
      <c r="K454" s="32">
        <f t="shared" si="21"/>
        <v>23</v>
      </c>
      <c r="L454" s="29" t="s">
        <v>280</v>
      </c>
      <c r="M454" s="27">
        <f>IFERROR(VLOOKUP(C454,Custo_MI_Device!$B$2:$E$102,3,FALSE),0)</f>
        <v>0</v>
      </c>
      <c r="N454" s="27">
        <f t="shared" si="22"/>
        <v>0</v>
      </c>
      <c r="O454" s="178">
        <f t="shared" si="23"/>
        <v>0</v>
      </c>
    </row>
    <row r="455" spans="1:15" ht="25.5" hidden="1">
      <c r="A455" s="25">
        <v>2973</v>
      </c>
      <c r="B455" s="25" t="s">
        <v>17</v>
      </c>
      <c r="C455" s="26" t="s">
        <v>31</v>
      </c>
      <c r="D455" s="27">
        <v>73072200</v>
      </c>
      <c r="E455" s="28" t="s">
        <v>281</v>
      </c>
      <c r="F455" s="29" t="s">
        <v>282</v>
      </c>
      <c r="G455" s="30">
        <v>2</v>
      </c>
      <c r="H455" s="27" t="s">
        <v>137</v>
      </c>
      <c r="I455" s="26" t="s">
        <v>218</v>
      </c>
      <c r="J455" s="31">
        <v>29</v>
      </c>
      <c r="K455" s="32">
        <f t="shared" si="21"/>
        <v>58</v>
      </c>
      <c r="L455" s="29" t="s">
        <v>282</v>
      </c>
      <c r="M455" s="27">
        <f>IFERROR(VLOOKUP(C455,Custo_MI_Device!$B$2:$E$102,3,FALSE),0)</f>
        <v>0</v>
      </c>
      <c r="N455" s="27">
        <f t="shared" si="22"/>
        <v>0</v>
      </c>
      <c r="O455" s="178">
        <f t="shared" si="23"/>
        <v>0</v>
      </c>
    </row>
    <row r="456" spans="1:15" ht="25.5" hidden="1">
      <c r="A456" s="25">
        <v>5194</v>
      </c>
      <c r="B456" s="25" t="s">
        <v>17</v>
      </c>
      <c r="C456" s="26" t="s">
        <v>31</v>
      </c>
      <c r="D456" s="27">
        <v>73041010</v>
      </c>
      <c r="E456" s="28" t="s">
        <v>289</v>
      </c>
      <c r="F456" s="29" t="s">
        <v>290</v>
      </c>
      <c r="G456" s="30">
        <v>3</v>
      </c>
      <c r="H456" s="27" t="s">
        <v>232</v>
      </c>
      <c r="I456" s="26" t="s">
        <v>218</v>
      </c>
      <c r="J456" s="31">
        <f>21.5*6</f>
        <v>129</v>
      </c>
      <c r="K456" s="32">
        <f t="shared" si="21"/>
        <v>387</v>
      </c>
      <c r="L456" s="29" t="s">
        <v>290</v>
      </c>
      <c r="M456" s="27">
        <f>IFERROR(VLOOKUP(C456,Custo_MI_Device!$B$2:$E$102,3,FALSE),0)</f>
        <v>0</v>
      </c>
      <c r="N456" s="27">
        <f t="shared" si="22"/>
        <v>0</v>
      </c>
      <c r="O456" s="178">
        <f t="shared" si="23"/>
        <v>0</v>
      </c>
    </row>
    <row r="457" spans="1:15" ht="25.5" hidden="1">
      <c r="A457" s="25">
        <v>2125</v>
      </c>
      <c r="B457" s="25" t="s">
        <v>17</v>
      </c>
      <c r="C457" s="26" t="s">
        <v>31</v>
      </c>
      <c r="D457" s="27">
        <v>84818039</v>
      </c>
      <c r="E457" s="28" t="s">
        <v>301</v>
      </c>
      <c r="F457" s="29">
        <v>0</v>
      </c>
      <c r="G457" s="30">
        <v>2</v>
      </c>
      <c r="H457" s="27" t="s">
        <v>137</v>
      </c>
      <c r="I457" s="26" t="s">
        <v>220</v>
      </c>
      <c r="J457" s="31">
        <v>175</v>
      </c>
      <c r="K457" s="32">
        <f t="shared" si="21"/>
        <v>350</v>
      </c>
      <c r="L457" s="29" t="s">
        <v>302</v>
      </c>
      <c r="M457" s="27">
        <f>IFERROR(VLOOKUP(C457,Custo_MI_Device!$B$2:$E$102,3,FALSE),0)</f>
        <v>0</v>
      </c>
      <c r="N457" s="27">
        <f t="shared" si="22"/>
        <v>0</v>
      </c>
      <c r="O457" s="178">
        <f t="shared" si="23"/>
        <v>0</v>
      </c>
    </row>
    <row r="458" spans="1:15" ht="12.75" hidden="1">
      <c r="A458" s="25">
        <v>3778</v>
      </c>
      <c r="B458" s="25" t="s">
        <v>17</v>
      </c>
      <c r="C458" s="26" t="s">
        <v>32</v>
      </c>
      <c r="D458" s="27">
        <v>73072900</v>
      </c>
      <c r="E458" s="28" t="s">
        <v>310</v>
      </c>
      <c r="F458" s="29" t="s">
        <v>311</v>
      </c>
      <c r="G458" s="30">
        <v>24</v>
      </c>
      <c r="H458" s="27" t="s">
        <v>137</v>
      </c>
      <c r="I458" s="26" t="s">
        <v>256</v>
      </c>
      <c r="J458" s="31">
        <v>0.65</v>
      </c>
      <c r="K458" s="32">
        <f t="shared" si="21"/>
        <v>15.600000000000001</v>
      </c>
      <c r="L458" s="29" t="s">
        <v>311</v>
      </c>
      <c r="M458" s="27">
        <f>IFERROR(VLOOKUP(C458,Custo_MI_Device!$B$2:$E$102,3,FALSE),0)</f>
        <v>0</v>
      </c>
      <c r="N458" s="27">
        <f t="shared" si="22"/>
        <v>0</v>
      </c>
      <c r="O458" s="178">
        <f t="shared" si="23"/>
        <v>0</v>
      </c>
    </row>
    <row r="459" spans="1:15" ht="12.75" hidden="1">
      <c r="A459" s="25">
        <v>2534</v>
      </c>
      <c r="B459" s="25" t="s">
        <v>17</v>
      </c>
      <c r="C459" s="26" t="s">
        <v>32</v>
      </c>
      <c r="D459" s="27">
        <v>73072900</v>
      </c>
      <c r="E459" s="28" t="s">
        <v>314</v>
      </c>
      <c r="F459" s="29" t="s">
        <v>315</v>
      </c>
      <c r="G459" s="30">
        <v>12</v>
      </c>
      <c r="H459" s="27" t="s">
        <v>137</v>
      </c>
      <c r="I459" s="26" t="s">
        <v>256</v>
      </c>
      <c r="J459" s="31">
        <v>1.2</v>
      </c>
      <c r="K459" s="32">
        <f t="shared" si="21"/>
        <v>14.399999999999999</v>
      </c>
      <c r="L459" s="29" t="s">
        <v>315</v>
      </c>
      <c r="M459" s="27">
        <f>IFERROR(VLOOKUP(C459,Custo_MI_Device!$B$2:$E$102,3,FALSE),0)</f>
        <v>0</v>
      </c>
      <c r="N459" s="27">
        <f t="shared" si="22"/>
        <v>0</v>
      </c>
      <c r="O459" s="178">
        <f t="shared" si="23"/>
        <v>0</v>
      </c>
    </row>
    <row r="460" spans="1:15" ht="12.75" hidden="1">
      <c r="A460" s="25">
        <v>1669</v>
      </c>
      <c r="B460" s="25" t="s">
        <v>17</v>
      </c>
      <c r="C460" s="26" t="s">
        <v>32</v>
      </c>
      <c r="D460" s="27">
        <v>39269090</v>
      </c>
      <c r="E460" s="28" t="s">
        <v>316</v>
      </c>
      <c r="F460" s="29" t="s">
        <v>317</v>
      </c>
      <c r="G460" s="30">
        <v>3</v>
      </c>
      <c r="H460" s="27" t="s">
        <v>137</v>
      </c>
      <c r="I460" s="26" t="s">
        <v>318</v>
      </c>
      <c r="J460" s="31">
        <v>0.04</v>
      </c>
      <c r="K460" s="32">
        <f t="shared" si="21"/>
        <v>0.12</v>
      </c>
      <c r="L460" s="29" t="s">
        <v>317</v>
      </c>
      <c r="M460" s="27">
        <f>IFERROR(VLOOKUP(C460,Custo_MI_Device!$B$2:$E$102,3,FALSE),0)</f>
        <v>0</v>
      </c>
      <c r="N460" s="27">
        <f t="shared" si="22"/>
        <v>0</v>
      </c>
      <c r="O460" s="178">
        <f t="shared" si="23"/>
        <v>0</v>
      </c>
    </row>
    <row r="461" spans="1:15" ht="12.75" hidden="1">
      <c r="A461" s="25">
        <v>5091</v>
      </c>
      <c r="B461" s="25" t="s">
        <v>17</v>
      </c>
      <c r="C461" s="26" t="s">
        <v>32</v>
      </c>
      <c r="D461" s="27">
        <v>73181500</v>
      </c>
      <c r="E461" s="28" t="s">
        <v>323</v>
      </c>
      <c r="F461" s="29" t="s">
        <v>324</v>
      </c>
      <c r="G461" s="30">
        <v>24</v>
      </c>
      <c r="H461" s="27" t="s">
        <v>137</v>
      </c>
      <c r="I461" s="26" t="s">
        <v>256</v>
      </c>
      <c r="J461" s="31">
        <v>0.04</v>
      </c>
      <c r="K461" s="32">
        <f t="shared" si="21"/>
        <v>0.96</v>
      </c>
      <c r="L461" s="29" t="s">
        <v>324</v>
      </c>
      <c r="M461" s="27">
        <f>IFERROR(VLOOKUP(C461,Custo_MI_Device!$B$2:$E$102,3,FALSE),0)</f>
        <v>0</v>
      </c>
      <c r="N461" s="27">
        <f t="shared" si="22"/>
        <v>0</v>
      </c>
      <c r="O461" s="178">
        <f t="shared" si="23"/>
        <v>0</v>
      </c>
    </row>
    <row r="462" spans="1:15" ht="12.75" hidden="1">
      <c r="A462" s="25">
        <v>5091</v>
      </c>
      <c r="B462" s="25" t="s">
        <v>17</v>
      </c>
      <c r="C462" s="26" t="s">
        <v>32</v>
      </c>
      <c r="D462" s="27">
        <v>73181500</v>
      </c>
      <c r="E462" s="28" t="s">
        <v>323</v>
      </c>
      <c r="F462" s="29" t="s">
        <v>324</v>
      </c>
      <c r="G462" s="30">
        <v>48</v>
      </c>
      <c r="H462" s="27" t="s">
        <v>137</v>
      </c>
      <c r="I462" s="26" t="s">
        <v>256</v>
      </c>
      <c r="J462" s="31">
        <v>0.04</v>
      </c>
      <c r="K462" s="32">
        <f t="shared" si="21"/>
        <v>1.92</v>
      </c>
      <c r="L462" s="29" t="s">
        <v>324</v>
      </c>
      <c r="M462" s="27">
        <f>IFERROR(VLOOKUP(C462,Custo_MI_Device!$B$2:$E$102,3,FALSE),0)</f>
        <v>0</v>
      </c>
      <c r="N462" s="27">
        <f t="shared" si="22"/>
        <v>0</v>
      </c>
      <c r="O462" s="178">
        <f t="shared" si="23"/>
        <v>0</v>
      </c>
    </row>
    <row r="463" spans="1:15" ht="12.75" hidden="1">
      <c r="A463" s="25">
        <v>1117</v>
      </c>
      <c r="B463" s="25" t="s">
        <v>17</v>
      </c>
      <c r="C463" s="26" t="s">
        <v>32</v>
      </c>
      <c r="D463" s="27"/>
      <c r="E463" s="28" t="s">
        <v>145</v>
      </c>
      <c r="F463" s="29" t="s">
        <v>146</v>
      </c>
      <c r="G463" s="30">
        <v>1</v>
      </c>
      <c r="H463" s="27" t="s">
        <v>137</v>
      </c>
      <c r="I463" s="26" t="s">
        <v>138</v>
      </c>
      <c r="J463" s="31">
        <v>1.95</v>
      </c>
      <c r="K463" s="32">
        <f t="shared" si="21"/>
        <v>1.95</v>
      </c>
      <c r="L463" s="29" t="s">
        <v>146</v>
      </c>
      <c r="M463" s="27">
        <f>IFERROR(VLOOKUP(C463,Custo_MI_Device!$B$2:$E$102,3,FALSE),0)</f>
        <v>0</v>
      </c>
      <c r="N463" s="27">
        <f t="shared" si="22"/>
        <v>0</v>
      </c>
      <c r="O463" s="178">
        <f t="shared" si="23"/>
        <v>0</v>
      </c>
    </row>
    <row r="464" spans="1:15" ht="12.75" hidden="1">
      <c r="A464" s="25">
        <v>3080</v>
      </c>
      <c r="B464" s="25" t="s">
        <v>17</v>
      </c>
      <c r="C464" s="26" t="s">
        <v>32</v>
      </c>
      <c r="D464" s="27">
        <v>74122000</v>
      </c>
      <c r="E464" s="28" t="s">
        <v>153</v>
      </c>
      <c r="F464" s="29" t="s">
        <v>154</v>
      </c>
      <c r="G464" s="30">
        <v>1</v>
      </c>
      <c r="H464" s="27" t="s">
        <v>137</v>
      </c>
      <c r="I464" s="26" t="s">
        <v>155</v>
      </c>
      <c r="J464" s="31">
        <v>3.3</v>
      </c>
      <c r="K464" s="32">
        <f t="shared" si="21"/>
        <v>3.3</v>
      </c>
      <c r="L464" s="29" t="s">
        <v>154</v>
      </c>
      <c r="M464" s="27">
        <f>IFERROR(VLOOKUP(C464,Custo_MI_Device!$B$2:$E$102,3,FALSE),0)</f>
        <v>0</v>
      </c>
      <c r="N464" s="27">
        <f t="shared" si="22"/>
        <v>0</v>
      </c>
      <c r="O464" s="178">
        <f t="shared" si="23"/>
        <v>0</v>
      </c>
    </row>
    <row r="465" spans="1:15" ht="38.25" hidden="1">
      <c r="A465" s="25">
        <v>3585</v>
      </c>
      <c r="B465" s="25" t="s">
        <v>17</v>
      </c>
      <c r="C465" s="26" t="s">
        <v>32</v>
      </c>
      <c r="D465" s="27">
        <v>85444900</v>
      </c>
      <c r="E465" s="28" t="s">
        <v>328</v>
      </c>
      <c r="F465" s="29">
        <v>900400</v>
      </c>
      <c r="G465" s="30">
        <v>50</v>
      </c>
      <c r="H465" s="27" t="s">
        <v>158</v>
      </c>
      <c r="I465" s="26" t="s">
        <v>164</v>
      </c>
      <c r="J465" s="31">
        <v>1.7</v>
      </c>
      <c r="K465" s="32">
        <f t="shared" si="21"/>
        <v>85</v>
      </c>
      <c r="L465" s="29">
        <v>900400</v>
      </c>
      <c r="M465" s="27">
        <f>IFERROR(VLOOKUP(C465,Custo_MI_Device!$B$2:$E$102,3,FALSE),0)</f>
        <v>0</v>
      </c>
      <c r="N465" s="27">
        <f t="shared" si="22"/>
        <v>0</v>
      </c>
      <c r="O465" s="178">
        <f t="shared" si="23"/>
        <v>0</v>
      </c>
    </row>
    <row r="466" spans="1:15" ht="12.75" hidden="1">
      <c r="A466" s="25">
        <v>2805</v>
      </c>
      <c r="B466" s="25" t="s">
        <v>17</v>
      </c>
      <c r="C466" s="26" t="s">
        <v>32</v>
      </c>
      <c r="D466" s="27">
        <v>72162100</v>
      </c>
      <c r="E466" s="28" t="s">
        <v>174</v>
      </c>
      <c r="F466" s="29">
        <v>0</v>
      </c>
      <c r="G466" s="30">
        <v>2.9</v>
      </c>
      <c r="H466" s="27" t="s">
        <v>175</v>
      </c>
      <c r="I466" s="26" t="s">
        <v>176</v>
      </c>
      <c r="J466" s="31">
        <v>4.22</v>
      </c>
      <c r="K466" s="32">
        <f t="shared" si="21"/>
        <v>12.238</v>
      </c>
      <c r="L466" s="29" t="s">
        <v>177</v>
      </c>
      <c r="M466" s="27">
        <f>IFERROR(VLOOKUP(C466,Custo_MI_Device!$B$2:$E$102,3,FALSE),0)</f>
        <v>0</v>
      </c>
      <c r="N466" s="27">
        <f t="shared" si="22"/>
        <v>0</v>
      </c>
      <c r="O466" s="178">
        <f t="shared" si="23"/>
        <v>0</v>
      </c>
    </row>
    <row r="467" spans="1:15" ht="12.75" hidden="1">
      <c r="A467" s="25">
        <v>2904</v>
      </c>
      <c r="B467" s="25" t="s">
        <v>17</v>
      </c>
      <c r="C467" s="26" t="s">
        <v>32</v>
      </c>
      <c r="D467" s="27">
        <v>76090000</v>
      </c>
      <c r="E467" s="28" t="s">
        <v>195</v>
      </c>
      <c r="F467" s="29" t="s">
        <v>196</v>
      </c>
      <c r="G467" s="30">
        <v>0.75</v>
      </c>
      <c r="H467" s="27" t="s">
        <v>137</v>
      </c>
      <c r="I467" s="26" t="s">
        <v>138</v>
      </c>
      <c r="J467" s="31">
        <v>6.7</v>
      </c>
      <c r="K467" s="32">
        <f t="shared" si="21"/>
        <v>5.0250000000000004</v>
      </c>
      <c r="L467" s="29" t="s">
        <v>196</v>
      </c>
      <c r="M467" s="27">
        <f>IFERROR(VLOOKUP(C467,Custo_MI_Device!$B$2:$E$102,3,FALSE),0)</f>
        <v>0</v>
      </c>
      <c r="N467" s="27">
        <f t="shared" si="22"/>
        <v>0</v>
      </c>
      <c r="O467" s="178">
        <f t="shared" si="23"/>
        <v>0</v>
      </c>
    </row>
    <row r="468" spans="1:15" ht="12.75" hidden="1">
      <c r="A468" s="25">
        <v>2911</v>
      </c>
      <c r="B468" s="25" t="s">
        <v>17</v>
      </c>
      <c r="C468" s="26" t="s">
        <v>32</v>
      </c>
      <c r="D468" s="27">
        <v>76090000</v>
      </c>
      <c r="E468" s="28" t="s">
        <v>197</v>
      </c>
      <c r="F468" s="29" t="s">
        <v>198</v>
      </c>
      <c r="G468" s="30">
        <v>0.75</v>
      </c>
      <c r="H468" s="27" t="s">
        <v>137</v>
      </c>
      <c r="I468" s="26" t="s">
        <v>138</v>
      </c>
      <c r="J468" s="31">
        <v>6.7</v>
      </c>
      <c r="K468" s="32">
        <f t="shared" si="21"/>
        <v>5.0250000000000004</v>
      </c>
      <c r="L468" s="29" t="s">
        <v>198</v>
      </c>
      <c r="M468" s="27">
        <f>IFERROR(VLOOKUP(C468,Custo_MI_Device!$B$2:$E$102,3,FALSE),0)</f>
        <v>0</v>
      </c>
      <c r="N468" s="27">
        <f t="shared" si="22"/>
        <v>0</v>
      </c>
      <c r="O468" s="178">
        <f t="shared" si="23"/>
        <v>0</v>
      </c>
    </row>
    <row r="469" spans="1:15" ht="12.75" hidden="1">
      <c r="A469" s="25">
        <v>4823</v>
      </c>
      <c r="B469" s="25" t="s">
        <v>17</v>
      </c>
      <c r="C469" s="26" t="s">
        <v>32</v>
      </c>
      <c r="D469" s="27">
        <v>76090000</v>
      </c>
      <c r="E469" s="28" t="s">
        <v>199</v>
      </c>
      <c r="F469" s="29" t="s">
        <v>200</v>
      </c>
      <c r="G469" s="30">
        <v>0.75</v>
      </c>
      <c r="H469" s="27" t="s">
        <v>137</v>
      </c>
      <c r="I469" s="26" t="s">
        <v>138</v>
      </c>
      <c r="J469" s="31">
        <v>6.7</v>
      </c>
      <c r="K469" s="32">
        <f t="shared" si="21"/>
        <v>5.0250000000000004</v>
      </c>
      <c r="L469" s="29" t="s">
        <v>200</v>
      </c>
      <c r="M469" s="27">
        <f>IFERROR(VLOOKUP(C469,Custo_MI_Device!$B$2:$E$102,3,FALSE),0)</f>
        <v>0</v>
      </c>
      <c r="N469" s="27">
        <f t="shared" si="22"/>
        <v>0</v>
      </c>
      <c r="O469" s="178">
        <f t="shared" si="23"/>
        <v>0</v>
      </c>
    </row>
    <row r="470" spans="1:15" ht="25.5" hidden="1">
      <c r="A470" s="25">
        <v>2909</v>
      </c>
      <c r="B470" s="25" t="s">
        <v>17</v>
      </c>
      <c r="C470" s="26" t="s">
        <v>32</v>
      </c>
      <c r="D470" s="27">
        <v>73072200</v>
      </c>
      <c r="E470" s="28" t="s">
        <v>216</v>
      </c>
      <c r="F470" s="29" t="s">
        <v>217</v>
      </c>
      <c r="G470" s="30">
        <v>4</v>
      </c>
      <c r="H470" s="27" t="s">
        <v>137</v>
      </c>
      <c r="I470" s="26" t="s">
        <v>218</v>
      </c>
      <c r="J470" s="31">
        <v>27.7</v>
      </c>
      <c r="K470" s="32">
        <f t="shared" si="21"/>
        <v>110.8</v>
      </c>
      <c r="L470" s="29" t="s">
        <v>217</v>
      </c>
      <c r="M470" s="27">
        <f>IFERROR(VLOOKUP(C470,Custo_MI_Device!$B$2:$E$102,3,FALSE),0)</f>
        <v>0</v>
      </c>
      <c r="N470" s="27">
        <f t="shared" si="22"/>
        <v>0</v>
      </c>
      <c r="O470" s="178">
        <f t="shared" si="23"/>
        <v>0</v>
      </c>
    </row>
    <row r="471" spans="1:15" ht="25.5" hidden="1">
      <c r="A471" s="25">
        <v>2300</v>
      </c>
      <c r="B471" s="25" t="s">
        <v>17</v>
      </c>
      <c r="C471" s="26" t="s">
        <v>32</v>
      </c>
      <c r="D471" s="27">
        <v>73072200</v>
      </c>
      <c r="E471" s="28" t="s">
        <v>222</v>
      </c>
      <c r="F471" s="29" t="s">
        <v>223</v>
      </c>
      <c r="G471" s="30">
        <v>1</v>
      </c>
      <c r="H471" s="27" t="s">
        <v>137</v>
      </c>
      <c r="I471" s="26" t="s">
        <v>218</v>
      </c>
      <c r="J471" s="31">
        <v>41</v>
      </c>
      <c r="K471" s="32">
        <f t="shared" si="21"/>
        <v>41</v>
      </c>
      <c r="L471" s="29" t="s">
        <v>223</v>
      </c>
      <c r="M471" s="27">
        <f>IFERROR(VLOOKUP(C471,Custo_MI_Device!$B$2:$E$102,3,FALSE),0)</f>
        <v>0</v>
      </c>
      <c r="N471" s="27">
        <f t="shared" si="22"/>
        <v>0</v>
      </c>
      <c r="O471" s="178">
        <f t="shared" si="23"/>
        <v>0</v>
      </c>
    </row>
    <row r="472" spans="1:15" ht="25.5" hidden="1">
      <c r="A472" s="25">
        <v>2941</v>
      </c>
      <c r="B472" s="25" t="s">
        <v>17</v>
      </c>
      <c r="C472" s="26" t="s">
        <v>32</v>
      </c>
      <c r="D472" s="27">
        <v>73072200</v>
      </c>
      <c r="E472" s="28" t="s">
        <v>226</v>
      </c>
      <c r="F472" s="29" t="s">
        <v>228</v>
      </c>
      <c r="G472" s="30">
        <v>2</v>
      </c>
      <c r="H472" s="27" t="s">
        <v>137</v>
      </c>
      <c r="I472" s="26" t="s">
        <v>218</v>
      </c>
      <c r="J472" s="31">
        <v>65</v>
      </c>
      <c r="K472" s="32">
        <f t="shared" si="21"/>
        <v>130</v>
      </c>
      <c r="L472" s="29" t="s">
        <v>228</v>
      </c>
      <c r="M472" s="27">
        <f>IFERROR(VLOOKUP(C472,Custo_MI_Device!$B$2:$E$102,3,FALSE),0)</f>
        <v>0</v>
      </c>
      <c r="N472" s="27">
        <f t="shared" si="22"/>
        <v>0</v>
      </c>
      <c r="O472" s="178">
        <f t="shared" si="23"/>
        <v>0</v>
      </c>
    </row>
    <row r="473" spans="1:15" ht="25.5" hidden="1">
      <c r="A473" s="25">
        <v>4306</v>
      </c>
      <c r="B473" s="25" t="s">
        <v>17</v>
      </c>
      <c r="C473" s="26" t="s">
        <v>32</v>
      </c>
      <c r="D473" s="27">
        <v>73063000</v>
      </c>
      <c r="E473" s="28" t="s">
        <v>239</v>
      </c>
      <c r="F473" s="29">
        <v>0</v>
      </c>
      <c r="G473" s="30">
        <v>2</v>
      </c>
      <c r="H473" s="27" t="s">
        <v>232</v>
      </c>
      <c r="I473" s="26" t="s">
        <v>233</v>
      </c>
      <c r="J473" s="31">
        <v>32</v>
      </c>
      <c r="K473" s="32">
        <f t="shared" si="21"/>
        <v>64</v>
      </c>
      <c r="L473" s="29" t="s">
        <v>240</v>
      </c>
      <c r="M473" s="27">
        <f>IFERROR(VLOOKUP(C473,Custo_MI_Device!$B$2:$E$102,3,FALSE),0)</f>
        <v>0</v>
      </c>
      <c r="N473" s="27">
        <f t="shared" si="22"/>
        <v>0</v>
      </c>
      <c r="O473" s="178">
        <f t="shared" si="23"/>
        <v>0</v>
      </c>
    </row>
    <row r="474" spans="1:15" ht="12.75" hidden="1">
      <c r="A474" s="25">
        <v>3274</v>
      </c>
      <c r="B474" s="25" t="s">
        <v>17</v>
      </c>
      <c r="C474" s="26" t="s">
        <v>32</v>
      </c>
      <c r="D474" s="27">
        <v>73181500</v>
      </c>
      <c r="E474" s="28" t="s">
        <v>265</v>
      </c>
      <c r="F474" s="29" t="s">
        <v>266</v>
      </c>
      <c r="G474" s="30">
        <v>24</v>
      </c>
      <c r="H474" s="27" t="s">
        <v>137</v>
      </c>
      <c r="I474" s="26" t="s">
        <v>256</v>
      </c>
      <c r="J474" s="31">
        <v>0.06</v>
      </c>
      <c r="K474" s="32">
        <f t="shared" si="21"/>
        <v>1.44</v>
      </c>
      <c r="L474" s="29" t="s">
        <v>266</v>
      </c>
      <c r="M474" s="27">
        <f>IFERROR(VLOOKUP(C474,Custo_MI_Device!$B$2:$E$102,3,FALSE),0)</f>
        <v>0</v>
      </c>
      <c r="N474" s="27">
        <f t="shared" si="22"/>
        <v>0</v>
      </c>
      <c r="O474" s="178">
        <f t="shared" si="23"/>
        <v>0</v>
      </c>
    </row>
    <row r="475" spans="1:15" ht="12.75" hidden="1">
      <c r="A475" s="25">
        <v>3274</v>
      </c>
      <c r="B475" s="25" t="s">
        <v>17</v>
      </c>
      <c r="C475" s="26" t="s">
        <v>32</v>
      </c>
      <c r="D475" s="27">
        <v>73181500</v>
      </c>
      <c r="E475" s="28" t="s">
        <v>265</v>
      </c>
      <c r="F475" s="29" t="s">
        <v>266</v>
      </c>
      <c r="G475" s="30">
        <v>48</v>
      </c>
      <c r="H475" s="27" t="s">
        <v>137</v>
      </c>
      <c r="I475" s="26" t="s">
        <v>256</v>
      </c>
      <c r="J475" s="31">
        <v>0.06</v>
      </c>
      <c r="K475" s="32">
        <f t="shared" si="21"/>
        <v>2.88</v>
      </c>
      <c r="L475" s="29" t="s">
        <v>266</v>
      </c>
      <c r="M475" s="27">
        <f>IFERROR(VLOOKUP(C475,Custo_MI_Device!$B$2:$E$102,3,FALSE),0)</f>
        <v>0</v>
      </c>
      <c r="N475" s="27">
        <f t="shared" si="22"/>
        <v>0</v>
      </c>
      <c r="O475" s="178">
        <f t="shared" si="23"/>
        <v>0</v>
      </c>
    </row>
    <row r="476" spans="1:15" ht="25.5" hidden="1">
      <c r="A476" s="25">
        <v>6767</v>
      </c>
      <c r="B476" s="25" t="s">
        <v>17</v>
      </c>
      <c r="C476" s="26" t="s">
        <v>32</v>
      </c>
      <c r="D476" s="27">
        <v>90262090</v>
      </c>
      <c r="E476" s="28" t="s">
        <v>273</v>
      </c>
      <c r="F476" s="29">
        <v>0</v>
      </c>
      <c r="G476" s="33">
        <v>0</v>
      </c>
      <c r="H476" s="27" t="s">
        <v>137</v>
      </c>
      <c r="I476" s="26" t="s">
        <v>220</v>
      </c>
      <c r="J476" s="31">
        <v>2150</v>
      </c>
      <c r="K476" s="32">
        <f t="shared" si="21"/>
        <v>0</v>
      </c>
      <c r="L476" s="29" t="s">
        <v>274</v>
      </c>
      <c r="M476" s="27">
        <f>IFERROR(VLOOKUP(C476,Custo_MI_Device!$B$2:$E$102,3,FALSE),0)</f>
        <v>0</v>
      </c>
      <c r="N476" s="27">
        <f t="shared" si="22"/>
        <v>0</v>
      </c>
      <c r="O476" s="178">
        <f t="shared" si="23"/>
        <v>0</v>
      </c>
    </row>
    <row r="477" spans="1:15" ht="25.5" hidden="1">
      <c r="A477" s="25">
        <v>1611</v>
      </c>
      <c r="B477" s="25" t="s">
        <v>17</v>
      </c>
      <c r="C477" s="26" t="s">
        <v>32</v>
      </c>
      <c r="D477" s="27">
        <v>39174090</v>
      </c>
      <c r="E477" s="28" t="s">
        <v>275</v>
      </c>
      <c r="F477" s="29" t="s">
        <v>276</v>
      </c>
      <c r="G477" s="30">
        <v>2</v>
      </c>
      <c r="H477" s="27" t="s">
        <v>137</v>
      </c>
      <c r="I477" s="26" t="s">
        <v>277</v>
      </c>
      <c r="J477" s="31">
        <v>7.8</v>
      </c>
      <c r="K477" s="32">
        <f t="shared" si="21"/>
        <v>15.6</v>
      </c>
      <c r="L477" s="29" t="s">
        <v>276</v>
      </c>
      <c r="M477" s="27">
        <f>IFERROR(VLOOKUP(C477,Custo_MI_Device!$B$2:$E$102,3,FALSE),0)</f>
        <v>0</v>
      </c>
      <c r="N477" s="27">
        <f t="shared" si="22"/>
        <v>0</v>
      </c>
      <c r="O477" s="178">
        <f t="shared" si="23"/>
        <v>0</v>
      </c>
    </row>
    <row r="478" spans="1:15" ht="12.75" hidden="1">
      <c r="A478" s="25">
        <v>5081</v>
      </c>
      <c r="B478" s="25" t="s">
        <v>17</v>
      </c>
      <c r="C478" s="26" t="s">
        <v>32</v>
      </c>
      <c r="D478" s="27">
        <v>73145000</v>
      </c>
      <c r="E478" s="28" t="s">
        <v>278</v>
      </c>
      <c r="F478" s="29">
        <v>0</v>
      </c>
      <c r="G478" s="30">
        <v>1</v>
      </c>
      <c r="H478" s="27" t="s">
        <v>137</v>
      </c>
      <c r="I478" s="26" t="s">
        <v>279</v>
      </c>
      <c r="J478" s="31">
        <v>23</v>
      </c>
      <c r="K478" s="32">
        <f t="shared" si="21"/>
        <v>23</v>
      </c>
      <c r="L478" s="29" t="s">
        <v>280</v>
      </c>
      <c r="M478" s="27">
        <f>IFERROR(VLOOKUP(C478,Custo_MI_Device!$B$2:$E$102,3,FALSE),0)</f>
        <v>0</v>
      </c>
      <c r="N478" s="27">
        <f t="shared" si="22"/>
        <v>0</v>
      </c>
      <c r="O478" s="178">
        <f t="shared" si="23"/>
        <v>0</v>
      </c>
    </row>
    <row r="479" spans="1:15" ht="25.5" hidden="1">
      <c r="A479" s="25">
        <v>2973</v>
      </c>
      <c r="B479" s="25" t="s">
        <v>17</v>
      </c>
      <c r="C479" s="26" t="s">
        <v>32</v>
      </c>
      <c r="D479" s="27">
        <v>73072200</v>
      </c>
      <c r="E479" s="28" t="s">
        <v>281</v>
      </c>
      <c r="F479" s="29" t="s">
        <v>282</v>
      </c>
      <c r="G479" s="30">
        <v>2</v>
      </c>
      <c r="H479" s="27" t="s">
        <v>137</v>
      </c>
      <c r="I479" s="26" t="s">
        <v>218</v>
      </c>
      <c r="J479" s="31">
        <v>29</v>
      </c>
      <c r="K479" s="32">
        <f t="shared" si="21"/>
        <v>58</v>
      </c>
      <c r="L479" s="29" t="s">
        <v>282</v>
      </c>
      <c r="M479" s="27">
        <f>IFERROR(VLOOKUP(C479,Custo_MI_Device!$B$2:$E$102,3,FALSE),0)</f>
        <v>0</v>
      </c>
      <c r="N479" s="27">
        <f t="shared" si="22"/>
        <v>0</v>
      </c>
      <c r="O479" s="178">
        <f t="shared" si="23"/>
        <v>0</v>
      </c>
    </row>
    <row r="480" spans="1:15" ht="25.5" hidden="1">
      <c r="A480" s="25">
        <v>5194</v>
      </c>
      <c r="B480" s="25" t="s">
        <v>17</v>
      </c>
      <c r="C480" s="26" t="s">
        <v>32</v>
      </c>
      <c r="D480" s="27">
        <v>73041010</v>
      </c>
      <c r="E480" s="28" t="s">
        <v>289</v>
      </c>
      <c r="F480" s="29" t="s">
        <v>290</v>
      </c>
      <c r="G480" s="30">
        <v>3</v>
      </c>
      <c r="H480" s="27" t="s">
        <v>232</v>
      </c>
      <c r="I480" s="26" t="s">
        <v>218</v>
      </c>
      <c r="J480" s="31">
        <f>21.5*6</f>
        <v>129</v>
      </c>
      <c r="K480" s="32">
        <f t="shared" si="21"/>
        <v>387</v>
      </c>
      <c r="L480" s="29" t="s">
        <v>290</v>
      </c>
      <c r="M480" s="27">
        <f>IFERROR(VLOOKUP(C480,Custo_MI_Device!$B$2:$E$102,3,FALSE),0)</f>
        <v>0</v>
      </c>
      <c r="N480" s="27">
        <f t="shared" si="22"/>
        <v>0</v>
      </c>
      <c r="O480" s="178">
        <f t="shared" si="23"/>
        <v>0</v>
      </c>
    </row>
    <row r="481" spans="1:15" ht="25.5" hidden="1">
      <c r="A481" s="25">
        <v>2125</v>
      </c>
      <c r="B481" s="25" t="s">
        <v>17</v>
      </c>
      <c r="C481" s="26" t="s">
        <v>32</v>
      </c>
      <c r="D481" s="27">
        <v>84818039</v>
      </c>
      <c r="E481" s="28" t="s">
        <v>301</v>
      </c>
      <c r="F481" s="29">
        <v>0</v>
      </c>
      <c r="G481" s="30">
        <v>2</v>
      </c>
      <c r="H481" s="27" t="s">
        <v>137</v>
      </c>
      <c r="I481" s="26" t="s">
        <v>220</v>
      </c>
      <c r="J481" s="31">
        <v>175</v>
      </c>
      <c r="K481" s="32">
        <f t="shared" si="21"/>
        <v>350</v>
      </c>
      <c r="L481" s="29" t="s">
        <v>302</v>
      </c>
      <c r="M481" s="27">
        <f>IFERROR(VLOOKUP(C481,Custo_MI_Device!$B$2:$E$102,3,FALSE),0)</f>
        <v>0</v>
      </c>
      <c r="N481" s="27">
        <f t="shared" si="22"/>
        <v>0</v>
      </c>
      <c r="O481" s="178">
        <f t="shared" si="23"/>
        <v>0</v>
      </c>
    </row>
    <row r="482" spans="1:15" ht="12.75" hidden="1">
      <c r="A482" s="25">
        <v>3778</v>
      </c>
      <c r="B482" s="25" t="s">
        <v>17</v>
      </c>
      <c r="C482" s="26" t="s">
        <v>33</v>
      </c>
      <c r="D482" s="27">
        <v>73072900</v>
      </c>
      <c r="E482" s="28" t="s">
        <v>310</v>
      </c>
      <c r="F482" s="29" t="s">
        <v>311</v>
      </c>
      <c r="G482" s="30">
        <v>24</v>
      </c>
      <c r="H482" s="27" t="s">
        <v>137</v>
      </c>
      <c r="I482" s="26" t="s">
        <v>256</v>
      </c>
      <c r="J482" s="31">
        <v>0.65</v>
      </c>
      <c r="K482" s="32">
        <f t="shared" si="21"/>
        <v>15.600000000000001</v>
      </c>
      <c r="L482" s="29" t="s">
        <v>311</v>
      </c>
      <c r="M482" s="27">
        <f>IFERROR(VLOOKUP(C482,Custo_MI_Device!$B$2:$E$102,3,FALSE),0)</f>
        <v>0</v>
      </c>
      <c r="N482" s="27">
        <f t="shared" si="22"/>
        <v>0</v>
      </c>
      <c r="O482" s="178">
        <f t="shared" si="23"/>
        <v>0</v>
      </c>
    </row>
    <row r="483" spans="1:15" ht="12.75" hidden="1">
      <c r="A483" s="25">
        <v>2534</v>
      </c>
      <c r="B483" s="25" t="s">
        <v>17</v>
      </c>
      <c r="C483" s="26" t="s">
        <v>33</v>
      </c>
      <c r="D483" s="27">
        <v>73072900</v>
      </c>
      <c r="E483" s="28" t="s">
        <v>314</v>
      </c>
      <c r="F483" s="29" t="s">
        <v>315</v>
      </c>
      <c r="G483" s="30">
        <v>12</v>
      </c>
      <c r="H483" s="27" t="s">
        <v>137</v>
      </c>
      <c r="I483" s="26" t="s">
        <v>256</v>
      </c>
      <c r="J483" s="31">
        <v>1.2</v>
      </c>
      <c r="K483" s="32">
        <f t="shared" si="21"/>
        <v>14.399999999999999</v>
      </c>
      <c r="L483" s="29" t="s">
        <v>315</v>
      </c>
      <c r="M483" s="27">
        <f>IFERROR(VLOOKUP(C483,Custo_MI_Device!$B$2:$E$102,3,FALSE),0)</f>
        <v>0</v>
      </c>
      <c r="N483" s="27">
        <f t="shared" si="22"/>
        <v>0</v>
      </c>
      <c r="O483" s="178">
        <f t="shared" si="23"/>
        <v>0</v>
      </c>
    </row>
    <row r="484" spans="1:15" ht="12.75" hidden="1">
      <c r="A484" s="25">
        <v>1669</v>
      </c>
      <c r="B484" s="25" t="s">
        <v>17</v>
      </c>
      <c r="C484" s="26" t="s">
        <v>33</v>
      </c>
      <c r="D484" s="27">
        <v>39269090</v>
      </c>
      <c r="E484" s="28" t="s">
        <v>316</v>
      </c>
      <c r="F484" s="29" t="s">
        <v>317</v>
      </c>
      <c r="G484" s="30">
        <v>3</v>
      </c>
      <c r="H484" s="27" t="s">
        <v>137</v>
      </c>
      <c r="I484" s="26" t="s">
        <v>318</v>
      </c>
      <c r="J484" s="31">
        <v>0.04</v>
      </c>
      <c r="K484" s="32">
        <f t="shared" si="21"/>
        <v>0.12</v>
      </c>
      <c r="L484" s="29" t="s">
        <v>317</v>
      </c>
      <c r="M484" s="27">
        <f>IFERROR(VLOOKUP(C484,Custo_MI_Device!$B$2:$E$102,3,FALSE),0)</f>
        <v>0</v>
      </c>
      <c r="N484" s="27">
        <f t="shared" si="22"/>
        <v>0</v>
      </c>
      <c r="O484" s="178">
        <f t="shared" si="23"/>
        <v>0</v>
      </c>
    </row>
    <row r="485" spans="1:15" ht="12.75" hidden="1">
      <c r="A485" s="25">
        <v>5091</v>
      </c>
      <c r="B485" s="25" t="s">
        <v>17</v>
      </c>
      <c r="C485" s="26" t="s">
        <v>33</v>
      </c>
      <c r="D485" s="27">
        <v>73181500</v>
      </c>
      <c r="E485" s="28" t="s">
        <v>323</v>
      </c>
      <c r="F485" s="29" t="s">
        <v>324</v>
      </c>
      <c r="G485" s="30">
        <v>24</v>
      </c>
      <c r="H485" s="27" t="s">
        <v>137</v>
      </c>
      <c r="I485" s="26" t="s">
        <v>256</v>
      </c>
      <c r="J485" s="31">
        <v>0.04</v>
      </c>
      <c r="K485" s="32">
        <f t="shared" si="21"/>
        <v>0.96</v>
      </c>
      <c r="L485" s="29" t="s">
        <v>324</v>
      </c>
      <c r="M485" s="27">
        <f>IFERROR(VLOOKUP(C485,Custo_MI_Device!$B$2:$E$102,3,FALSE),0)</f>
        <v>0</v>
      </c>
      <c r="N485" s="27">
        <f t="shared" si="22"/>
        <v>0</v>
      </c>
      <c r="O485" s="178">
        <f t="shared" si="23"/>
        <v>0</v>
      </c>
    </row>
    <row r="486" spans="1:15" ht="12.75" hidden="1">
      <c r="A486" s="25">
        <v>5091</v>
      </c>
      <c r="B486" s="25" t="s">
        <v>17</v>
      </c>
      <c r="C486" s="26" t="s">
        <v>33</v>
      </c>
      <c r="D486" s="27">
        <v>73181500</v>
      </c>
      <c r="E486" s="28" t="s">
        <v>323</v>
      </c>
      <c r="F486" s="29" t="s">
        <v>324</v>
      </c>
      <c r="G486" s="30">
        <v>48</v>
      </c>
      <c r="H486" s="27" t="s">
        <v>137</v>
      </c>
      <c r="I486" s="26" t="s">
        <v>256</v>
      </c>
      <c r="J486" s="31">
        <v>0.04</v>
      </c>
      <c r="K486" s="32">
        <f t="shared" si="21"/>
        <v>1.92</v>
      </c>
      <c r="L486" s="29" t="s">
        <v>324</v>
      </c>
      <c r="M486" s="27">
        <f>IFERROR(VLOOKUP(C486,Custo_MI_Device!$B$2:$E$102,3,FALSE),0)</f>
        <v>0</v>
      </c>
      <c r="N486" s="27">
        <f t="shared" si="22"/>
        <v>0</v>
      </c>
      <c r="O486" s="178">
        <f t="shared" si="23"/>
        <v>0</v>
      </c>
    </row>
    <row r="487" spans="1:15" ht="12.75" hidden="1">
      <c r="A487" s="25">
        <v>1117</v>
      </c>
      <c r="B487" s="25" t="s">
        <v>17</v>
      </c>
      <c r="C487" s="26" t="s">
        <v>33</v>
      </c>
      <c r="D487" s="27"/>
      <c r="E487" s="28" t="s">
        <v>145</v>
      </c>
      <c r="F487" s="29" t="s">
        <v>146</v>
      </c>
      <c r="G487" s="30">
        <v>1</v>
      </c>
      <c r="H487" s="27" t="s">
        <v>137</v>
      </c>
      <c r="I487" s="26" t="s">
        <v>138</v>
      </c>
      <c r="J487" s="31">
        <v>1.95</v>
      </c>
      <c r="K487" s="32">
        <f t="shared" si="21"/>
        <v>1.95</v>
      </c>
      <c r="L487" s="29" t="s">
        <v>146</v>
      </c>
      <c r="M487" s="27">
        <f>IFERROR(VLOOKUP(C487,Custo_MI_Device!$B$2:$E$102,3,FALSE),0)</f>
        <v>0</v>
      </c>
      <c r="N487" s="27">
        <f t="shared" si="22"/>
        <v>0</v>
      </c>
      <c r="O487" s="178">
        <f t="shared" si="23"/>
        <v>0</v>
      </c>
    </row>
    <row r="488" spans="1:15" ht="12.75" hidden="1">
      <c r="A488" s="25">
        <v>3080</v>
      </c>
      <c r="B488" s="25" t="s">
        <v>17</v>
      </c>
      <c r="C488" s="26" t="s">
        <v>33</v>
      </c>
      <c r="D488" s="27">
        <v>74122000</v>
      </c>
      <c r="E488" s="28" t="s">
        <v>153</v>
      </c>
      <c r="F488" s="29" t="s">
        <v>154</v>
      </c>
      <c r="G488" s="30">
        <v>1</v>
      </c>
      <c r="H488" s="27" t="s">
        <v>137</v>
      </c>
      <c r="I488" s="26" t="s">
        <v>155</v>
      </c>
      <c r="J488" s="31">
        <v>3.3</v>
      </c>
      <c r="K488" s="32">
        <f t="shared" si="21"/>
        <v>3.3</v>
      </c>
      <c r="L488" s="29" t="s">
        <v>154</v>
      </c>
      <c r="M488" s="27">
        <f>IFERROR(VLOOKUP(C488,Custo_MI_Device!$B$2:$E$102,3,FALSE),0)</f>
        <v>0</v>
      </c>
      <c r="N488" s="27">
        <f t="shared" si="22"/>
        <v>0</v>
      </c>
      <c r="O488" s="178">
        <f t="shared" si="23"/>
        <v>0</v>
      </c>
    </row>
    <row r="489" spans="1:15" ht="25.5" hidden="1">
      <c r="A489" s="25">
        <v>5139</v>
      </c>
      <c r="B489" s="25" t="s">
        <v>17</v>
      </c>
      <c r="C489" s="26" t="s">
        <v>33</v>
      </c>
      <c r="D489" s="27">
        <v>85444900</v>
      </c>
      <c r="E489" s="28" t="s">
        <v>170</v>
      </c>
      <c r="F489" s="29" t="s">
        <v>171</v>
      </c>
      <c r="G489" s="30">
        <v>15</v>
      </c>
      <c r="H489" s="27" t="s">
        <v>158</v>
      </c>
      <c r="I489" s="26" t="s">
        <v>172</v>
      </c>
      <c r="J489" s="31">
        <v>7.5</v>
      </c>
      <c r="K489" s="32">
        <f t="shared" si="21"/>
        <v>112.5</v>
      </c>
      <c r="L489" s="29" t="s">
        <v>173</v>
      </c>
      <c r="M489" s="27">
        <f>IFERROR(VLOOKUP(C489,Custo_MI_Device!$B$2:$E$102,3,FALSE),0)</f>
        <v>0</v>
      </c>
      <c r="N489" s="27">
        <f t="shared" si="22"/>
        <v>0</v>
      </c>
      <c r="O489" s="178">
        <f t="shared" si="23"/>
        <v>0</v>
      </c>
    </row>
    <row r="490" spans="1:15" ht="12.75" hidden="1">
      <c r="A490" s="25">
        <v>2805</v>
      </c>
      <c r="B490" s="25" t="s">
        <v>17</v>
      </c>
      <c r="C490" s="26" t="s">
        <v>33</v>
      </c>
      <c r="D490" s="27">
        <v>72162100</v>
      </c>
      <c r="E490" s="28" t="s">
        <v>174</v>
      </c>
      <c r="F490" s="29">
        <v>0</v>
      </c>
      <c r="G490" s="30">
        <v>2.9</v>
      </c>
      <c r="H490" s="27" t="s">
        <v>175</v>
      </c>
      <c r="I490" s="26" t="s">
        <v>176</v>
      </c>
      <c r="J490" s="31">
        <v>4.22</v>
      </c>
      <c r="K490" s="32">
        <f t="shared" si="21"/>
        <v>12.238</v>
      </c>
      <c r="L490" s="29" t="s">
        <v>177</v>
      </c>
      <c r="M490" s="27">
        <f>IFERROR(VLOOKUP(C490,Custo_MI_Device!$B$2:$E$102,3,FALSE),0)</f>
        <v>0</v>
      </c>
      <c r="N490" s="27">
        <f t="shared" si="22"/>
        <v>0</v>
      </c>
      <c r="O490" s="178">
        <f t="shared" si="23"/>
        <v>0</v>
      </c>
    </row>
    <row r="491" spans="1:15" ht="12.75" hidden="1">
      <c r="A491" s="25">
        <v>2904</v>
      </c>
      <c r="B491" s="25" t="s">
        <v>17</v>
      </c>
      <c r="C491" s="26" t="s">
        <v>33</v>
      </c>
      <c r="D491" s="27">
        <v>76090000</v>
      </c>
      <c r="E491" s="28" t="s">
        <v>195</v>
      </c>
      <c r="F491" s="29" t="s">
        <v>196</v>
      </c>
      <c r="G491" s="30">
        <v>0.75</v>
      </c>
      <c r="H491" s="27" t="s">
        <v>137</v>
      </c>
      <c r="I491" s="26" t="s">
        <v>138</v>
      </c>
      <c r="J491" s="31">
        <v>6.7</v>
      </c>
      <c r="K491" s="32">
        <f t="shared" si="21"/>
        <v>5.0250000000000004</v>
      </c>
      <c r="L491" s="29" t="s">
        <v>196</v>
      </c>
      <c r="M491" s="27">
        <f>IFERROR(VLOOKUP(C491,Custo_MI_Device!$B$2:$E$102,3,FALSE),0)</f>
        <v>0</v>
      </c>
      <c r="N491" s="27">
        <f t="shared" si="22"/>
        <v>0</v>
      </c>
      <c r="O491" s="178">
        <f t="shared" si="23"/>
        <v>0</v>
      </c>
    </row>
    <row r="492" spans="1:15" ht="12.75" hidden="1">
      <c r="A492" s="25">
        <v>2911</v>
      </c>
      <c r="B492" s="25" t="s">
        <v>17</v>
      </c>
      <c r="C492" s="26" t="s">
        <v>33</v>
      </c>
      <c r="D492" s="27">
        <v>76090000</v>
      </c>
      <c r="E492" s="28" t="s">
        <v>197</v>
      </c>
      <c r="F492" s="29" t="s">
        <v>198</v>
      </c>
      <c r="G492" s="30">
        <v>0.75</v>
      </c>
      <c r="H492" s="27" t="s">
        <v>137</v>
      </c>
      <c r="I492" s="26" t="s">
        <v>138</v>
      </c>
      <c r="J492" s="31">
        <v>6.7</v>
      </c>
      <c r="K492" s="32">
        <f t="shared" si="21"/>
        <v>5.0250000000000004</v>
      </c>
      <c r="L492" s="29" t="s">
        <v>198</v>
      </c>
      <c r="M492" s="27">
        <f>IFERROR(VLOOKUP(C492,Custo_MI_Device!$B$2:$E$102,3,FALSE),0)</f>
        <v>0</v>
      </c>
      <c r="N492" s="27">
        <f t="shared" si="22"/>
        <v>0</v>
      </c>
      <c r="O492" s="178">
        <f t="shared" si="23"/>
        <v>0</v>
      </c>
    </row>
    <row r="493" spans="1:15" ht="12.75" hidden="1">
      <c r="A493" s="25">
        <v>4823</v>
      </c>
      <c r="B493" s="25" t="s">
        <v>17</v>
      </c>
      <c r="C493" s="26" t="s">
        <v>33</v>
      </c>
      <c r="D493" s="27">
        <v>76090000</v>
      </c>
      <c r="E493" s="28" t="s">
        <v>199</v>
      </c>
      <c r="F493" s="29" t="s">
        <v>200</v>
      </c>
      <c r="G493" s="30">
        <v>0.75</v>
      </c>
      <c r="H493" s="27" t="s">
        <v>137</v>
      </c>
      <c r="I493" s="26" t="s">
        <v>138</v>
      </c>
      <c r="J493" s="31">
        <v>6.7</v>
      </c>
      <c r="K493" s="32">
        <f t="shared" si="21"/>
        <v>5.0250000000000004</v>
      </c>
      <c r="L493" s="29" t="s">
        <v>200</v>
      </c>
      <c r="M493" s="27">
        <f>IFERROR(VLOOKUP(C493,Custo_MI_Device!$B$2:$E$102,3,FALSE),0)</f>
        <v>0</v>
      </c>
      <c r="N493" s="27">
        <f t="shared" si="22"/>
        <v>0</v>
      </c>
      <c r="O493" s="178">
        <f t="shared" si="23"/>
        <v>0</v>
      </c>
    </row>
    <row r="494" spans="1:15" ht="25.5" hidden="1">
      <c r="A494" s="25">
        <v>2909</v>
      </c>
      <c r="B494" s="25" t="s">
        <v>17</v>
      </c>
      <c r="C494" s="26" t="s">
        <v>33</v>
      </c>
      <c r="D494" s="27">
        <v>73072200</v>
      </c>
      <c r="E494" s="28" t="s">
        <v>216</v>
      </c>
      <c r="F494" s="29" t="s">
        <v>217</v>
      </c>
      <c r="G494" s="30">
        <v>4</v>
      </c>
      <c r="H494" s="27" t="s">
        <v>137</v>
      </c>
      <c r="I494" s="26" t="s">
        <v>218</v>
      </c>
      <c r="J494" s="31">
        <v>27.7</v>
      </c>
      <c r="K494" s="32">
        <f t="shared" si="21"/>
        <v>110.8</v>
      </c>
      <c r="L494" s="29" t="s">
        <v>217</v>
      </c>
      <c r="M494" s="27">
        <f>IFERROR(VLOOKUP(C494,Custo_MI_Device!$B$2:$E$102,3,FALSE),0)</f>
        <v>0</v>
      </c>
      <c r="N494" s="27">
        <f t="shared" si="22"/>
        <v>0</v>
      </c>
      <c r="O494" s="178">
        <f t="shared" si="23"/>
        <v>0</v>
      </c>
    </row>
    <row r="495" spans="1:15" ht="25.5" hidden="1">
      <c r="A495" s="25">
        <v>2300</v>
      </c>
      <c r="B495" s="25" t="s">
        <v>17</v>
      </c>
      <c r="C495" s="26" t="s">
        <v>33</v>
      </c>
      <c r="D495" s="27">
        <v>73072200</v>
      </c>
      <c r="E495" s="28" t="s">
        <v>222</v>
      </c>
      <c r="F495" s="29" t="s">
        <v>223</v>
      </c>
      <c r="G495" s="30">
        <v>1</v>
      </c>
      <c r="H495" s="27" t="s">
        <v>137</v>
      </c>
      <c r="I495" s="26" t="s">
        <v>218</v>
      </c>
      <c r="J495" s="31">
        <v>41</v>
      </c>
      <c r="K495" s="32">
        <f t="shared" si="21"/>
        <v>41</v>
      </c>
      <c r="L495" s="29" t="s">
        <v>223</v>
      </c>
      <c r="M495" s="27">
        <f>IFERROR(VLOOKUP(C495,Custo_MI_Device!$B$2:$E$102,3,FALSE),0)</f>
        <v>0</v>
      </c>
      <c r="N495" s="27">
        <f t="shared" si="22"/>
        <v>0</v>
      </c>
      <c r="O495" s="178">
        <f t="shared" si="23"/>
        <v>0</v>
      </c>
    </row>
    <row r="496" spans="1:15" ht="25.5" hidden="1">
      <c r="A496" s="25">
        <v>2941</v>
      </c>
      <c r="B496" s="25" t="s">
        <v>17</v>
      </c>
      <c r="C496" s="26" t="s">
        <v>33</v>
      </c>
      <c r="D496" s="27">
        <v>73072200</v>
      </c>
      <c r="E496" s="28" t="s">
        <v>226</v>
      </c>
      <c r="F496" s="29" t="s">
        <v>228</v>
      </c>
      <c r="G496" s="30">
        <v>2</v>
      </c>
      <c r="H496" s="27" t="s">
        <v>137</v>
      </c>
      <c r="I496" s="26" t="s">
        <v>218</v>
      </c>
      <c r="J496" s="31">
        <v>65</v>
      </c>
      <c r="K496" s="32">
        <f t="shared" si="21"/>
        <v>130</v>
      </c>
      <c r="L496" s="29" t="s">
        <v>228</v>
      </c>
      <c r="M496" s="27">
        <f>IFERROR(VLOOKUP(C496,Custo_MI_Device!$B$2:$E$102,3,FALSE),0)</f>
        <v>0</v>
      </c>
      <c r="N496" s="27">
        <f t="shared" si="22"/>
        <v>0</v>
      </c>
      <c r="O496" s="178">
        <f t="shared" si="23"/>
        <v>0</v>
      </c>
    </row>
    <row r="497" spans="1:15" ht="25.5" hidden="1">
      <c r="A497" s="25">
        <v>4306</v>
      </c>
      <c r="B497" s="25" t="s">
        <v>17</v>
      </c>
      <c r="C497" s="26" t="s">
        <v>33</v>
      </c>
      <c r="D497" s="27">
        <v>73063000</v>
      </c>
      <c r="E497" s="28" t="s">
        <v>239</v>
      </c>
      <c r="F497" s="29">
        <v>0</v>
      </c>
      <c r="G497" s="30">
        <v>2</v>
      </c>
      <c r="H497" s="27" t="s">
        <v>232</v>
      </c>
      <c r="I497" s="26" t="s">
        <v>233</v>
      </c>
      <c r="J497" s="31">
        <v>32</v>
      </c>
      <c r="K497" s="32">
        <f t="shared" si="21"/>
        <v>64</v>
      </c>
      <c r="L497" s="29" t="s">
        <v>240</v>
      </c>
      <c r="M497" s="27">
        <f>IFERROR(VLOOKUP(C497,Custo_MI_Device!$B$2:$E$102,3,FALSE),0)</f>
        <v>0</v>
      </c>
      <c r="N497" s="27">
        <f t="shared" si="22"/>
        <v>0</v>
      </c>
      <c r="O497" s="178">
        <f t="shared" si="23"/>
        <v>0</v>
      </c>
    </row>
    <row r="498" spans="1:15" ht="12.75" hidden="1">
      <c r="A498" s="25">
        <v>3274</v>
      </c>
      <c r="B498" s="25" t="s">
        <v>17</v>
      </c>
      <c r="C498" s="26" t="s">
        <v>33</v>
      </c>
      <c r="D498" s="27">
        <v>73181500</v>
      </c>
      <c r="E498" s="28" t="s">
        <v>265</v>
      </c>
      <c r="F498" s="29" t="s">
        <v>266</v>
      </c>
      <c r="G498" s="30">
        <v>24</v>
      </c>
      <c r="H498" s="27" t="s">
        <v>137</v>
      </c>
      <c r="I498" s="26" t="s">
        <v>256</v>
      </c>
      <c r="J498" s="31">
        <v>0.06</v>
      </c>
      <c r="K498" s="32">
        <f t="shared" si="21"/>
        <v>1.44</v>
      </c>
      <c r="L498" s="29" t="s">
        <v>266</v>
      </c>
      <c r="M498" s="27">
        <f>IFERROR(VLOOKUP(C498,Custo_MI_Device!$B$2:$E$102,3,FALSE),0)</f>
        <v>0</v>
      </c>
      <c r="N498" s="27">
        <f t="shared" si="22"/>
        <v>0</v>
      </c>
      <c r="O498" s="178">
        <f t="shared" si="23"/>
        <v>0</v>
      </c>
    </row>
    <row r="499" spans="1:15" ht="12.75" hidden="1">
      <c r="A499" s="25">
        <v>3274</v>
      </c>
      <c r="B499" s="25" t="s">
        <v>17</v>
      </c>
      <c r="C499" s="26" t="s">
        <v>33</v>
      </c>
      <c r="D499" s="27">
        <v>73181500</v>
      </c>
      <c r="E499" s="28" t="s">
        <v>265</v>
      </c>
      <c r="F499" s="29" t="s">
        <v>266</v>
      </c>
      <c r="G499" s="30">
        <v>48</v>
      </c>
      <c r="H499" s="27" t="s">
        <v>137</v>
      </c>
      <c r="I499" s="26" t="s">
        <v>256</v>
      </c>
      <c r="J499" s="31">
        <v>0.06</v>
      </c>
      <c r="K499" s="32">
        <f t="shared" si="21"/>
        <v>2.88</v>
      </c>
      <c r="L499" s="29" t="s">
        <v>266</v>
      </c>
      <c r="M499" s="27">
        <f>IFERROR(VLOOKUP(C499,Custo_MI_Device!$B$2:$E$102,3,FALSE),0)</f>
        <v>0</v>
      </c>
      <c r="N499" s="27">
        <f t="shared" si="22"/>
        <v>0</v>
      </c>
      <c r="O499" s="178">
        <f t="shared" si="23"/>
        <v>0</v>
      </c>
    </row>
    <row r="500" spans="1:15" ht="25.5" hidden="1">
      <c r="A500" s="25">
        <v>6767</v>
      </c>
      <c r="B500" s="25" t="s">
        <v>17</v>
      </c>
      <c r="C500" s="26" t="s">
        <v>33</v>
      </c>
      <c r="D500" s="27">
        <v>90262090</v>
      </c>
      <c r="E500" s="28" t="s">
        <v>273</v>
      </c>
      <c r="F500" s="29">
        <v>0</v>
      </c>
      <c r="G500" s="33">
        <v>0</v>
      </c>
      <c r="H500" s="27" t="s">
        <v>137</v>
      </c>
      <c r="I500" s="26" t="s">
        <v>220</v>
      </c>
      <c r="J500" s="31">
        <v>2150</v>
      </c>
      <c r="K500" s="32">
        <f t="shared" si="21"/>
        <v>0</v>
      </c>
      <c r="L500" s="29" t="s">
        <v>274</v>
      </c>
      <c r="M500" s="27">
        <f>IFERROR(VLOOKUP(C500,Custo_MI_Device!$B$2:$E$102,3,FALSE),0)</f>
        <v>0</v>
      </c>
      <c r="N500" s="27">
        <f t="shared" si="22"/>
        <v>0</v>
      </c>
      <c r="O500" s="178">
        <f t="shared" si="23"/>
        <v>0</v>
      </c>
    </row>
    <row r="501" spans="1:15" ht="25.5" hidden="1">
      <c r="A501" s="25">
        <v>1611</v>
      </c>
      <c r="B501" s="25" t="s">
        <v>17</v>
      </c>
      <c r="C501" s="26" t="s">
        <v>33</v>
      </c>
      <c r="D501" s="27">
        <v>39174090</v>
      </c>
      <c r="E501" s="28" t="s">
        <v>275</v>
      </c>
      <c r="F501" s="29" t="s">
        <v>276</v>
      </c>
      <c r="G501" s="30">
        <v>2</v>
      </c>
      <c r="H501" s="27" t="s">
        <v>137</v>
      </c>
      <c r="I501" s="26" t="s">
        <v>277</v>
      </c>
      <c r="J501" s="31">
        <v>7.8</v>
      </c>
      <c r="K501" s="32">
        <f t="shared" si="21"/>
        <v>15.6</v>
      </c>
      <c r="L501" s="29" t="s">
        <v>276</v>
      </c>
      <c r="M501" s="27">
        <f>IFERROR(VLOOKUP(C501,Custo_MI_Device!$B$2:$E$102,3,FALSE),0)</f>
        <v>0</v>
      </c>
      <c r="N501" s="27">
        <f t="shared" si="22"/>
        <v>0</v>
      </c>
      <c r="O501" s="178">
        <f t="shared" si="23"/>
        <v>0</v>
      </c>
    </row>
    <row r="502" spans="1:15" ht="12.75" hidden="1">
      <c r="A502" s="25">
        <v>5081</v>
      </c>
      <c r="B502" s="25" t="s">
        <v>17</v>
      </c>
      <c r="C502" s="26" t="s">
        <v>33</v>
      </c>
      <c r="D502" s="27">
        <v>73145000</v>
      </c>
      <c r="E502" s="28" t="s">
        <v>278</v>
      </c>
      <c r="F502" s="29">
        <v>0</v>
      </c>
      <c r="G502" s="30">
        <v>1</v>
      </c>
      <c r="H502" s="27" t="s">
        <v>137</v>
      </c>
      <c r="I502" s="26" t="s">
        <v>279</v>
      </c>
      <c r="J502" s="31">
        <v>23</v>
      </c>
      <c r="K502" s="32">
        <f t="shared" si="21"/>
        <v>23</v>
      </c>
      <c r="L502" s="29" t="s">
        <v>280</v>
      </c>
      <c r="M502" s="27">
        <f>IFERROR(VLOOKUP(C502,Custo_MI_Device!$B$2:$E$102,3,FALSE),0)</f>
        <v>0</v>
      </c>
      <c r="N502" s="27">
        <f t="shared" si="22"/>
        <v>0</v>
      </c>
      <c r="O502" s="178">
        <f t="shared" si="23"/>
        <v>0</v>
      </c>
    </row>
    <row r="503" spans="1:15" ht="25.5" hidden="1">
      <c r="A503" s="25">
        <v>2973</v>
      </c>
      <c r="B503" s="25" t="s">
        <v>17</v>
      </c>
      <c r="C503" s="26" t="s">
        <v>33</v>
      </c>
      <c r="D503" s="27">
        <v>73072200</v>
      </c>
      <c r="E503" s="28" t="s">
        <v>281</v>
      </c>
      <c r="F503" s="29" t="s">
        <v>282</v>
      </c>
      <c r="G503" s="30">
        <v>2</v>
      </c>
      <c r="H503" s="27" t="s">
        <v>137</v>
      </c>
      <c r="I503" s="26" t="s">
        <v>218</v>
      </c>
      <c r="J503" s="31">
        <v>29</v>
      </c>
      <c r="K503" s="32">
        <f t="shared" si="21"/>
        <v>58</v>
      </c>
      <c r="L503" s="29" t="s">
        <v>282</v>
      </c>
      <c r="M503" s="27">
        <f>IFERROR(VLOOKUP(C503,Custo_MI_Device!$B$2:$E$102,3,FALSE),0)</f>
        <v>0</v>
      </c>
      <c r="N503" s="27">
        <f t="shared" si="22"/>
        <v>0</v>
      </c>
      <c r="O503" s="178">
        <f t="shared" si="23"/>
        <v>0</v>
      </c>
    </row>
    <row r="504" spans="1:15" ht="25.5" hidden="1">
      <c r="A504" s="25">
        <v>5194</v>
      </c>
      <c r="B504" s="25" t="s">
        <v>17</v>
      </c>
      <c r="C504" s="26" t="s">
        <v>33</v>
      </c>
      <c r="D504" s="27">
        <v>73041010</v>
      </c>
      <c r="E504" s="28" t="s">
        <v>289</v>
      </c>
      <c r="F504" s="29" t="s">
        <v>290</v>
      </c>
      <c r="G504" s="30">
        <v>3</v>
      </c>
      <c r="H504" s="27" t="s">
        <v>232</v>
      </c>
      <c r="I504" s="26" t="s">
        <v>218</v>
      </c>
      <c r="J504" s="31">
        <f>21.5*6</f>
        <v>129</v>
      </c>
      <c r="K504" s="32">
        <f t="shared" si="21"/>
        <v>387</v>
      </c>
      <c r="L504" s="29" t="s">
        <v>290</v>
      </c>
      <c r="M504" s="27">
        <f>IFERROR(VLOOKUP(C504,Custo_MI_Device!$B$2:$E$102,3,FALSE),0)</f>
        <v>0</v>
      </c>
      <c r="N504" s="27">
        <f t="shared" si="22"/>
        <v>0</v>
      </c>
      <c r="O504" s="178">
        <f t="shared" si="23"/>
        <v>0</v>
      </c>
    </row>
    <row r="505" spans="1:15" ht="25.5" hidden="1">
      <c r="A505" s="25">
        <v>2125</v>
      </c>
      <c r="B505" s="25" t="s">
        <v>17</v>
      </c>
      <c r="C505" s="26" t="s">
        <v>33</v>
      </c>
      <c r="D505" s="27">
        <v>84818039</v>
      </c>
      <c r="E505" s="28" t="s">
        <v>301</v>
      </c>
      <c r="F505" s="29">
        <v>0</v>
      </c>
      <c r="G505" s="30">
        <v>2</v>
      </c>
      <c r="H505" s="27" t="s">
        <v>137</v>
      </c>
      <c r="I505" s="26" t="s">
        <v>220</v>
      </c>
      <c r="J505" s="31">
        <v>175</v>
      </c>
      <c r="K505" s="32">
        <f t="shared" si="21"/>
        <v>350</v>
      </c>
      <c r="L505" s="29" t="s">
        <v>302</v>
      </c>
      <c r="M505" s="27">
        <f>IFERROR(VLOOKUP(C505,Custo_MI_Device!$B$2:$E$102,3,FALSE),0)</f>
        <v>0</v>
      </c>
      <c r="N505" s="27">
        <f t="shared" si="22"/>
        <v>0</v>
      </c>
      <c r="O505" s="178">
        <f t="shared" si="23"/>
        <v>0</v>
      </c>
    </row>
    <row r="506" spans="1:15" ht="12.75" hidden="1">
      <c r="A506" s="25">
        <v>2534</v>
      </c>
      <c r="B506" s="25" t="s">
        <v>34</v>
      </c>
      <c r="C506" s="26" t="s">
        <v>35</v>
      </c>
      <c r="D506" s="27">
        <v>73072900</v>
      </c>
      <c r="E506" s="28" t="s">
        <v>314</v>
      </c>
      <c r="F506" s="29" t="s">
        <v>315</v>
      </c>
      <c r="G506" s="30">
        <v>12</v>
      </c>
      <c r="H506" s="27" t="s">
        <v>137</v>
      </c>
      <c r="I506" s="26" t="s">
        <v>256</v>
      </c>
      <c r="J506" s="31">
        <v>1.2</v>
      </c>
      <c r="K506" s="32">
        <f t="shared" si="21"/>
        <v>14.399999999999999</v>
      </c>
      <c r="L506" s="29" t="s">
        <v>315</v>
      </c>
      <c r="M506" s="27">
        <f>IFERROR(VLOOKUP(C506,Custo_MI_Device!$B$2:$E$102,3,FALSE),0)</f>
        <v>0</v>
      </c>
      <c r="N506" s="27">
        <f t="shared" si="22"/>
        <v>0</v>
      </c>
      <c r="O506" s="178">
        <f t="shared" si="23"/>
        <v>0</v>
      </c>
    </row>
    <row r="507" spans="1:15" ht="12.75" hidden="1">
      <c r="A507" s="25">
        <v>5091</v>
      </c>
      <c r="B507" s="25" t="s">
        <v>34</v>
      </c>
      <c r="C507" s="26" t="s">
        <v>35</v>
      </c>
      <c r="D507" s="27">
        <v>73181500</v>
      </c>
      <c r="E507" s="28" t="s">
        <v>323</v>
      </c>
      <c r="F507" s="29" t="s">
        <v>324</v>
      </c>
      <c r="G507" s="30">
        <v>24</v>
      </c>
      <c r="H507" s="27" t="s">
        <v>137</v>
      </c>
      <c r="I507" s="26" t="s">
        <v>256</v>
      </c>
      <c r="J507" s="31">
        <v>0.04</v>
      </c>
      <c r="K507" s="32">
        <f t="shared" si="21"/>
        <v>0.96</v>
      </c>
      <c r="L507" s="29" t="s">
        <v>324</v>
      </c>
      <c r="M507" s="27">
        <f>IFERROR(VLOOKUP(C507,Custo_MI_Device!$B$2:$E$102,3,FALSE),0)</f>
        <v>0</v>
      </c>
      <c r="N507" s="27">
        <f t="shared" si="22"/>
        <v>0</v>
      </c>
      <c r="O507" s="178">
        <f t="shared" si="23"/>
        <v>0</v>
      </c>
    </row>
    <row r="508" spans="1:15" ht="12.75" hidden="1">
      <c r="A508" s="25">
        <v>1117</v>
      </c>
      <c r="B508" s="25" t="s">
        <v>34</v>
      </c>
      <c r="C508" s="26" t="s">
        <v>35</v>
      </c>
      <c r="D508" s="27"/>
      <c r="E508" s="28" t="s">
        <v>145</v>
      </c>
      <c r="F508" s="29" t="s">
        <v>146</v>
      </c>
      <c r="G508" s="30">
        <v>2</v>
      </c>
      <c r="H508" s="27" t="s">
        <v>137</v>
      </c>
      <c r="I508" s="26" t="s">
        <v>138</v>
      </c>
      <c r="J508" s="31">
        <v>1.95</v>
      </c>
      <c r="K508" s="32">
        <f t="shared" si="21"/>
        <v>3.9</v>
      </c>
      <c r="L508" s="29" t="s">
        <v>146</v>
      </c>
      <c r="M508" s="27">
        <f>IFERROR(VLOOKUP(C508,Custo_MI_Device!$B$2:$E$102,3,FALSE),0)</f>
        <v>0</v>
      </c>
      <c r="N508" s="27">
        <f t="shared" si="22"/>
        <v>0</v>
      </c>
      <c r="O508" s="178">
        <f t="shared" si="23"/>
        <v>0</v>
      </c>
    </row>
    <row r="509" spans="1:15" ht="25.5" hidden="1">
      <c r="A509" s="25">
        <v>4371</v>
      </c>
      <c r="B509" s="25" t="s">
        <v>34</v>
      </c>
      <c r="C509" s="26" t="s">
        <v>35</v>
      </c>
      <c r="D509" s="27">
        <v>85444900</v>
      </c>
      <c r="E509" s="28" t="s">
        <v>160</v>
      </c>
      <c r="F509" s="29">
        <v>0</v>
      </c>
      <c r="G509" s="30">
        <v>200</v>
      </c>
      <c r="H509" s="27" t="s">
        <v>137</v>
      </c>
      <c r="I509" s="26" t="s">
        <v>161</v>
      </c>
      <c r="J509" s="31">
        <v>1.95</v>
      </c>
      <c r="K509" s="32">
        <f t="shared" si="21"/>
        <v>390</v>
      </c>
      <c r="L509" s="29" t="s">
        <v>162</v>
      </c>
      <c r="M509" s="27">
        <f>IFERROR(VLOOKUP(C509,Custo_MI_Device!$B$2:$E$102,3,FALSE),0)</f>
        <v>0</v>
      </c>
      <c r="N509" s="27">
        <f t="shared" si="22"/>
        <v>0</v>
      </c>
      <c r="O509" s="178">
        <f t="shared" si="23"/>
        <v>0</v>
      </c>
    </row>
    <row r="510" spans="1:15" ht="25.5" hidden="1">
      <c r="A510" s="25">
        <v>2023</v>
      </c>
      <c r="B510" s="25" t="s">
        <v>34</v>
      </c>
      <c r="C510" s="26" t="s">
        <v>35</v>
      </c>
      <c r="D510" s="27">
        <v>85444900</v>
      </c>
      <c r="E510" s="28" t="s">
        <v>330</v>
      </c>
      <c r="F510" s="29" t="s">
        <v>331</v>
      </c>
      <c r="G510" s="30">
        <v>200</v>
      </c>
      <c r="H510" s="27" t="s">
        <v>137</v>
      </c>
      <c r="I510" s="26" t="s">
        <v>172</v>
      </c>
      <c r="J510" s="31">
        <v>7.5</v>
      </c>
      <c r="K510" s="32">
        <f t="shared" si="21"/>
        <v>1500</v>
      </c>
      <c r="L510" s="29" t="s">
        <v>331</v>
      </c>
      <c r="M510" s="27">
        <f>IFERROR(VLOOKUP(C510,Custo_MI_Device!$B$2:$E$102,3,FALSE),0)</f>
        <v>0</v>
      </c>
      <c r="N510" s="27">
        <f t="shared" si="22"/>
        <v>0</v>
      </c>
      <c r="O510" s="178">
        <f t="shared" si="23"/>
        <v>0</v>
      </c>
    </row>
    <row r="511" spans="1:15" ht="25.5" hidden="1">
      <c r="A511" s="25">
        <v>5139</v>
      </c>
      <c r="B511" s="25" t="s">
        <v>34</v>
      </c>
      <c r="C511" s="26" t="s">
        <v>35</v>
      </c>
      <c r="D511" s="27">
        <v>85444900</v>
      </c>
      <c r="E511" s="28" t="s">
        <v>170</v>
      </c>
      <c r="F511" s="29" t="s">
        <v>171</v>
      </c>
      <c r="G511" s="30">
        <v>15</v>
      </c>
      <c r="H511" s="27" t="s">
        <v>158</v>
      </c>
      <c r="I511" s="26" t="s">
        <v>172</v>
      </c>
      <c r="J511" s="31">
        <v>7.5</v>
      </c>
      <c r="K511" s="32">
        <f t="shared" si="21"/>
        <v>112.5</v>
      </c>
      <c r="L511" s="29" t="s">
        <v>173</v>
      </c>
      <c r="M511" s="27">
        <f>IFERROR(VLOOKUP(C511,Custo_MI_Device!$B$2:$E$102,3,FALSE),0)</f>
        <v>0</v>
      </c>
      <c r="N511" s="27">
        <f t="shared" si="22"/>
        <v>0</v>
      </c>
      <c r="O511" s="178">
        <f t="shared" si="23"/>
        <v>0</v>
      </c>
    </row>
    <row r="512" spans="1:15" ht="12.75" hidden="1">
      <c r="A512" s="25">
        <v>2805</v>
      </c>
      <c r="B512" s="25" t="s">
        <v>34</v>
      </c>
      <c r="C512" s="26" t="s">
        <v>35</v>
      </c>
      <c r="D512" s="27">
        <v>72162100</v>
      </c>
      <c r="E512" s="28" t="s">
        <v>174</v>
      </c>
      <c r="F512" s="29">
        <v>0</v>
      </c>
      <c r="G512" s="30">
        <v>2.9</v>
      </c>
      <c r="H512" s="27" t="s">
        <v>175</v>
      </c>
      <c r="I512" s="26" t="s">
        <v>176</v>
      </c>
      <c r="J512" s="31">
        <v>4.22</v>
      </c>
      <c r="K512" s="32">
        <f t="shared" si="21"/>
        <v>12.238</v>
      </c>
      <c r="L512" s="29" t="s">
        <v>177</v>
      </c>
      <c r="M512" s="27">
        <f>IFERROR(VLOOKUP(C512,Custo_MI_Device!$B$2:$E$102,3,FALSE),0)</f>
        <v>0</v>
      </c>
      <c r="N512" s="27">
        <f t="shared" si="22"/>
        <v>0</v>
      </c>
      <c r="O512" s="178">
        <f t="shared" si="23"/>
        <v>0</v>
      </c>
    </row>
    <row r="513" spans="1:15" ht="12.75" hidden="1">
      <c r="A513" s="25">
        <v>2904</v>
      </c>
      <c r="B513" s="25" t="s">
        <v>34</v>
      </c>
      <c r="C513" s="26" t="s">
        <v>35</v>
      </c>
      <c r="D513" s="27">
        <v>76090000</v>
      </c>
      <c r="E513" s="28" t="s">
        <v>195</v>
      </c>
      <c r="F513" s="29" t="s">
        <v>196</v>
      </c>
      <c r="G513" s="30">
        <v>0.75</v>
      </c>
      <c r="H513" s="27" t="s">
        <v>137</v>
      </c>
      <c r="I513" s="26" t="s">
        <v>138</v>
      </c>
      <c r="J513" s="31">
        <v>6.7</v>
      </c>
      <c r="K513" s="32">
        <f t="shared" si="21"/>
        <v>5.0250000000000004</v>
      </c>
      <c r="L513" s="29" t="s">
        <v>196</v>
      </c>
      <c r="M513" s="27">
        <f>IFERROR(VLOOKUP(C513,Custo_MI_Device!$B$2:$E$102,3,FALSE),0)</f>
        <v>0</v>
      </c>
      <c r="N513" s="27">
        <f t="shared" si="22"/>
        <v>0</v>
      </c>
      <c r="O513" s="178">
        <f t="shared" si="23"/>
        <v>0</v>
      </c>
    </row>
    <row r="514" spans="1:15" ht="12.75" hidden="1">
      <c r="A514" s="25">
        <v>2911</v>
      </c>
      <c r="B514" s="25" t="s">
        <v>34</v>
      </c>
      <c r="C514" s="26" t="s">
        <v>35</v>
      </c>
      <c r="D514" s="27">
        <v>76090000</v>
      </c>
      <c r="E514" s="28" t="s">
        <v>197</v>
      </c>
      <c r="F514" s="29" t="s">
        <v>198</v>
      </c>
      <c r="G514" s="30">
        <v>0.75</v>
      </c>
      <c r="H514" s="27" t="s">
        <v>137</v>
      </c>
      <c r="I514" s="26" t="s">
        <v>138</v>
      </c>
      <c r="J514" s="31">
        <v>6.7</v>
      </c>
      <c r="K514" s="32">
        <f t="shared" si="21"/>
        <v>5.0250000000000004</v>
      </c>
      <c r="L514" s="29" t="s">
        <v>198</v>
      </c>
      <c r="M514" s="27">
        <f>IFERROR(VLOOKUP(C514,Custo_MI_Device!$B$2:$E$102,3,FALSE),0)</f>
        <v>0</v>
      </c>
      <c r="N514" s="27">
        <f t="shared" si="22"/>
        <v>0</v>
      </c>
      <c r="O514" s="178">
        <f t="shared" si="23"/>
        <v>0</v>
      </c>
    </row>
    <row r="515" spans="1:15" ht="12.75" hidden="1">
      <c r="A515" s="25">
        <v>4823</v>
      </c>
      <c r="B515" s="25" t="s">
        <v>34</v>
      </c>
      <c r="C515" s="26" t="s">
        <v>35</v>
      </c>
      <c r="D515" s="27">
        <v>76090000</v>
      </c>
      <c r="E515" s="28" t="s">
        <v>199</v>
      </c>
      <c r="F515" s="29" t="s">
        <v>200</v>
      </c>
      <c r="G515" s="30">
        <v>0.75</v>
      </c>
      <c r="H515" s="27" t="s">
        <v>137</v>
      </c>
      <c r="I515" s="26" t="s">
        <v>138</v>
      </c>
      <c r="J515" s="31">
        <v>6.7</v>
      </c>
      <c r="K515" s="32">
        <f t="shared" ref="K515:K578" si="24">G515*J515</f>
        <v>5.0250000000000004</v>
      </c>
      <c r="L515" s="29" t="s">
        <v>200</v>
      </c>
      <c r="M515" s="27">
        <f>IFERROR(VLOOKUP(C515,Custo_MI_Device!$B$2:$E$102,3,FALSE),0)</f>
        <v>0</v>
      </c>
      <c r="N515" s="27">
        <f t="shared" ref="N515:N578" si="25">ROUNDUP(M515*G515,0)</f>
        <v>0</v>
      </c>
      <c r="O515" s="178">
        <f t="shared" ref="O515:O578" si="26">N515*J515</f>
        <v>0</v>
      </c>
    </row>
    <row r="516" spans="1:15" ht="12.75" hidden="1">
      <c r="A516" s="25">
        <v>2912</v>
      </c>
      <c r="B516" s="25" t="s">
        <v>34</v>
      </c>
      <c r="C516" s="26" t="s">
        <v>35</v>
      </c>
      <c r="D516" s="27">
        <v>76090000</v>
      </c>
      <c r="E516" s="28" t="s">
        <v>201</v>
      </c>
      <c r="F516" s="29" t="s">
        <v>202</v>
      </c>
      <c r="G516" s="30">
        <v>0.5</v>
      </c>
      <c r="H516" s="27" t="s">
        <v>137</v>
      </c>
      <c r="I516" s="26" t="s">
        <v>138</v>
      </c>
      <c r="J516" s="31">
        <v>7.5</v>
      </c>
      <c r="K516" s="32">
        <f t="shared" si="24"/>
        <v>3.75</v>
      </c>
      <c r="L516" s="29" t="s">
        <v>202</v>
      </c>
      <c r="M516" s="27">
        <f>IFERROR(VLOOKUP(C516,Custo_MI_Device!$B$2:$E$102,3,FALSE),0)</f>
        <v>0</v>
      </c>
      <c r="N516" s="27">
        <f t="shared" si="25"/>
        <v>0</v>
      </c>
      <c r="O516" s="178">
        <f t="shared" si="26"/>
        <v>0</v>
      </c>
    </row>
    <row r="517" spans="1:15" ht="25.5" hidden="1">
      <c r="A517" s="25">
        <v>3436</v>
      </c>
      <c r="B517" s="25" t="s">
        <v>34</v>
      </c>
      <c r="C517" s="26" t="s">
        <v>35</v>
      </c>
      <c r="D517" s="27">
        <v>76090000</v>
      </c>
      <c r="E517" s="28" t="s">
        <v>193</v>
      </c>
      <c r="F517" s="29" t="s">
        <v>194</v>
      </c>
      <c r="G517" s="30">
        <v>1</v>
      </c>
      <c r="H517" s="27" t="s">
        <v>137</v>
      </c>
      <c r="I517" s="26" t="s">
        <v>138</v>
      </c>
      <c r="J517" s="31">
        <v>6.7</v>
      </c>
      <c r="K517" s="32">
        <f t="shared" si="24"/>
        <v>6.7</v>
      </c>
      <c r="L517" s="29" t="s">
        <v>194</v>
      </c>
      <c r="M517" s="27">
        <f>IFERROR(VLOOKUP(C517,Custo_MI_Device!$B$2:$E$102,3,FALSE),0)</f>
        <v>0</v>
      </c>
      <c r="N517" s="27">
        <f t="shared" si="25"/>
        <v>0</v>
      </c>
      <c r="O517" s="178">
        <f t="shared" si="26"/>
        <v>0</v>
      </c>
    </row>
    <row r="518" spans="1:15" ht="25.5" hidden="1">
      <c r="A518" s="25">
        <v>4306</v>
      </c>
      <c r="B518" s="25" t="s">
        <v>34</v>
      </c>
      <c r="C518" s="26" t="s">
        <v>35</v>
      </c>
      <c r="D518" s="27">
        <v>73063000</v>
      </c>
      <c r="E518" s="28" t="s">
        <v>239</v>
      </c>
      <c r="F518" s="29">
        <v>0</v>
      </c>
      <c r="G518" s="30">
        <v>2</v>
      </c>
      <c r="H518" s="27" t="s">
        <v>232</v>
      </c>
      <c r="I518" s="26" t="s">
        <v>233</v>
      </c>
      <c r="J518" s="31">
        <v>32</v>
      </c>
      <c r="K518" s="32">
        <f t="shared" si="24"/>
        <v>64</v>
      </c>
      <c r="L518" s="29" t="s">
        <v>240</v>
      </c>
      <c r="M518" s="27">
        <f>IFERROR(VLOOKUP(C518,Custo_MI_Device!$B$2:$E$102,3,FALSE),0)</f>
        <v>0</v>
      </c>
      <c r="N518" s="27">
        <f t="shared" si="25"/>
        <v>0</v>
      </c>
      <c r="O518" s="178">
        <f t="shared" si="26"/>
        <v>0</v>
      </c>
    </row>
    <row r="519" spans="1:15" ht="12.75" hidden="1">
      <c r="A519" s="25">
        <v>4867</v>
      </c>
      <c r="B519" s="25" t="s">
        <v>34</v>
      </c>
      <c r="C519" s="26" t="s">
        <v>35</v>
      </c>
      <c r="D519" s="27">
        <v>73072900</v>
      </c>
      <c r="E519" s="28" t="s">
        <v>244</v>
      </c>
      <c r="F519" s="29">
        <v>0</v>
      </c>
      <c r="G519" s="30">
        <v>1</v>
      </c>
      <c r="H519" s="27" t="s">
        <v>137</v>
      </c>
      <c r="I519" s="26" t="s">
        <v>233</v>
      </c>
      <c r="J519" s="31">
        <v>2.15</v>
      </c>
      <c r="K519" s="32">
        <f t="shared" si="24"/>
        <v>2.15</v>
      </c>
      <c r="L519" s="29" t="s">
        <v>245</v>
      </c>
      <c r="M519" s="27">
        <f>IFERROR(VLOOKUP(C519,Custo_MI_Device!$B$2:$E$102,3,FALSE),0)</f>
        <v>0</v>
      </c>
      <c r="N519" s="27">
        <f t="shared" si="25"/>
        <v>0</v>
      </c>
      <c r="O519" s="178">
        <f t="shared" si="26"/>
        <v>0</v>
      </c>
    </row>
    <row r="520" spans="1:15" ht="12.75" hidden="1">
      <c r="A520" s="25">
        <v>3274</v>
      </c>
      <c r="B520" s="25" t="s">
        <v>34</v>
      </c>
      <c r="C520" s="26" t="s">
        <v>35</v>
      </c>
      <c r="D520" s="27">
        <v>73181500</v>
      </c>
      <c r="E520" s="28" t="s">
        <v>265</v>
      </c>
      <c r="F520" s="29" t="s">
        <v>266</v>
      </c>
      <c r="G520" s="30">
        <v>24</v>
      </c>
      <c r="H520" s="27" t="s">
        <v>137</v>
      </c>
      <c r="I520" s="26" t="s">
        <v>256</v>
      </c>
      <c r="J520" s="31">
        <v>0.06</v>
      </c>
      <c r="K520" s="32">
        <f t="shared" si="24"/>
        <v>1.44</v>
      </c>
      <c r="L520" s="29" t="s">
        <v>266</v>
      </c>
      <c r="M520" s="27">
        <f>IFERROR(VLOOKUP(C520,Custo_MI_Device!$B$2:$E$102,3,FALSE),0)</f>
        <v>0</v>
      </c>
      <c r="N520" s="27">
        <f t="shared" si="25"/>
        <v>0</v>
      </c>
      <c r="O520" s="178">
        <f t="shared" si="26"/>
        <v>0</v>
      </c>
    </row>
    <row r="521" spans="1:15" ht="25.5" hidden="1">
      <c r="A521" s="25">
        <v>1611</v>
      </c>
      <c r="B521" s="25" t="s">
        <v>34</v>
      </c>
      <c r="C521" s="26" t="s">
        <v>35</v>
      </c>
      <c r="D521" s="27">
        <v>39174090</v>
      </c>
      <c r="E521" s="28" t="s">
        <v>275</v>
      </c>
      <c r="F521" s="29" t="s">
        <v>276</v>
      </c>
      <c r="G521" s="30">
        <v>4</v>
      </c>
      <c r="H521" s="27" t="s">
        <v>137</v>
      </c>
      <c r="I521" s="26" t="s">
        <v>277</v>
      </c>
      <c r="J521" s="31">
        <v>7.8</v>
      </c>
      <c r="K521" s="32">
        <f t="shared" si="24"/>
        <v>31.2</v>
      </c>
      <c r="L521" s="29" t="s">
        <v>276</v>
      </c>
      <c r="M521" s="27">
        <f>IFERROR(VLOOKUP(C521,Custo_MI_Device!$B$2:$E$102,3,FALSE),0)</f>
        <v>0</v>
      </c>
      <c r="N521" s="27">
        <f t="shared" si="25"/>
        <v>0</v>
      </c>
      <c r="O521" s="178">
        <f t="shared" si="26"/>
        <v>0</v>
      </c>
    </row>
    <row r="522" spans="1:15" ht="12.75" hidden="1">
      <c r="A522" s="25">
        <v>2534</v>
      </c>
      <c r="B522" s="25" t="s">
        <v>34</v>
      </c>
      <c r="C522" s="26" t="s">
        <v>36</v>
      </c>
      <c r="D522" s="27">
        <v>73072900</v>
      </c>
      <c r="E522" s="28" t="s">
        <v>314</v>
      </c>
      <c r="F522" s="29" t="s">
        <v>315</v>
      </c>
      <c r="G522" s="30">
        <v>12</v>
      </c>
      <c r="H522" s="27" t="s">
        <v>137</v>
      </c>
      <c r="I522" s="26" t="s">
        <v>256</v>
      </c>
      <c r="J522" s="31">
        <v>1.2</v>
      </c>
      <c r="K522" s="32">
        <f t="shared" si="24"/>
        <v>14.399999999999999</v>
      </c>
      <c r="L522" s="29" t="s">
        <v>315</v>
      </c>
      <c r="M522" s="27">
        <f>IFERROR(VLOOKUP(C522,Custo_MI_Device!$B$2:$E$102,3,FALSE),0)</f>
        <v>0</v>
      </c>
      <c r="N522" s="27">
        <f t="shared" si="25"/>
        <v>0</v>
      </c>
      <c r="O522" s="178">
        <f t="shared" si="26"/>
        <v>0</v>
      </c>
    </row>
    <row r="523" spans="1:15" ht="12.75" hidden="1">
      <c r="A523" s="25">
        <v>5091</v>
      </c>
      <c r="B523" s="25" t="s">
        <v>34</v>
      </c>
      <c r="C523" s="26" t="s">
        <v>36</v>
      </c>
      <c r="D523" s="27">
        <v>73181500</v>
      </c>
      <c r="E523" s="28" t="s">
        <v>323</v>
      </c>
      <c r="F523" s="29" t="s">
        <v>324</v>
      </c>
      <c r="G523" s="30">
        <v>24</v>
      </c>
      <c r="H523" s="27" t="s">
        <v>137</v>
      </c>
      <c r="I523" s="26" t="s">
        <v>256</v>
      </c>
      <c r="J523" s="31">
        <v>0.04</v>
      </c>
      <c r="K523" s="32">
        <f t="shared" si="24"/>
        <v>0.96</v>
      </c>
      <c r="L523" s="29" t="s">
        <v>324</v>
      </c>
      <c r="M523" s="27">
        <f>IFERROR(VLOOKUP(C523,Custo_MI_Device!$B$2:$E$102,3,FALSE),0)</f>
        <v>0</v>
      </c>
      <c r="N523" s="27">
        <f t="shared" si="25"/>
        <v>0</v>
      </c>
      <c r="O523" s="178">
        <f t="shared" si="26"/>
        <v>0</v>
      </c>
    </row>
    <row r="524" spans="1:15" ht="12.75" hidden="1">
      <c r="A524" s="25">
        <v>1117</v>
      </c>
      <c r="B524" s="25" t="s">
        <v>34</v>
      </c>
      <c r="C524" s="26" t="s">
        <v>36</v>
      </c>
      <c r="D524" s="27"/>
      <c r="E524" s="28" t="s">
        <v>145</v>
      </c>
      <c r="F524" s="29" t="s">
        <v>146</v>
      </c>
      <c r="G524" s="30">
        <v>2</v>
      </c>
      <c r="H524" s="27" t="s">
        <v>137</v>
      </c>
      <c r="I524" s="26" t="s">
        <v>138</v>
      </c>
      <c r="J524" s="31">
        <v>1.95</v>
      </c>
      <c r="K524" s="32">
        <f t="shared" si="24"/>
        <v>3.9</v>
      </c>
      <c r="L524" s="29" t="s">
        <v>146</v>
      </c>
      <c r="M524" s="27">
        <f>IFERROR(VLOOKUP(C524,Custo_MI_Device!$B$2:$E$102,3,FALSE),0)</f>
        <v>0</v>
      </c>
      <c r="N524" s="27">
        <f t="shared" si="25"/>
        <v>0</v>
      </c>
      <c r="O524" s="178">
        <f t="shared" si="26"/>
        <v>0</v>
      </c>
    </row>
    <row r="525" spans="1:15" ht="25.5" hidden="1">
      <c r="A525" s="25">
        <v>4371</v>
      </c>
      <c r="B525" s="25" t="s">
        <v>34</v>
      </c>
      <c r="C525" s="26" t="s">
        <v>36</v>
      </c>
      <c r="D525" s="27">
        <v>85444900</v>
      </c>
      <c r="E525" s="28" t="s">
        <v>160</v>
      </c>
      <c r="F525" s="29">
        <v>0</v>
      </c>
      <c r="G525" s="30">
        <v>200</v>
      </c>
      <c r="H525" s="27" t="s">
        <v>137</v>
      </c>
      <c r="I525" s="26" t="s">
        <v>161</v>
      </c>
      <c r="J525" s="31">
        <v>1.95</v>
      </c>
      <c r="K525" s="32">
        <f t="shared" si="24"/>
        <v>390</v>
      </c>
      <c r="L525" s="29" t="s">
        <v>162</v>
      </c>
      <c r="M525" s="27">
        <f>IFERROR(VLOOKUP(C525,Custo_MI_Device!$B$2:$E$102,3,FALSE),0)</f>
        <v>0</v>
      </c>
      <c r="N525" s="27">
        <f t="shared" si="25"/>
        <v>0</v>
      </c>
      <c r="O525" s="178">
        <f t="shared" si="26"/>
        <v>0</v>
      </c>
    </row>
    <row r="526" spans="1:15" ht="25.5" hidden="1">
      <c r="A526" s="25">
        <v>2023</v>
      </c>
      <c r="B526" s="25" t="s">
        <v>34</v>
      </c>
      <c r="C526" s="26" t="s">
        <v>36</v>
      </c>
      <c r="D526" s="27">
        <v>85444900</v>
      </c>
      <c r="E526" s="28" t="s">
        <v>330</v>
      </c>
      <c r="F526" s="29" t="s">
        <v>331</v>
      </c>
      <c r="G526" s="30">
        <v>200</v>
      </c>
      <c r="H526" s="27" t="s">
        <v>137</v>
      </c>
      <c r="I526" s="26" t="s">
        <v>172</v>
      </c>
      <c r="J526" s="31">
        <v>7.5</v>
      </c>
      <c r="K526" s="32">
        <f t="shared" si="24"/>
        <v>1500</v>
      </c>
      <c r="L526" s="29" t="s">
        <v>331</v>
      </c>
      <c r="M526" s="27">
        <f>IFERROR(VLOOKUP(C526,Custo_MI_Device!$B$2:$E$102,3,FALSE),0)</f>
        <v>0</v>
      </c>
      <c r="N526" s="27">
        <f t="shared" si="25"/>
        <v>0</v>
      </c>
      <c r="O526" s="178">
        <f t="shared" si="26"/>
        <v>0</v>
      </c>
    </row>
    <row r="527" spans="1:15" ht="25.5" hidden="1">
      <c r="A527" s="25">
        <v>5139</v>
      </c>
      <c r="B527" s="25" t="s">
        <v>34</v>
      </c>
      <c r="C527" s="26" t="s">
        <v>36</v>
      </c>
      <c r="D527" s="27">
        <v>85444900</v>
      </c>
      <c r="E527" s="28" t="s">
        <v>170</v>
      </c>
      <c r="F527" s="29" t="s">
        <v>171</v>
      </c>
      <c r="G527" s="30">
        <v>15</v>
      </c>
      <c r="H527" s="27" t="s">
        <v>158</v>
      </c>
      <c r="I527" s="26" t="s">
        <v>172</v>
      </c>
      <c r="J527" s="31">
        <v>7.5</v>
      </c>
      <c r="K527" s="32">
        <f t="shared" si="24"/>
        <v>112.5</v>
      </c>
      <c r="L527" s="29" t="s">
        <v>173</v>
      </c>
      <c r="M527" s="27">
        <f>IFERROR(VLOOKUP(C527,Custo_MI_Device!$B$2:$E$102,3,FALSE),0)</f>
        <v>0</v>
      </c>
      <c r="N527" s="27">
        <f t="shared" si="25"/>
        <v>0</v>
      </c>
      <c r="O527" s="178">
        <f t="shared" si="26"/>
        <v>0</v>
      </c>
    </row>
    <row r="528" spans="1:15" ht="12.75" hidden="1">
      <c r="A528" s="25">
        <v>2805</v>
      </c>
      <c r="B528" s="25" t="s">
        <v>34</v>
      </c>
      <c r="C528" s="26" t="s">
        <v>36</v>
      </c>
      <c r="D528" s="27">
        <v>72162100</v>
      </c>
      <c r="E528" s="28" t="s">
        <v>174</v>
      </c>
      <c r="F528" s="29">
        <v>0</v>
      </c>
      <c r="G528" s="30">
        <v>2.9</v>
      </c>
      <c r="H528" s="27" t="s">
        <v>175</v>
      </c>
      <c r="I528" s="26" t="s">
        <v>176</v>
      </c>
      <c r="J528" s="31">
        <v>4.22</v>
      </c>
      <c r="K528" s="32">
        <f t="shared" si="24"/>
        <v>12.238</v>
      </c>
      <c r="L528" s="29" t="s">
        <v>177</v>
      </c>
      <c r="M528" s="27">
        <f>IFERROR(VLOOKUP(C528,Custo_MI_Device!$B$2:$E$102,3,FALSE),0)</f>
        <v>0</v>
      </c>
      <c r="N528" s="27">
        <f t="shared" si="25"/>
        <v>0</v>
      </c>
      <c r="O528" s="178">
        <f t="shared" si="26"/>
        <v>0</v>
      </c>
    </row>
    <row r="529" spans="1:15" ht="12.75" hidden="1">
      <c r="A529" s="25">
        <v>2904</v>
      </c>
      <c r="B529" s="25" t="s">
        <v>34</v>
      </c>
      <c r="C529" s="26" t="s">
        <v>36</v>
      </c>
      <c r="D529" s="27">
        <v>76090000</v>
      </c>
      <c r="E529" s="28" t="s">
        <v>195</v>
      </c>
      <c r="F529" s="29" t="s">
        <v>196</v>
      </c>
      <c r="G529" s="30">
        <v>0.75</v>
      </c>
      <c r="H529" s="27" t="s">
        <v>137</v>
      </c>
      <c r="I529" s="26" t="s">
        <v>138</v>
      </c>
      <c r="J529" s="31">
        <v>6.7</v>
      </c>
      <c r="K529" s="32">
        <f t="shared" si="24"/>
        <v>5.0250000000000004</v>
      </c>
      <c r="L529" s="29" t="s">
        <v>196</v>
      </c>
      <c r="M529" s="27">
        <f>IFERROR(VLOOKUP(C529,Custo_MI_Device!$B$2:$E$102,3,FALSE),0)</f>
        <v>0</v>
      </c>
      <c r="N529" s="27">
        <f t="shared" si="25"/>
        <v>0</v>
      </c>
      <c r="O529" s="178">
        <f t="shared" si="26"/>
        <v>0</v>
      </c>
    </row>
    <row r="530" spans="1:15" ht="12.75" hidden="1">
      <c r="A530" s="25">
        <v>2911</v>
      </c>
      <c r="B530" s="25" t="s">
        <v>34</v>
      </c>
      <c r="C530" s="26" t="s">
        <v>36</v>
      </c>
      <c r="D530" s="27">
        <v>76090000</v>
      </c>
      <c r="E530" s="28" t="s">
        <v>197</v>
      </c>
      <c r="F530" s="29" t="s">
        <v>198</v>
      </c>
      <c r="G530" s="30">
        <v>0.75</v>
      </c>
      <c r="H530" s="27" t="s">
        <v>137</v>
      </c>
      <c r="I530" s="26" t="s">
        <v>138</v>
      </c>
      <c r="J530" s="31">
        <v>6.7</v>
      </c>
      <c r="K530" s="32">
        <f t="shared" si="24"/>
        <v>5.0250000000000004</v>
      </c>
      <c r="L530" s="29" t="s">
        <v>198</v>
      </c>
      <c r="M530" s="27">
        <f>IFERROR(VLOOKUP(C530,Custo_MI_Device!$B$2:$E$102,3,FALSE),0)</f>
        <v>0</v>
      </c>
      <c r="N530" s="27">
        <f t="shared" si="25"/>
        <v>0</v>
      </c>
      <c r="O530" s="178">
        <f t="shared" si="26"/>
        <v>0</v>
      </c>
    </row>
    <row r="531" spans="1:15" ht="12.75" hidden="1">
      <c r="A531" s="25">
        <v>4823</v>
      </c>
      <c r="B531" s="25" t="s">
        <v>34</v>
      </c>
      <c r="C531" s="26" t="s">
        <v>36</v>
      </c>
      <c r="D531" s="27">
        <v>76090000</v>
      </c>
      <c r="E531" s="28" t="s">
        <v>199</v>
      </c>
      <c r="F531" s="29" t="s">
        <v>200</v>
      </c>
      <c r="G531" s="30">
        <v>0.75</v>
      </c>
      <c r="H531" s="27" t="s">
        <v>137</v>
      </c>
      <c r="I531" s="26" t="s">
        <v>138</v>
      </c>
      <c r="J531" s="31">
        <v>6.7</v>
      </c>
      <c r="K531" s="32">
        <f t="shared" si="24"/>
        <v>5.0250000000000004</v>
      </c>
      <c r="L531" s="29" t="s">
        <v>200</v>
      </c>
      <c r="M531" s="27">
        <f>IFERROR(VLOOKUP(C531,Custo_MI_Device!$B$2:$E$102,3,FALSE),0)</f>
        <v>0</v>
      </c>
      <c r="N531" s="27">
        <f t="shared" si="25"/>
        <v>0</v>
      </c>
      <c r="O531" s="178">
        <f t="shared" si="26"/>
        <v>0</v>
      </c>
    </row>
    <row r="532" spans="1:15" ht="12.75" hidden="1">
      <c r="A532" s="25">
        <v>2912</v>
      </c>
      <c r="B532" s="25" t="s">
        <v>34</v>
      </c>
      <c r="C532" s="26" t="s">
        <v>36</v>
      </c>
      <c r="D532" s="27">
        <v>76090000</v>
      </c>
      <c r="E532" s="28" t="s">
        <v>201</v>
      </c>
      <c r="F532" s="29" t="s">
        <v>202</v>
      </c>
      <c r="G532" s="30">
        <v>0.5</v>
      </c>
      <c r="H532" s="27" t="s">
        <v>137</v>
      </c>
      <c r="I532" s="26" t="s">
        <v>138</v>
      </c>
      <c r="J532" s="31">
        <v>7.5</v>
      </c>
      <c r="K532" s="32">
        <f t="shared" si="24"/>
        <v>3.75</v>
      </c>
      <c r="L532" s="29" t="s">
        <v>202</v>
      </c>
      <c r="M532" s="27">
        <f>IFERROR(VLOOKUP(C532,Custo_MI_Device!$B$2:$E$102,3,FALSE),0)</f>
        <v>0</v>
      </c>
      <c r="N532" s="27">
        <f t="shared" si="25"/>
        <v>0</v>
      </c>
      <c r="O532" s="178">
        <f t="shared" si="26"/>
        <v>0</v>
      </c>
    </row>
    <row r="533" spans="1:15" ht="25.5" hidden="1">
      <c r="A533" s="25">
        <v>3436</v>
      </c>
      <c r="B533" s="25" t="s">
        <v>34</v>
      </c>
      <c r="C533" s="26" t="s">
        <v>36</v>
      </c>
      <c r="D533" s="27">
        <v>76090000</v>
      </c>
      <c r="E533" s="28" t="s">
        <v>193</v>
      </c>
      <c r="F533" s="29" t="s">
        <v>194</v>
      </c>
      <c r="G533" s="30">
        <v>1</v>
      </c>
      <c r="H533" s="27" t="s">
        <v>137</v>
      </c>
      <c r="I533" s="26" t="s">
        <v>138</v>
      </c>
      <c r="J533" s="31">
        <v>6.7</v>
      </c>
      <c r="K533" s="32">
        <f t="shared" si="24"/>
        <v>6.7</v>
      </c>
      <c r="L533" s="29" t="s">
        <v>194</v>
      </c>
      <c r="M533" s="27">
        <f>IFERROR(VLOOKUP(C533,Custo_MI_Device!$B$2:$E$102,3,FALSE),0)</f>
        <v>0</v>
      </c>
      <c r="N533" s="27">
        <f t="shared" si="25"/>
        <v>0</v>
      </c>
      <c r="O533" s="178">
        <f t="shared" si="26"/>
        <v>0</v>
      </c>
    </row>
    <row r="534" spans="1:15" ht="25.5" hidden="1">
      <c r="A534" s="25">
        <v>4306</v>
      </c>
      <c r="B534" s="25" t="s">
        <v>34</v>
      </c>
      <c r="C534" s="26" t="s">
        <v>36</v>
      </c>
      <c r="D534" s="27">
        <v>73063000</v>
      </c>
      <c r="E534" s="28" t="s">
        <v>239</v>
      </c>
      <c r="F534" s="29">
        <v>0</v>
      </c>
      <c r="G534" s="30">
        <v>2</v>
      </c>
      <c r="H534" s="27" t="s">
        <v>232</v>
      </c>
      <c r="I534" s="26" t="s">
        <v>233</v>
      </c>
      <c r="J534" s="31">
        <v>32</v>
      </c>
      <c r="K534" s="32">
        <f t="shared" si="24"/>
        <v>64</v>
      </c>
      <c r="L534" s="29" t="s">
        <v>240</v>
      </c>
      <c r="M534" s="27">
        <f>IFERROR(VLOOKUP(C534,Custo_MI_Device!$B$2:$E$102,3,FALSE),0)</f>
        <v>0</v>
      </c>
      <c r="N534" s="27">
        <f t="shared" si="25"/>
        <v>0</v>
      </c>
      <c r="O534" s="178">
        <f t="shared" si="26"/>
        <v>0</v>
      </c>
    </row>
    <row r="535" spans="1:15" ht="12.75" hidden="1">
      <c r="A535" s="25">
        <v>4867</v>
      </c>
      <c r="B535" s="25" t="s">
        <v>34</v>
      </c>
      <c r="C535" s="26" t="s">
        <v>36</v>
      </c>
      <c r="D535" s="27">
        <v>73072900</v>
      </c>
      <c r="E535" s="28" t="s">
        <v>244</v>
      </c>
      <c r="F535" s="29">
        <v>0</v>
      </c>
      <c r="G535" s="30">
        <v>1</v>
      </c>
      <c r="H535" s="27" t="s">
        <v>137</v>
      </c>
      <c r="I535" s="26" t="s">
        <v>233</v>
      </c>
      <c r="J535" s="31">
        <v>2.15</v>
      </c>
      <c r="K535" s="32">
        <f t="shared" si="24"/>
        <v>2.15</v>
      </c>
      <c r="L535" s="29" t="s">
        <v>245</v>
      </c>
      <c r="M535" s="27">
        <f>IFERROR(VLOOKUP(C535,Custo_MI_Device!$B$2:$E$102,3,FALSE),0)</f>
        <v>0</v>
      </c>
      <c r="N535" s="27">
        <f t="shared" si="25"/>
        <v>0</v>
      </c>
      <c r="O535" s="178">
        <f t="shared" si="26"/>
        <v>0</v>
      </c>
    </row>
    <row r="536" spans="1:15" ht="12.75" hidden="1">
      <c r="A536" s="25">
        <v>3274</v>
      </c>
      <c r="B536" s="25" t="s">
        <v>34</v>
      </c>
      <c r="C536" s="26" t="s">
        <v>36</v>
      </c>
      <c r="D536" s="27">
        <v>73181500</v>
      </c>
      <c r="E536" s="28" t="s">
        <v>265</v>
      </c>
      <c r="F536" s="29" t="s">
        <v>266</v>
      </c>
      <c r="G536" s="30">
        <v>24</v>
      </c>
      <c r="H536" s="27" t="s">
        <v>137</v>
      </c>
      <c r="I536" s="26" t="s">
        <v>256</v>
      </c>
      <c r="J536" s="31">
        <v>0.06</v>
      </c>
      <c r="K536" s="32">
        <f t="shared" si="24"/>
        <v>1.44</v>
      </c>
      <c r="L536" s="29" t="s">
        <v>266</v>
      </c>
      <c r="M536" s="27">
        <f>IFERROR(VLOOKUP(C536,Custo_MI_Device!$B$2:$E$102,3,FALSE),0)</f>
        <v>0</v>
      </c>
      <c r="N536" s="27">
        <f t="shared" si="25"/>
        <v>0</v>
      </c>
      <c r="O536" s="178">
        <f t="shared" si="26"/>
        <v>0</v>
      </c>
    </row>
    <row r="537" spans="1:15" ht="25.5" hidden="1">
      <c r="A537" s="25">
        <v>1611</v>
      </c>
      <c r="B537" s="25" t="s">
        <v>34</v>
      </c>
      <c r="C537" s="26" t="s">
        <v>36</v>
      </c>
      <c r="D537" s="27">
        <v>39174090</v>
      </c>
      <c r="E537" s="28" t="s">
        <v>275</v>
      </c>
      <c r="F537" s="29" t="s">
        <v>276</v>
      </c>
      <c r="G537" s="30">
        <v>4</v>
      </c>
      <c r="H537" s="27" t="s">
        <v>137</v>
      </c>
      <c r="I537" s="26" t="s">
        <v>277</v>
      </c>
      <c r="J537" s="31">
        <v>7.8</v>
      </c>
      <c r="K537" s="32">
        <f t="shared" si="24"/>
        <v>31.2</v>
      </c>
      <c r="L537" s="29" t="s">
        <v>276</v>
      </c>
      <c r="M537" s="27">
        <f>IFERROR(VLOOKUP(C537,Custo_MI_Device!$B$2:$E$102,3,FALSE),0)</f>
        <v>0</v>
      </c>
      <c r="N537" s="27">
        <f t="shared" si="25"/>
        <v>0</v>
      </c>
      <c r="O537" s="178">
        <f t="shared" si="26"/>
        <v>0</v>
      </c>
    </row>
    <row r="538" spans="1:15" ht="12.75" hidden="1">
      <c r="A538" s="25">
        <v>2566</v>
      </c>
      <c r="B538" s="25" t="s">
        <v>37</v>
      </c>
      <c r="C538" s="26" t="s">
        <v>38</v>
      </c>
      <c r="D538" s="27">
        <v>73072900</v>
      </c>
      <c r="E538" s="28" t="s">
        <v>312</v>
      </c>
      <c r="F538" s="29" t="s">
        <v>313</v>
      </c>
      <c r="G538" s="30">
        <v>16</v>
      </c>
      <c r="H538" s="27" t="s">
        <v>137</v>
      </c>
      <c r="I538" s="26" t="s">
        <v>256</v>
      </c>
      <c r="J538" s="31">
        <v>2.8</v>
      </c>
      <c r="K538" s="32">
        <f t="shared" si="24"/>
        <v>44.8</v>
      </c>
      <c r="L538" s="29" t="s">
        <v>313</v>
      </c>
      <c r="M538" s="27">
        <f>IFERROR(VLOOKUP(C538,Custo_MI_Device!$B$2:$E$102,3,FALSE),0)</f>
        <v>0</v>
      </c>
      <c r="N538" s="27">
        <f t="shared" si="25"/>
        <v>0</v>
      </c>
      <c r="O538" s="178">
        <f t="shared" si="26"/>
        <v>0</v>
      </c>
    </row>
    <row r="539" spans="1:15" ht="12.75" hidden="1">
      <c r="A539" s="25">
        <v>2058</v>
      </c>
      <c r="B539" s="25" t="s">
        <v>37</v>
      </c>
      <c r="C539" s="26" t="s">
        <v>38</v>
      </c>
      <c r="D539" s="27">
        <v>73072900</v>
      </c>
      <c r="E539" s="28" t="s">
        <v>321</v>
      </c>
      <c r="F539" s="29" t="s">
        <v>322</v>
      </c>
      <c r="G539" s="30">
        <v>8</v>
      </c>
      <c r="H539" s="27" t="s">
        <v>137</v>
      </c>
      <c r="I539" s="26" t="s">
        <v>138</v>
      </c>
      <c r="J539" s="31">
        <v>1.8</v>
      </c>
      <c r="K539" s="32">
        <f t="shared" si="24"/>
        <v>14.4</v>
      </c>
      <c r="L539" s="29" t="s">
        <v>322</v>
      </c>
      <c r="M539" s="27">
        <f>IFERROR(VLOOKUP(C539,Custo_MI_Device!$B$2:$E$102,3,FALSE),0)</f>
        <v>0</v>
      </c>
      <c r="N539" s="27">
        <f t="shared" si="25"/>
        <v>0</v>
      </c>
      <c r="O539" s="178">
        <f t="shared" si="26"/>
        <v>0</v>
      </c>
    </row>
    <row r="540" spans="1:15" ht="12.75" hidden="1">
      <c r="A540" s="25">
        <v>5091</v>
      </c>
      <c r="B540" s="25" t="s">
        <v>37</v>
      </c>
      <c r="C540" s="26" t="s">
        <v>38</v>
      </c>
      <c r="D540" s="27">
        <v>73181500</v>
      </c>
      <c r="E540" s="28" t="s">
        <v>323</v>
      </c>
      <c r="F540" s="29" t="s">
        <v>324</v>
      </c>
      <c r="G540" s="30">
        <v>32</v>
      </c>
      <c r="H540" s="27" t="s">
        <v>137</v>
      </c>
      <c r="I540" s="26" t="s">
        <v>256</v>
      </c>
      <c r="J540" s="31">
        <v>0.04</v>
      </c>
      <c r="K540" s="32">
        <f t="shared" si="24"/>
        <v>1.28</v>
      </c>
      <c r="L540" s="29" t="s">
        <v>324</v>
      </c>
      <c r="M540" s="27">
        <f>IFERROR(VLOOKUP(C540,Custo_MI_Device!$B$2:$E$102,3,FALSE),0)</f>
        <v>0</v>
      </c>
      <c r="N540" s="27">
        <f t="shared" si="25"/>
        <v>0</v>
      </c>
      <c r="O540" s="178">
        <f t="shared" si="26"/>
        <v>0</v>
      </c>
    </row>
    <row r="541" spans="1:15" ht="12.75" hidden="1">
      <c r="A541" s="25">
        <v>3482</v>
      </c>
      <c r="B541" s="25" t="s">
        <v>37</v>
      </c>
      <c r="C541" s="26" t="s">
        <v>38</v>
      </c>
      <c r="D541" s="27">
        <v>73071100</v>
      </c>
      <c r="E541" s="28" t="s">
        <v>135</v>
      </c>
      <c r="F541" s="29" t="s">
        <v>136</v>
      </c>
      <c r="G541" s="30">
        <v>8</v>
      </c>
      <c r="H541" s="27" t="s">
        <v>137</v>
      </c>
      <c r="I541" s="26" t="s">
        <v>138</v>
      </c>
      <c r="J541" s="31">
        <v>2.5</v>
      </c>
      <c r="K541" s="32">
        <f t="shared" si="24"/>
        <v>20</v>
      </c>
      <c r="L541" s="29" t="s">
        <v>136</v>
      </c>
      <c r="M541" s="27">
        <f>IFERROR(VLOOKUP(C541,Custo_MI_Device!$B$2:$E$102,3,FALSE),0)</f>
        <v>0</v>
      </c>
      <c r="N541" s="27">
        <f t="shared" si="25"/>
        <v>0</v>
      </c>
      <c r="O541" s="178">
        <f t="shared" si="26"/>
        <v>0</v>
      </c>
    </row>
    <row r="542" spans="1:15" ht="25.5" hidden="1">
      <c r="A542" s="25">
        <v>6966</v>
      </c>
      <c r="B542" s="25" t="s">
        <v>37</v>
      </c>
      <c r="C542" s="26" t="s">
        <v>38</v>
      </c>
      <c r="D542" s="27">
        <v>85444900</v>
      </c>
      <c r="E542" s="28" t="s">
        <v>167</v>
      </c>
      <c r="F542" s="29">
        <v>0</v>
      </c>
      <c r="G542" s="30">
        <v>50</v>
      </c>
      <c r="H542" s="27" t="s">
        <v>158</v>
      </c>
      <c r="I542" s="26" t="s">
        <v>168</v>
      </c>
      <c r="J542" s="31">
        <v>16.100000000000001</v>
      </c>
      <c r="K542" s="32">
        <f t="shared" si="24"/>
        <v>805.00000000000011</v>
      </c>
      <c r="L542" s="29" t="s">
        <v>169</v>
      </c>
      <c r="M542" s="27">
        <f>IFERROR(VLOOKUP(C542,Custo_MI_Device!$B$2:$E$102,3,FALSE),0)</f>
        <v>0</v>
      </c>
      <c r="N542" s="27">
        <f t="shared" si="25"/>
        <v>0</v>
      </c>
      <c r="O542" s="178">
        <f t="shared" si="26"/>
        <v>0</v>
      </c>
    </row>
    <row r="543" spans="1:15" ht="12.75" hidden="1">
      <c r="A543" s="25">
        <v>2805</v>
      </c>
      <c r="B543" s="25" t="s">
        <v>37</v>
      </c>
      <c r="C543" s="26" t="s">
        <v>38</v>
      </c>
      <c r="D543" s="27">
        <v>72162100</v>
      </c>
      <c r="E543" s="28" t="s">
        <v>174</v>
      </c>
      <c r="F543" s="29">
        <v>0</v>
      </c>
      <c r="G543" s="30">
        <v>2.9</v>
      </c>
      <c r="H543" s="27" t="s">
        <v>175</v>
      </c>
      <c r="I543" s="26" t="s">
        <v>176</v>
      </c>
      <c r="J543" s="31">
        <v>4.22</v>
      </c>
      <c r="K543" s="32">
        <f t="shared" si="24"/>
        <v>12.238</v>
      </c>
      <c r="L543" s="29" t="s">
        <v>177</v>
      </c>
      <c r="M543" s="27">
        <f>IFERROR(VLOOKUP(C543,Custo_MI_Device!$B$2:$E$102,3,FALSE),0)</f>
        <v>0</v>
      </c>
      <c r="N543" s="27">
        <f t="shared" si="25"/>
        <v>0</v>
      </c>
      <c r="O543" s="178">
        <f t="shared" si="26"/>
        <v>0</v>
      </c>
    </row>
    <row r="544" spans="1:15" ht="12.75" hidden="1">
      <c r="A544" s="25">
        <v>4646</v>
      </c>
      <c r="B544" s="25" t="s">
        <v>37</v>
      </c>
      <c r="C544" s="26" t="s">
        <v>38</v>
      </c>
      <c r="D544" s="27">
        <v>76090000</v>
      </c>
      <c r="E544" s="28" t="s">
        <v>191</v>
      </c>
      <c r="F544" s="29" t="s">
        <v>192</v>
      </c>
      <c r="G544" s="30">
        <v>3</v>
      </c>
      <c r="H544" s="27" t="s">
        <v>137</v>
      </c>
      <c r="I544" s="26" t="s">
        <v>138</v>
      </c>
      <c r="J544" s="31">
        <v>28.5</v>
      </c>
      <c r="K544" s="32">
        <f t="shared" si="24"/>
        <v>85.5</v>
      </c>
      <c r="L544" s="29" t="s">
        <v>192</v>
      </c>
      <c r="M544" s="27">
        <f>IFERROR(VLOOKUP(C544,Custo_MI_Device!$B$2:$E$102,3,FALSE),0)</f>
        <v>0</v>
      </c>
      <c r="N544" s="27">
        <f t="shared" si="25"/>
        <v>0</v>
      </c>
      <c r="O544" s="178">
        <f t="shared" si="26"/>
        <v>0</v>
      </c>
    </row>
    <row r="545" spans="1:15" ht="25.5" hidden="1">
      <c r="A545" s="25">
        <v>4307</v>
      </c>
      <c r="B545" s="25" t="s">
        <v>37</v>
      </c>
      <c r="C545" s="26" t="s">
        <v>38</v>
      </c>
      <c r="D545" s="27">
        <v>73063000</v>
      </c>
      <c r="E545" s="28" t="s">
        <v>237</v>
      </c>
      <c r="F545" s="29">
        <v>0</v>
      </c>
      <c r="G545" s="30">
        <v>4</v>
      </c>
      <c r="H545" s="27" t="s">
        <v>232</v>
      </c>
      <c r="I545" s="26" t="s">
        <v>233</v>
      </c>
      <c r="J545" s="31">
        <v>86</v>
      </c>
      <c r="K545" s="32">
        <f t="shared" si="24"/>
        <v>344</v>
      </c>
      <c r="L545" s="29" t="s">
        <v>238</v>
      </c>
      <c r="M545" s="27">
        <f>IFERROR(VLOOKUP(C545,Custo_MI_Device!$B$2:$E$102,3,FALSE),0)</f>
        <v>0</v>
      </c>
      <c r="N545" s="27">
        <f t="shared" si="25"/>
        <v>0</v>
      </c>
      <c r="O545" s="178">
        <f t="shared" si="26"/>
        <v>0</v>
      </c>
    </row>
    <row r="546" spans="1:15" ht="12.75" hidden="1">
      <c r="A546" s="25">
        <v>2831</v>
      </c>
      <c r="B546" s="25" t="s">
        <v>37</v>
      </c>
      <c r="C546" s="26" t="s">
        <v>38</v>
      </c>
      <c r="D546" s="27">
        <v>73071910</v>
      </c>
      <c r="E546" s="28" t="s">
        <v>261</v>
      </c>
      <c r="F546" s="29" t="s">
        <v>262</v>
      </c>
      <c r="G546" s="30">
        <v>8</v>
      </c>
      <c r="H546" s="27" t="s">
        <v>137</v>
      </c>
      <c r="I546" s="26" t="s">
        <v>138</v>
      </c>
      <c r="J546" s="31">
        <v>2.5</v>
      </c>
      <c r="K546" s="32">
        <f t="shared" si="24"/>
        <v>20</v>
      </c>
      <c r="L546" s="29" t="s">
        <v>262</v>
      </c>
      <c r="M546" s="27">
        <f>IFERROR(VLOOKUP(C546,Custo_MI_Device!$B$2:$E$102,3,FALSE),0)</f>
        <v>0</v>
      </c>
      <c r="N546" s="27">
        <f t="shared" si="25"/>
        <v>0</v>
      </c>
      <c r="O546" s="178">
        <f t="shared" si="26"/>
        <v>0</v>
      </c>
    </row>
    <row r="547" spans="1:15" ht="12.75" hidden="1">
      <c r="A547" s="25">
        <v>3274</v>
      </c>
      <c r="B547" s="25" t="s">
        <v>37</v>
      </c>
      <c r="C547" s="26" t="s">
        <v>38</v>
      </c>
      <c r="D547" s="27">
        <v>73181500</v>
      </c>
      <c r="E547" s="28" t="s">
        <v>265</v>
      </c>
      <c r="F547" s="29" t="s">
        <v>266</v>
      </c>
      <c r="G547" s="30">
        <v>32</v>
      </c>
      <c r="H547" s="27" t="s">
        <v>137</v>
      </c>
      <c r="I547" s="26" t="s">
        <v>256</v>
      </c>
      <c r="J547" s="31">
        <v>0.06</v>
      </c>
      <c r="K547" s="32">
        <f t="shared" si="24"/>
        <v>1.92</v>
      </c>
      <c r="L547" s="29" t="s">
        <v>266</v>
      </c>
      <c r="M547" s="27">
        <f>IFERROR(VLOOKUP(C547,Custo_MI_Device!$B$2:$E$102,3,FALSE),0)</f>
        <v>0</v>
      </c>
      <c r="N547" s="27">
        <f t="shared" si="25"/>
        <v>0</v>
      </c>
      <c r="O547" s="178">
        <f t="shared" si="26"/>
        <v>0</v>
      </c>
    </row>
    <row r="548" spans="1:15" ht="12.75" hidden="1">
      <c r="A548" s="25">
        <v>2566</v>
      </c>
      <c r="B548" s="25" t="s">
        <v>37</v>
      </c>
      <c r="C548" s="26" t="s">
        <v>39</v>
      </c>
      <c r="D548" s="27">
        <v>73072900</v>
      </c>
      <c r="E548" s="28" t="s">
        <v>312</v>
      </c>
      <c r="F548" s="29" t="s">
        <v>313</v>
      </c>
      <c r="G548" s="30">
        <v>16</v>
      </c>
      <c r="H548" s="27" t="s">
        <v>137</v>
      </c>
      <c r="I548" s="26" t="s">
        <v>256</v>
      </c>
      <c r="J548" s="31">
        <v>2.8</v>
      </c>
      <c r="K548" s="32">
        <f t="shared" si="24"/>
        <v>44.8</v>
      </c>
      <c r="L548" s="29" t="s">
        <v>313</v>
      </c>
      <c r="M548" s="27">
        <f>IFERROR(VLOOKUP(C548,Custo_MI_Device!$B$2:$E$102,3,FALSE),0)</f>
        <v>0</v>
      </c>
      <c r="N548" s="27">
        <f t="shared" si="25"/>
        <v>0</v>
      </c>
      <c r="O548" s="178">
        <f t="shared" si="26"/>
        <v>0</v>
      </c>
    </row>
    <row r="549" spans="1:15" ht="12.75" hidden="1">
      <c r="A549" s="25">
        <v>2058</v>
      </c>
      <c r="B549" s="25" t="s">
        <v>37</v>
      </c>
      <c r="C549" s="26" t="s">
        <v>39</v>
      </c>
      <c r="D549" s="27">
        <v>73072900</v>
      </c>
      <c r="E549" s="28" t="s">
        <v>321</v>
      </c>
      <c r="F549" s="29" t="s">
        <v>322</v>
      </c>
      <c r="G549" s="30">
        <v>8</v>
      </c>
      <c r="H549" s="27" t="s">
        <v>137</v>
      </c>
      <c r="I549" s="26" t="s">
        <v>138</v>
      </c>
      <c r="J549" s="31">
        <v>1.8</v>
      </c>
      <c r="K549" s="32">
        <f t="shared" si="24"/>
        <v>14.4</v>
      </c>
      <c r="L549" s="29" t="s">
        <v>322</v>
      </c>
      <c r="M549" s="27">
        <f>IFERROR(VLOOKUP(C549,Custo_MI_Device!$B$2:$E$102,3,FALSE),0)</f>
        <v>0</v>
      </c>
      <c r="N549" s="27">
        <f t="shared" si="25"/>
        <v>0</v>
      </c>
      <c r="O549" s="178">
        <f t="shared" si="26"/>
        <v>0</v>
      </c>
    </row>
    <row r="550" spans="1:15" ht="12.75" hidden="1">
      <c r="A550" s="25">
        <v>5091</v>
      </c>
      <c r="B550" s="25" t="s">
        <v>37</v>
      </c>
      <c r="C550" s="26" t="s">
        <v>39</v>
      </c>
      <c r="D550" s="27">
        <v>73181500</v>
      </c>
      <c r="E550" s="28" t="s">
        <v>323</v>
      </c>
      <c r="F550" s="29" t="s">
        <v>324</v>
      </c>
      <c r="G550" s="30">
        <v>32</v>
      </c>
      <c r="H550" s="27" t="s">
        <v>137</v>
      </c>
      <c r="I550" s="26" t="s">
        <v>256</v>
      </c>
      <c r="J550" s="31">
        <v>0.04</v>
      </c>
      <c r="K550" s="32">
        <f t="shared" si="24"/>
        <v>1.28</v>
      </c>
      <c r="L550" s="29" t="s">
        <v>324</v>
      </c>
      <c r="M550" s="27">
        <f>IFERROR(VLOOKUP(C550,Custo_MI_Device!$B$2:$E$102,3,FALSE),0)</f>
        <v>0</v>
      </c>
      <c r="N550" s="27">
        <f t="shared" si="25"/>
        <v>0</v>
      </c>
      <c r="O550" s="178">
        <f t="shared" si="26"/>
        <v>0</v>
      </c>
    </row>
    <row r="551" spans="1:15" ht="12.75" hidden="1">
      <c r="A551" s="25">
        <v>3482</v>
      </c>
      <c r="B551" s="25" t="s">
        <v>37</v>
      </c>
      <c r="C551" s="26" t="s">
        <v>39</v>
      </c>
      <c r="D551" s="27">
        <v>73071100</v>
      </c>
      <c r="E551" s="28" t="s">
        <v>135</v>
      </c>
      <c r="F551" s="29" t="s">
        <v>136</v>
      </c>
      <c r="G551" s="30">
        <v>8</v>
      </c>
      <c r="H551" s="27" t="s">
        <v>137</v>
      </c>
      <c r="I551" s="26" t="s">
        <v>138</v>
      </c>
      <c r="J551" s="31">
        <v>2.5</v>
      </c>
      <c r="K551" s="32">
        <f t="shared" si="24"/>
        <v>20</v>
      </c>
      <c r="L551" s="29" t="s">
        <v>136</v>
      </c>
      <c r="M551" s="27">
        <f>IFERROR(VLOOKUP(C551,Custo_MI_Device!$B$2:$E$102,3,FALSE),0)</f>
        <v>0</v>
      </c>
      <c r="N551" s="27">
        <f t="shared" si="25"/>
        <v>0</v>
      </c>
      <c r="O551" s="178">
        <f t="shared" si="26"/>
        <v>0</v>
      </c>
    </row>
    <row r="552" spans="1:15" ht="25.5" hidden="1">
      <c r="A552" s="25">
        <v>5139</v>
      </c>
      <c r="B552" s="25" t="s">
        <v>37</v>
      </c>
      <c r="C552" s="26" t="s">
        <v>39</v>
      </c>
      <c r="D552" s="27">
        <v>85444900</v>
      </c>
      <c r="E552" s="28" t="s">
        <v>170</v>
      </c>
      <c r="F552" s="29" t="s">
        <v>171</v>
      </c>
      <c r="G552" s="30">
        <v>15</v>
      </c>
      <c r="H552" s="27" t="s">
        <v>158</v>
      </c>
      <c r="I552" s="26" t="s">
        <v>172</v>
      </c>
      <c r="J552" s="31">
        <v>7.5</v>
      </c>
      <c r="K552" s="32">
        <f t="shared" si="24"/>
        <v>112.5</v>
      </c>
      <c r="L552" s="29" t="s">
        <v>173</v>
      </c>
      <c r="M552" s="27">
        <f>IFERROR(VLOOKUP(C552,Custo_MI_Device!$B$2:$E$102,3,FALSE),0)</f>
        <v>0</v>
      </c>
      <c r="N552" s="27">
        <f t="shared" si="25"/>
        <v>0</v>
      </c>
      <c r="O552" s="178">
        <f t="shared" si="26"/>
        <v>0</v>
      </c>
    </row>
    <row r="553" spans="1:15" ht="12.75" hidden="1">
      <c r="A553" s="25">
        <v>2805</v>
      </c>
      <c r="B553" s="25" t="s">
        <v>37</v>
      </c>
      <c r="C553" s="26" t="s">
        <v>39</v>
      </c>
      <c r="D553" s="27">
        <v>72162100</v>
      </c>
      <c r="E553" s="28" t="s">
        <v>174</v>
      </c>
      <c r="F553" s="29">
        <v>0</v>
      </c>
      <c r="G553" s="30">
        <v>2.9</v>
      </c>
      <c r="H553" s="27" t="s">
        <v>175</v>
      </c>
      <c r="I553" s="26" t="s">
        <v>176</v>
      </c>
      <c r="J553" s="31">
        <v>4.22</v>
      </c>
      <c r="K553" s="32">
        <f t="shared" si="24"/>
        <v>12.238</v>
      </c>
      <c r="L553" s="29" t="s">
        <v>177</v>
      </c>
      <c r="M553" s="27">
        <f>IFERROR(VLOOKUP(C553,Custo_MI_Device!$B$2:$E$102,3,FALSE),0)</f>
        <v>0</v>
      </c>
      <c r="N553" s="27">
        <f t="shared" si="25"/>
        <v>0</v>
      </c>
      <c r="O553" s="178">
        <f t="shared" si="26"/>
        <v>0</v>
      </c>
    </row>
    <row r="554" spans="1:15" ht="12.75" hidden="1">
      <c r="A554" s="25">
        <v>4646</v>
      </c>
      <c r="B554" s="25" t="s">
        <v>37</v>
      </c>
      <c r="C554" s="26" t="s">
        <v>39</v>
      </c>
      <c r="D554" s="27">
        <v>76090000</v>
      </c>
      <c r="E554" s="28" t="s">
        <v>191</v>
      </c>
      <c r="F554" s="29" t="s">
        <v>192</v>
      </c>
      <c r="G554" s="30">
        <v>3</v>
      </c>
      <c r="H554" s="27" t="s">
        <v>137</v>
      </c>
      <c r="I554" s="26" t="s">
        <v>138</v>
      </c>
      <c r="J554" s="31">
        <v>28.5</v>
      </c>
      <c r="K554" s="32">
        <f t="shared" si="24"/>
        <v>85.5</v>
      </c>
      <c r="L554" s="29" t="s">
        <v>192</v>
      </c>
      <c r="M554" s="27">
        <f>IFERROR(VLOOKUP(C554,Custo_MI_Device!$B$2:$E$102,3,FALSE),0)</f>
        <v>0</v>
      </c>
      <c r="N554" s="27">
        <f t="shared" si="25"/>
        <v>0</v>
      </c>
      <c r="O554" s="178">
        <f t="shared" si="26"/>
        <v>0</v>
      </c>
    </row>
    <row r="555" spans="1:15" ht="25.5" hidden="1">
      <c r="A555" s="25">
        <v>4307</v>
      </c>
      <c r="B555" s="25" t="s">
        <v>37</v>
      </c>
      <c r="C555" s="26" t="s">
        <v>39</v>
      </c>
      <c r="D555" s="27">
        <v>73063000</v>
      </c>
      <c r="E555" s="28" t="s">
        <v>237</v>
      </c>
      <c r="F555" s="29">
        <v>0</v>
      </c>
      <c r="G555" s="30">
        <v>4</v>
      </c>
      <c r="H555" s="27" t="s">
        <v>232</v>
      </c>
      <c r="I555" s="26" t="s">
        <v>233</v>
      </c>
      <c r="J555" s="31">
        <v>86</v>
      </c>
      <c r="K555" s="32">
        <f t="shared" si="24"/>
        <v>344</v>
      </c>
      <c r="L555" s="29" t="s">
        <v>238</v>
      </c>
      <c r="M555" s="27">
        <f>IFERROR(VLOOKUP(C555,Custo_MI_Device!$B$2:$E$102,3,FALSE),0)</f>
        <v>0</v>
      </c>
      <c r="N555" s="27">
        <f t="shared" si="25"/>
        <v>0</v>
      </c>
      <c r="O555" s="178">
        <f t="shared" si="26"/>
        <v>0</v>
      </c>
    </row>
    <row r="556" spans="1:15" ht="12.75" hidden="1">
      <c r="A556" s="25">
        <v>2831</v>
      </c>
      <c r="B556" s="25" t="s">
        <v>37</v>
      </c>
      <c r="C556" s="26" t="s">
        <v>39</v>
      </c>
      <c r="D556" s="27">
        <v>73071910</v>
      </c>
      <c r="E556" s="28" t="s">
        <v>261</v>
      </c>
      <c r="F556" s="29" t="s">
        <v>262</v>
      </c>
      <c r="G556" s="30">
        <v>8</v>
      </c>
      <c r="H556" s="27" t="s">
        <v>137</v>
      </c>
      <c r="I556" s="26" t="s">
        <v>138</v>
      </c>
      <c r="J556" s="31">
        <v>2.5</v>
      </c>
      <c r="K556" s="32">
        <f t="shared" si="24"/>
        <v>20</v>
      </c>
      <c r="L556" s="29" t="s">
        <v>262</v>
      </c>
      <c r="M556" s="27">
        <f>IFERROR(VLOOKUP(C556,Custo_MI_Device!$B$2:$E$102,3,FALSE),0)</f>
        <v>0</v>
      </c>
      <c r="N556" s="27">
        <f t="shared" si="25"/>
        <v>0</v>
      </c>
      <c r="O556" s="178">
        <f t="shared" si="26"/>
        <v>0</v>
      </c>
    </row>
    <row r="557" spans="1:15" ht="12.75" hidden="1">
      <c r="A557" s="25">
        <v>3274</v>
      </c>
      <c r="B557" s="25" t="s">
        <v>37</v>
      </c>
      <c r="C557" s="26" t="s">
        <v>39</v>
      </c>
      <c r="D557" s="27">
        <v>73181500</v>
      </c>
      <c r="E557" s="28" t="s">
        <v>265</v>
      </c>
      <c r="F557" s="29" t="s">
        <v>266</v>
      </c>
      <c r="G557" s="30">
        <v>32</v>
      </c>
      <c r="H557" s="27" t="s">
        <v>137</v>
      </c>
      <c r="I557" s="26" t="s">
        <v>256</v>
      </c>
      <c r="J557" s="31">
        <v>0.06</v>
      </c>
      <c r="K557" s="32">
        <f t="shared" si="24"/>
        <v>1.92</v>
      </c>
      <c r="L557" s="29" t="s">
        <v>266</v>
      </c>
      <c r="M557" s="27">
        <f>IFERROR(VLOOKUP(C557,Custo_MI_Device!$B$2:$E$102,3,FALSE),0)</f>
        <v>0</v>
      </c>
      <c r="N557" s="27">
        <f t="shared" si="25"/>
        <v>0</v>
      </c>
      <c r="O557" s="178">
        <f t="shared" si="26"/>
        <v>0</v>
      </c>
    </row>
    <row r="558" spans="1:15" ht="12.75" hidden="1">
      <c r="A558" s="25">
        <v>3778</v>
      </c>
      <c r="B558" s="25" t="s">
        <v>40</v>
      </c>
      <c r="C558" s="26" t="s">
        <v>41</v>
      </c>
      <c r="D558" s="27">
        <v>73072900</v>
      </c>
      <c r="E558" s="28" t="s">
        <v>310</v>
      </c>
      <c r="F558" s="29" t="s">
        <v>311</v>
      </c>
      <c r="G558" s="30">
        <v>24</v>
      </c>
      <c r="H558" s="27" t="s">
        <v>137</v>
      </c>
      <c r="I558" s="26" t="s">
        <v>256</v>
      </c>
      <c r="J558" s="31">
        <v>0.65</v>
      </c>
      <c r="K558" s="32">
        <f t="shared" si="24"/>
        <v>15.600000000000001</v>
      </c>
      <c r="L558" s="29" t="s">
        <v>311</v>
      </c>
      <c r="M558" s="27">
        <f>IFERROR(VLOOKUP(C558,Custo_MI_Device!$B$2:$E$102,3,FALSE),0)</f>
        <v>0</v>
      </c>
      <c r="N558" s="27">
        <f t="shared" si="25"/>
        <v>0</v>
      </c>
      <c r="O558" s="178">
        <f t="shared" si="26"/>
        <v>0</v>
      </c>
    </row>
    <row r="559" spans="1:15" ht="12.75" hidden="1">
      <c r="A559" s="25">
        <v>2534</v>
      </c>
      <c r="B559" s="25" t="s">
        <v>40</v>
      </c>
      <c r="C559" s="26" t="s">
        <v>41</v>
      </c>
      <c r="D559" s="27">
        <v>73072900</v>
      </c>
      <c r="E559" s="28" t="s">
        <v>314</v>
      </c>
      <c r="F559" s="29" t="s">
        <v>315</v>
      </c>
      <c r="G559" s="30">
        <v>12</v>
      </c>
      <c r="H559" s="27" t="s">
        <v>137</v>
      </c>
      <c r="I559" s="26" t="s">
        <v>256</v>
      </c>
      <c r="J559" s="31">
        <v>1.2</v>
      </c>
      <c r="K559" s="32">
        <f t="shared" si="24"/>
        <v>14.399999999999999</v>
      </c>
      <c r="L559" s="29" t="s">
        <v>315</v>
      </c>
      <c r="M559" s="27">
        <f>IFERROR(VLOOKUP(C559,Custo_MI_Device!$B$2:$E$102,3,FALSE),0)</f>
        <v>0</v>
      </c>
      <c r="N559" s="27">
        <f t="shared" si="25"/>
        <v>0</v>
      </c>
      <c r="O559" s="178">
        <f t="shared" si="26"/>
        <v>0</v>
      </c>
    </row>
    <row r="560" spans="1:15" ht="12.75" hidden="1">
      <c r="A560" s="25">
        <v>1669</v>
      </c>
      <c r="B560" s="25" t="s">
        <v>40</v>
      </c>
      <c r="C560" s="26" t="s">
        <v>41</v>
      </c>
      <c r="D560" s="27">
        <v>39269090</v>
      </c>
      <c r="E560" s="28" t="s">
        <v>316</v>
      </c>
      <c r="F560" s="29" t="s">
        <v>317</v>
      </c>
      <c r="G560" s="30">
        <v>3</v>
      </c>
      <c r="H560" s="27" t="s">
        <v>137</v>
      </c>
      <c r="I560" s="26" t="s">
        <v>318</v>
      </c>
      <c r="J560" s="31">
        <v>0.04</v>
      </c>
      <c r="K560" s="32">
        <f t="shared" si="24"/>
        <v>0.12</v>
      </c>
      <c r="L560" s="29" t="s">
        <v>317</v>
      </c>
      <c r="M560" s="27">
        <f>IFERROR(VLOOKUP(C560,Custo_MI_Device!$B$2:$E$102,3,FALSE),0)</f>
        <v>0</v>
      </c>
      <c r="N560" s="27">
        <f t="shared" si="25"/>
        <v>0</v>
      </c>
      <c r="O560" s="178">
        <f t="shared" si="26"/>
        <v>0</v>
      </c>
    </row>
    <row r="561" spans="1:15" ht="12.75" hidden="1">
      <c r="A561" s="25">
        <v>5091</v>
      </c>
      <c r="B561" s="25" t="s">
        <v>40</v>
      </c>
      <c r="C561" s="26" t="s">
        <v>41</v>
      </c>
      <c r="D561" s="27">
        <v>73181500</v>
      </c>
      <c r="E561" s="28" t="s">
        <v>323</v>
      </c>
      <c r="F561" s="29" t="s">
        <v>324</v>
      </c>
      <c r="G561" s="30">
        <v>24</v>
      </c>
      <c r="H561" s="27" t="s">
        <v>137</v>
      </c>
      <c r="I561" s="26" t="s">
        <v>256</v>
      </c>
      <c r="J561" s="31">
        <v>0.04</v>
      </c>
      <c r="K561" s="32">
        <f t="shared" si="24"/>
        <v>0.96</v>
      </c>
      <c r="L561" s="29" t="s">
        <v>324</v>
      </c>
      <c r="M561" s="27">
        <f>IFERROR(VLOOKUP(C561,Custo_MI_Device!$B$2:$E$102,3,FALSE),0)</f>
        <v>0</v>
      </c>
      <c r="N561" s="27">
        <f t="shared" si="25"/>
        <v>0</v>
      </c>
      <c r="O561" s="178">
        <f t="shared" si="26"/>
        <v>0</v>
      </c>
    </row>
    <row r="562" spans="1:15" ht="12.75" hidden="1">
      <c r="A562" s="25">
        <v>5091</v>
      </c>
      <c r="B562" s="25" t="s">
        <v>40</v>
      </c>
      <c r="C562" s="26" t="s">
        <v>41</v>
      </c>
      <c r="D562" s="27">
        <v>73181500</v>
      </c>
      <c r="E562" s="28" t="s">
        <v>323</v>
      </c>
      <c r="F562" s="29" t="s">
        <v>324</v>
      </c>
      <c r="G562" s="30">
        <v>48</v>
      </c>
      <c r="H562" s="27" t="s">
        <v>137</v>
      </c>
      <c r="I562" s="26" t="s">
        <v>256</v>
      </c>
      <c r="J562" s="31">
        <v>0.04</v>
      </c>
      <c r="K562" s="32">
        <f t="shared" si="24"/>
        <v>1.92</v>
      </c>
      <c r="L562" s="29" t="s">
        <v>324</v>
      </c>
      <c r="M562" s="27">
        <f>IFERROR(VLOOKUP(C562,Custo_MI_Device!$B$2:$E$102,3,FALSE),0)</f>
        <v>0</v>
      </c>
      <c r="N562" s="27">
        <f t="shared" si="25"/>
        <v>0</v>
      </c>
      <c r="O562" s="178">
        <f t="shared" si="26"/>
        <v>0</v>
      </c>
    </row>
    <row r="563" spans="1:15" ht="12.75" hidden="1">
      <c r="A563" s="25">
        <v>1117</v>
      </c>
      <c r="B563" s="25" t="s">
        <v>40</v>
      </c>
      <c r="C563" s="26" t="s">
        <v>41</v>
      </c>
      <c r="D563" s="27"/>
      <c r="E563" s="28" t="s">
        <v>145</v>
      </c>
      <c r="F563" s="29" t="s">
        <v>146</v>
      </c>
      <c r="G563" s="30">
        <v>1</v>
      </c>
      <c r="H563" s="27" t="s">
        <v>137</v>
      </c>
      <c r="I563" s="26" t="s">
        <v>138</v>
      </c>
      <c r="J563" s="31">
        <v>1.95</v>
      </c>
      <c r="K563" s="32">
        <f t="shared" si="24"/>
        <v>1.95</v>
      </c>
      <c r="L563" s="29" t="s">
        <v>146</v>
      </c>
      <c r="M563" s="27">
        <f>IFERROR(VLOOKUP(C563,Custo_MI_Device!$B$2:$E$102,3,FALSE),0)</f>
        <v>0</v>
      </c>
      <c r="N563" s="27">
        <f t="shared" si="25"/>
        <v>0</v>
      </c>
      <c r="O563" s="178">
        <f t="shared" si="26"/>
        <v>0</v>
      </c>
    </row>
    <row r="564" spans="1:15" ht="12.75" hidden="1">
      <c r="A564" s="25">
        <v>3080</v>
      </c>
      <c r="B564" s="25" t="s">
        <v>40</v>
      </c>
      <c r="C564" s="26" t="s">
        <v>41</v>
      </c>
      <c r="D564" s="27">
        <v>74122000</v>
      </c>
      <c r="E564" s="28" t="s">
        <v>153</v>
      </c>
      <c r="F564" s="29" t="s">
        <v>154</v>
      </c>
      <c r="G564" s="30">
        <v>1</v>
      </c>
      <c r="H564" s="27" t="s">
        <v>137</v>
      </c>
      <c r="I564" s="26" t="s">
        <v>155</v>
      </c>
      <c r="J564" s="31">
        <v>3.3</v>
      </c>
      <c r="K564" s="32">
        <f t="shared" si="24"/>
        <v>3.3</v>
      </c>
      <c r="L564" s="29" t="s">
        <v>154</v>
      </c>
      <c r="M564" s="27">
        <f>IFERROR(VLOOKUP(C564,Custo_MI_Device!$B$2:$E$102,3,FALSE),0)</f>
        <v>0</v>
      </c>
      <c r="N564" s="27">
        <f t="shared" si="25"/>
        <v>0</v>
      </c>
      <c r="O564" s="178">
        <f t="shared" si="26"/>
        <v>0</v>
      </c>
    </row>
    <row r="565" spans="1:15" ht="38.25" hidden="1">
      <c r="A565" s="25">
        <v>3585</v>
      </c>
      <c r="B565" s="25" t="s">
        <v>40</v>
      </c>
      <c r="C565" s="26" t="s">
        <v>41</v>
      </c>
      <c r="D565" s="27">
        <v>85444900</v>
      </c>
      <c r="E565" s="28" t="s">
        <v>328</v>
      </c>
      <c r="F565" s="29">
        <v>900400</v>
      </c>
      <c r="G565" s="30">
        <v>50</v>
      </c>
      <c r="H565" s="27" t="s">
        <v>158</v>
      </c>
      <c r="I565" s="26" t="s">
        <v>164</v>
      </c>
      <c r="J565" s="31">
        <v>1.7</v>
      </c>
      <c r="K565" s="32">
        <f t="shared" si="24"/>
        <v>85</v>
      </c>
      <c r="L565" s="29">
        <v>900400</v>
      </c>
      <c r="M565" s="27">
        <f>IFERROR(VLOOKUP(C565,Custo_MI_Device!$B$2:$E$102,3,FALSE),0)</f>
        <v>0</v>
      </c>
      <c r="N565" s="27">
        <f t="shared" si="25"/>
        <v>0</v>
      </c>
      <c r="O565" s="178">
        <f t="shared" si="26"/>
        <v>0</v>
      </c>
    </row>
    <row r="566" spans="1:15" ht="12.75" hidden="1">
      <c r="A566" s="25">
        <v>2805</v>
      </c>
      <c r="B566" s="25" t="s">
        <v>40</v>
      </c>
      <c r="C566" s="26" t="s">
        <v>41</v>
      </c>
      <c r="D566" s="27">
        <v>72162100</v>
      </c>
      <c r="E566" s="28" t="s">
        <v>174</v>
      </c>
      <c r="F566" s="29">
        <v>0</v>
      </c>
      <c r="G566" s="30">
        <v>2.9</v>
      </c>
      <c r="H566" s="27" t="s">
        <v>175</v>
      </c>
      <c r="I566" s="26" t="s">
        <v>176</v>
      </c>
      <c r="J566" s="31">
        <v>4.22</v>
      </c>
      <c r="K566" s="32">
        <f t="shared" si="24"/>
        <v>12.238</v>
      </c>
      <c r="L566" s="29" t="s">
        <v>177</v>
      </c>
      <c r="M566" s="27">
        <f>IFERROR(VLOOKUP(C566,Custo_MI_Device!$B$2:$E$102,3,FALSE),0)</f>
        <v>0</v>
      </c>
      <c r="N566" s="27">
        <f t="shared" si="25"/>
        <v>0</v>
      </c>
      <c r="O566" s="178">
        <f t="shared" si="26"/>
        <v>0</v>
      </c>
    </row>
    <row r="567" spans="1:15" ht="12.75" hidden="1">
      <c r="A567" s="25">
        <v>2904</v>
      </c>
      <c r="B567" s="25" t="s">
        <v>40</v>
      </c>
      <c r="C567" s="26" t="s">
        <v>41</v>
      </c>
      <c r="D567" s="27">
        <v>76090000</v>
      </c>
      <c r="E567" s="28" t="s">
        <v>195</v>
      </c>
      <c r="F567" s="29" t="s">
        <v>196</v>
      </c>
      <c r="G567" s="30">
        <v>0.75</v>
      </c>
      <c r="H567" s="27" t="s">
        <v>137</v>
      </c>
      <c r="I567" s="26" t="s">
        <v>138</v>
      </c>
      <c r="J567" s="31">
        <v>6.7</v>
      </c>
      <c r="K567" s="32">
        <f t="shared" si="24"/>
        <v>5.0250000000000004</v>
      </c>
      <c r="L567" s="29" t="s">
        <v>196</v>
      </c>
      <c r="M567" s="27">
        <f>IFERROR(VLOOKUP(C567,Custo_MI_Device!$B$2:$E$102,3,FALSE),0)</f>
        <v>0</v>
      </c>
      <c r="N567" s="27">
        <f t="shared" si="25"/>
        <v>0</v>
      </c>
      <c r="O567" s="178">
        <f t="shared" si="26"/>
        <v>0</v>
      </c>
    </row>
    <row r="568" spans="1:15" ht="12.75" hidden="1">
      <c r="A568" s="25">
        <v>2911</v>
      </c>
      <c r="B568" s="25" t="s">
        <v>40</v>
      </c>
      <c r="C568" s="26" t="s">
        <v>41</v>
      </c>
      <c r="D568" s="27">
        <v>76090000</v>
      </c>
      <c r="E568" s="28" t="s">
        <v>197</v>
      </c>
      <c r="F568" s="29" t="s">
        <v>198</v>
      </c>
      <c r="G568" s="30">
        <v>0.75</v>
      </c>
      <c r="H568" s="27" t="s">
        <v>137</v>
      </c>
      <c r="I568" s="26" t="s">
        <v>138</v>
      </c>
      <c r="J568" s="31">
        <v>6.7</v>
      </c>
      <c r="K568" s="32">
        <f t="shared" si="24"/>
        <v>5.0250000000000004</v>
      </c>
      <c r="L568" s="29" t="s">
        <v>198</v>
      </c>
      <c r="M568" s="27">
        <f>IFERROR(VLOOKUP(C568,Custo_MI_Device!$B$2:$E$102,3,FALSE),0)</f>
        <v>0</v>
      </c>
      <c r="N568" s="27">
        <f t="shared" si="25"/>
        <v>0</v>
      </c>
      <c r="O568" s="178">
        <f t="shared" si="26"/>
        <v>0</v>
      </c>
    </row>
    <row r="569" spans="1:15" ht="12.75" hidden="1">
      <c r="A569" s="25">
        <v>4823</v>
      </c>
      <c r="B569" s="25" t="s">
        <v>40</v>
      </c>
      <c r="C569" s="26" t="s">
        <v>41</v>
      </c>
      <c r="D569" s="27">
        <v>76090000</v>
      </c>
      <c r="E569" s="28" t="s">
        <v>199</v>
      </c>
      <c r="F569" s="29" t="s">
        <v>200</v>
      </c>
      <c r="G569" s="30">
        <v>0.75</v>
      </c>
      <c r="H569" s="27" t="s">
        <v>137</v>
      </c>
      <c r="I569" s="26" t="s">
        <v>138</v>
      </c>
      <c r="J569" s="31">
        <v>6.7</v>
      </c>
      <c r="K569" s="32">
        <f t="shared" si="24"/>
        <v>5.0250000000000004</v>
      </c>
      <c r="L569" s="29" t="s">
        <v>200</v>
      </c>
      <c r="M569" s="27">
        <f>IFERROR(VLOOKUP(C569,Custo_MI_Device!$B$2:$E$102,3,FALSE),0)</f>
        <v>0</v>
      </c>
      <c r="N569" s="27">
        <f t="shared" si="25"/>
        <v>0</v>
      </c>
      <c r="O569" s="178">
        <f t="shared" si="26"/>
        <v>0</v>
      </c>
    </row>
    <row r="570" spans="1:15" ht="25.5" hidden="1">
      <c r="A570" s="25">
        <v>2909</v>
      </c>
      <c r="B570" s="25" t="s">
        <v>40</v>
      </c>
      <c r="C570" s="26" t="s">
        <v>41</v>
      </c>
      <c r="D570" s="27">
        <v>73072200</v>
      </c>
      <c r="E570" s="28" t="s">
        <v>216</v>
      </c>
      <c r="F570" s="29" t="s">
        <v>217</v>
      </c>
      <c r="G570" s="30">
        <v>3</v>
      </c>
      <c r="H570" s="27" t="s">
        <v>137</v>
      </c>
      <c r="I570" s="26" t="s">
        <v>218</v>
      </c>
      <c r="J570" s="31">
        <v>27.7</v>
      </c>
      <c r="K570" s="32">
        <f t="shared" si="24"/>
        <v>83.1</v>
      </c>
      <c r="L570" s="29" t="s">
        <v>217</v>
      </c>
      <c r="M570" s="27">
        <f>IFERROR(VLOOKUP(C570,Custo_MI_Device!$B$2:$E$102,3,FALSE),0)</f>
        <v>0</v>
      </c>
      <c r="N570" s="27">
        <f t="shared" si="25"/>
        <v>0</v>
      </c>
      <c r="O570" s="178">
        <f t="shared" si="26"/>
        <v>0</v>
      </c>
    </row>
    <row r="571" spans="1:15" ht="25.5" hidden="1">
      <c r="A571" s="25">
        <v>1535</v>
      </c>
      <c r="B571" s="25" t="s">
        <v>40</v>
      </c>
      <c r="C571" s="26" t="s">
        <v>41</v>
      </c>
      <c r="D571" s="27">
        <v>73072200</v>
      </c>
      <c r="E571" s="28" t="s">
        <v>219</v>
      </c>
      <c r="F571" s="29">
        <v>0</v>
      </c>
      <c r="G571" s="30">
        <v>2</v>
      </c>
      <c r="H571" s="27" t="s">
        <v>137</v>
      </c>
      <c r="I571" s="26" t="s">
        <v>220</v>
      </c>
      <c r="J571" s="31">
        <v>35</v>
      </c>
      <c r="K571" s="32">
        <f t="shared" si="24"/>
        <v>70</v>
      </c>
      <c r="L571" s="29" t="s">
        <v>221</v>
      </c>
      <c r="M571" s="27">
        <f>IFERROR(VLOOKUP(C571,Custo_MI_Device!$B$2:$E$102,3,FALSE),0)</f>
        <v>0</v>
      </c>
      <c r="N571" s="27">
        <f t="shared" si="25"/>
        <v>0</v>
      </c>
      <c r="O571" s="178">
        <f t="shared" si="26"/>
        <v>0</v>
      </c>
    </row>
    <row r="572" spans="1:15" ht="25.5" hidden="1">
      <c r="A572" s="25">
        <v>1535</v>
      </c>
      <c r="B572" s="25" t="s">
        <v>40</v>
      </c>
      <c r="C572" s="26" t="s">
        <v>41</v>
      </c>
      <c r="D572" s="27">
        <v>73072200</v>
      </c>
      <c r="E572" s="28" t="s">
        <v>219</v>
      </c>
      <c r="F572" s="29">
        <v>0</v>
      </c>
      <c r="G572" s="30">
        <v>1</v>
      </c>
      <c r="H572" s="27" t="s">
        <v>137</v>
      </c>
      <c r="I572" s="26" t="s">
        <v>220</v>
      </c>
      <c r="J572" s="31">
        <v>35</v>
      </c>
      <c r="K572" s="32">
        <f t="shared" si="24"/>
        <v>35</v>
      </c>
      <c r="L572" s="29" t="s">
        <v>221</v>
      </c>
      <c r="M572" s="27">
        <f>IFERROR(VLOOKUP(C572,Custo_MI_Device!$B$2:$E$102,3,FALSE),0)</f>
        <v>0</v>
      </c>
      <c r="N572" s="27">
        <f t="shared" si="25"/>
        <v>0</v>
      </c>
      <c r="O572" s="178">
        <f t="shared" si="26"/>
        <v>0</v>
      </c>
    </row>
    <row r="573" spans="1:15" ht="25.5" hidden="1">
      <c r="A573" s="25">
        <v>2300</v>
      </c>
      <c r="B573" s="25" t="s">
        <v>40</v>
      </c>
      <c r="C573" s="26" t="s">
        <v>41</v>
      </c>
      <c r="D573" s="27">
        <v>73072200</v>
      </c>
      <c r="E573" s="28" t="s">
        <v>222</v>
      </c>
      <c r="F573" s="29" t="s">
        <v>223</v>
      </c>
      <c r="G573" s="30">
        <v>1</v>
      </c>
      <c r="H573" s="27" t="s">
        <v>137</v>
      </c>
      <c r="I573" s="26" t="s">
        <v>218</v>
      </c>
      <c r="J573" s="31">
        <v>41</v>
      </c>
      <c r="K573" s="32">
        <f t="shared" si="24"/>
        <v>41</v>
      </c>
      <c r="L573" s="29" t="s">
        <v>223</v>
      </c>
      <c r="M573" s="27">
        <f>IFERROR(VLOOKUP(C573,Custo_MI_Device!$B$2:$E$102,3,FALSE),0)</f>
        <v>0</v>
      </c>
      <c r="N573" s="27">
        <f t="shared" si="25"/>
        <v>0</v>
      </c>
      <c r="O573" s="178">
        <f t="shared" si="26"/>
        <v>0</v>
      </c>
    </row>
    <row r="574" spans="1:15" ht="25.5" hidden="1">
      <c r="A574" s="25">
        <v>7163</v>
      </c>
      <c r="B574" s="25" t="s">
        <v>40</v>
      </c>
      <c r="C574" s="26" t="s">
        <v>41</v>
      </c>
      <c r="D574" s="27">
        <v>73072200</v>
      </c>
      <c r="E574" s="28" t="s">
        <v>224</v>
      </c>
      <c r="F574" s="29">
        <v>0</v>
      </c>
      <c r="G574" s="30">
        <v>2</v>
      </c>
      <c r="H574" s="27" t="s">
        <v>137</v>
      </c>
      <c r="I574" s="26" t="s">
        <v>220</v>
      </c>
      <c r="J574" s="31">
        <v>58</v>
      </c>
      <c r="K574" s="32">
        <f t="shared" si="24"/>
        <v>116</v>
      </c>
      <c r="L574" s="29" t="s">
        <v>225</v>
      </c>
      <c r="M574" s="27">
        <f>IFERROR(VLOOKUP(C574,Custo_MI_Device!$B$2:$E$102,3,FALSE),0)</f>
        <v>0</v>
      </c>
      <c r="N574" s="27">
        <f t="shared" si="25"/>
        <v>0</v>
      </c>
      <c r="O574" s="178">
        <f t="shared" si="26"/>
        <v>0</v>
      </c>
    </row>
    <row r="575" spans="1:15" ht="25.5" hidden="1">
      <c r="A575" s="25">
        <v>4306</v>
      </c>
      <c r="B575" s="25" t="s">
        <v>40</v>
      </c>
      <c r="C575" s="26" t="s">
        <v>41</v>
      </c>
      <c r="D575" s="27">
        <v>73063000</v>
      </c>
      <c r="E575" s="28" t="s">
        <v>239</v>
      </c>
      <c r="F575" s="29">
        <v>0</v>
      </c>
      <c r="G575" s="30">
        <v>2</v>
      </c>
      <c r="H575" s="27" t="s">
        <v>232</v>
      </c>
      <c r="I575" s="26" t="s">
        <v>233</v>
      </c>
      <c r="J575" s="31">
        <v>32</v>
      </c>
      <c r="K575" s="32">
        <f t="shared" si="24"/>
        <v>64</v>
      </c>
      <c r="L575" s="29" t="s">
        <v>240</v>
      </c>
      <c r="M575" s="27">
        <f>IFERROR(VLOOKUP(C575,Custo_MI_Device!$B$2:$E$102,3,FALSE),0)</f>
        <v>0</v>
      </c>
      <c r="N575" s="27">
        <f t="shared" si="25"/>
        <v>0</v>
      </c>
      <c r="O575" s="178">
        <f t="shared" si="26"/>
        <v>0</v>
      </c>
    </row>
    <row r="576" spans="1:15" ht="12.75" hidden="1">
      <c r="A576" s="25">
        <v>3274</v>
      </c>
      <c r="B576" s="25" t="s">
        <v>40</v>
      </c>
      <c r="C576" s="26" t="s">
        <v>41</v>
      </c>
      <c r="D576" s="27">
        <v>73181500</v>
      </c>
      <c r="E576" s="28" t="s">
        <v>265</v>
      </c>
      <c r="F576" s="29" t="s">
        <v>266</v>
      </c>
      <c r="G576" s="30">
        <v>24</v>
      </c>
      <c r="H576" s="27" t="s">
        <v>137</v>
      </c>
      <c r="I576" s="26" t="s">
        <v>256</v>
      </c>
      <c r="J576" s="31">
        <v>0.06</v>
      </c>
      <c r="K576" s="32">
        <f t="shared" si="24"/>
        <v>1.44</v>
      </c>
      <c r="L576" s="29" t="s">
        <v>266</v>
      </c>
      <c r="M576" s="27">
        <f>IFERROR(VLOOKUP(C576,Custo_MI_Device!$B$2:$E$102,3,FALSE),0)</f>
        <v>0</v>
      </c>
      <c r="N576" s="27">
        <f t="shared" si="25"/>
        <v>0</v>
      </c>
      <c r="O576" s="178">
        <f t="shared" si="26"/>
        <v>0</v>
      </c>
    </row>
    <row r="577" spans="1:15" ht="12.75" hidden="1">
      <c r="A577" s="25">
        <v>3274</v>
      </c>
      <c r="B577" s="25" t="s">
        <v>40</v>
      </c>
      <c r="C577" s="26" t="s">
        <v>41</v>
      </c>
      <c r="D577" s="27">
        <v>73181500</v>
      </c>
      <c r="E577" s="28" t="s">
        <v>265</v>
      </c>
      <c r="F577" s="29" t="s">
        <v>266</v>
      </c>
      <c r="G577" s="30">
        <v>48</v>
      </c>
      <c r="H577" s="27" t="s">
        <v>137</v>
      </c>
      <c r="I577" s="26" t="s">
        <v>256</v>
      </c>
      <c r="J577" s="31">
        <v>0.06</v>
      </c>
      <c r="K577" s="32">
        <f t="shared" si="24"/>
        <v>2.88</v>
      </c>
      <c r="L577" s="29" t="s">
        <v>266</v>
      </c>
      <c r="M577" s="27">
        <f>IFERROR(VLOOKUP(C577,Custo_MI_Device!$B$2:$E$102,3,FALSE),0)</f>
        <v>0</v>
      </c>
      <c r="N577" s="27">
        <f t="shared" si="25"/>
        <v>0</v>
      </c>
      <c r="O577" s="178">
        <f t="shared" si="26"/>
        <v>0</v>
      </c>
    </row>
    <row r="578" spans="1:15" ht="25.5" hidden="1">
      <c r="A578" s="25">
        <v>3199</v>
      </c>
      <c r="B578" s="25" t="s">
        <v>40</v>
      </c>
      <c r="C578" s="26" t="s">
        <v>41</v>
      </c>
      <c r="D578" s="27">
        <v>90262090</v>
      </c>
      <c r="E578" s="28" t="s">
        <v>268</v>
      </c>
      <c r="F578" s="29">
        <v>0</v>
      </c>
      <c r="G578" s="33">
        <v>0</v>
      </c>
      <c r="H578" s="27" t="s">
        <v>137</v>
      </c>
      <c r="I578" s="26" t="s">
        <v>220</v>
      </c>
      <c r="J578" s="31">
        <v>650</v>
      </c>
      <c r="K578" s="32">
        <f t="shared" si="24"/>
        <v>0</v>
      </c>
      <c r="L578" s="29" t="s">
        <v>269</v>
      </c>
      <c r="M578" s="27">
        <f>IFERROR(VLOOKUP(C578,Custo_MI_Device!$B$2:$E$102,3,FALSE),0)</f>
        <v>0</v>
      </c>
      <c r="N578" s="27">
        <f t="shared" si="25"/>
        <v>0</v>
      </c>
      <c r="O578" s="178">
        <f t="shared" si="26"/>
        <v>0</v>
      </c>
    </row>
    <row r="579" spans="1:15" ht="25.5" hidden="1">
      <c r="A579" s="25">
        <v>1611</v>
      </c>
      <c r="B579" s="25" t="s">
        <v>40</v>
      </c>
      <c r="C579" s="26" t="s">
        <v>41</v>
      </c>
      <c r="D579" s="27">
        <v>39174090</v>
      </c>
      <c r="E579" s="28" t="s">
        <v>275</v>
      </c>
      <c r="F579" s="29" t="s">
        <v>276</v>
      </c>
      <c r="G579" s="30">
        <v>2</v>
      </c>
      <c r="H579" s="27" t="s">
        <v>137</v>
      </c>
      <c r="I579" s="26" t="s">
        <v>277</v>
      </c>
      <c r="J579" s="31">
        <v>7.8</v>
      </c>
      <c r="K579" s="32">
        <f t="shared" ref="K579:K642" si="27">G579*J579</f>
        <v>15.6</v>
      </c>
      <c r="L579" s="29" t="s">
        <v>276</v>
      </c>
      <c r="M579" s="27">
        <f>IFERROR(VLOOKUP(C579,Custo_MI_Device!$B$2:$E$102,3,FALSE),0)</f>
        <v>0</v>
      </c>
      <c r="N579" s="27">
        <f t="shared" ref="N579:N642" si="28">ROUNDUP(M579*G579,0)</f>
        <v>0</v>
      </c>
      <c r="O579" s="178">
        <f t="shared" ref="O579:O642" si="29">N579*J579</f>
        <v>0</v>
      </c>
    </row>
    <row r="580" spans="1:15" ht="12.75" hidden="1">
      <c r="A580" s="25">
        <v>5081</v>
      </c>
      <c r="B580" s="25" t="s">
        <v>40</v>
      </c>
      <c r="C580" s="26" t="s">
        <v>41</v>
      </c>
      <c r="D580" s="27">
        <v>73145000</v>
      </c>
      <c r="E580" s="28" t="s">
        <v>278</v>
      </c>
      <c r="F580" s="29">
        <v>0</v>
      </c>
      <c r="G580" s="30">
        <v>1</v>
      </c>
      <c r="H580" s="27" t="s">
        <v>137</v>
      </c>
      <c r="I580" s="26" t="s">
        <v>279</v>
      </c>
      <c r="J580" s="31">
        <v>23</v>
      </c>
      <c r="K580" s="32">
        <f t="shared" si="27"/>
        <v>23</v>
      </c>
      <c r="L580" s="29" t="s">
        <v>280</v>
      </c>
      <c r="M580" s="27">
        <f>IFERROR(VLOOKUP(C580,Custo_MI_Device!$B$2:$E$102,3,FALSE),0)</f>
        <v>0</v>
      </c>
      <c r="N580" s="27">
        <f t="shared" si="28"/>
        <v>0</v>
      </c>
      <c r="O580" s="178">
        <f t="shared" si="29"/>
        <v>0</v>
      </c>
    </row>
    <row r="581" spans="1:15" ht="25.5" hidden="1">
      <c r="A581" s="25">
        <v>2973</v>
      </c>
      <c r="B581" s="25" t="s">
        <v>40</v>
      </c>
      <c r="C581" s="26" t="s">
        <v>41</v>
      </c>
      <c r="D581" s="27">
        <v>73072200</v>
      </c>
      <c r="E581" s="28" t="s">
        <v>281</v>
      </c>
      <c r="F581" s="29" t="s">
        <v>282</v>
      </c>
      <c r="G581" s="30">
        <v>2</v>
      </c>
      <c r="H581" s="27" t="s">
        <v>137</v>
      </c>
      <c r="I581" s="26" t="s">
        <v>218</v>
      </c>
      <c r="J581" s="31">
        <v>29</v>
      </c>
      <c r="K581" s="32">
        <f t="shared" si="27"/>
        <v>58</v>
      </c>
      <c r="L581" s="29" t="s">
        <v>282</v>
      </c>
      <c r="M581" s="27">
        <f>IFERROR(VLOOKUP(C581,Custo_MI_Device!$B$2:$E$102,3,FALSE),0)</f>
        <v>0</v>
      </c>
      <c r="N581" s="27">
        <f t="shared" si="28"/>
        <v>0</v>
      </c>
      <c r="O581" s="178">
        <f t="shared" si="29"/>
        <v>0</v>
      </c>
    </row>
    <row r="582" spans="1:15" ht="25.5" hidden="1">
      <c r="A582" s="25">
        <v>5194</v>
      </c>
      <c r="B582" s="25" t="s">
        <v>40</v>
      </c>
      <c r="C582" s="26" t="s">
        <v>41</v>
      </c>
      <c r="D582" s="27">
        <v>73041010</v>
      </c>
      <c r="E582" s="28" t="s">
        <v>289</v>
      </c>
      <c r="F582" s="29" t="s">
        <v>290</v>
      </c>
      <c r="G582" s="30">
        <v>2</v>
      </c>
      <c r="H582" s="27" t="s">
        <v>232</v>
      </c>
      <c r="I582" s="26" t="s">
        <v>218</v>
      </c>
      <c r="J582" s="31">
        <f>21.5*6</f>
        <v>129</v>
      </c>
      <c r="K582" s="32">
        <f t="shared" si="27"/>
        <v>258</v>
      </c>
      <c r="L582" s="29" t="s">
        <v>290</v>
      </c>
      <c r="M582" s="27">
        <f>IFERROR(VLOOKUP(C582,Custo_MI_Device!$B$2:$E$102,3,FALSE),0)</f>
        <v>0</v>
      </c>
      <c r="N582" s="27">
        <f t="shared" si="28"/>
        <v>0</v>
      </c>
      <c r="O582" s="178">
        <f t="shared" si="29"/>
        <v>0</v>
      </c>
    </row>
    <row r="583" spans="1:15" ht="25.5" hidden="1">
      <c r="A583" s="25">
        <v>2125</v>
      </c>
      <c r="B583" s="25" t="s">
        <v>40</v>
      </c>
      <c r="C583" s="26" t="s">
        <v>41</v>
      </c>
      <c r="D583" s="27">
        <v>84818039</v>
      </c>
      <c r="E583" s="28" t="s">
        <v>301</v>
      </c>
      <c r="F583" s="29">
        <v>0</v>
      </c>
      <c r="G583" s="30">
        <v>2</v>
      </c>
      <c r="H583" s="27" t="s">
        <v>137</v>
      </c>
      <c r="I583" s="26" t="s">
        <v>220</v>
      </c>
      <c r="J583" s="31">
        <v>175</v>
      </c>
      <c r="K583" s="32">
        <f t="shared" si="27"/>
        <v>350</v>
      </c>
      <c r="L583" s="29" t="s">
        <v>302</v>
      </c>
      <c r="M583" s="27">
        <f>IFERROR(VLOOKUP(C583,Custo_MI_Device!$B$2:$E$102,3,FALSE),0)</f>
        <v>0</v>
      </c>
      <c r="N583" s="27">
        <f t="shared" si="28"/>
        <v>0</v>
      </c>
      <c r="O583" s="178">
        <f t="shared" si="29"/>
        <v>0</v>
      </c>
    </row>
    <row r="584" spans="1:15" ht="12.75" hidden="1">
      <c r="A584" s="25">
        <v>3778</v>
      </c>
      <c r="B584" s="25" t="s">
        <v>40</v>
      </c>
      <c r="C584" s="26" t="s">
        <v>42</v>
      </c>
      <c r="D584" s="27">
        <v>73072900</v>
      </c>
      <c r="E584" s="28" t="s">
        <v>310</v>
      </c>
      <c r="F584" s="29" t="s">
        <v>311</v>
      </c>
      <c r="G584" s="30">
        <v>24</v>
      </c>
      <c r="H584" s="27" t="s">
        <v>137</v>
      </c>
      <c r="I584" s="26" t="s">
        <v>256</v>
      </c>
      <c r="J584" s="31">
        <v>0.65</v>
      </c>
      <c r="K584" s="32">
        <f t="shared" si="27"/>
        <v>15.600000000000001</v>
      </c>
      <c r="L584" s="29" t="s">
        <v>311</v>
      </c>
      <c r="M584" s="27">
        <f>IFERROR(VLOOKUP(C584,Custo_MI_Device!$B$2:$E$102,3,FALSE),0)</f>
        <v>0</v>
      </c>
      <c r="N584" s="27">
        <f t="shared" si="28"/>
        <v>0</v>
      </c>
      <c r="O584" s="178">
        <f t="shared" si="29"/>
        <v>0</v>
      </c>
    </row>
    <row r="585" spans="1:15" ht="12.75" hidden="1">
      <c r="A585" s="25">
        <v>2534</v>
      </c>
      <c r="B585" s="25" t="s">
        <v>40</v>
      </c>
      <c r="C585" s="26" t="s">
        <v>42</v>
      </c>
      <c r="D585" s="27">
        <v>73072900</v>
      </c>
      <c r="E585" s="28" t="s">
        <v>314</v>
      </c>
      <c r="F585" s="29" t="s">
        <v>315</v>
      </c>
      <c r="G585" s="30">
        <v>12</v>
      </c>
      <c r="H585" s="27" t="s">
        <v>137</v>
      </c>
      <c r="I585" s="26" t="s">
        <v>256</v>
      </c>
      <c r="J585" s="31">
        <v>1.2</v>
      </c>
      <c r="K585" s="32">
        <f t="shared" si="27"/>
        <v>14.399999999999999</v>
      </c>
      <c r="L585" s="29" t="s">
        <v>315</v>
      </c>
      <c r="M585" s="27">
        <f>IFERROR(VLOOKUP(C585,Custo_MI_Device!$B$2:$E$102,3,FALSE),0)</f>
        <v>0</v>
      </c>
      <c r="N585" s="27">
        <f t="shared" si="28"/>
        <v>0</v>
      </c>
      <c r="O585" s="178">
        <f t="shared" si="29"/>
        <v>0</v>
      </c>
    </row>
    <row r="586" spans="1:15" ht="12.75" hidden="1">
      <c r="A586" s="25">
        <v>1669</v>
      </c>
      <c r="B586" s="25" t="s">
        <v>40</v>
      </c>
      <c r="C586" s="26" t="s">
        <v>42</v>
      </c>
      <c r="D586" s="27">
        <v>39269090</v>
      </c>
      <c r="E586" s="28" t="s">
        <v>316</v>
      </c>
      <c r="F586" s="29" t="s">
        <v>317</v>
      </c>
      <c r="G586" s="30">
        <v>3</v>
      </c>
      <c r="H586" s="27" t="s">
        <v>137</v>
      </c>
      <c r="I586" s="26" t="s">
        <v>318</v>
      </c>
      <c r="J586" s="31">
        <v>0.04</v>
      </c>
      <c r="K586" s="32">
        <f t="shared" si="27"/>
        <v>0.12</v>
      </c>
      <c r="L586" s="29" t="s">
        <v>317</v>
      </c>
      <c r="M586" s="27">
        <f>IFERROR(VLOOKUP(C586,Custo_MI_Device!$B$2:$E$102,3,FALSE),0)</f>
        <v>0</v>
      </c>
      <c r="N586" s="27">
        <f t="shared" si="28"/>
        <v>0</v>
      </c>
      <c r="O586" s="178">
        <f t="shared" si="29"/>
        <v>0</v>
      </c>
    </row>
    <row r="587" spans="1:15" ht="12.75" hidden="1">
      <c r="A587" s="25">
        <v>5091</v>
      </c>
      <c r="B587" s="25" t="s">
        <v>40</v>
      </c>
      <c r="C587" s="26" t="s">
        <v>42</v>
      </c>
      <c r="D587" s="27">
        <v>73181500</v>
      </c>
      <c r="E587" s="28" t="s">
        <v>323</v>
      </c>
      <c r="F587" s="29" t="s">
        <v>324</v>
      </c>
      <c r="G587" s="30">
        <v>24</v>
      </c>
      <c r="H587" s="27" t="s">
        <v>137</v>
      </c>
      <c r="I587" s="26" t="s">
        <v>256</v>
      </c>
      <c r="J587" s="31">
        <v>0.04</v>
      </c>
      <c r="K587" s="32">
        <f t="shared" si="27"/>
        <v>0.96</v>
      </c>
      <c r="L587" s="29" t="s">
        <v>324</v>
      </c>
      <c r="M587" s="27">
        <f>IFERROR(VLOOKUP(C587,Custo_MI_Device!$B$2:$E$102,3,FALSE),0)</f>
        <v>0</v>
      </c>
      <c r="N587" s="27">
        <f t="shared" si="28"/>
        <v>0</v>
      </c>
      <c r="O587" s="178">
        <f t="shared" si="29"/>
        <v>0</v>
      </c>
    </row>
    <row r="588" spans="1:15" ht="12.75" hidden="1">
      <c r="A588" s="25">
        <v>5091</v>
      </c>
      <c r="B588" s="25" t="s">
        <v>40</v>
      </c>
      <c r="C588" s="26" t="s">
        <v>42</v>
      </c>
      <c r="D588" s="27">
        <v>73181500</v>
      </c>
      <c r="E588" s="28" t="s">
        <v>323</v>
      </c>
      <c r="F588" s="29" t="s">
        <v>324</v>
      </c>
      <c r="G588" s="30">
        <v>48</v>
      </c>
      <c r="H588" s="27" t="s">
        <v>137</v>
      </c>
      <c r="I588" s="26" t="s">
        <v>256</v>
      </c>
      <c r="J588" s="31">
        <v>0.04</v>
      </c>
      <c r="K588" s="32">
        <f t="shared" si="27"/>
        <v>1.92</v>
      </c>
      <c r="L588" s="29" t="s">
        <v>324</v>
      </c>
      <c r="M588" s="27">
        <f>IFERROR(VLOOKUP(C588,Custo_MI_Device!$B$2:$E$102,3,FALSE),0)</f>
        <v>0</v>
      </c>
      <c r="N588" s="27">
        <f t="shared" si="28"/>
        <v>0</v>
      </c>
      <c r="O588" s="178">
        <f t="shared" si="29"/>
        <v>0</v>
      </c>
    </row>
    <row r="589" spans="1:15" ht="12.75" hidden="1">
      <c r="A589" s="25">
        <v>1117</v>
      </c>
      <c r="B589" s="25" t="s">
        <v>40</v>
      </c>
      <c r="C589" s="26" t="s">
        <v>42</v>
      </c>
      <c r="D589" s="27"/>
      <c r="E589" s="28" t="s">
        <v>145</v>
      </c>
      <c r="F589" s="29" t="s">
        <v>146</v>
      </c>
      <c r="G589" s="30">
        <v>1</v>
      </c>
      <c r="H589" s="27" t="s">
        <v>137</v>
      </c>
      <c r="I589" s="26" t="s">
        <v>138</v>
      </c>
      <c r="J589" s="31">
        <v>1.95</v>
      </c>
      <c r="K589" s="32">
        <f t="shared" si="27"/>
        <v>1.95</v>
      </c>
      <c r="L589" s="29" t="s">
        <v>146</v>
      </c>
      <c r="M589" s="27">
        <f>IFERROR(VLOOKUP(C589,Custo_MI_Device!$B$2:$E$102,3,FALSE),0)</f>
        <v>0</v>
      </c>
      <c r="N589" s="27">
        <f t="shared" si="28"/>
        <v>0</v>
      </c>
      <c r="O589" s="178">
        <f t="shared" si="29"/>
        <v>0</v>
      </c>
    </row>
    <row r="590" spans="1:15" ht="12.75" hidden="1">
      <c r="A590" s="25">
        <v>3080</v>
      </c>
      <c r="B590" s="25" t="s">
        <v>40</v>
      </c>
      <c r="C590" s="26" t="s">
        <v>42</v>
      </c>
      <c r="D590" s="27">
        <v>74122000</v>
      </c>
      <c r="E590" s="28" t="s">
        <v>153</v>
      </c>
      <c r="F590" s="29" t="s">
        <v>154</v>
      </c>
      <c r="G590" s="30">
        <v>1</v>
      </c>
      <c r="H590" s="27" t="s">
        <v>137</v>
      </c>
      <c r="I590" s="26" t="s">
        <v>155</v>
      </c>
      <c r="J590" s="31">
        <v>3.3</v>
      </c>
      <c r="K590" s="32">
        <f t="shared" si="27"/>
        <v>3.3</v>
      </c>
      <c r="L590" s="29" t="s">
        <v>154</v>
      </c>
      <c r="M590" s="27">
        <f>IFERROR(VLOOKUP(C590,Custo_MI_Device!$B$2:$E$102,3,FALSE),0)</f>
        <v>0</v>
      </c>
      <c r="N590" s="27">
        <f t="shared" si="28"/>
        <v>0</v>
      </c>
      <c r="O590" s="178">
        <f t="shared" si="29"/>
        <v>0</v>
      </c>
    </row>
    <row r="591" spans="1:15" ht="25.5" hidden="1">
      <c r="A591" s="25">
        <v>5139</v>
      </c>
      <c r="B591" s="25" t="s">
        <v>40</v>
      </c>
      <c r="C591" s="26" t="s">
        <v>42</v>
      </c>
      <c r="D591" s="27">
        <v>85444900</v>
      </c>
      <c r="E591" s="28" t="s">
        <v>170</v>
      </c>
      <c r="F591" s="29" t="s">
        <v>171</v>
      </c>
      <c r="G591" s="30">
        <v>15</v>
      </c>
      <c r="H591" s="27" t="s">
        <v>158</v>
      </c>
      <c r="I591" s="26" t="s">
        <v>172</v>
      </c>
      <c r="J591" s="31">
        <v>7.5</v>
      </c>
      <c r="K591" s="32">
        <f t="shared" si="27"/>
        <v>112.5</v>
      </c>
      <c r="L591" s="29" t="s">
        <v>173</v>
      </c>
      <c r="M591" s="27">
        <f>IFERROR(VLOOKUP(C591,Custo_MI_Device!$B$2:$E$102,3,FALSE),0)</f>
        <v>0</v>
      </c>
      <c r="N591" s="27">
        <f t="shared" si="28"/>
        <v>0</v>
      </c>
      <c r="O591" s="178">
        <f t="shared" si="29"/>
        <v>0</v>
      </c>
    </row>
    <row r="592" spans="1:15" ht="12.75" hidden="1">
      <c r="A592" s="25">
        <v>2805</v>
      </c>
      <c r="B592" s="25" t="s">
        <v>40</v>
      </c>
      <c r="C592" s="26" t="s">
        <v>42</v>
      </c>
      <c r="D592" s="27">
        <v>72162100</v>
      </c>
      <c r="E592" s="28" t="s">
        <v>174</v>
      </c>
      <c r="F592" s="29">
        <v>0</v>
      </c>
      <c r="G592" s="30">
        <v>2.9</v>
      </c>
      <c r="H592" s="27" t="s">
        <v>175</v>
      </c>
      <c r="I592" s="26" t="s">
        <v>176</v>
      </c>
      <c r="J592" s="31">
        <v>4.22</v>
      </c>
      <c r="K592" s="32">
        <f t="shared" si="27"/>
        <v>12.238</v>
      </c>
      <c r="L592" s="29" t="s">
        <v>177</v>
      </c>
      <c r="M592" s="27">
        <f>IFERROR(VLOOKUP(C592,Custo_MI_Device!$B$2:$E$102,3,FALSE),0)</f>
        <v>0</v>
      </c>
      <c r="N592" s="27">
        <f t="shared" si="28"/>
        <v>0</v>
      </c>
      <c r="O592" s="178">
        <f t="shared" si="29"/>
        <v>0</v>
      </c>
    </row>
    <row r="593" spans="1:15" ht="12.75" hidden="1">
      <c r="A593" s="25">
        <v>2904</v>
      </c>
      <c r="B593" s="25" t="s">
        <v>40</v>
      </c>
      <c r="C593" s="26" t="s">
        <v>42</v>
      </c>
      <c r="D593" s="27">
        <v>76090000</v>
      </c>
      <c r="E593" s="28" t="s">
        <v>195</v>
      </c>
      <c r="F593" s="29" t="s">
        <v>196</v>
      </c>
      <c r="G593" s="30">
        <v>0.75</v>
      </c>
      <c r="H593" s="27" t="s">
        <v>137</v>
      </c>
      <c r="I593" s="26" t="s">
        <v>138</v>
      </c>
      <c r="J593" s="31">
        <v>6.7</v>
      </c>
      <c r="K593" s="32">
        <f t="shared" si="27"/>
        <v>5.0250000000000004</v>
      </c>
      <c r="L593" s="29" t="s">
        <v>196</v>
      </c>
      <c r="M593" s="27">
        <f>IFERROR(VLOOKUP(C593,Custo_MI_Device!$B$2:$E$102,3,FALSE),0)</f>
        <v>0</v>
      </c>
      <c r="N593" s="27">
        <f t="shared" si="28"/>
        <v>0</v>
      </c>
      <c r="O593" s="178">
        <f t="shared" si="29"/>
        <v>0</v>
      </c>
    </row>
    <row r="594" spans="1:15" ht="12.75" hidden="1">
      <c r="A594" s="25">
        <v>2911</v>
      </c>
      <c r="B594" s="25" t="s">
        <v>40</v>
      </c>
      <c r="C594" s="26" t="s">
        <v>42</v>
      </c>
      <c r="D594" s="27">
        <v>76090000</v>
      </c>
      <c r="E594" s="28" t="s">
        <v>197</v>
      </c>
      <c r="F594" s="29" t="s">
        <v>198</v>
      </c>
      <c r="G594" s="30">
        <v>0.75</v>
      </c>
      <c r="H594" s="27" t="s">
        <v>137</v>
      </c>
      <c r="I594" s="26" t="s">
        <v>138</v>
      </c>
      <c r="J594" s="31">
        <v>6.7</v>
      </c>
      <c r="K594" s="32">
        <f t="shared" si="27"/>
        <v>5.0250000000000004</v>
      </c>
      <c r="L594" s="29" t="s">
        <v>198</v>
      </c>
      <c r="M594" s="27">
        <f>IFERROR(VLOOKUP(C594,Custo_MI_Device!$B$2:$E$102,3,FALSE),0)</f>
        <v>0</v>
      </c>
      <c r="N594" s="27">
        <f t="shared" si="28"/>
        <v>0</v>
      </c>
      <c r="O594" s="178">
        <f t="shared" si="29"/>
        <v>0</v>
      </c>
    </row>
    <row r="595" spans="1:15" ht="12.75" hidden="1">
      <c r="A595" s="25">
        <v>4823</v>
      </c>
      <c r="B595" s="25" t="s">
        <v>40</v>
      </c>
      <c r="C595" s="26" t="s">
        <v>42</v>
      </c>
      <c r="D595" s="27">
        <v>76090000</v>
      </c>
      <c r="E595" s="28" t="s">
        <v>199</v>
      </c>
      <c r="F595" s="29" t="s">
        <v>200</v>
      </c>
      <c r="G595" s="30">
        <v>0.75</v>
      </c>
      <c r="H595" s="27" t="s">
        <v>137</v>
      </c>
      <c r="I595" s="26" t="s">
        <v>138</v>
      </c>
      <c r="J595" s="31">
        <v>6.7</v>
      </c>
      <c r="K595" s="32">
        <f t="shared" si="27"/>
        <v>5.0250000000000004</v>
      </c>
      <c r="L595" s="29" t="s">
        <v>200</v>
      </c>
      <c r="M595" s="27">
        <f>IFERROR(VLOOKUP(C595,Custo_MI_Device!$B$2:$E$102,3,FALSE),0)</f>
        <v>0</v>
      </c>
      <c r="N595" s="27">
        <f t="shared" si="28"/>
        <v>0</v>
      </c>
      <c r="O595" s="178">
        <f t="shared" si="29"/>
        <v>0</v>
      </c>
    </row>
    <row r="596" spans="1:15" ht="25.5" hidden="1">
      <c r="A596" s="25">
        <v>2909</v>
      </c>
      <c r="B596" s="25" t="s">
        <v>40</v>
      </c>
      <c r="C596" s="26" t="s">
        <v>42</v>
      </c>
      <c r="D596" s="27">
        <v>73072200</v>
      </c>
      <c r="E596" s="28" t="s">
        <v>216</v>
      </c>
      <c r="F596" s="29" t="s">
        <v>217</v>
      </c>
      <c r="G596" s="30">
        <v>3</v>
      </c>
      <c r="H596" s="27" t="s">
        <v>137</v>
      </c>
      <c r="I596" s="26" t="s">
        <v>218</v>
      </c>
      <c r="J596" s="31">
        <v>27.7</v>
      </c>
      <c r="K596" s="32">
        <f t="shared" si="27"/>
        <v>83.1</v>
      </c>
      <c r="L596" s="29" t="s">
        <v>217</v>
      </c>
      <c r="M596" s="27">
        <f>IFERROR(VLOOKUP(C596,Custo_MI_Device!$B$2:$E$102,3,FALSE),0)</f>
        <v>0</v>
      </c>
      <c r="N596" s="27">
        <f t="shared" si="28"/>
        <v>0</v>
      </c>
      <c r="O596" s="178">
        <f t="shared" si="29"/>
        <v>0</v>
      </c>
    </row>
    <row r="597" spans="1:15" ht="25.5" hidden="1">
      <c r="A597" s="25">
        <v>1535</v>
      </c>
      <c r="B597" s="25" t="s">
        <v>40</v>
      </c>
      <c r="C597" s="26" t="s">
        <v>42</v>
      </c>
      <c r="D597" s="27">
        <v>73072200</v>
      </c>
      <c r="E597" s="28" t="s">
        <v>219</v>
      </c>
      <c r="F597" s="29">
        <v>0</v>
      </c>
      <c r="G597" s="30">
        <v>2</v>
      </c>
      <c r="H597" s="27" t="s">
        <v>137</v>
      </c>
      <c r="I597" s="26" t="s">
        <v>220</v>
      </c>
      <c r="J597" s="31">
        <v>35</v>
      </c>
      <c r="K597" s="32">
        <f t="shared" si="27"/>
        <v>70</v>
      </c>
      <c r="L597" s="29" t="s">
        <v>221</v>
      </c>
      <c r="M597" s="27">
        <f>IFERROR(VLOOKUP(C597,Custo_MI_Device!$B$2:$E$102,3,FALSE),0)</f>
        <v>0</v>
      </c>
      <c r="N597" s="27">
        <f t="shared" si="28"/>
        <v>0</v>
      </c>
      <c r="O597" s="178">
        <f t="shared" si="29"/>
        <v>0</v>
      </c>
    </row>
    <row r="598" spans="1:15" ht="25.5" hidden="1">
      <c r="A598" s="25">
        <v>1535</v>
      </c>
      <c r="B598" s="25" t="s">
        <v>40</v>
      </c>
      <c r="C598" s="26" t="s">
        <v>42</v>
      </c>
      <c r="D598" s="27">
        <v>73072200</v>
      </c>
      <c r="E598" s="28" t="s">
        <v>219</v>
      </c>
      <c r="F598" s="29">
        <v>0</v>
      </c>
      <c r="G598" s="30">
        <v>1</v>
      </c>
      <c r="H598" s="27" t="s">
        <v>137</v>
      </c>
      <c r="I598" s="26" t="s">
        <v>220</v>
      </c>
      <c r="J598" s="31">
        <v>35</v>
      </c>
      <c r="K598" s="32">
        <f t="shared" si="27"/>
        <v>35</v>
      </c>
      <c r="L598" s="29" t="s">
        <v>221</v>
      </c>
      <c r="M598" s="27">
        <f>IFERROR(VLOOKUP(C598,Custo_MI_Device!$B$2:$E$102,3,FALSE),0)</f>
        <v>0</v>
      </c>
      <c r="N598" s="27">
        <f t="shared" si="28"/>
        <v>0</v>
      </c>
      <c r="O598" s="178">
        <f t="shared" si="29"/>
        <v>0</v>
      </c>
    </row>
    <row r="599" spans="1:15" ht="25.5" hidden="1">
      <c r="A599" s="25">
        <v>2300</v>
      </c>
      <c r="B599" s="25" t="s">
        <v>40</v>
      </c>
      <c r="C599" s="26" t="s">
        <v>42</v>
      </c>
      <c r="D599" s="27">
        <v>73072200</v>
      </c>
      <c r="E599" s="28" t="s">
        <v>222</v>
      </c>
      <c r="F599" s="29" t="s">
        <v>223</v>
      </c>
      <c r="G599" s="30">
        <v>1</v>
      </c>
      <c r="H599" s="27" t="s">
        <v>137</v>
      </c>
      <c r="I599" s="26" t="s">
        <v>218</v>
      </c>
      <c r="J599" s="31">
        <v>41</v>
      </c>
      <c r="K599" s="32">
        <f t="shared" si="27"/>
        <v>41</v>
      </c>
      <c r="L599" s="29" t="s">
        <v>223</v>
      </c>
      <c r="M599" s="27">
        <f>IFERROR(VLOOKUP(C599,Custo_MI_Device!$B$2:$E$102,3,FALSE),0)</f>
        <v>0</v>
      </c>
      <c r="N599" s="27">
        <f t="shared" si="28"/>
        <v>0</v>
      </c>
      <c r="O599" s="178">
        <f t="shared" si="29"/>
        <v>0</v>
      </c>
    </row>
    <row r="600" spans="1:15" ht="25.5" hidden="1">
      <c r="A600" s="25">
        <v>7163</v>
      </c>
      <c r="B600" s="25" t="s">
        <v>40</v>
      </c>
      <c r="C600" s="26" t="s">
        <v>42</v>
      </c>
      <c r="D600" s="27">
        <v>73072200</v>
      </c>
      <c r="E600" s="28" t="s">
        <v>224</v>
      </c>
      <c r="F600" s="29">
        <v>0</v>
      </c>
      <c r="G600" s="30">
        <v>2</v>
      </c>
      <c r="H600" s="27" t="s">
        <v>137</v>
      </c>
      <c r="I600" s="26" t="s">
        <v>220</v>
      </c>
      <c r="J600" s="31">
        <v>58</v>
      </c>
      <c r="K600" s="32">
        <f t="shared" si="27"/>
        <v>116</v>
      </c>
      <c r="L600" s="29" t="s">
        <v>225</v>
      </c>
      <c r="M600" s="27">
        <f>IFERROR(VLOOKUP(C600,Custo_MI_Device!$B$2:$E$102,3,FALSE),0)</f>
        <v>0</v>
      </c>
      <c r="N600" s="27">
        <f t="shared" si="28"/>
        <v>0</v>
      </c>
      <c r="O600" s="178">
        <f t="shared" si="29"/>
        <v>0</v>
      </c>
    </row>
    <row r="601" spans="1:15" ht="25.5" hidden="1">
      <c r="A601" s="25">
        <v>4306</v>
      </c>
      <c r="B601" s="25" t="s">
        <v>40</v>
      </c>
      <c r="C601" s="26" t="s">
        <v>42</v>
      </c>
      <c r="D601" s="27">
        <v>73063000</v>
      </c>
      <c r="E601" s="28" t="s">
        <v>239</v>
      </c>
      <c r="F601" s="29">
        <v>0</v>
      </c>
      <c r="G601" s="30">
        <v>2</v>
      </c>
      <c r="H601" s="27" t="s">
        <v>232</v>
      </c>
      <c r="I601" s="26" t="s">
        <v>233</v>
      </c>
      <c r="J601" s="31">
        <v>32</v>
      </c>
      <c r="K601" s="32">
        <f t="shared" si="27"/>
        <v>64</v>
      </c>
      <c r="L601" s="29" t="s">
        <v>240</v>
      </c>
      <c r="M601" s="27">
        <f>IFERROR(VLOOKUP(C601,Custo_MI_Device!$B$2:$E$102,3,FALSE),0)</f>
        <v>0</v>
      </c>
      <c r="N601" s="27">
        <f t="shared" si="28"/>
        <v>0</v>
      </c>
      <c r="O601" s="178">
        <f t="shared" si="29"/>
        <v>0</v>
      </c>
    </row>
    <row r="602" spans="1:15" ht="12.75" hidden="1">
      <c r="A602" s="25">
        <v>3274</v>
      </c>
      <c r="B602" s="25" t="s">
        <v>40</v>
      </c>
      <c r="C602" s="26" t="s">
        <v>42</v>
      </c>
      <c r="D602" s="27">
        <v>73181500</v>
      </c>
      <c r="E602" s="28" t="s">
        <v>265</v>
      </c>
      <c r="F602" s="29" t="s">
        <v>266</v>
      </c>
      <c r="G602" s="30">
        <v>24</v>
      </c>
      <c r="H602" s="27" t="s">
        <v>137</v>
      </c>
      <c r="I602" s="26" t="s">
        <v>256</v>
      </c>
      <c r="J602" s="31">
        <v>0.06</v>
      </c>
      <c r="K602" s="32">
        <f t="shared" si="27"/>
        <v>1.44</v>
      </c>
      <c r="L602" s="29" t="s">
        <v>266</v>
      </c>
      <c r="M602" s="27">
        <f>IFERROR(VLOOKUP(C602,Custo_MI_Device!$B$2:$E$102,3,FALSE),0)</f>
        <v>0</v>
      </c>
      <c r="N602" s="27">
        <f t="shared" si="28"/>
        <v>0</v>
      </c>
      <c r="O602" s="178">
        <f t="shared" si="29"/>
        <v>0</v>
      </c>
    </row>
    <row r="603" spans="1:15" ht="12.75" hidden="1">
      <c r="A603" s="25">
        <v>3274</v>
      </c>
      <c r="B603" s="25" t="s">
        <v>40</v>
      </c>
      <c r="C603" s="26" t="s">
        <v>42</v>
      </c>
      <c r="D603" s="27">
        <v>73181500</v>
      </c>
      <c r="E603" s="28" t="s">
        <v>265</v>
      </c>
      <c r="F603" s="29" t="s">
        <v>266</v>
      </c>
      <c r="G603" s="30">
        <v>48</v>
      </c>
      <c r="H603" s="27" t="s">
        <v>137</v>
      </c>
      <c r="I603" s="26" t="s">
        <v>256</v>
      </c>
      <c r="J603" s="31">
        <v>0.06</v>
      </c>
      <c r="K603" s="32">
        <f t="shared" si="27"/>
        <v>2.88</v>
      </c>
      <c r="L603" s="29" t="s">
        <v>266</v>
      </c>
      <c r="M603" s="27">
        <f>IFERROR(VLOOKUP(C603,Custo_MI_Device!$B$2:$E$102,3,FALSE),0)</f>
        <v>0</v>
      </c>
      <c r="N603" s="27">
        <f t="shared" si="28"/>
        <v>0</v>
      </c>
      <c r="O603" s="178">
        <f t="shared" si="29"/>
        <v>0</v>
      </c>
    </row>
    <row r="604" spans="1:15" ht="25.5" hidden="1">
      <c r="A604" s="25">
        <v>3199</v>
      </c>
      <c r="B604" s="25" t="s">
        <v>40</v>
      </c>
      <c r="C604" s="26" t="s">
        <v>42</v>
      </c>
      <c r="D604" s="27">
        <v>90262090</v>
      </c>
      <c r="E604" s="28" t="s">
        <v>268</v>
      </c>
      <c r="F604" s="29">
        <v>0</v>
      </c>
      <c r="G604" s="33">
        <v>0</v>
      </c>
      <c r="H604" s="27" t="s">
        <v>137</v>
      </c>
      <c r="I604" s="26" t="s">
        <v>220</v>
      </c>
      <c r="J604" s="31">
        <v>650</v>
      </c>
      <c r="K604" s="32">
        <f t="shared" si="27"/>
        <v>0</v>
      </c>
      <c r="L604" s="29" t="s">
        <v>269</v>
      </c>
      <c r="M604" s="27">
        <f>IFERROR(VLOOKUP(C604,Custo_MI_Device!$B$2:$E$102,3,FALSE),0)</f>
        <v>0</v>
      </c>
      <c r="N604" s="27">
        <f t="shared" si="28"/>
        <v>0</v>
      </c>
      <c r="O604" s="178">
        <f t="shared" si="29"/>
        <v>0</v>
      </c>
    </row>
    <row r="605" spans="1:15" ht="25.5" hidden="1">
      <c r="A605" s="25">
        <v>1611</v>
      </c>
      <c r="B605" s="25" t="s">
        <v>40</v>
      </c>
      <c r="C605" s="26" t="s">
        <v>42</v>
      </c>
      <c r="D605" s="27">
        <v>39174090</v>
      </c>
      <c r="E605" s="28" t="s">
        <v>275</v>
      </c>
      <c r="F605" s="29" t="s">
        <v>276</v>
      </c>
      <c r="G605" s="30">
        <v>2</v>
      </c>
      <c r="H605" s="27" t="s">
        <v>137</v>
      </c>
      <c r="I605" s="26" t="s">
        <v>277</v>
      </c>
      <c r="J605" s="31">
        <v>7.8</v>
      </c>
      <c r="K605" s="32">
        <f t="shared" si="27"/>
        <v>15.6</v>
      </c>
      <c r="L605" s="29" t="s">
        <v>276</v>
      </c>
      <c r="M605" s="27">
        <f>IFERROR(VLOOKUP(C605,Custo_MI_Device!$B$2:$E$102,3,FALSE),0)</f>
        <v>0</v>
      </c>
      <c r="N605" s="27">
        <f t="shared" si="28"/>
        <v>0</v>
      </c>
      <c r="O605" s="178">
        <f t="shared" si="29"/>
        <v>0</v>
      </c>
    </row>
    <row r="606" spans="1:15" ht="12.75" hidden="1">
      <c r="A606" s="25">
        <v>5081</v>
      </c>
      <c r="B606" s="25" t="s">
        <v>40</v>
      </c>
      <c r="C606" s="26" t="s">
        <v>42</v>
      </c>
      <c r="D606" s="27">
        <v>73145000</v>
      </c>
      <c r="E606" s="28" t="s">
        <v>278</v>
      </c>
      <c r="F606" s="29">
        <v>0</v>
      </c>
      <c r="G606" s="30">
        <v>1</v>
      </c>
      <c r="H606" s="27" t="s">
        <v>137</v>
      </c>
      <c r="I606" s="26" t="s">
        <v>279</v>
      </c>
      <c r="J606" s="31">
        <v>23</v>
      </c>
      <c r="K606" s="32">
        <f t="shared" si="27"/>
        <v>23</v>
      </c>
      <c r="L606" s="29" t="s">
        <v>280</v>
      </c>
      <c r="M606" s="27">
        <f>IFERROR(VLOOKUP(C606,Custo_MI_Device!$B$2:$E$102,3,FALSE),0)</f>
        <v>0</v>
      </c>
      <c r="N606" s="27">
        <f t="shared" si="28"/>
        <v>0</v>
      </c>
      <c r="O606" s="178">
        <f t="shared" si="29"/>
        <v>0</v>
      </c>
    </row>
    <row r="607" spans="1:15" ht="25.5" hidden="1">
      <c r="A607" s="25">
        <v>2973</v>
      </c>
      <c r="B607" s="25" t="s">
        <v>40</v>
      </c>
      <c r="C607" s="26" t="s">
        <v>42</v>
      </c>
      <c r="D607" s="27">
        <v>73072200</v>
      </c>
      <c r="E607" s="28" t="s">
        <v>281</v>
      </c>
      <c r="F607" s="29" t="s">
        <v>282</v>
      </c>
      <c r="G607" s="30">
        <v>2</v>
      </c>
      <c r="H607" s="27" t="s">
        <v>137</v>
      </c>
      <c r="I607" s="26" t="s">
        <v>218</v>
      </c>
      <c r="J607" s="31">
        <v>29</v>
      </c>
      <c r="K607" s="32">
        <f t="shared" si="27"/>
        <v>58</v>
      </c>
      <c r="L607" s="29" t="s">
        <v>282</v>
      </c>
      <c r="M607" s="27">
        <f>IFERROR(VLOOKUP(C607,Custo_MI_Device!$B$2:$E$102,3,FALSE),0)</f>
        <v>0</v>
      </c>
      <c r="N607" s="27">
        <f t="shared" si="28"/>
        <v>0</v>
      </c>
      <c r="O607" s="178">
        <f t="shared" si="29"/>
        <v>0</v>
      </c>
    </row>
    <row r="608" spans="1:15" ht="25.5" hidden="1">
      <c r="A608" s="25">
        <v>5194</v>
      </c>
      <c r="B608" s="25" t="s">
        <v>40</v>
      </c>
      <c r="C608" s="26" t="s">
        <v>42</v>
      </c>
      <c r="D608" s="27">
        <v>73041010</v>
      </c>
      <c r="E608" s="28" t="s">
        <v>289</v>
      </c>
      <c r="F608" s="29" t="s">
        <v>290</v>
      </c>
      <c r="G608" s="30">
        <v>2</v>
      </c>
      <c r="H608" s="27" t="s">
        <v>232</v>
      </c>
      <c r="I608" s="26" t="s">
        <v>218</v>
      </c>
      <c r="J608" s="31">
        <f>21.5*6</f>
        <v>129</v>
      </c>
      <c r="K608" s="32">
        <f t="shared" si="27"/>
        <v>258</v>
      </c>
      <c r="L608" s="29" t="s">
        <v>290</v>
      </c>
      <c r="M608" s="27">
        <f>IFERROR(VLOOKUP(C608,Custo_MI_Device!$B$2:$E$102,3,FALSE),0)</f>
        <v>0</v>
      </c>
      <c r="N608" s="27">
        <f t="shared" si="28"/>
        <v>0</v>
      </c>
      <c r="O608" s="178">
        <f t="shared" si="29"/>
        <v>0</v>
      </c>
    </row>
    <row r="609" spans="1:15" ht="25.5" hidden="1">
      <c r="A609" s="25">
        <v>2125</v>
      </c>
      <c r="B609" s="25" t="s">
        <v>40</v>
      </c>
      <c r="C609" s="26" t="s">
        <v>42</v>
      </c>
      <c r="D609" s="27">
        <v>84818039</v>
      </c>
      <c r="E609" s="28" t="s">
        <v>301</v>
      </c>
      <c r="F609" s="29">
        <v>0</v>
      </c>
      <c r="G609" s="30">
        <v>2</v>
      </c>
      <c r="H609" s="27" t="s">
        <v>137</v>
      </c>
      <c r="I609" s="26" t="s">
        <v>220</v>
      </c>
      <c r="J609" s="31">
        <v>175</v>
      </c>
      <c r="K609" s="32">
        <f t="shared" si="27"/>
        <v>350</v>
      </c>
      <c r="L609" s="29" t="s">
        <v>302</v>
      </c>
      <c r="M609" s="27">
        <f>IFERROR(VLOOKUP(C609,Custo_MI_Device!$B$2:$E$102,3,FALSE),0)</f>
        <v>0</v>
      </c>
      <c r="N609" s="27">
        <f t="shared" si="28"/>
        <v>0</v>
      </c>
      <c r="O609" s="178">
        <f t="shared" si="29"/>
        <v>0</v>
      </c>
    </row>
    <row r="610" spans="1:15" ht="12.75" hidden="1">
      <c r="A610" s="25">
        <v>3778</v>
      </c>
      <c r="B610" s="25" t="s">
        <v>40</v>
      </c>
      <c r="C610" s="26" t="s">
        <v>43</v>
      </c>
      <c r="D610" s="27">
        <v>73072900</v>
      </c>
      <c r="E610" s="28" t="s">
        <v>310</v>
      </c>
      <c r="F610" s="29" t="s">
        <v>311</v>
      </c>
      <c r="G610" s="30">
        <v>24</v>
      </c>
      <c r="H610" s="27" t="s">
        <v>137</v>
      </c>
      <c r="I610" s="26" t="s">
        <v>256</v>
      </c>
      <c r="J610" s="31">
        <v>0.65</v>
      </c>
      <c r="K610" s="32">
        <f t="shared" si="27"/>
        <v>15.600000000000001</v>
      </c>
      <c r="L610" s="29" t="s">
        <v>311</v>
      </c>
      <c r="M610" s="27">
        <f>IFERROR(VLOOKUP(C610,Custo_MI_Device!$B$2:$E$102,3,FALSE),0)</f>
        <v>0</v>
      </c>
      <c r="N610" s="27">
        <f t="shared" si="28"/>
        <v>0</v>
      </c>
      <c r="O610" s="178">
        <f t="shared" si="29"/>
        <v>0</v>
      </c>
    </row>
    <row r="611" spans="1:15" ht="12.75" hidden="1">
      <c r="A611" s="25">
        <v>2534</v>
      </c>
      <c r="B611" s="25" t="s">
        <v>40</v>
      </c>
      <c r="C611" s="26" t="s">
        <v>43</v>
      </c>
      <c r="D611" s="27">
        <v>73072900</v>
      </c>
      <c r="E611" s="28" t="s">
        <v>314</v>
      </c>
      <c r="F611" s="29" t="s">
        <v>315</v>
      </c>
      <c r="G611" s="30">
        <v>12</v>
      </c>
      <c r="H611" s="27" t="s">
        <v>137</v>
      </c>
      <c r="I611" s="26" t="s">
        <v>256</v>
      </c>
      <c r="J611" s="31">
        <v>1.2</v>
      </c>
      <c r="K611" s="32">
        <f t="shared" si="27"/>
        <v>14.399999999999999</v>
      </c>
      <c r="L611" s="29" t="s">
        <v>315</v>
      </c>
      <c r="M611" s="27">
        <f>IFERROR(VLOOKUP(C611,Custo_MI_Device!$B$2:$E$102,3,FALSE),0)</f>
        <v>0</v>
      </c>
      <c r="N611" s="27">
        <f t="shared" si="28"/>
        <v>0</v>
      </c>
      <c r="O611" s="178">
        <f t="shared" si="29"/>
        <v>0</v>
      </c>
    </row>
    <row r="612" spans="1:15" ht="12.75" hidden="1">
      <c r="A612" s="25">
        <v>1669</v>
      </c>
      <c r="B612" s="25" t="s">
        <v>40</v>
      </c>
      <c r="C612" s="26" t="s">
        <v>43</v>
      </c>
      <c r="D612" s="27">
        <v>39269090</v>
      </c>
      <c r="E612" s="28" t="s">
        <v>316</v>
      </c>
      <c r="F612" s="29" t="s">
        <v>317</v>
      </c>
      <c r="G612" s="30">
        <v>3</v>
      </c>
      <c r="H612" s="27" t="s">
        <v>137</v>
      </c>
      <c r="I612" s="26" t="s">
        <v>318</v>
      </c>
      <c r="J612" s="31">
        <v>0.04</v>
      </c>
      <c r="K612" s="32">
        <f t="shared" si="27"/>
        <v>0.12</v>
      </c>
      <c r="L612" s="29" t="s">
        <v>317</v>
      </c>
      <c r="M612" s="27">
        <f>IFERROR(VLOOKUP(C612,Custo_MI_Device!$B$2:$E$102,3,FALSE),0)</f>
        <v>0</v>
      </c>
      <c r="N612" s="27">
        <f t="shared" si="28"/>
        <v>0</v>
      </c>
      <c r="O612" s="178">
        <f t="shared" si="29"/>
        <v>0</v>
      </c>
    </row>
    <row r="613" spans="1:15" ht="12.75" hidden="1">
      <c r="A613" s="25">
        <v>5091</v>
      </c>
      <c r="B613" s="25" t="s">
        <v>40</v>
      </c>
      <c r="C613" s="26" t="s">
        <v>43</v>
      </c>
      <c r="D613" s="27">
        <v>73181500</v>
      </c>
      <c r="E613" s="28" t="s">
        <v>323</v>
      </c>
      <c r="F613" s="29" t="s">
        <v>324</v>
      </c>
      <c r="G613" s="30">
        <v>24</v>
      </c>
      <c r="H613" s="27" t="s">
        <v>137</v>
      </c>
      <c r="I613" s="26" t="s">
        <v>256</v>
      </c>
      <c r="J613" s="31">
        <v>0.04</v>
      </c>
      <c r="K613" s="32">
        <f t="shared" si="27"/>
        <v>0.96</v>
      </c>
      <c r="L613" s="29" t="s">
        <v>324</v>
      </c>
      <c r="M613" s="27">
        <f>IFERROR(VLOOKUP(C613,Custo_MI_Device!$B$2:$E$102,3,FALSE),0)</f>
        <v>0</v>
      </c>
      <c r="N613" s="27">
        <f t="shared" si="28"/>
        <v>0</v>
      </c>
      <c r="O613" s="178">
        <f t="shared" si="29"/>
        <v>0</v>
      </c>
    </row>
    <row r="614" spans="1:15" ht="12.75" hidden="1">
      <c r="A614" s="25">
        <v>5091</v>
      </c>
      <c r="B614" s="25" t="s">
        <v>40</v>
      </c>
      <c r="C614" s="26" t="s">
        <v>43</v>
      </c>
      <c r="D614" s="27">
        <v>73181500</v>
      </c>
      <c r="E614" s="28" t="s">
        <v>323</v>
      </c>
      <c r="F614" s="29" t="s">
        <v>324</v>
      </c>
      <c r="G614" s="30">
        <v>48</v>
      </c>
      <c r="H614" s="27" t="s">
        <v>137</v>
      </c>
      <c r="I614" s="26" t="s">
        <v>256</v>
      </c>
      <c r="J614" s="31">
        <v>0.04</v>
      </c>
      <c r="K614" s="32">
        <f t="shared" si="27"/>
        <v>1.92</v>
      </c>
      <c r="L614" s="29" t="s">
        <v>324</v>
      </c>
      <c r="M614" s="27">
        <f>IFERROR(VLOOKUP(C614,Custo_MI_Device!$B$2:$E$102,3,FALSE),0)</f>
        <v>0</v>
      </c>
      <c r="N614" s="27">
        <f t="shared" si="28"/>
        <v>0</v>
      </c>
      <c r="O614" s="178">
        <f t="shared" si="29"/>
        <v>0</v>
      </c>
    </row>
    <row r="615" spans="1:15" ht="12.75" hidden="1">
      <c r="A615" s="25">
        <v>1117</v>
      </c>
      <c r="B615" s="25" t="s">
        <v>40</v>
      </c>
      <c r="C615" s="26" t="s">
        <v>43</v>
      </c>
      <c r="D615" s="27"/>
      <c r="E615" s="28" t="s">
        <v>145</v>
      </c>
      <c r="F615" s="29" t="s">
        <v>146</v>
      </c>
      <c r="G615" s="30">
        <v>1</v>
      </c>
      <c r="H615" s="27" t="s">
        <v>137</v>
      </c>
      <c r="I615" s="26" t="s">
        <v>138</v>
      </c>
      <c r="J615" s="31">
        <v>1.95</v>
      </c>
      <c r="K615" s="32">
        <f t="shared" si="27"/>
        <v>1.95</v>
      </c>
      <c r="L615" s="29" t="s">
        <v>146</v>
      </c>
      <c r="M615" s="27">
        <f>IFERROR(VLOOKUP(C615,Custo_MI_Device!$B$2:$E$102,3,FALSE),0)</f>
        <v>0</v>
      </c>
      <c r="N615" s="27">
        <f t="shared" si="28"/>
        <v>0</v>
      </c>
      <c r="O615" s="178">
        <f t="shared" si="29"/>
        <v>0</v>
      </c>
    </row>
    <row r="616" spans="1:15" ht="12.75" hidden="1">
      <c r="A616" s="25">
        <v>3080</v>
      </c>
      <c r="B616" s="25" t="s">
        <v>40</v>
      </c>
      <c r="C616" s="26" t="s">
        <v>43</v>
      </c>
      <c r="D616" s="27">
        <v>74122000</v>
      </c>
      <c r="E616" s="28" t="s">
        <v>153</v>
      </c>
      <c r="F616" s="29" t="s">
        <v>154</v>
      </c>
      <c r="G616" s="30">
        <v>1</v>
      </c>
      <c r="H616" s="27" t="s">
        <v>137</v>
      </c>
      <c r="I616" s="26" t="s">
        <v>155</v>
      </c>
      <c r="J616" s="31">
        <v>3.3</v>
      </c>
      <c r="K616" s="32">
        <f t="shared" si="27"/>
        <v>3.3</v>
      </c>
      <c r="L616" s="29" t="s">
        <v>154</v>
      </c>
      <c r="M616" s="27">
        <f>IFERROR(VLOOKUP(C616,Custo_MI_Device!$B$2:$E$102,3,FALSE),0)</f>
        <v>0</v>
      </c>
      <c r="N616" s="27">
        <f t="shared" si="28"/>
        <v>0</v>
      </c>
      <c r="O616" s="178">
        <f t="shared" si="29"/>
        <v>0</v>
      </c>
    </row>
    <row r="617" spans="1:15" ht="38.25" hidden="1">
      <c r="A617" s="25">
        <v>3585</v>
      </c>
      <c r="B617" s="25" t="s">
        <v>40</v>
      </c>
      <c r="C617" s="26" t="s">
        <v>43</v>
      </c>
      <c r="D617" s="27">
        <v>85444900</v>
      </c>
      <c r="E617" s="28" t="s">
        <v>328</v>
      </c>
      <c r="F617" s="29">
        <v>900400</v>
      </c>
      <c r="G617" s="30">
        <v>50</v>
      </c>
      <c r="H617" s="27" t="s">
        <v>158</v>
      </c>
      <c r="I617" s="26" t="s">
        <v>164</v>
      </c>
      <c r="J617" s="31">
        <v>1.7</v>
      </c>
      <c r="K617" s="32">
        <f t="shared" si="27"/>
        <v>85</v>
      </c>
      <c r="L617" s="29">
        <v>900400</v>
      </c>
      <c r="M617" s="27">
        <f>IFERROR(VLOOKUP(C617,Custo_MI_Device!$B$2:$E$102,3,FALSE),0)</f>
        <v>0</v>
      </c>
      <c r="N617" s="27">
        <f t="shared" si="28"/>
        <v>0</v>
      </c>
      <c r="O617" s="178">
        <f t="shared" si="29"/>
        <v>0</v>
      </c>
    </row>
    <row r="618" spans="1:15" ht="12.75" hidden="1">
      <c r="A618" s="25">
        <v>2805</v>
      </c>
      <c r="B618" s="25" t="s">
        <v>40</v>
      </c>
      <c r="C618" s="26" t="s">
        <v>43</v>
      </c>
      <c r="D618" s="27">
        <v>72162100</v>
      </c>
      <c r="E618" s="28" t="s">
        <v>174</v>
      </c>
      <c r="F618" s="29">
        <v>0</v>
      </c>
      <c r="G618" s="30">
        <v>2.9</v>
      </c>
      <c r="H618" s="27" t="s">
        <v>175</v>
      </c>
      <c r="I618" s="26" t="s">
        <v>176</v>
      </c>
      <c r="J618" s="31">
        <v>4.22</v>
      </c>
      <c r="K618" s="32">
        <f t="shared" si="27"/>
        <v>12.238</v>
      </c>
      <c r="L618" s="29" t="s">
        <v>177</v>
      </c>
      <c r="M618" s="27">
        <f>IFERROR(VLOOKUP(C618,Custo_MI_Device!$B$2:$E$102,3,FALSE),0)</f>
        <v>0</v>
      </c>
      <c r="N618" s="27">
        <f t="shared" si="28"/>
        <v>0</v>
      </c>
      <c r="O618" s="178">
        <f t="shared" si="29"/>
        <v>0</v>
      </c>
    </row>
    <row r="619" spans="1:15" ht="12.75" hidden="1">
      <c r="A619" s="25">
        <v>2904</v>
      </c>
      <c r="B619" s="25" t="s">
        <v>40</v>
      </c>
      <c r="C619" s="26" t="s">
        <v>43</v>
      </c>
      <c r="D619" s="27">
        <v>76090000</v>
      </c>
      <c r="E619" s="28" t="s">
        <v>195</v>
      </c>
      <c r="F619" s="29" t="s">
        <v>196</v>
      </c>
      <c r="G619" s="30">
        <v>0.75</v>
      </c>
      <c r="H619" s="27" t="s">
        <v>137</v>
      </c>
      <c r="I619" s="26" t="s">
        <v>138</v>
      </c>
      <c r="J619" s="31">
        <v>6.7</v>
      </c>
      <c r="K619" s="32">
        <f t="shared" si="27"/>
        <v>5.0250000000000004</v>
      </c>
      <c r="L619" s="29" t="s">
        <v>196</v>
      </c>
      <c r="M619" s="27">
        <f>IFERROR(VLOOKUP(C619,Custo_MI_Device!$B$2:$E$102,3,FALSE),0)</f>
        <v>0</v>
      </c>
      <c r="N619" s="27">
        <f t="shared" si="28"/>
        <v>0</v>
      </c>
      <c r="O619" s="178">
        <f t="shared" si="29"/>
        <v>0</v>
      </c>
    </row>
    <row r="620" spans="1:15" ht="12.75" hidden="1">
      <c r="A620" s="25">
        <v>2911</v>
      </c>
      <c r="B620" s="25" t="s">
        <v>40</v>
      </c>
      <c r="C620" s="26" t="s">
        <v>43</v>
      </c>
      <c r="D620" s="27">
        <v>76090000</v>
      </c>
      <c r="E620" s="28" t="s">
        <v>197</v>
      </c>
      <c r="F620" s="29" t="s">
        <v>198</v>
      </c>
      <c r="G620" s="30">
        <v>0.75</v>
      </c>
      <c r="H620" s="27" t="s">
        <v>137</v>
      </c>
      <c r="I620" s="26" t="s">
        <v>138</v>
      </c>
      <c r="J620" s="31">
        <v>6.7</v>
      </c>
      <c r="K620" s="32">
        <f t="shared" si="27"/>
        <v>5.0250000000000004</v>
      </c>
      <c r="L620" s="29" t="s">
        <v>198</v>
      </c>
      <c r="M620" s="27">
        <f>IFERROR(VLOOKUP(C620,Custo_MI_Device!$B$2:$E$102,3,FALSE),0)</f>
        <v>0</v>
      </c>
      <c r="N620" s="27">
        <f t="shared" si="28"/>
        <v>0</v>
      </c>
      <c r="O620" s="178">
        <f t="shared" si="29"/>
        <v>0</v>
      </c>
    </row>
    <row r="621" spans="1:15" ht="12.75" hidden="1">
      <c r="A621" s="25">
        <v>4823</v>
      </c>
      <c r="B621" s="25" t="s">
        <v>40</v>
      </c>
      <c r="C621" s="26" t="s">
        <v>43</v>
      </c>
      <c r="D621" s="27">
        <v>76090000</v>
      </c>
      <c r="E621" s="28" t="s">
        <v>199</v>
      </c>
      <c r="F621" s="29" t="s">
        <v>200</v>
      </c>
      <c r="G621" s="30">
        <v>0.75</v>
      </c>
      <c r="H621" s="27" t="s">
        <v>137</v>
      </c>
      <c r="I621" s="26" t="s">
        <v>138</v>
      </c>
      <c r="J621" s="31">
        <v>6.7</v>
      </c>
      <c r="K621" s="32">
        <f t="shared" si="27"/>
        <v>5.0250000000000004</v>
      </c>
      <c r="L621" s="29" t="s">
        <v>200</v>
      </c>
      <c r="M621" s="27">
        <f>IFERROR(VLOOKUP(C621,Custo_MI_Device!$B$2:$E$102,3,FALSE),0)</f>
        <v>0</v>
      </c>
      <c r="N621" s="27">
        <f t="shared" si="28"/>
        <v>0</v>
      </c>
      <c r="O621" s="178">
        <f t="shared" si="29"/>
        <v>0</v>
      </c>
    </row>
    <row r="622" spans="1:15" ht="25.5" hidden="1">
      <c r="A622" s="25">
        <v>2909</v>
      </c>
      <c r="B622" s="25" t="s">
        <v>40</v>
      </c>
      <c r="C622" s="26" t="s">
        <v>43</v>
      </c>
      <c r="D622" s="27">
        <v>73072200</v>
      </c>
      <c r="E622" s="28" t="s">
        <v>216</v>
      </c>
      <c r="F622" s="29" t="s">
        <v>217</v>
      </c>
      <c r="G622" s="30">
        <v>4</v>
      </c>
      <c r="H622" s="27" t="s">
        <v>137</v>
      </c>
      <c r="I622" s="26" t="s">
        <v>218</v>
      </c>
      <c r="J622" s="31">
        <v>27.7</v>
      </c>
      <c r="K622" s="32">
        <f t="shared" si="27"/>
        <v>110.8</v>
      </c>
      <c r="L622" s="29" t="s">
        <v>217</v>
      </c>
      <c r="M622" s="27">
        <f>IFERROR(VLOOKUP(C622,Custo_MI_Device!$B$2:$E$102,3,FALSE),0)</f>
        <v>0</v>
      </c>
      <c r="N622" s="27">
        <f t="shared" si="28"/>
        <v>0</v>
      </c>
      <c r="O622" s="178">
        <f t="shared" si="29"/>
        <v>0</v>
      </c>
    </row>
    <row r="623" spans="1:15" ht="25.5" hidden="1">
      <c r="A623" s="25">
        <v>2300</v>
      </c>
      <c r="B623" s="25" t="s">
        <v>40</v>
      </c>
      <c r="C623" s="26" t="s">
        <v>43</v>
      </c>
      <c r="D623" s="27">
        <v>73072200</v>
      </c>
      <c r="E623" s="28" t="s">
        <v>222</v>
      </c>
      <c r="F623" s="29" t="s">
        <v>223</v>
      </c>
      <c r="G623" s="30">
        <v>1</v>
      </c>
      <c r="H623" s="27" t="s">
        <v>137</v>
      </c>
      <c r="I623" s="26" t="s">
        <v>218</v>
      </c>
      <c r="J623" s="31">
        <v>41</v>
      </c>
      <c r="K623" s="32">
        <f t="shared" si="27"/>
        <v>41</v>
      </c>
      <c r="L623" s="29" t="s">
        <v>223</v>
      </c>
      <c r="M623" s="27">
        <f>IFERROR(VLOOKUP(C623,Custo_MI_Device!$B$2:$E$102,3,FALSE),0)</f>
        <v>0</v>
      </c>
      <c r="N623" s="27">
        <f t="shared" si="28"/>
        <v>0</v>
      </c>
      <c r="O623" s="178">
        <f t="shared" si="29"/>
        <v>0</v>
      </c>
    </row>
    <row r="624" spans="1:15" ht="25.5" hidden="1">
      <c r="A624" s="25">
        <v>2864</v>
      </c>
      <c r="B624" s="25" t="s">
        <v>40</v>
      </c>
      <c r="C624" s="26" t="s">
        <v>43</v>
      </c>
      <c r="D624" s="27">
        <v>73072200</v>
      </c>
      <c r="E624" s="28" t="s">
        <v>226</v>
      </c>
      <c r="F624" s="29">
        <v>0</v>
      </c>
      <c r="G624" s="30">
        <v>2</v>
      </c>
      <c r="H624" s="27" t="s">
        <v>137</v>
      </c>
      <c r="I624" s="26" t="s">
        <v>220</v>
      </c>
      <c r="J624" s="31">
        <v>65</v>
      </c>
      <c r="K624" s="32">
        <f t="shared" si="27"/>
        <v>130</v>
      </c>
      <c r="L624" s="29" t="s">
        <v>227</v>
      </c>
      <c r="M624" s="27">
        <f>IFERROR(VLOOKUP(C624,Custo_MI_Device!$B$2:$E$102,3,FALSE),0)</f>
        <v>0</v>
      </c>
      <c r="N624" s="27">
        <f t="shared" si="28"/>
        <v>0</v>
      </c>
      <c r="O624" s="178">
        <f t="shared" si="29"/>
        <v>0</v>
      </c>
    </row>
    <row r="625" spans="1:15" ht="25.5" hidden="1">
      <c r="A625" s="25">
        <v>4306</v>
      </c>
      <c r="B625" s="25" t="s">
        <v>40</v>
      </c>
      <c r="C625" s="26" t="s">
        <v>43</v>
      </c>
      <c r="D625" s="27">
        <v>73063000</v>
      </c>
      <c r="E625" s="28" t="s">
        <v>239</v>
      </c>
      <c r="F625" s="29">
        <v>0</v>
      </c>
      <c r="G625" s="30">
        <v>2</v>
      </c>
      <c r="H625" s="27" t="s">
        <v>232</v>
      </c>
      <c r="I625" s="26" t="s">
        <v>233</v>
      </c>
      <c r="J625" s="31">
        <v>32</v>
      </c>
      <c r="K625" s="32">
        <f t="shared" si="27"/>
        <v>64</v>
      </c>
      <c r="L625" s="29" t="s">
        <v>240</v>
      </c>
      <c r="M625" s="27">
        <f>IFERROR(VLOOKUP(C625,Custo_MI_Device!$B$2:$E$102,3,FALSE),0)</f>
        <v>0</v>
      </c>
      <c r="N625" s="27">
        <f t="shared" si="28"/>
        <v>0</v>
      </c>
      <c r="O625" s="178">
        <f t="shared" si="29"/>
        <v>0</v>
      </c>
    </row>
    <row r="626" spans="1:15" ht="12.75" hidden="1">
      <c r="A626" s="25">
        <v>3316</v>
      </c>
      <c r="B626" s="25" t="s">
        <v>40</v>
      </c>
      <c r="C626" s="26" t="s">
        <v>43</v>
      </c>
      <c r="D626" s="27">
        <v>0</v>
      </c>
      <c r="E626" s="28" t="s">
        <v>246</v>
      </c>
      <c r="F626" s="29" t="s">
        <v>247</v>
      </c>
      <c r="G626" s="30">
        <v>2</v>
      </c>
      <c r="H626" s="27" t="s">
        <v>137</v>
      </c>
      <c r="I626" s="26" t="s">
        <v>248</v>
      </c>
      <c r="J626" s="31">
        <v>5.5</v>
      </c>
      <c r="K626" s="32">
        <f t="shared" si="27"/>
        <v>11</v>
      </c>
      <c r="L626" s="29" t="s">
        <v>247</v>
      </c>
      <c r="M626" s="27">
        <f>IFERROR(VLOOKUP(C626,Custo_MI_Device!$B$2:$E$102,3,FALSE),0)</f>
        <v>0</v>
      </c>
      <c r="N626" s="27">
        <f t="shared" si="28"/>
        <v>0</v>
      </c>
      <c r="O626" s="178">
        <f t="shared" si="29"/>
        <v>0</v>
      </c>
    </row>
    <row r="627" spans="1:15" ht="25.5" hidden="1">
      <c r="A627" s="25">
        <v>1900</v>
      </c>
      <c r="B627" s="25" t="s">
        <v>40</v>
      </c>
      <c r="C627" s="26" t="s">
        <v>43</v>
      </c>
      <c r="D627" s="27">
        <v>73072200</v>
      </c>
      <c r="E627" s="28" t="s">
        <v>249</v>
      </c>
      <c r="F627" s="29" t="s">
        <v>250</v>
      </c>
      <c r="G627" s="30">
        <v>3</v>
      </c>
      <c r="H627" s="27" t="s">
        <v>137</v>
      </c>
      <c r="I627" s="26" t="s">
        <v>218</v>
      </c>
      <c r="J627" s="31">
        <v>27</v>
      </c>
      <c r="K627" s="32">
        <f t="shared" si="27"/>
        <v>81</v>
      </c>
      <c r="L627" s="29" t="s">
        <v>250</v>
      </c>
      <c r="M627" s="27">
        <f>IFERROR(VLOOKUP(C627,Custo_MI_Device!$B$2:$E$102,3,FALSE),0)</f>
        <v>0</v>
      </c>
      <c r="N627" s="27">
        <f t="shared" si="28"/>
        <v>0</v>
      </c>
      <c r="O627" s="178">
        <f t="shared" si="29"/>
        <v>0</v>
      </c>
    </row>
    <row r="628" spans="1:15" ht="12.75" hidden="1">
      <c r="A628" s="25">
        <v>3274</v>
      </c>
      <c r="B628" s="25" t="s">
        <v>40</v>
      </c>
      <c r="C628" s="26" t="s">
        <v>43</v>
      </c>
      <c r="D628" s="27">
        <v>73181500</v>
      </c>
      <c r="E628" s="28" t="s">
        <v>265</v>
      </c>
      <c r="F628" s="29" t="s">
        <v>266</v>
      </c>
      <c r="G628" s="30">
        <v>24</v>
      </c>
      <c r="H628" s="27" t="s">
        <v>137</v>
      </c>
      <c r="I628" s="26" t="s">
        <v>256</v>
      </c>
      <c r="J628" s="31">
        <v>0.06</v>
      </c>
      <c r="K628" s="32">
        <f t="shared" si="27"/>
        <v>1.44</v>
      </c>
      <c r="L628" s="29" t="s">
        <v>266</v>
      </c>
      <c r="M628" s="27">
        <f>IFERROR(VLOOKUP(C628,Custo_MI_Device!$B$2:$E$102,3,FALSE),0)</f>
        <v>0</v>
      </c>
      <c r="N628" s="27">
        <f t="shared" si="28"/>
        <v>0</v>
      </c>
      <c r="O628" s="178">
        <f t="shared" si="29"/>
        <v>0</v>
      </c>
    </row>
    <row r="629" spans="1:15" ht="12.75" hidden="1">
      <c r="A629" s="25">
        <v>3274</v>
      </c>
      <c r="B629" s="25" t="s">
        <v>40</v>
      </c>
      <c r="C629" s="26" t="s">
        <v>43</v>
      </c>
      <c r="D629" s="27">
        <v>73181500</v>
      </c>
      <c r="E629" s="28" t="s">
        <v>265</v>
      </c>
      <c r="F629" s="29" t="s">
        <v>266</v>
      </c>
      <c r="G629" s="30">
        <v>48</v>
      </c>
      <c r="H629" s="27" t="s">
        <v>137</v>
      </c>
      <c r="I629" s="26" t="s">
        <v>256</v>
      </c>
      <c r="J629" s="31">
        <v>0.06</v>
      </c>
      <c r="K629" s="32">
        <f t="shared" si="27"/>
        <v>2.88</v>
      </c>
      <c r="L629" s="29" t="s">
        <v>266</v>
      </c>
      <c r="M629" s="27">
        <f>IFERROR(VLOOKUP(C629,Custo_MI_Device!$B$2:$E$102,3,FALSE),0)</f>
        <v>0</v>
      </c>
      <c r="N629" s="27">
        <f t="shared" si="28"/>
        <v>0</v>
      </c>
      <c r="O629" s="178">
        <f t="shared" si="29"/>
        <v>0</v>
      </c>
    </row>
    <row r="630" spans="1:15" ht="25.5" hidden="1">
      <c r="A630" s="25">
        <v>3199</v>
      </c>
      <c r="B630" s="25" t="s">
        <v>40</v>
      </c>
      <c r="C630" s="26" t="s">
        <v>43</v>
      </c>
      <c r="D630" s="27">
        <v>90262090</v>
      </c>
      <c r="E630" s="28" t="s">
        <v>268</v>
      </c>
      <c r="F630" s="29">
        <v>0</v>
      </c>
      <c r="G630" s="33">
        <v>0</v>
      </c>
      <c r="H630" s="27" t="s">
        <v>137</v>
      </c>
      <c r="I630" s="26" t="s">
        <v>220</v>
      </c>
      <c r="J630" s="31">
        <v>650</v>
      </c>
      <c r="K630" s="32">
        <f t="shared" si="27"/>
        <v>0</v>
      </c>
      <c r="L630" s="29" t="s">
        <v>269</v>
      </c>
      <c r="M630" s="27">
        <f>IFERROR(VLOOKUP(C630,Custo_MI_Device!$B$2:$E$102,3,FALSE),0)</f>
        <v>0</v>
      </c>
      <c r="N630" s="27">
        <f t="shared" si="28"/>
        <v>0</v>
      </c>
      <c r="O630" s="178">
        <f t="shared" si="29"/>
        <v>0</v>
      </c>
    </row>
    <row r="631" spans="1:15" ht="25.5" hidden="1">
      <c r="A631" s="25">
        <v>1611</v>
      </c>
      <c r="B631" s="25" t="s">
        <v>40</v>
      </c>
      <c r="C631" s="26" t="s">
        <v>43</v>
      </c>
      <c r="D631" s="27">
        <v>39174090</v>
      </c>
      <c r="E631" s="28" t="s">
        <v>275</v>
      </c>
      <c r="F631" s="29" t="s">
        <v>276</v>
      </c>
      <c r="G631" s="30">
        <v>2</v>
      </c>
      <c r="H631" s="27" t="s">
        <v>137</v>
      </c>
      <c r="I631" s="26" t="s">
        <v>277</v>
      </c>
      <c r="J631" s="31">
        <v>7.8</v>
      </c>
      <c r="K631" s="32">
        <f t="shared" si="27"/>
        <v>15.6</v>
      </c>
      <c r="L631" s="29" t="s">
        <v>276</v>
      </c>
      <c r="M631" s="27">
        <f>IFERROR(VLOOKUP(C631,Custo_MI_Device!$B$2:$E$102,3,FALSE),0)</f>
        <v>0</v>
      </c>
      <c r="N631" s="27">
        <f t="shared" si="28"/>
        <v>0</v>
      </c>
      <c r="O631" s="178">
        <f t="shared" si="29"/>
        <v>0</v>
      </c>
    </row>
    <row r="632" spans="1:15" ht="12.75" hidden="1">
      <c r="A632" s="25">
        <v>5081</v>
      </c>
      <c r="B632" s="25" t="s">
        <v>40</v>
      </c>
      <c r="C632" s="26" t="s">
        <v>43</v>
      </c>
      <c r="D632" s="27">
        <v>73145000</v>
      </c>
      <c r="E632" s="28" t="s">
        <v>278</v>
      </c>
      <c r="F632" s="29">
        <v>0</v>
      </c>
      <c r="G632" s="30">
        <v>1</v>
      </c>
      <c r="H632" s="27" t="s">
        <v>137</v>
      </c>
      <c r="I632" s="26" t="s">
        <v>279</v>
      </c>
      <c r="J632" s="31">
        <v>23</v>
      </c>
      <c r="K632" s="32">
        <f t="shared" si="27"/>
        <v>23</v>
      </c>
      <c r="L632" s="29" t="s">
        <v>280</v>
      </c>
      <c r="M632" s="27">
        <f>IFERROR(VLOOKUP(C632,Custo_MI_Device!$B$2:$E$102,3,FALSE),0)</f>
        <v>0</v>
      </c>
      <c r="N632" s="27">
        <f t="shared" si="28"/>
        <v>0</v>
      </c>
      <c r="O632" s="178">
        <f t="shared" si="29"/>
        <v>0</v>
      </c>
    </row>
    <row r="633" spans="1:15" ht="25.5" hidden="1">
      <c r="A633" s="25">
        <v>2973</v>
      </c>
      <c r="B633" s="25" t="s">
        <v>40</v>
      </c>
      <c r="C633" s="26" t="s">
        <v>43</v>
      </c>
      <c r="D633" s="27">
        <v>73072200</v>
      </c>
      <c r="E633" s="28" t="s">
        <v>281</v>
      </c>
      <c r="F633" s="29" t="s">
        <v>282</v>
      </c>
      <c r="G633" s="30">
        <v>2</v>
      </c>
      <c r="H633" s="27" t="s">
        <v>137</v>
      </c>
      <c r="I633" s="26" t="s">
        <v>218</v>
      </c>
      <c r="J633" s="31">
        <v>29</v>
      </c>
      <c r="K633" s="32">
        <f t="shared" si="27"/>
        <v>58</v>
      </c>
      <c r="L633" s="29" t="s">
        <v>282</v>
      </c>
      <c r="M633" s="27">
        <f>IFERROR(VLOOKUP(C633,Custo_MI_Device!$B$2:$E$102,3,FALSE),0)</f>
        <v>0</v>
      </c>
      <c r="N633" s="27">
        <f t="shared" si="28"/>
        <v>0</v>
      </c>
      <c r="O633" s="178">
        <f t="shared" si="29"/>
        <v>0</v>
      </c>
    </row>
    <row r="634" spans="1:15" ht="25.5" hidden="1">
      <c r="A634" s="25">
        <v>5194</v>
      </c>
      <c r="B634" s="25" t="s">
        <v>40</v>
      </c>
      <c r="C634" s="26" t="s">
        <v>43</v>
      </c>
      <c r="D634" s="27">
        <v>73041010</v>
      </c>
      <c r="E634" s="28" t="s">
        <v>289</v>
      </c>
      <c r="F634" s="29" t="s">
        <v>290</v>
      </c>
      <c r="G634" s="30">
        <v>2</v>
      </c>
      <c r="H634" s="27" t="s">
        <v>232</v>
      </c>
      <c r="I634" s="26" t="s">
        <v>218</v>
      </c>
      <c r="J634" s="31">
        <f>21.5*6</f>
        <v>129</v>
      </c>
      <c r="K634" s="32">
        <f t="shared" si="27"/>
        <v>258</v>
      </c>
      <c r="L634" s="29" t="s">
        <v>290</v>
      </c>
      <c r="M634" s="27">
        <f>IFERROR(VLOOKUP(C634,Custo_MI_Device!$B$2:$E$102,3,FALSE),0)</f>
        <v>0</v>
      </c>
      <c r="N634" s="27">
        <f t="shared" si="28"/>
        <v>0</v>
      </c>
      <c r="O634" s="178">
        <f t="shared" si="29"/>
        <v>0</v>
      </c>
    </row>
    <row r="635" spans="1:15" ht="25.5" hidden="1">
      <c r="A635" s="25">
        <v>2125</v>
      </c>
      <c r="B635" s="25" t="s">
        <v>40</v>
      </c>
      <c r="C635" s="26" t="s">
        <v>43</v>
      </c>
      <c r="D635" s="27">
        <v>84818039</v>
      </c>
      <c r="E635" s="28" t="s">
        <v>301</v>
      </c>
      <c r="F635" s="29">
        <v>0</v>
      </c>
      <c r="G635" s="30">
        <v>4</v>
      </c>
      <c r="H635" s="27" t="s">
        <v>137</v>
      </c>
      <c r="I635" s="26" t="s">
        <v>220</v>
      </c>
      <c r="J635" s="31">
        <v>175</v>
      </c>
      <c r="K635" s="32">
        <f t="shared" si="27"/>
        <v>700</v>
      </c>
      <c r="L635" s="29" t="s">
        <v>302</v>
      </c>
      <c r="M635" s="27">
        <f>IFERROR(VLOOKUP(C635,Custo_MI_Device!$B$2:$E$102,3,FALSE),0)</f>
        <v>0</v>
      </c>
      <c r="N635" s="27">
        <f t="shared" si="28"/>
        <v>0</v>
      </c>
      <c r="O635" s="178">
        <f t="shared" si="29"/>
        <v>0</v>
      </c>
    </row>
    <row r="636" spans="1:15" ht="12.75" hidden="1">
      <c r="A636" s="25">
        <v>3778</v>
      </c>
      <c r="B636" s="25" t="s">
        <v>40</v>
      </c>
      <c r="C636" s="26" t="s">
        <v>44</v>
      </c>
      <c r="D636" s="27">
        <v>73072900</v>
      </c>
      <c r="E636" s="28" t="s">
        <v>310</v>
      </c>
      <c r="F636" s="29" t="s">
        <v>311</v>
      </c>
      <c r="G636" s="30">
        <v>24</v>
      </c>
      <c r="H636" s="27" t="s">
        <v>137</v>
      </c>
      <c r="I636" s="26" t="s">
        <v>256</v>
      </c>
      <c r="J636" s="31">
        <v>0.65</v>
      </c>
      <c r="K636" s="32">
        <f t="shared" si="27"/>
        <v>15.600000000000001</v>
      </c>
      <c r="L636" s="29" t="s">
        <v>311</v>
      </c>
      <c r="M636" s="27">
        <f>IFERROR(VLOOKUP(C636,Custo_MI_Device!$B$2:$E$102,3,FALSE),0)</f>
        <v>0</v>
      </c>
      <c r="N636" s="27">
        <f t="shared" si="28"/>
        <v>0</v>
      </c>
      <c r="O636" s="178">
        <f t="shared" si="29"/>
        <v>0</v>
      </c>
    </row>
    <row r="637" spans="1:15" ht="12.75" hidden="1">
      <c r="A637" s="25">
        <v>2534</v>
      </c>
      <c r="B637" s="25" t="s">
        <v>40</v>
      </c>
      <c r="C637" s="26" t="s">
        <v>44</v>
      </c>
      <c r="D637" s="27">
        <v>73072900</v>
      </c>
      <c r="E637" s="28" t="s">
        <v>314</v>
      </c>
      <c r="F637" s="29" t="s">
        <v>315</v>
      </c>
      <c r="G637" s="30">
        <v>12</v>
      </c>
      <c r="H637" s="27" t="s">
        <v>137</v>
      </c>
      <c r="I637" s="26" t="s">
        <v>256</v>
      </c>
      <c r="J637" s="31">
        <v>1.2</v>
      </c>
      <c r="K637" s="32">
        <f t="shared" si="27"/>
        <v>14.399999999999999</v>
      </c>
      <c r="L637" s="29" t="s">
        <v>315</v>
      </c>
      <c r="M637" s="27">
        <f>IFERROR(VLOOKUP(C637,Custo_MI_Device!$B$2:$E$102,3,FALSE),0)</f>
        <v>0</v>
      </c>
      <c r="N637" s="27">
        <f t="shared" si="28"/>
        <v>0</v>
      </c>
      <c r="O637" s="178">
        <f t="shared" si="29"/>
        <v>0</v>
      </c>
    </row>
    <row r="638" spans="1:15" ht="12.75" hidden="1">
      <c r="A638" s="25">
        <v>1669</v>
      </c>
      <c r="B638" s="25" t="s">
        <v>40</v>
      </c>
      <c r="C638" s="26" t="s">
        <v>44</v>
      </c>
      <c r="D638" s="27">
        <v>39269090</v>
      </c>
      <c r="E638" s="28" t="s">
        <v>316</v>
      </c>
      <c r="F638" s="29" t="s">
        <v>317</v>
      </c>
      <c r="G638" s="30">
        <v>3</v>
      </c>
      <c r="H638" s="27" t="s">
        <v>137</v>
      </c>
      <c r="I638" s="26" t="s">
        <v>318</v>
      </c>
      <c r="J638" s="31">
        <v>0.04</v>
      </c>
      <c r="K638" s="32">
        <f t="shared" si="27"/>
        <v>0.12</v>
      </c>
      <c r="L638" s="29" t="s">
        <v>317</v>
      </c>
      <c r="M638" s="27">
        <f>IFERROR(VLOOKUP(C638,Custo_MI_Device!$B$2:$E$102,3,FALSE),0)</f>
        <v>0</v>
      </c>
      <c r="N638" s="27">
        <f t="shared" si="28"/>
        <v>0</v>
      </c>
      <c r="O638" s="178">
        <f t="shared" si="29"/>
        <v>0</v>
      </c>
    </row>
    <row r="639" spans="1:15" ht="12.75" hidden="1">
      <c r="A639" s="25">
        <v>5091</v>
      </c>
      <c r="B639" s="25" t="s">
        <v>40</v>
      </c>
      <c r="C639" s="26" t="s">
        <v>44</v>
      </c>
      <c r="D639" s="27">
        <v>73181500</v>
      </c>
      <c r="E639" s="28" t="s">
        <v>323</v>
      </c>
      <c r="F639" s="29" t="s">
        <v>324</v>
      </c>
      <c r="G639" s="30">
        <v>24</v>
      </c>
      <c r="H639" s="27" t="s">
        <v>137</v>
      </c>
      <c r="I639" s="26" t="s">
        <v>256</v>
      </c>
      <c r="J639" s="31">
        <v>0.04</v>
      </c>
      <c r="K639" s="32">
        <f t="shared" si="27"/>
        <v>0.96</v>
      </c>
      <c r="L639" s="29" t="s">
        <v>324</v>
      </c>
      <c r="M639" s="27">
        <f>IFERROR(VLOOKUP(C639,Custo_MI_Device!$B$2:$E$102,3,FALSE),0)</f>
        <v>0</v>
      </c>
      <c r="N639" s="27">
        <f t="shared" si="28"/>
        <v>0</v>
      </c>
      <c r="O639" s="178">
        <f t="shared" si="29"/>
        <v>0</v>
      </c>
    </row>
    <row r="640" spans="1:15" ht="12.75" hidden="1">
      <c r="A640" s="25">
        <v>5091</v>
      </c>
      <c r="B640" s="25" t="s">
        <v>40</v>
      </c>
      <c r="C640" s="26" t="s">
        <v>44</v>
      </c>
      <c r="D640" s="27">
        <v>73181500</v>
      </c>
      <c r="E640" s="28" t="s">
        <v>323</v>
      </c>
      <c r="F640" s="29" t="s">
        <v>324</v>
      </c>
      <c r="G640" s="30">
        <v>48</v>
      </c>
      <c r="H640" s="27" t="s">
        <v>137</v>
      </c>
      <c r="I640" s="26" t="s">
        <v>256</v>
      </c>
      <c r="J640" s="31">
        <v>0.04</v>
      </c>
      <c r="K640" s="32">
        <f t="shared" si="27"/>
        <v>1.92</v>
      </c>
      <c r="L640" s="29" t="s">
        <v>324</v>
      </c>
      <c r="M640" s="27">
        <f>IFERROR(VLOOKUP(C640,Custo_MI_Device!$B$2:$E$102,3,FALSE),0)</f>
        <v>0</v>
      </c>
      <c r="N640" s="27">
        <f t="shared" si="28"/>
        <v>0</v>
      </c>
      <c r="O640" s="178">
        <f t="shared" si="29"/>
        <v>0</v>
      </c>
    </row>
    <row r="641" spans="1:15" ht="12.75" hidden="1">
      <c r="A641" s="25">
        <v>1117</v>
      </c>
      <c r="B641" s="25" t="s">
        <v>40</v>
      </c>
      <c r="C641" s="26" t="s">
        <v>44</v>
      </c>
      <c r="D641" s="27"/>
      <c r="E641" s="28" t="s">
        <v>145</v>
      </c>
      <c r="F641" s="29" t="s">
        <v>146</v>
      </c>
      <c r="G641" s="30">
        <v>1</v>
      </c>
      <c r="H641" s="27" t="s">
        <v>137</v>
      </c>
      <c r="I641" s="26" t="s">
        <v>138</v>
      </c>
      <c r="J641" s="31">
        <v>1.95</v>
      </c>
      <c r="K641" s="32">
        <f t="shared" si="27"/>
        <v>1.95</v>
      </c>
      <c r="L641" s="29" t="s">
        <v>146</v>
      </c>
      <c r="M641" s="27">
        <f>IFERROR(VLOOKUP(C641,Custo_MI_Device!$B$2:$E$102,3,FALSE),0)</f>
        <v>0</v>
      </c>
      <c r="N641" s="27">
        <f t="shared" si="28"/>
        <v>0</v>
      </c>
      <c r="O641" s="178">
        <f t="shared" si="29"/>
        <v>0</v>
      </c>
    </row>
    <row r="642" spans="1:15" ht="12.75" hidden="1">
      <c r="A642" s="25">
        <v>3080</v>
      </c>
      <c r="B642" s="25" t="s">
        <v>40</v>
      </c>
      <c r="C642" s="26" t="s">
        <v>44</v>
      </c>
      <c r="D642" s="27">
        <v>74122000</v>
      </c>
      <c r="E642" s="28" t="s">
        <v>153</v>
      </c>
      <c r="F642" s="29" t="s">
        <v>154</v>
      </c>
      <c r="G642" s="30">
        <v>1</v>
      </c>
      <c r="H642" s="27" t="s">
        <v>137</v>
      </c>
      <c r="I642" s="26" t="s">
        <v>155</v>
      </c>
      <c r="J642" s="31">
        <v>3.3</v>
      </c>
      <c r="K642" s="32">
        <f t="shared" si="27"/>
        <v>3.3</v>
      </c>
      <c r="L642" s="29" t="s">
        <v>154</v>
      </c>
      <c r="M642" s="27">
        <f>IFERROR(VLOOKUP(C642,Custo_MI_Device!$B$2:$E$102,3,FALSE),0)</f>
        <v>0</v>
      </c>
      <c r="N642" s="27">
        <f t="shared" si="28"/>
        <v>0</v>
      </c>
      <c r="O642" s="178">
        <f t="shared" si="29"/>
        <v>0</v>
      </c>
    </row>
    <row r="643" spans="1:15" ht="25.5" hidden="1">
      <c r="A643" s="25">
        <v>5139</v>
      </c>
      <c r="B643" s="25" t="s">
        <v>40</v>
      </c>
      <c r="C643" s="26" t="s">
        <v>44</v>
      </c>
      <c r="D643" s="27">
        <v>85444900</v>
      </c>
      <c r="E643" s="28" t="s">
        <v>170</v>
      </c>
      <c r="F643" s="29" t="s">
        <v>171</v>
      </c>
      <c r="G643" s="30">
        <v>15</v>
      </c>
      <c r="H643" s="27" t="s">
        <v>158</v>
      </c>
      <c r="I643" s="26" t="s">
        <v>172</v>
      </c>
      <c r="J643" s="31">
        <v>7.5</v>
      </c>
      <c r="K643" s="32">
        <f t="shared" ref="K643:K706" si="30">G643*J643</f>
        <v>112.5</v>
      </c>
      <c r="L643" s="29" t="s">
        <v>173</v>
      </c>
      <c r="M643" s="27">
        <f>IFERROR(VLOOKUP(C643,Custo_MI_Device!$B$2:$E$102,3,FALSE),0)</f>
        <v>0</v>
      </c>
      <c r="N643" s="27">
        <f t="shared" ref="N643:N706" si="31">ROUNDUP(M643*G643,0)</f>
        <v>0</v>
      </c>
      <c r="O643" s="178">
        <f t="shared" ref="O643:O706" si="32">N643*J643</f>
        <v>0</v>
      </c>
    </row>
    <row r="644" spans="1:15" ht="12.75" hidden="1">
      <c r="A644" s="25">
        <v>2805</v>
      </c>
      <c r="B644" s="25" t="s">
        <v>40</v>
      </c>
      <c r="C644" s="26" t="s">
        <v>44</v>
      </c>
      <c r="D644" s="27">
        <v>72162100</v>
      </c>
      <c r="E644" s="28" t="s">
        <v>174</v>
      </c>
      <c r="F644" s="29">
        <v>0</v>
      </c>
      <c r="G644" s="30">
        <v>2.9</v>
      </c>
      <c r="H644" s="27" t="s">
        <v>175</v>
      </c>
      <c r="I644" s="26" t="s">
        <v>176</v>
      </c>
      <c r="J644" s="31">
        <v>4.22</v>
      </c>
      <c r="K644" s="32">
        <f t="shared" si="30"/>
        <v>12.238</v>
      </c>
      <c r="L644" s="29" t="s">
        <v>177</v>
      </c>
      <c r="M644" s="27">
        <f>IFERROR(VLOOKUP(C644,Custo_MI_Device!$B$2:$E$102,3,FALSE),0)</f>
        <v>0</v>
      </c>
      <c r="N644" s="27">
        <f t="shared" si="31"/>
        <v>0</v>
      </c>
      <c r="O644" s="178">
        <f t="shared" si="32"/>
        <v>0</v>
      </c>
    </row>
    <row r="645" spans="1:15" ht="12.75" hidden="1">
      <c r="A645" s="25">
        <v>2904</v>
      </c>
      <c r="B645" s="25" t="s">
        <v>40</v>
      </c>
      <c r="C645" s="26" t="s">
        <v>44</v>
      </c>
      <c r="D645" s="27">
        <v>76090000</v>
      </c>
      <c r="E645" s="28" t="s">
        <v>195</v>
      </c>
      <c r="F645" s="29" t="s">
        <v>196</v>
      </c>
      <c r="G645" s="30">
        <v>0.75</v>
      </c>
      <c r="H645" s="27" t="s">
        <v>137</v>
      </c>
      <c r="I645" s="26" t="s">
        <v>138</v>
      </c>
      <c r="J645" s="31">
        <v>6.7</v>
      </c>
      <c r="K645" s="32">
        <f t="shared" si="30"/>
        <v>5.0250000000000004</v>
      </c>
      <c r="L645" s="29" t="s">
        <v>196</v>
      </c>
      <c r="M645" s="27">
        <f>IFERROR(VLOOKUP(C645,Custo_MI_Device!$B$2:$E$102,3,FALSE),0)</f>
        <v>0</v>
      </c>
      <c r="N645" s="27">
        <f t="shared" si="31"/>
        <v>0</v>
      </c>
      <c r="O645" s="178">
        <f t="shared" si="32"/>
        <v>0</v>
      </c>
    </row>
    <row r="646" spans="1:15" ht="12.75" hidden="1">
      <c r="A646" s="25">
        <v>2911</v>
      </c>
      <c r="B646" s="25" t="s">
        <v>40</v>
      </c>
      <c r="C646" s="26" t="s">
        <v>44</v>
      </c>
      <c r="D646" s="27">
        <v>76090000</v>
      </c>
      <c r="E646" s="28" t="s">
        <v>197</v>
      </c>
      <c r="F646" s="29" t="s">
        <v>198</v>
      </c>
      <c r="G646" s="30">
        <v>0.75</v>
      </c>
      <c r="H646" s="27" t="s">
        <v>137</v>
      </c>
      <c r="I646" s="26" t="s">
        <v>138</v>
      </c>
      <c r="J646" s="31">
        <v>6.7</v>
      </c>
      <c r="K646" s="32">
        <f t="shared" si="30"/>
        <v>5.0250000000000004</v>
      </c>
      <c r="L646" s="29" t="s">
        <v>198</v>
      </c>
      <c r="M646" s="27">
        <f>IFERROR(VLOOKUP(C646,Custo_MI_Device!$B$2:$E$102,3,FALSE),0)</f>
        <v>0</v>
      </c>
      <c r="N646" s="27">
        <f t="shared" si="31"/>
        <v>0</v>
      </c>
      <c r="O646" s="178">
        <f t="shared" si="32"/>
        <v>0</v>
      </c>
    </row>
    <row r="647" spans="1:15" ht="12.75" hidden="1">
      <c r="A647" s="25">
        <v>4823</v>
      </c>
      <c r="B647" s="25" t="s">
        <v>40</v>
      </c>
      <c r="C647" s="26" t="s">
        <v>44</v>
      </c>
      <c r="D647" s="27">
        <v>76090000</v>
      </c>
      <c r="E647" s="28" t="s">
        <v>199</v>
      </c>
      <c r="F647" s="29" t="s">
        <v>200</v>
      </c>
      <c r="G647" s="30">
        <v>0.75</v>
      </c>
      <c r="H647" s="27" t="s">
        <v>137</v>
      </c>
      <c r="I647" s="26" t="s">
        <v>138</v>
      </c>
      <c r="J647" s="31">
        <v>6.7</v>
      </c>
      <c r="K647" s="32">
        <f t="shared" si="30"/>
        <v>5.0250000000000004</v>
      </c>
      <c r="L647" s="29" t="s">
        <v>200</v>
      </c>
      <c r="M647" s="27">
        <f>IFERROR(VLOOKUP(C647,Custo_MI_Device!$B$2:$E$102,3,FALSE),0)</f>
        <v>0</v>
      </c>
      <c r="N647" s="27">
        <f t="shared" si="31"/>
        <v>0</v>
      </c>
      <c r="O647" s="178">
        <f t="shared" si="32"/>
        <v>0</v>
      </c>
    </row>
    <row r="648" spans="1:15" ht="25.5" hidden="1">
      <c r="A648" s="25">
        <v>2909</v>
      </c>
      <c r="B648" s="25" t="s">
        <v>40</v>
      </c>
      <c r="C648" s="26" t="s">
        <v>44</v>
      </c>
      <c r="D648" s="27">
        <v>73072200</v>
      </c>
      <c r="E648" s="28" t="s">
        <v>216</v>
      </c>
      <c r="F648" s="29" t="s">
        <v>217</v>
      </c>
      <c r="G648" s="30">
        <v>4</v>
      </c>
      <c r="H648" s="27" t="s">
        <v>137</v>
      </c>
      <c r="I648" s="26" t="s">
        <v>218</v>
      </c>
      <c r="J648" s="31">
        <v>27.7</v>
      </c>
      <c r="K648" s="32">
        <f t="shared" si="30"/>
        <v>110.8</v>
      </c>
      <c r="L648" s="29" t="s">
        <v>217</v>
      </c>
      <c r="M648" s="27">
        <f>IFERROR(VLOOKUP(C648,Custo_MI_Device!$B$2:$E$102,3,FALSE),0)</f>
        <v>0</v>
      </c>
      <c r="N648" s="27">
        <f t="shared" si="31"/>
        <v>0</v>
      </c>
      <c r="O648" s="178">
        <f t="shared" si="32"/>
        <v>0</v>
      </c>
    </row>
    <row r="649" spans="1:15" ht="25.5" hidden="1">
      <c r="A649" s="25">
        <v>2300</v>
      </c>
      <c r="B649" s="25" t="s">
        <v>40</v>
      </c>
      <c r="C649" s="26" t="s">
        <v>44</v>
      </c>
      <c r="D649" s="27">
        <v>73072200</v>
      </c>
      <c r="E649" s="28" t="s">
        <v>222</v>
      </c>
      <c r="F649" s="29" t="s">
        <v>223</v>
      </c>
      <c r="G649" s="30">
        <v>1</v>
      </c>
      <c r="H649" s="27" t="s">
        <v>137</v>
      </c>
      <c r="I649" s="26" t="s">
        <v>218</v>
      </c>
      <c r="J649" s="31">
        <v>41</v>
      </c>
      <c r="K649" s="32">
        <f t="shared" si="30"/>
        <v>41</v>
      </c>
      <c r="L649" s="29" t="s">
        <v>223</v>
      </c>
      <c r="M649" s="27">
        <f>IFERROR(VLOOKUP(C649,Custo_MI_Device!$B$2:$E$102,3,FALSE),0)</f>
        <v>0</v>
      </c>
      <c r="N649" s="27">
        <f t="shared" si="31"/>
        <v>0</v>
      </c>
      <c r="O649" s="178">
        <f t="shared" si="32"/>
        <v>0</v>
      </c>
    </row>
    <row r="650" spans="1:15" ht="25.5" hidden="1">
      <c r="A650" s="25">
        <v>2864</v>
      </c>
      <c r="B650" s="25" t="s">
        <v>40</v>
      </c>
      <c r="C650" s="26" t="s">
        <v>44</v>
      </c>
      <c r="D650" s="27">
        <v>73072200</v>
      </c>
      <c r="E650" s="28" t="s">
        <v>226</v>
      </c>
      <c r="F650" s="29">
        <v>0</v>
      </c>
      <c r="G650" s="30">
        <v>2</v>
      </c>
      <c r="H650" s="27" t="s">
        <v>137</v>
      </c>
      <c r="I650" s="26" t="s">
        <v>220</v>
      </c>
      <c r="J650" s="31">
        <v>65</v>
      </c>
      <c r="K650" s="32">
        <f t="shared" si="30"/>
        <v>130</v>
      </c>
      <c r="L650" s="29" t="s">
        <v>227</v>
      </c>
      <c r="M650" s="27">
        <f>IFERROR(VLOOKUP(C650,Custo_MI_Device!$B$2:$E$102,3,FALSE),0)</f>
        <v>0</v>
      </c>
      <c r="N650" s="27">
        <f t="shared" si="31"/>
        <v>0</v>
      </c>
      <c r="O650" s="178">
        <f t="shared" si="32"/>
        <v>0</v>
      </c>
    </row>
    <row r="651" spans="1:15" ht="25.5" hidden="1">
      <c r="A651" s="25">
        <v>4306</v>
      </c>
      <c r="B651" s="25" t="s">
        <v>40</v>
      </c>
      <c r="C651" s="26" t="s">
        <v>44</v>
      </c>
      <c r="D651" s="27">
        <v>73063000</v>
      </c>
      <c r="E651" s="28" t="s">
        <v>239</v>
      </c>
      <c r="F651" s="29">
        <v>0</v>
      </c>
      <c r="G651" s="30">
        <v>2</v>
      </c>
      <c r="H651" s="27" t="s">
        <v>232</v>
      </c>
      <c r="I651" s="26" t="s">
        <v>233</v>
      </c>
      <c r="J651" s="31">
        <v>32</v>
      </c>
      <c r="K651" s="32">
        <f t="shared" si="30"/>
        <v>64</v>
      </c>
      <c r="L651" s="29" t="s">
        <v>240</v>
      </c>
      <c r="M651" s="27">
        <f>IFERROR(VLOOKUP(C651,Custo_MI_Device!$B$2:$E$102,3,FALSE),0)</f>
        <v>0</v>
      </c>
      <c r="N651" s="27">
        <f t="shared" si="31"/>
        <v>0</v>
      </c>
      <c r="O651" s="178">
        <f t="shared" si="32"/>
        <v>0</v>
      </c>
    </row>
    <row r="652" spans="1:15" ht="12.75" hidden="1">
      <c r="A652" s="25">
        <v>3316</v>
      </c>
      <c r="B652" s="25" t="s">
        <v>40</v>
      </c>
      <c r="C652" s="26" t="s">
        <v>44</v>
      </c>
      <c r="D652" s="27">
        <v>0</v>
      </c>
      <c r="E652" s="28" t="s">
        <v>246</v>
      </c>
      <c r="F652" s="29" t="s">
        <v>247</v>
      </c>
      <c r="G652" s="30">
        <v>2</v>
      </c>
      <c r="H652" s="27" t="s">
        <v>137</v>
      </c>
      <c r="I652" s="26" t="s">
        <v>248</v>
      </c>
      <c r="J652" s="31">
        <v>5.5</v>
      </c>
      <c r="K652" s="32">
        <f t="shared" si="30"/>
        <v>11</v>
      </c>
      <c r="L652" s="29" t="s">
        <v>247</v>
      </c>
      <c r="M652" s="27">
        <f>IFERROR(VLOOKUP(C652,Custo_MI_Device!$B$2:$E$102,3,FALSE),0)</f>
        <v>0</v>
      </c>
      <c r="N652" s="27">
        <f t="shared" si="31"/>
        <v>0</v>
      </c>
      <c r="O652" s="178">
        <f t="shared" si="32"/>
        <v>0</v>
      </c>
    </row>
    <row r="653" spans="1:15" ht="25.5" hidden="1">
      <c r="A653" s="25">
        <v>1900</v>
      </c>
      <c r="B653" s="25" t="s">
        <v>40</v>
      </c>
      <c r="C653" s="26" t="s">
        <v>44</v>
      </c>
      <c r="D653" s="27">
        <v>73072200</v>
      </c>
      <c r="E653" s="28" t="s">
        <v>249</v>
      </c>
      <c r="F653" s="29" t="s">
        <v>250</v>
      </c>
      <c r="G653" s="30">
        <v>3</v>
      </c>
      <c r="H653" s="27" t="s">
        <v>137</v>
      </c>
      <c r="I653" s="26" t="s">
        <v>218</v>
      </c>
      <c r="J653" s="31">
        <v>27</v>
      </c>
      <c r="K653" s="32">
        <f t="shared" si="30"/>
        <v>81</v>
      </c>
      <c r="L653" s="29" t="s">
        <v>250</v>
      </c>
      <c r="M653" s="27">
        <f>IFERROR(VLOOKUP(C653,Custo_MI_Device!$B$2:$E$102,3,FALSE),0)</f>
        <v>0</v>
      </c>
      <c r="N653" s="27">
        <f t="shared" si="31"/>
        <v>0</v>
      </c>
      <c r="O653" s="178">
        <f t="shared" si="32"/>
        <v>0</v>
      </c>
    </row>
    <row r="654" spans="1:15" ht="12.75" hidden="1">
      <c r="A654" s="25">
        <v>3274</v>
      </c>
      <c r="B654" s="25" t="s">
        <v>40</v>
      </c>
      <c r="C654" s="26" t="s">
        <v>44</v>
      </c>
      <c r="D654" s="27">
        <v>73181500</v>
      </c>
      <c r="E654" s="28" t="s">
        <v>265</v>
      </c>
      <c r="F654" s="29" t="s">
        <v>266</v>
      </c>
      <c r="G654" s="30">
        <v>24</v>
      </c>
      <c r="H654" s="27" t="s">
        <v>137</v>
      </c>
      <c r="I654" s="26" t="s">
        <v>256</v>
      </c>
      <c r="J654" s="31">
        <v>0.06</v>
      </c>
      <c r="K654" s="32">
        <f t="shared" si="30"/>
        <v>1.44</v>
      </c>
      <c r="L654" s="29" t="s">
        <v>266</v>
      </c>
      <c r="M654" s="27">
        <f>IFERROR(VLOOKUP(C654,Custo_MI_Device!$B$2:$E$102,3,FALSE),0)</f>
        <v>0</v>
      </c>
      <c r="N654" s="27">
        <f t="shared" si="31"/>
        <v>0</v>
      </c>
      <c r="O654" s="178">
        <f t="shared" si="32"/>
        <v>0</v>
      </c>
    </row>
    <row r="655" spans="1:15" ht="12.75" hidden="1">
      <c r="A655" s="25">
        <v>3274</v>
      </c>
      <c r="B655" s="25" t="s">
        <v>40</v>
      </c>
      <c r="C655" s="26" t="s">
        <v>44</v>
      </c>
      <c r="D655" s="27">
        <v>73181500</v>
      </c>
      <c r="E655" s="28" t="s">
        <v>265</v>
      </c>
      <c r="F655" s="29" t="s">
        <v>266</v>
      </c>
      <c r="G655" s="30">
        <v>48</v>
      </c>
      <c r="H655" s="27" t="s">
        <v>137</v>
      </c>
      <c r="I655" s="26" t="s">
        <v>256</v>
      </c>
      <c r="J655" s="31">
        <v>0.06</v>
      </c>
      <c r="K655" s="32">
        <f t="shared" si="30"/>
        <v>2.88</v>
      </c>
      <c r="L655" s="29" t="s">
        <v>266</v>
      </c>
      <c r="M655" s="27">
        <f>IFERROR(VLOOKUP(C655,Custo_MI_Device!$B$2:$E$102,3,FALSE),0)</f>
        <v>0</v>
      </c>
      <c r="N655" s="27">
        <f t="shared" si="31"/>
        <v>0</v>
      </c>
      <c r="O655" s="178">
        <f t="shared" si="32"/>
        <v>0</v>
      </c>
    </row>
    <row r="656" spans="1:15" ht="25.5" hidden="1">
      <c r="A656" s="25">
        <v>3199</v>
      </c>
      <c r="B656" s="25" t="s">
        <v>40</v>
      </c>
      <c r="C656" s="26" t="s">
        <v>44</v>
      </c>
      <c r="D656" s="27">
        <v>90262090</v>
      </c>
      <c r="E656" s="28" t="s">
        <v>268</v>
      </c>
      <c r="F656" s="29">
        <v>0</v>
      </c>
      <c r="G656" s="33">
        <v>0</v>
      </c>
      <c r="H656" s="27" t="s">
        <v>137</v>
      </c>
      <c r="I656" s="26" t="s">
        <v>220</v>
      </c>
      <c r="J656" s="31">
        <v>650</v>
      </c>
      <c r="K656" s="32">
        <f t="shared" si="30"/>
        <v>0</v>
      </c>
      <c r="L656" s="29" t="s">
        <v>269</v>
      </c>
      <c r="M656" s="27">
        <f>IFERROR(VLOOKUP(C656,Custo_MI_Device!$B$2:$E$102,3,FALSE),0)</f>
        <v>0</v>
      </c>
      <c r="N656" s="27">
        <f t="shared" si="31"/>
        <v>0</v>
      </c>
      <c r="O656" s="178">
        <f t="shared" si="32"/>
        <v>0</v>
      </c>
    </row>
    <row r="657" spans="1:15" ht="25.5" hidden="1">
      <c r="A657" s="25">
        <v>1611</v>
      </c>
      <c r="B657" s="25" t="s">
        <v>40</v>
      </c>
      <c r="C657" s="26" t="s">
        <v>44</v>
      </c>
      <c r="D657" s="27">
        <v>39174090</v>
      </c>
      <c r="E657" s="28" t="s">
        <v>275</v>
      </c>
      <c r="F657" s="29" t="s">
        <v>276</v>
      </c>
      <c r="G657" s="30">
        <v>2</v>
      </c>
      <c r="H657" s="27" t="s">
        <v>137</v>
      </c>
      <c r="I657" s="26" t="s">
        <v>277</v>
      </c>
      <c r="J657" s="31">
        <v>7.8</v>
      </c>
      <c r="K657" s="32">
        <f t="shared" si="30"/>
        <v>15.6</v>
      </c>
      <c r="L657" s="29" t="s">
        <v>276</v>
      </c>
      <c r="M657" s="27">
        <f>IFERROR(VLOOKUP(C657,Custo_MI_Device!$B$2:$E$102,3,FALSE),0)</f>
        <v>0</v>
      </c>
      <c r="N657" s="27">
        <f t="shared" si="31"/>
        <v>0</v>
      </c>
      <c r="O657" s="178">
        <f t="shared" si="32"/>
        <v>0</v>
      </c>
    </row>
    <row r="658" spans="1:15" ht="12.75" hidden="1">
      <c r="A658" s="25">
        <v>5081</v>
      </c>
      <c r="B658" s="25" t="s">
        <v>40</v>
      </c>
      <c r="C658" s="26" t="s">
        <v>44</v>
      </c>
      <c r="D658" s="27">
        <v>73145000</v>
      </c>
      <c r="E658" s="28" t="s">
        <v>278</v>
      </c>
      <c r="F658" s="29">
        <v>0</v>
      </c>
      <c r="G658" s="30">
        <v>1</v>
      </c>
      <c r="H658" s="27" t="s">
        <v>137</v>
      </c>
      <c r="I658" s="26" t="s">
        <v>279</v>
      </c>
      <c r="J658" s="31">
        <v>23</v>
      </c>
      <c r="K658" s="32">
        <f t="shared" si="30"/>
        <v>23</v>
      </c>
      <c r="L658" s="29" t="s">
        <v>280</v>
      </c>
      <c r="M658" s="27">
        <f>IFERROR(VLOOKUP(C658,Custo_MI_Device!$B$2:$E$102,3,FALSE),0)</f>
        <v>0</v>
      </c>
      <c r="N658" s="27">
        <f t="shared" si="31"/>
        <v>0</v>
      </c>
      <c r="O658" s="178">
        <f t="shared" si="32"/>
        <v>0</v>
      </c>
    </row>
    <row r="659" spans="1:15" ht="25.5" hidden="1">
      <c r="A659" s="25">
        <v>2973</v>
      </c>
      <c r="B659" s="25" t="s">
        <v>40</v>
      </c>
      <c r="C659" s="26" t="s">
        <v>44</v>
      </c>
      <c r="D659" s="27">
        <v>73072200</v>
      </c>
      <c r="E659" s="28" t="s">
        <v>281</v>
      </c>
      <c r="F659" s="29" t="s">
        <v>282</v>
      </c>
      <c r="G659" s="30">
        <v>2</v>
      </c>
      <c r="H659" s="27" t="s">
        <v>137</v>
      </c>
      <c r="I659" s="26" t="s">
        <v>218</v>
      </c>
      <c r="J659" s="31">
        <v>29</v>
      </c>
      <c r="K659" s="32">
        <f t="shared" si="30"/>
        <v>58</v>
      </c>
      <c r="L659" s="29" t="s">
        <v>282</v>
      </c>
      <c r="M659" s="27">
        <f>IFERROR(VLOOKUP(C659,Custo_MI_Device!$B$2:$E$102,3,FALSE),0)</f>
        <v>0</v>
      </c>
      <c r="N659" s="27">
        <f t="shared" si="31"/>
        <v>0</v>
      </c>
      <c r="O659" s="178">
        <f t="shared" si="32"/>
        <v>0</v>
      </c>
    </row>
    <row r="660" spans="1:15" ht="25.5" hidden="1">
      <c r="A660" s="25">
        <v>5194</v>
      </c>
      <c r="B660" s="25" t="s">
        <v>40</v>
      </c>
      <c r="C660" s="26" t="s">
        <v>44</v>
      </c>
      <c r="D660" s="27">
        <v>73041010</v>
      </c>
      <c r="E660" s="28" t="s">
        <v>289</v>
      </c>
      <c r="F660" s="29" t="s">
        <v>290</v>
      </c>
      <c r="G660" s="30">
        <v>2</v>
      </c>
      <c r="H660" s="27" t="s">
        <v>232</v>
      </c>
      <c r="I660" s="26" t="s">
        <v>218</v>
      </c>
      <c r="J660" s="31">
        <f>21.5*6</f>
        <v>129</v>
      </c>
      <c r="K660" s="32">
        <f t="shared" si="30"/>
        <v>258</v>
      </c>
      <c r="L660" s="29" t="s">
        <v>290</v>
      </c>
      <c r="M660" s="27">
        <f>IFERROR(VLOOKUP(C660,Custo_MI_Device!$B$2:$E$102,3,FALSE),0)</f>
        <v>0</v>
      </c>
      <c r="N660" s="27">
        <f t="shared" si="31"/>
        <v>0</v>
      </c>
      <c r="O660" s="178">
        <f t="shared" si="32"/>
        <v>0</v>
      </c>
    </row>
    <row r="661" spans="1:15" ht="25.5" hidden="1">
      <c r="A661" s="25">
        <v>2125</v>
      </c>
      <c r="B661" s="25" t="s">
        <v>40</v>
      </c>
      <c r="C661" s="26" t="s">
        <v>44</v>
      </c>
      <c r="D661" s="27">
        <v>84818039</v>
      </c>
      <c r="E661" s="28" t="s">
        <v>301</v>
      </c>
      <c r="F661" s="29">
        <v>0</v>
      </c>
      <c r="G661" s="30">
        <v>4</v>
      </c>
      <c r="H661" s="27" t="s">
        <v>137</v>
      </c>
      <c r="I661" s="26" t="s">
        <v>220</v>
      </c>
      <c r="J661" s="31">
        <v>175</v>
      </c>
      <c r="K661" s="32">
        <f t="shared" si="30"/>
        <v>700</v>
      </c>
      <c r="L661" s="29" t="s">
        <v>302</v>
      </c>
      <c r="M661" s="27">
        <f>IFERROR(VLOOKUP(C661,Custo_MI_Device!$B$2:$E$102,3,FALSE),0)</f>
        <v>0</v>
      </c>
      <c r="N661" s="27">
        <f t="shared" si="31"/>
        <v>0</v>
      </c>
      <c r="O661" s="178">
        <f t="shared" si="32"/>
        <v>0</v>
      </c>
    </row>
    <row r="662" spans="1:15" ht="12.75" hidden="1">
      <c r="A662" s="25">
        <v>3778</v>
      </c>
      <c r="B662" s="25" t="s">
        <v>40</v>
      </c>
      <c r="C662" s="26" t="s">
        <v>45</v>
      </c>
      <c r="D662" s="27">
        <v>73072900</v>
      </c>
      <c r="E662" s="28" t="s">
        <v>310</v>
      </c>
      <c r="F662" s="29" t="s">
        <v>311</v>
      </c>
      <c r="G662" s="30">
        <v>24</v>
      </c>
      <c r="H662" s="27" t="s">
        <v>137</v>
      </c>
      <c r="I662" s="26" t="s">
        <v>256</v>
      </c>
      <c r="J662" s="31">
        <v>0.65</v>
      </c>
      <c r="K662" s="32">
        <f t="shared" si="30"/>
        <v>15.600000000000001</v>
      </c>
      <c r="L662" s="29" t="s">
        <v>311</v>
      </c>
      <c r="M662" s="27">
        <f>IFERROR(VLOOKUP(C662,Custo_MI_Device!$B$2:$E$102,3,FALSE),0)</f>
        <v>0</v>
      </c>
      <c r="N662" s="27">
        <f t="shared" si="31"/>
        <v>0</v>
      </c>
      <c r="O662" s="178">
        <f t="shared" si="32"/>
        <v>0</v>
      </c>
    </row>
    <row r="663" spans="1:15" ht="12.75" hidden="1">
      <c r="A663" s="25">
        <v>2534</v>
      </c>
      <c r="B663" s="25" t="s">
        <v>40</v>
      </c>
      <c r="C663" s="26" t="s">
        <v>45</v>
      </c>
      <c r="D663" s="27">
        <v>73072900</v>
      </c>
      <c r="E663" s="28" t="s">
        <v>314</v>
      </c>
      <c r="F663" s="29" t="s">
        <v>315</v>
      </c>
      <c r="G663" s="30">
        <v>12</v>
      </c>
      <c r="H663" s="27" t="s">
        <v>137</v>
      </c>
      <c r="I663" s="26" t="s">
        <v>256</v>
      </c>
      <c r="J663" s="31">
        <v>1.2</v>
      </c>
      <c r="K663" s="32">
        <f t="shared" si="30"/>
        <v>14.399999999999999</v>
      </c>
      <c r="L663" s="29" t="s">
        <v>315</v>
      </c>
      <c r="M663" s="27">
        <f>IFERROR(VLOOKUP(C663,Custo_MI_Device!$B$2:$E$102,3,FALSE),0)</f>
        <v>0</v>
      </c>
      <c r="N663" s="27">
        <f t="shared" si="31"/>
        <v>0</v>
      </c>
      <c r="O663" s="178">
        <f t="shared" si="32"/>
        <v>0</v>
      </c>
    </row>
    <row r="664" spans="1:15" ht="12.75" hidden="1">
      <c r="A664" s="25">
        <v>1669</v>
      </c>
      <c r="B664" s="25" t="s">
        <v>40</v>
      </c>
      <c r="C664" s="26" t="s">
        <v>45</v>
      </c>
      <c r="D664" s="27">
        <v>39269090</v>
      </c>
      <c r="E664" s="28" t="s">
        <v>316</v>
      </c>
      <c r="F664" s="29" t="s">
        <v>317</v>
      </c>
      <c r="G664" s="30">
        <v>3</v>
      </c>
      <c r="H664" s="27" t="s">
        <v>137</v>
      </c>
      <c r="I664" s="26" t="s">
        <v>318</v>
      </c>
      <c r="J664" s="31">
        <v>0.04</v>
      </c>
      <c r="K664" s="32">
        <f t="shared" si="30"/>
        <v>0.12</v>
      </c>
      <c r="L664" s="29" t="s">
        <v>317</v>
      </c>
      <c r="M664" s="27">
        <f>IFERROR(VLOOKUP(C664,Custo_MI_Device!$B$2:$E$102,3,FALSE),0)</f>
        <v>0</v>
      </c>
      <c r="N664" s="27">
        <f t="shared" si="31"/>
        <v>0</v>
      </c>
      <c r="O664" s="178">
        <f t="shared" si="32"/>
        <v>0</v>
      </c>
    </row>
    <row r="665" spans="1:15" ht="12.75" hidden="1">
      <c r="A665" s="25">
        <v>5091</v>
      </c>
      <c r="B665" s="25" t="s">
        <v>40</v>
      </c>
      <c r="C665" s="26" t="s">
        <v>45</v>
      </c>
      <c r="D665" s="27">
        <v>73181500</v>
      </c>
      <c r="E665" s="28" t="s">
        <v>323</v>
      </c>
      <c r="F665" s="29" t="s">
        <v>324</v>
      </c>
      <c r="G665" s="30">
        <v>24</v>
      </c>
      <c r="H665" s="27" t="s">
        <v>137</v>
      </c>
      <c r="I665" s="26" t="s">
        <v>256</v>
      </c>
      <c r="J665" s="31">
        <v>0.04</v>
      </c>
      <c r="K665" s="32">
        <f t="shared" si="30"/>
        <v>0.96</v>
      </c>
      <c r="L665" s="29" t="s">
        <v>324</v>
      </c>
      <c r="M665" s="27">
        <f>IFERROR(VLOOKUP(C665,Custo_MI_Device!$B$2:$E$102,3,FALSE),0)</f>
        <v>0</v>
      </c>
      <c r="N665" s="27">
        <f t="shared" si="31"/>
        <v>0</v>
      </c>
      <c r="O665" s="178">
        <f t="shared" si="32"/>
        <v>0</v>
      </c>
    </row>
    <row r="666" spans="1:15" ht="12.75" hidden="1">
      <c r="A666" s="25">
        <v>5091</v>
      </c>
      <c r="B666" s="25" t="s">
        <v>40</v>
      </c>
      <c r="C666" s="26" t="s">
        <v>45</v>
      </c>
      <c r="D666" s="27">
        <v>73181500</v>
      </c>
      <c r="E666" s="28" t="s">
        <v>323</v>
      </c>
      <c r="F666" s="29" t="s">
        <v>324</v>
      </c>
      <c r="G666" s="30">
        <v>48</v>
      </c>
      <c r="H666" s="27" t="s">
        <v>137</v>
      </c>
      <c r="I666" s="26" t="s">
        <v>256</v>
      </c>
      <c r="J666" s="31">
        <v>0.04</v>
      </c>
      <c r="K666" s="32">
        <f t="shared" si="30"/>
        <v>1.92</v>
      </c>
      <c r="L666" s="29" t="s">
        <v>324</v>
      </c>
      <c r="M666" s="27">
        <f>IFERROR(VLOOKUP(C666,Custo_MI_Device!$B$2:$E$102,3,FALSE),0)</f>
        <v>0</v>
      </c>
      <c r="N666" s="27">
        <f t="shared" si="31"/>
        <v>0</v>
      </c>
      <c r="O666" s="178">
        <f t="shared" si="32"/>
        <v>0</v>
      </c>
    </row>
    <row r="667" spans="1:15" ht="12.75" hidden="1">
      <c r="A667" s="25">
        <v>83</v>
      </c>
      <c r="B667" s="25" t="s">
        <v>40</v>
      </c>
      <c r="C667" s="26" t="s">
        <v>45</v>
      </c>
      <c r="D667" s="27"/>
      <c r="E667" s="28" t="s">
        <v>150</v>
      </c>
      <c r="F667" s="29" t="s">
        <v>148</v>
      </c>
      <c r="G667" s="30">
        <v>1</v>
      </c>
      <c r="H667" s="27" t="s">
        <v>137</v>
      </c>
      <c r="I667" s="26" t="s">
        <v>149</v>
      </c>
      <c r="J667" s="31">
        <v>4.8</v>
      </c>
      <c r="K667" s="32">
        <f t="shared" si="30"/>
        <v>4.8</v>
      </c>
      <c r="L667" s="29" t="s">
        <v>148</v>
      </c>
      <c r="M667" s="27">
        <f>IFERROR(VLOOKUP(C667,Custo_MI_Device!$B$2:$E$102,3,FALSE),0)</f>
        <v>0</v>
      </c>
      <c r="N667" s="27">
        <f t="shared" si="31"/>
        <v>0</v>
      </c>
      <c r="O667" s="178">
        <f t="shared" si="32"/>
        <v>0</v>
      </c>
    </row>
    <row r="668" spans="1:15" ht="12.75" hidden="1">
      <c r="A668" s="25">
        <v>3080</v>
      </c>
      <c r="B668" s="25" t="s">
        <v>40</v>
      </c>
      <c r="C668" s="26" t="s">
        <v>45</v>
      </c>
      <c r="D668" s="27">
        <v>74122000</v>
      </c>
      <c r="E668" s="28" t="s">
        <v>153</v>
      </c>
      <c r="F668" s="29" t="s">
        <v>154</v>
      </c>
      <c r="G668" s="30">
        <v>1</v>
      </c>
      <c r="H668" s="27" t="s">
        <v>137</v>
      </c>
      <c r="I668" s="26" t="s">
        <v>155</v>
      </c>
      <c r="J668" s="31">
        <v>3.3</v>
      </c>
      <c r="K668" s="32">
        <f t="shared" si="30"/>
        <v>3.3</v>
      </c>
      <c r="L668" s="29" t="s">
        <v>154</v>
      </c>
      <c r="M668" s="27">
        <f>IFERROR(VLOOKUP(C668,Custo_MI_Device!$B$2:$E$102,3,FALSE),0)</f>
        <v>0</v>
      </c>
      <c r="N668" s="27">
        <f t="shared" si="31"/>
        <v>0</v>
      </c>
      <c r="O668" s="178">
        <f t="shared" si="32"/>
        <v>0</v>
      </c>
    </row>
    <row r="669" spans="1:15" ht="38.25" hidden="1">
      <c r="A669" s="25">
        <v>3585</v>
      </c>
      <c r="B669" s="25" t="s">
        <v>40</v>
      </c>
      <c r="C669" s="26" t="s">
        <v>45</v>
      </c>
      <c r="D669" s="27">
        <v>85444900</v>
      </c>
      <c r="E669" s="28" t="s">
        <v>328</v>
      </c>
      <c r="F669" s="29">
        <v>900400</v>
      </c>
      <c r="G669" s="30">
        <v>50</v>
      </c>
      <c r="H669" s="27" t="s">
        <v>158</v>
      </c>
      <c r="I669" s="26" t="s">
        <v>164</v>
      </c>
      <c r="J669" s="31">
        <v>1.7</v>
      </c>
      <c r="K669" s="32">
        <f t="shared" si="30"/>
        <v>85</v>
      </c>
      <c r="L669" s="29">
        <v>900400</v>
      </c>
      <c r="M669" s="27">
        <f>IFERROR(VLOOKUP(C669,Custo_MI_Device!$B$2:$E$102,3,FALSE),0)</f>
        <v>0</v>
      </c>
      <c r="N669" s="27">
        <f t="shared" si="31"/>
        <v>0</v>
      </c>
      <c r="O669" s="178">
        <f t="shared" si="32"/>
        <v>0</v>
      </c>
    </row>
    <row r="670" spans="1:15" ht="12.75" hidden="1">
      <c r="A670" s="25">
        <v>2805</v>
      </c>
      <c r="B670" s="25" t="s">
        <v>40</v>
      </c>
      <c r="C670" s="26" t="s">
        <v>45</v>
      </c>
      <c r="D670" s="27">
        <v>72162100</v>
      </c>
      <c r="E670" s="28" t="s">
        <v>174</v>
      </c>
      <c r="F670" s="29">
        <v>0</v>
      </c>
      <c r="G670" s="30">
        <v>2.9</v>
      </c>
      <c r="H670" s="27" t="s">
        <v>175</v>
      </c>
      <c r="I670" s="26" t="s">
        <v>176</v>
      </c>
      <c r="J670" s="31">
        <v>4.22</v>
      </c>
      <c r="K670" s="32">
        <f t="shared" si="30"/>
        <v>12.238</v>
      </c>
      <c r="L670" s="29" t="s">
        <v>177</v>
      </c>
      <c r="M670" s="27">
        <f>IFERROR(VLOOKUP(C670,Custo_MI_Device!$B$2:$E$102,3,FALSE),0)</f>
        <v>0</v>
      </c>
      <c r="N670" s="27">
        <f t="shared" si="31"/>
        <v>0</v>
      </c>
      <c r="O670" s="178">
        <f t="shared" si="32"/>
        <v>0</v>
      </c>
    </row>
    <row r="671" spans="1:15" ht="25.5" hidden="1">
      <c r="A671" s="25">
        <v>3738</v>
      </c>
      <c r="B671" s="25" t="s">
        <v>40</v>
      </c>
      <c r="C671" s="26" t="s">
        <v>45</v>
      </c>
      <c r="D671" s="27">
        <v>73071100</v>
      </c>
      <c r="E671" s="28" t="s">
        <v>205</v>
      </c>
      <c r="F671" s="29" t="s">
        <v>206</v>
      </c>
      <c r="G671" s="30">
        <v>0.75</v>
      </c>
      <c r="H671" s="27" t="s">
        <v>137</v>
      </c>
      <c r="I671" s="26" t="s">
        <v>149</v>
      </c>
      <c r="J671" s="31">
        <v>27</v>
      </c>
      <c r="K671" s="32">
        <f t="shared" si="30"/>
        <v>20.25</v>
      </c>
      <c r="L671" s="29" t="s">
        <v>206</v>
      </c>
      <c r="M671" s="27">
        <f>IFERROR(VLOOKUP(C671,Custo_MI_Device!$B$2:$E$102,3,FALSE),0)</f>
        <v>0</v>
      </c>
      <c r="N671" s="27">
        <f t="shared" si="31"/>
        <v>0</v>
      </c>
      <c r="O671" s="178">
        <f t="shared" si="32"/>
        <v>0</v>
      </c>
    </row>
    <row r="672" spans="1:15" ht="25.5" hidden="1">
      <c r="A672" s="25">
        <v>1710</v>
      </c>
      <c r="B672" s="25" t="s">
        <v>40</v>
      </c>
      <c r="C672" s="26" t="s">
        <v>45</v>
      </c>
      <c r="D672" s="27">
        <v>73071100</v>
      </c>
      <c r="E672" s="28" t="s">
        <v>207</v>
      </c>
      <c r="F672" s="29" t="s">
        <v>208</v>
      </c>
      <c r="G672" s="30">
        <v>0.75</v>
      </c>
      <c r="H672" s="27" t="s">
        <v>137</v>
      </c>
      <c r="I672" s="26" t="s">
        <v>149</v>
      </c>
      <c r="J672" s="31">
        <v>27</v>
      </c>
      <c r="K672" s="32">
        <f t="shared" si="30"/>
        <v>20.25</v>
      </c>
      <c r="L672" s="29" t="s">
        <v>208</v>
      </c>
      <c r="M672" s="27">
        <f>IFERROR(VLOOKUP(C672,Custo_MI_Device!$B$2:$E$102,3,FALSE),0)</f>
        <v>0</v>
      </c>
      <c r="N672" s="27">
        <f t="shared" si="31"/>
        <v>0</v>
      </c>
      <c r="O672" s="178">
        <f t="shared" si="32"/>
        <v>0</v>
      </c>
    </row>
    <row r="673" spans="1:15" ht="25.5" hidden="1">
      <c r="A673" s="25">
        <v>1715</v>
      </c>
      <c r="B673" s="25" t="s">
        <v>40</v>
      </c>
      <c r="C673" s="26" t="s">
        <v>45</v>
      </c>
      <c r="D673" s="27">
        <v>73071100</v>
      </c>
      <c r="E673" s="28" t="s">
        <v>209</v>
      </c>
      <c r="F673" s="29" t="s">
        <v>210</v>
      </c>
      <c r="G673" s="30">
        <v>0.75</v>
      </c>
      <c r="H673" s="27" t="s">
        <v>137</v>
      </c>
      <c r="I673" s="26" t="s">
        <v>149</v>
      </c>
      <c r="J673" s="31">
        <v>27</v>
      </c>
      <c r="K673" s="32">
        <f t="shared" si="30"/>
        <v>20.25</v>
      </c>
      <c r="L673" s="29" t="s">
        <v>210</v>
      </c>
      <c r="M673" s="27">
        <f>IFERROR(VLOOKUP(C673,Custo_MI_Device!$B$2:$E$102,3,FALSE),0)</f>
        <v>0</v>
      </c>
      <c r="N673" s="27">
        <f t="shared" si="31"/>
        <v>0</v>
      </c>
      <c r="O673" s="178">
        <f t="shared" si="32"/>
        <v>0</v>
      </c>
    </row>
    <row r="674" spans="1:15" ht="25.5" hidden="1">
      <c r="A674" s="25">
        <v>2909</v>
      </c>
      <c r="B674" s="25" t="s">
        <v>40</v>
      </c>
      <c r="C674" s="26" t="s">
        <v>45</v>
      </c>
      <c r="D674" s="27">
        <v>73072200</v>
      </c>
      <c r="E674" s="28" t="s">
        <v>216</v>
      </c>
      <c r="F674" s="29" t="s">
        <v>217</v>
      </c>
      <c r="G674" s="30">
        <v>4</v>
      </c>
      <c r="H674" s="27" t="s">
        <v>137</v>
      </c>
      <c r="I674" s="26" t="s">
        <v>218</v>
      </c>
      <c r="J674" s="31">
        <v>27.7</v>
      </c>
      <c r="K674" s="32">
        <f t="shared" si="30"/>
        <v>110.8</v>
      </c>
      <c r="L674" s="29" t="s">
        <v>217</v>
      </c>
      <c r="M674" s="27">
        <f>IFERROR(VLOOKUP(C674,Custo_MI_Device!$B$2:$E$102,3,FALSE),0)</f>
        <v>0</v>
      </c>
      <c r="N674" s="27">
        <f t="shared" si="31"/>
        <v>0</v>
      </c>
      <c r="O674" s="178">
        <f t="shared" si="32"/>
        <v>0</v>
      </c>
    </row>
    <row r="675" spans="1:15" ht="25.5" hidden="1">
      <c r="A675" s="25">
        <v>2300</v>
      </c>
      <c r="B675" s="25" t="s">
        <v>40</v>
      </c>
      <c r="C675" s="26" t="s">
        <v>45</v>
      </c>
      <c r="D675" s="27">
        <v>73072200</v>
      </c>
      <c r="E675" s="28" t="s">
        <v>222</v>
      </c>
      <c r="F675" s="29" t="s">
        <v>223</v>
      </c>
      <c r="G675" s="30">
        <v>1</v>
      </c>
      <c r="H675" s="27" t="s">
        <v>137</v>
      </c>
      <c r="I675" s="26" t="s">
        <v>218</v>
      </c>
      <c r="J675" s="31">
        <v>41</v>
      </c>
      <c r="K675" s="32">
        <f t="shared" si="30"/>
        <v>41</v>
      </c>
      <c r="L675" s="29" t="s">
        <v>223</v>
      </c>
      <c r="M675" s="27">
        <f>IFERROR(VLOOKUP(C675,Custo_MI_Device!$B$2:$E$102,3,FALSE),0)</f>
        <v>0</v>
      </c>
      <c r="N675" s="27">
        <f t="shared" si="31"/>
        <v>0</v>
      </c>
      <c r="O675" s="178">
        <f t="shared" si="32"/>
        <v>0</v>
      </c>
    </row>
    <row r="676" spans="1:15" ht="25.5" hidden="1">
      <c r="A676" s="25">
        <v>2864</v>
      </c>
      <c r="B676" s="25" t="s">
        <v>40</v>
      </c>
      <c r="C676" s="26" t="s">
        <v>45</v>
      </c>
      <c r="D676" s="27">
        <v>73072200</v>
      </c>
      <c r="E676" s="28" t="s">
        <v>226</v>
      </c>
      <c r="F676" s="29">
        <v>0</v>
      </c>
      <c r="G676" s="30">
        <v>2</v>
      </c>
      <c r="H676" s="27" t="s">
        <v>137</v>
      </c>
      <c r="I676" s="26" t="s">
        <v>220</v>
      </c>
      <c r="J676" s="31">
        <v>65</v>
      </c>
      <c r="K676" s="32">
        <f t="shared" si="30"/>
        <v>130</v>
      </c>
      <c r="L676" s="29" t="s">
        <v>227</v>
      </c>
      <c r="M676" s="27">
        <f>IFERROR(VLOOKUP(C676,Custo_MI_Device!$B$2:$E$102,3,FALSE),0)</f>
        <v>0</v>
      </c>
      <c r="N676" s="27">
        <f t="shared" si="31"/>
        <v>0</v>
      </c>
      <c r="O676" s="178">
        <f t="shared" si="32"/>
        <v>0</v>
      </c>
    </row>
    <row r="677" spans="1:15" ht="25.5" hidden="1">
      <c r="A677" s="25">
        <v>3417</v>
      </c>
      <c r="B677" s="25" t="s">
        <v>40</v>
      </c>
      <c r="C677" s="26" t="s">
        <v>45</v>
      </c>
      <c r="D677" s="27">
        <v>73063000</v>
      </c>
      <c r="E677" s="28" t="s">
        <v>231</v>
      </c>
      <c r="F677" s="29">
        <v>0</v>
      </c>
      <c r="G677" s="30">
        <v>2</v>
      </c>
      <c r="H677" s="27" t="s">
        <v>232</v>
      </c>
      <c r="I677" s="26" t="s">
        <v>233</v>
      </c>
      <c r="J677" s="31">
        <v>33.47</v>
      </c>
      <c r="K677" s="32">
        <f t="shared" si="30"/>
        <v>66.94</v>
      </c>
      <c r="L677" s="29" t="s">
        <v>234</v>
      </c>
      <c r="M677" s="27">
        <f>IFERROR(VLOOKUP(C677,Custo_MI_Device!$B$2:$E$102,3,FALSE),0)</f>
        <v>0</v>
      </c>
      <c r="N677" s="27">
        <f t="shared" si="31"/>
        <v>0</v>
      </c>
      <c r="O677" s="178">
        <f t="shared" si="32"/>
        <v>0</v>
      </c>
    </row>
    <row r="678" spans="1:15" ht="12.75" hidden="1">
      <c r="A678" s="25">
        <v>3316</v>
      </c>
      <c r="B678" s="25" t="s">
        <v>40</v>
      </c>
      <c r="C678" s="26" t="s">
        <v>45</v>
      </c>
      <c r="D678" s="27">
        <v>0</v>
      </c>
      <c r="E678" s="28" t="s">
        <v>246</v>
      </c>
      <c r="F678" s="29" t="s">
        <v>247</v>
      </c>
      <c r="G678" s="30">
        <v>2</v>
      </c>
      <c r="H678" s="27" t="s">
        <v>137</v>
      </c>
      <c r="I678" s="26" t="s">
        <v>248</v>
      </c>
      <c r="J678" s="31">
        <v>5.5</v>
      </c>
      <c r="K678" s="32">
        <f t="shared" si="30"/>
        <v>11</v>
      </c>
      <c r="L678" s="29" t="s">
        <v>247</v>
      </c>
      <c r="M678" s="27">
        <f>IFERROR(VLOOKUP(C678,Custo_MI_Device!$B$2:$E$102,3,FALSE),0)</f>
        <v>0</v>
      </c>
      <c r="N678" s="27">
        <f t="shared" si="31"/>
        <v>0</v>
      </c>
      <c r="O678" s="178">
        <f t="shared" si="32"/>
        <v>0</v>
      </c>
    </row>
    <row r="679" spans="1:15" ht="25.5" hidden="1">
      <c r="A679" s="25">
        <v>1900</v>
      </c>
      <c r="B679" s="25" t="s">
        <v>40</v>
      </c>
      <c r="C679" s="26" t="s">
        <v>45</v>
      </c>
      <c r="D679" s="27">
        <v>73072200</v>
      </c>
      <c r="E679" s="28" t="s">
        <v>249</v>
      </c>
      <c r="F679" s="29" t="s">
        <v>250</v>
      </c>
      <c r="G679" s="30">
        <v>3</v>
      </c>
      <c r="H679" s="27" t="s">
        <v>137</v>
      </c>
      <c r="I679" s="26" t="s">
        <v>218</v>
      </c>
      <c r="J679" s="31">
        <v>27</v>
      </c>
      <c r="K679" s="32">
        <f t="shared" si="30"/>
        <v>81</v>
      </c>
      <c r="L679" s="29" t="s">
        <v>250</v>
      </c>
      <c r="M679" s="27">
        <f>IFERROR(VLOOKUP(C679,Custo_MI_Device!$B$2:$E$102,3,FALSE),0)</f>
        <v>0</v>
      </c>
      <c r="N679" s="27">
        <f t="shared" si="31"/>
        <v>0</v>
      </c>
      <c r="O679" s="178">
        <f t="shared" si="32"/>
        <v>0</v>
      </c>
    </row>
    <row r="680" spans="1:15" ht="12.75" hidden="1">
      <c r="A680" s="25">
        <v>1965</v>
      </c>
      <c r="B680" s="25" t="s">
        <v>40</v>
      </c>
      <c r="C680" s="26" t="s">
        <v>45</v>
      </c>
      <c r="D680" s="27">
        <v>73071100</v>
      </c>
      <c r="E680" s="28" t="s">
        <v>251</v>
      </c>
      <c r="F680" s="29" t="s">
        <v>252</v>
      </c>
      <c r="G680" s="30">
        <v>1</v>
      </c>
      <c r="H680" s="27" t="s">
        <v>137</v>
      </c>
      <c r="I680" s="26" t="s">
        <v>253</v>
      </c>
      <c r="J680" s="31">
        <v>5.5</v>
      </c>
      <c r="K680" s="32">
        <f t="shared" si="30"/>
        <v>5.5</v>
      </c>
      <c r="L680" s="29" t="s">
        <v>252</v>
      </c>
      <c r="M680" s="27">
        <f>IFERROR(VLOOKUP(C680,Custo_MI_Device!$B$2:$E$102,3,FALSE),0)</f>
        <v>0</v>
      </c>
      <c r="N680" s="27">
        <f t="shared" si="31"/>
        <v>0</v>
      </c>
      <c r="O680" s="178">
        <f t="shared" si="32"/>
        <v>0</v>
      </c>
    </row>
    <row r="681" spans="1:15" ht="12.75" hidden="1">
      <c r="A681" s="25">
        <v>3274</v>
      </c>
      <c r="B681" s="25" t="s">
        <v>40</v>
      </c>
      <c r="C681" s="26" t="s">
        <v>45</v>
      </c>
      <c r="D681" s="27">
        <v>73181500</v>
      </c>
      <c r="E681" s="28" t="s">
        <v>265</v>
      </c>
      <c r="F681" s="29" t="s">
        <v>266</v>
      </c>
      <c r="G681" s="30">
        <v>24</v>
      </c>
      <c r="H681" s="27" t="s">
        <v>137</v>
      </c>
      <c r="I681" s="26" t="s">
        <v>256</v>
      </c>
      <c r="J681" s="31">
        <v>0.06</v>
      </c>
      <c r="K681" s="32">
        <f t="shared" si="30"/>
        <v>1.44</v>
      </c>
      <c r="L681" s="29" t="s">
        <v>266</v>
      </c>
      <c r="M681" s="27">
        <f>IFERROR(VLOOKUP(C681,Custo_MI_Device!$B$2:$E$102,3,FALSE),0)</f>
        <v>0</v>
      </c>
      <c r="N681" s="27">
        <f t="shared" si="31"/>
        <v>0</v>
      </c>
      <c r="O681" s="178">
        <f t="shared" si="32"/>
        <v>0</v>
      </c>
    </row>
    <row r="682" spans="1:15" ht="12.75" hidden="1">
      <c r="A682" s="25">
        <v>3274</v>
      </c>
      <c r="B682" s="25" t="s">
        <v>40</v>
      </c>
      <c r="C682" s="26" t="s">
        <v>45</v>
      </c>
      <c r="D682" s="27">
        <v>73181500</v>
      </c>
      <c r="E682" s="28" t="s">
        <v>265</v>
      </c>
      <c r="F682" s="29" t="s">
        <v>266</v>
      </c>
      <c r="G682" s="30">
        <v>48</v>
      </c>
      <c r="H682" s="27" t="s">
        <v>137</v>
      </c>
      <c r="I682" s="26" t="s">
        <v>256</v>
      </c>
      <c r="J682" s="31">
        <v>0.06</v>
      </c>
      <c r="K682" s="32">
        <f t="shared" si="30"/>
        <v>2.88</v>
      </c>
      <c r="L682" s="29" t="s">
        <v>266</v>
      </c>
      <c r="M682" s="27">
        <f>IFERROR(VLOOKUP(C682,Custo_MI_Device!$B$2:$E$102,3,FALSE),0)</f>
        <v>0</v>
      </c>
      <c r="N682" s="27">
        <f t="shared" si="31"/>
        <v>0</v>
      </c>
      <c r="O682" s="178">
        <f t="shared" si="32"/>
        <v>0</v>
      </c>
    </row>
    <row r="683" spans="1:15" ht="25.5" hidden="1">
      <c r="A683" s="25">
        <v>3199</v>
      </c>
      <c r="B683" s="25" t="s">
        <v>40</v>
      </c>
      <c r="C683" s="26" t="s">
        <v>45</v>
      </c>
      <c r="D683" s="27">
        <v>90262090</v>
      </c>
      <c r="E683" s="28" t="s">
        <v>268</v>
      </c>
      <c r="F683" s="29">
        <v>0</v>
      </c>
      <c r="G683" s="33">
        <v>0</v>
      </c>
      <c r="H683" s="27" t="s">
        <v>137</v>
      </c>
      <c r="I683" s="26" t="s">
        <v>220</v>
      </c>
      <c r="J683" s="31">
        <v>650</v>
      </c>
      <c r="K683" s="32">
        <f t="shared" si="30"/>
        <v>0</v>
      </c>
      <c r="L683" s="29" t="s">
        <v>269</v>
      </c>
      <c r="M683" s="27">
        <f>IFERROR(VLOOKUP(C683,Custo_MI_Device!$B$2:$E$102,3,FALSE),0)</f>
        <v>0</v>
      </c>
      <c r="N683" s="27">
        <f t="shared" si="31"/>
        <v>0</v>
      </c>
      <c r="O683" s="178">
        <f t="shared" si="32"/>
        <v>0</v>
      </c>
    </row>
    <row r="684" spans="1:15" ht="12.75" hidden="1">
      <c r="A684" s="25">
        <v>5081</v>
      </c>
      <c r="B684" s="25" t="s">
        <v>40</v>
      </c>
      <c r="C684" s="26" t="s">
        <v>45</v>
      </c>
      <c r="D684" s="27">
        <v>73145000</v>
      </c>
      <c r="E684" s="28" t="s">
        <v>278</v>
      </c>
      <c r="F684" s="29">
        <v>0</v>
      </c>
      <c r="G684" s="30">
        <v>1</v>
      </c>
      <c r="H684" s="27" t="s">
        <v>137</v>
      </c>
      <c r="I684" s="26" t="s">
        <v>279</v>
      </c>
      <c r="J684" s="31">
        <v>23</v>
      </c>
      <c r="K684" s="32">
        <f t="shared" si="30"/>
        <v>23</v>
      </c>
      <c r="L684" s="29" t="s">
        <v>280</v>
      </c>
      <c r="M684" s="27">
        <f>IFERROR(VLOOKUP(C684,Custo_MI_Device!$B$2:$E$102,3,FALSE),0)</f>
        <v>0</v>
      </c>
      <c r="N684" s="27">
        <f t="shared" si="31"/>
        <v>0</v>
      </c>
      <c r="O684" s="178">
        <f t="shared" si="32"/>
        <v>0</v>
      </c>
    </row>
    <row r="685" spans="1:15" ht="25.5" hidden="1">
      <c r="A685" s="25">
        <v>2973</v>
      </c>
      <c r="B685" s="25" t="s">
        <v>40</v>
      </c>
      <c r="C685" s="26" t="s">
        <v>45</v>
      </c>
      <c r="D685" s="27">
        <v>73072200</v>
      </c>
      <c r="E685" s="28" t="s">
        <v>281</v>
      </c>
      <c r="F685" s="29" t="s">
        <v>282</v>
      </c>
      <c r="G685" s="30">
        <v>2</v>
      </c>
      <c r="H685" s="27" t="s">
        <v>137</v>
      </c>
      <c r="I685" s="26" t="s">
        <v>218</v>
      </c>
      <c r="J685" s="31">
        <v>29</v>
      </c>
      <c r="K685" s="32">
        <f t="shared" si="30"/>
        <v>58</v>
      </c>
      <c r="L685" s="29" t="s">
        <v>282</v>
      </c>
      <c r="M685" s="27">
        <f>IFERROR(VLOOKUP(C685,Custo_MI_Device!$B$2:$E$102,3,FALSE),0)</f>
        <v>0</v>
      </c>
      <c r="N685" s="27">
        <f t="shared" si="31"/>
        <v>0</v>
      </c>
      <c r="O685" s="178">
        <f t="shared" si="32"/>
        <v>0</v>
      </c>
    </row>
    <row r="686" spans="1:15" ht="25.5" hidden="1">
      <c r="A686" s="25">
        <v>5194</v>
      </c>
      <c r="B686" s="25" t="s">
        <v>40</v>
      </c>
      <c r="C686" s="26" t="s">
        <v>45</v>
      </c>
      <c r="D686" s="27">
        <v>73041010</v>
      </c>
      <c r="E686" s="28" t="s">
        <v>289</v>
      </c>
      <c r="F686" s="29" t="s">
        <v>290</v>
      </c>
      <c r="G686" s="30">
        <v>2</v>
      </c>
      <c r="H686" s="27" t="s">
        <v>232</v>
      </c>
      <c r="I686" s="26" t="s">
        <v>218</v>
      </c>
      <c r="J686" s="31">
        <f>21.5*6</f>
        <v>129</v>
      </c>
      <c r="K686" s="32">
        <f t="shared" si="30"/>
        <v>258</v>
      </c>
      <c r="L686" s="29" t="s">
        <v>290</v>
      </c>
      <c r="M686" s="27">
        <f>IFERROR(VLOOKUP(C686,Custo_MI_Device!$B$2:$E$102,3,FALSE),0)</f>
        <v>0</v>
      </c>
      <c r="N686" s="27">
        <f t="shared" si="31"/>
        <v>0</v>
      </c>
      <c r="O686" s="178">
        <f t="shared" si="32"/>
        <v>0</v>
      </c>
    </row>
    <row r="687" spans="1:15" ht="25.5" hidden="1">
      <c r="A687" s="25">
        <v>5147</v>
      </c>
      <c r="B687" s="25" t="s">
        <v>40</v>
      </c>
      <c r="C687" s="26" t="s">
        <v>45</v>
      </c>
      <c r="D687" s="27">
        <v>83079000</v>
      </c>
      <c r="E687" s="28" t="s">
        <v>293</v>
      </c>
      <c r="F687" s="29" t="s">
        <v>294</v>
      </c>
      <c r="G687" s="30">
        <v>1</v>
      </c>
      <c r="H687" s="27" t="s">
        <v>137</v>
      </c>
      <c r="I687" s="26" t="s">
        <v>180</v>
      </c>
      <c r="J687" s="31">
        <v>155</v>
      </c>
      <c r="K687" s="32">
        <f t="shared" si="30"/>
        <v>155</v>
      </c>
      <c r="L687" s="29" t="s">
        <v>294</v>
      </c>
      <c r="M687" s="27">
        <f>IFERROR(VLOOKUP(C687,Custo_MI_Device!$B$2:$E$102,3,FALSE),0)</f>
        <v>0</v>
      </c>
      <c r="N687" s="27">
        <f t="shared" si="31"/>
        <v>0</v>
      </c>
      <c r="O687" s="178">
        <f t="shared" si="32"/>
        <v>0</v>
      </c>
    </row>
    <row r="688" spans="1:15" ht="25.5" hidden="1">
      <c r="A688" s="25">
        <v>4834</v>
      </c>
      <c r="B688" s="25" t="s">
        <v>40</v>
      </c>
      <c r="C688" s="26" t="s">
        <v>45</v>
      </c>
      <c r="D688" s="27">
        <v>73071100</v>
      </c>
      <c r="E688" s="28" t="s">
        <v>299</v>
      </c>
      <c r="F688" s="29" t="s">
        <v>300</v>
      </c>
      <c r="G688" s="30">
        <v>1</v>
      </c>
      <c r="H688" s="27" t="s">
        <v>137</v>
      </c>
      <c r="I688" s="26" t="s">
        <v>149</v>
      </c>
      <c r="J688" s="31">
        <v>28</v>
      </c>
      <c r="K688" s="32">
        <f t="shared" si="30"/>
        <v>28</v>
      </c>
      <c r="L688" s="29" t="s">
        <v>300</v>
      </c>
      <c r="M688" s="27">
        <f>IFERROR(VLOOKUP(C688,Custo_MI_Device!$B$2:$E$102,3,FALSE),0)</f>
        <v>0</v>
      </c>
      <c r="N688" s="27">
        <f t="shared" si="31"/>
        <v>0</v>
      </c>
      <c r="O688" s="178">
        <f t="shared" si="32"/>
        <v>0</v>
      </c>
    </row>
    <row r="689" spans="1:15" ht="25.5" hidden="1">
      <c r="A689" s="25">
        <v>2125</v>
      </c>
      <c r="B689" s="25" t="s">
        <v>40</v>
      </c>
      <c r="C689" s="26" t="s">
        <v>45</v>
      </c>
      <c r="D689" s="27">
        <v>84818039</v>
      </c>
      <c r="E689" s="28" t="s">
        <v>301</v>
      </c>
      <c r="F689" s="29">
        <v>0</v>
      </c>
      <c r="G689" s="30">
        <v>4</v>
      </c>
      <c r="H689" s="27" t="s">
        <v>137</v>
      </c>
      <c r="I689" s="26" t="s">
        <v>220</v>
      </c>
      <c r="J689" s="31">
        <v>175</v>
      </c>
      <c r="K689" s="32">
        <f t="shared" si="30"/>
        <v>700</v>
      </c>
      <c r="L689" s="29" t="s">
        <v>302</v>
      </c>
      <c r="M689" s="27">
        <f>IFERROR(VLOOKUP(C689,Custo_MI_Device!$B$2:$E$102,3,FALSE),0)</f>
        <v>0</v>
      </c>
      <c r="N689" s="27">
        <f t="shared" si="31"/>
        <v>0</v>
      </c>
      <c r="O689" s="178">
        <f t="shared" si="32"/>
        <v>0</v>
      </c>
    </row>
    <row r="690" spans="1:15" ht="12.75" hidden="1">
      <c r="A690" s="25">
        <v>3778</v>
      </c>
      <c r="B690" s="25" t="s">
        <v>40</v>
      </c>
      <c r="C690" s="26" t="s">
        <v>46</v>
      </c>
      <c r="D690" s="27">
        <v>73072900</v>
      </c>
      <c r="E690" s="28" t="s">
        <v>310</v>
      </c>
      <c r="F690" s="29" t="s">
        <v>311</v>
      </c>
      <c r="G690" s="30">
        <v>24</v>
      </c>
      <c r="H690" s="27" t="s">
        <v>137</v>
      </c>
      <c r="I690" s="26" t="s">
        <v>256</v>
      </c>
      <c r="J690" s="31">
        <v>0.65</v>
      </c>
      <c r="K690" s="32">
        <f t="shared" si="30"/>
        <v>15.600000000000001</v>
      </c>
      <c r="L690" s="29" t="s">
        <v>311</v>
      </c>
      <c r="M690" s="27">
        <f>IFERROR(VLOOKUP(C690,Custo_MI_Device!$B$2:$E$102,3,FALSE),0)</f>
        <v>0</v>
      </c>
      <c r="N690" s="27">
        <f t="shared" si="31"/>
        <v>0</v>
      </c>
      <c r="O690" s="178">
        <f t="shared" si="32"/>
        <v>0</v>
      </c>
    </row>
    <row r="691" spans="1:15" ht="12.75" hidden="1">
      <c r="A691" s="25">
        <v>2534</v>
      </c>
      <c r="B691" s="25" t="s">
        <v>40</v>
      </c>
      <c r="C691" s="26" t="s">
        <v>46</v>
      </c>
      <c r="D691" s="27">
        <v>73072900</v>
      </c>
      <c r="E691" s="28" t="s">
        <v>314</v>
      </c>
      <c r="F691" s="29" t="s">
        <v>315</v>
      </c>
      <c r="G691" s="30">
        <v>12</v>
      </c>
      <c r="H691" s="27" t="s">
        <v>137</v>
      </c>
      <c r="I691" s="26" t="s">
        <v>256</v>
      </c>
      <c r="J691" s="31">
        <v>1.2</v>
      </c>
      <c r="K691" s="32">
        <f t="shared" si="30"/>
        <v>14.399999999999999</v>
      </c>
      <c r="L691" s="29" t="s">
        <v>315</v>
      </c>
      <c r="M691" s="27">
        <f>IFERROR(VLOOKUP(C691,Custo_MI_Device!$B$2:$E$102,3,FALSE),0)</f>
        <v>0</v>
      </c>
      <c r="N691" s="27">
        <f t="shared" si="31"/>
        <v>0</v>
      </c>
      <c r="O691" s="178">
        <f t="shared" si="32"/>
        <v>0</v>
      </c>
    </row>
    <row r="692" spans="1:15" ht="12.75" hidden="1">
      <c r="A692" s="25">
        <v>1669</v>
      </c>
      <c r="B692" s="25" t="s">
        <v>40</v>
      </c>
      <c r="C692" s="26" t="s">
        <v>46</v>
      </c>
      <c r="D692" s="27">
        <v>39269090</v>
      </c>
      <c r="E692" s="28" t="s">
        <v>316</v>
      </c>
      <c r="F692" s="29" t="s">
        <v>317</v>
      </c>
      <c r="G692" s="30">
        <v>3</v>
      </c>
      <c r="H692" s="27" t="s">
        <v>137</v>
      </c>
      <c r="I692" s="26" t="s">
        <v>318</v>
      </c>
      <c r="J692" s="31">
        <v>0.04</v>
      </c>
      <c r="K692" s="32">
        <f t="shared" si="30"/>
        <v>0.12</v>
      </c>
      <c r="L692" s="29" t="s">
        <v>317</v>
      </c>
      <c r="M692" s="27">
        <f>IFERROR(VLOOKUP(C692,Custo_MI_Device!$B$2:$E$102,3,FALSE),0)</f>
        <v>0</v>
      </c>
      <c r="N692" s="27">
        <f t="shared" si="31"/>
        <v>0</v>
      </c>
      <c r="O692" s="178">
        <f t="shared" si="32"/>
        <v>0</v>
      </c>
    </row>
    <row r="693" spans="1:15" ht="12.75" hidden="1">
      <c r="A693" s="25">
        <v>5091</v>
      </c>
      <c r="B693" s="25" t="s">
        <v>40</v>
      </c>
      <c r="C693" s="26" t="s">
        <v>46</v>
      </c>
      <c r="D693" s="27">
        <v>73181500</v>
      </c>
      <c r="E693" s="28" t="s">
        <v>323</v>
      </c>
      <c r="F693" s="29" t="s">
        <v>324</v>
      </c>
      <c r="G693" s="30">
        <v>24</v>
      </c>
      <c r="H693" s="27" t="s">
        <v>137</v>
      </c>
      <c r="I693" s="26" t="s">
        <v>256</v>
      </c>
      <c r="J693" s="31">
        <v>0.04</v>
      </c>
      <c r="K693" s="32">
        <f t="shared" si="30"/>
        <v>0.96</v>
      </c>
      <c r="L693" s="29" t="s">
        <v>324</v>
      </c>
      <c r="M693" s="27">
        <f>IFERROR(VLOOKUP(C693,Custo_MI_Device!$B$2:$E$102,3,FALSE),0)</f>
        <v>0</v>
      </c>
      <c r="N693" s="27">
        <f t="shared" si="31"/>
        <v>0</v>
      </c>
      <c r="O693" s="178">
        <f t="shared" si="32"/>
        <v>0</v>
      </c>
    </row>
    <row r="694" spans="1:15" ht="12.75" hidden="1">
      <c r="A694" s="25">
        <v>5091</v>
      </c>
      <c r="B694" s="25" t="s">
        <v>40</v>
      </c>
      <c r="C694" s="26" t="s">
        <v>46</v>
      </c>
      <c r="D694" s="27">
        <v>73181500</v>
      </c>
      <c r="E694" s="28" t="s">
        <v>323</v>
      </c>
      <c r="F694" s="29" t="s">
        <v>324</v>
      </c>
      <c r="G694" s="30">
        <v>48</v>
      </c>
      <c r="H694" s="27" t="s">
        <v>137</v>
      </c>
      <c r="I694" s="26" t="s">
        <v>256</v>
      </c>
      <c r="J694" s="31">
        <v>0.04</v>
      </c>
      <c r="K694" s="32">
        <f t="shared" si="30"/>
        <v>1.92</v>
      </c>
      <c r="L694" s="29" t="s">
        <v>324</v>
      </c>
      <c r="M694" s="27">
        <f>IFERROR(VLOOKUP(C694,Custo_MI_Device!$B$2:$E$102,3,FALSE),0)</f>
        <v>0</v>
      </c>
      <c r="N694" s="27">
        <f t="shared" si="31"/>
        <v>0</v>
      </c>
      <c r="O694" s="178">
        <f t="shared" si="32"/>
        <v>0</v>
      </c>
    </row>
    <row r="695" spans="1:15" ht="12.75" hidden="1">
      <c r="A695" s="25">
        <v>83</v>
      </c>
      <c r="B695" s="25" t="s">
        <v>40</v>
      </c>
      <c r="C695" s="26" t="s">
        <v>46</v>
      </c>
      <c r="D695" s="27"/>
      <c r="E695" s="28" t="s">
        <v>150</v>
      </c>
      <c r="F695" s="29" t="s">
        <v>148</v>
      </c>
      <c r="G695" s="30">
        <v>1</v>
      </c>
      <c r="H695" s="27" t="s">
        <v>137</v>
      </c>
      <c r="I695" s="26" t="s">
        <v>149</v>
      </c>
      <c r="J695" s="31">
        <v>4.8</v>
      </c>
      <c r="K695" s="32">
        <f t="shared" si="30"/>
        <v>4.8</v>
      </c>
      <c r="L695" s="29" t="s">
        <v>148</v>
      </c>
      <c r="M695" s="27">
        <f>IFERROR(VLOOKUP(C695,Custo_MI_Device!$B$2:$E$102,3,FALSE),0)</f>
        <v>0</v>
      </c>
      <c r="N695" s="27">
        <f t="shared" si="31"/>
        <v>0</v>
      </c>
      <c r="O695" s="178">
        <f t="shared" si="32"/>
        <v>0</v>
      </c>
    </row>
    <row r="696" spans="1:15" ht="12.75" hidden="1">
      <c r="A696" s="25">
        <v>3080</v>
      </c>
      <c r="B696" s="25" t="s">
        <v>40</v>
      </c>
      <c r="C696" s="26" t="s">
        <v>46</v>
      </c>
      <c r="D696" s="27">
        <v>74122000</v>
      </c>
      <c r="E696" s="28" t="s">
        <v>153</v>
      </c>
      <c r="F696" s="29" t="s">
        <v>154</v>
      </c>
      <c r="G696" s="30">
        <v>1</v>
      </c>
      <c r="H696" s="27" t="s">
        <v>137</v>
      </c>
      <c r="I696" s="26" t="s">
        <v>155</v>
      </c>
      <c r="J696" s="31">
        <v>3.3</v>
      </c>
      <c r="K696" s="32">
        <f t="shared" si="30"/>
        <v>3.3</v>
      </c>
      <c r="L696" s="29" t="s">
        <v>154</v>
      </c>
      <c r="M696" s="27">
        <f>IFERROR(VLOOKUP(C696,Custo_MI_Device!$B$2:$E$102,3,FALSE),0)</f>
        <v>0</v>
      </c>
      <c r="N696" s="27">
        <f t="shared" si="31"/>
        <v>0</v>
      </c>
      <c r="O696" s="178">
        <f t="shared" si="32"/>
        <v>0</v>
      </c>
    </row>
    <row r="697" spans="1:15" ht="25.5" hidden="1">
      <c r="A697" s="25">
        <v>5139</v>
      </c>
      <c r="B697" s="25" t="s">
        <v>40</v>
      </c>
      <c r="C697" s="26" t="s">
        <v>46</v>
      </c>
      <c r="D697" s="27">
        <v>85444900</v>
      </c>
      <c r="E697" s="28" t="s">
        <v>170</v>
      </c>
      <c r="F697" s="29" t="s">
        <v>171</v>
      </c>
      <c r="G697" s="30">
        <v>15</v>
      </c>
      <c r="H697" s="27" t="s">
        <v>158</v>
      </c>
      <c r="I697" s="26" t="s">
        <v>172</v>
      </c>
      <c r="J697" s="31">
        <v>7.5</v>
      </c>
      <c r="K697" s="32">
        <f t="shared" si="30"/>
        <v>112.5</v>
      </c>
      <c r="L697" s="29" t="s">
        <v>173</v>
      </c>
      <c r="M697" s="27">
        <f>IFERROR(VLOOKUP(C697,Custo_MI_Device!$B$2:$E$102,3,FALSE),0)</f>
        <v>0</v>
      </c>
      <c r="N697" s="27">
        <f t="shared" si="31"/>
        <v>0</v>
      </c>
      <c r="O697" s="178">
        <f t="shared" si="32"/>
        <v>0</v>
      </c>
    </row>
    <row r="698" spans="1:15" ht="12.75" hidden="1">
      <c r="A698" s="25">
        <v>2805</v>
      </c>
      <c r="B698" s="25" t="s">
        <v>40</v>
      </c>
      <c r="C698" s="26" t="s">
        <v>46</v>
      </c>
      <c r="D698" s="27">
        <v>72162100</v>
      </c>
      <c r="E698" s="28" t="s">
        <v>174</v>
      </c>
      <c r="F698" s="29">
        <v>0</v>
      </c>
      <c r="G698" s="30">
        <v>2.9</v>
      </c>
      <c r="H698" s="27" t="s">
        <v>175</v>
      </c>
      <c r="I698" s="26" t="s">
        <v>176</v>
      </c>
      <c r="J698" s="31">
        <v>4.22</v>
      </c>
      <c r="K698" s="32">
        <f t="shared" si="30"/>
        <v>12.238</v>
      </c>
      <c r="L698" s="29" t="s">
        <v>177</v>
      </c>
      <c r="M698" s="27">
        <f>IFERROR(VLOOKUP(C698,Custo_MI_Device!$B$2:$E$102,3,FALSE),0)</f>
        <v>0</v>
      </c>
      <c r="N698" s="27">
        <f t="shared" si="31"/>
        <v>0</v>
      </c>
      <c r="O698" s="178">
        <f t="shared" si="32"/>
        <v>0</v>
      </c>
    </row>
    <row r="699" spans="1:15" ht="25.5" hidden="1">
      <c r="A699" s="25">
        <v>3738</v>
      </c>
      <c r="B699" s="25" t="s">
        <v>40</v>
      </c>
      <c r="C699" s="26" t="s">
        <v>46</v>
      </c>
      <c r="D699" s="27">
        <v>73071100</v>
      </c>
      <c r="E699" s="28" t="s">
        <v>205</v>
      </c>
      <c r="F699" s="29" t="s">
        <v>206</v>
      </c>
      <c r="G699" s="30">
        <v>0.75</v>
      </c>
      <c r="H699" s="27" t="s">
        <v>137</v>
      </c>
      <c r="I699" s="26" t="s">
        <v>149</v>
      </c>
      <c r="J699" s="31">
        <v>27</v>
      </c>
      <c r="K699" s="32">
        <f t="shared" si="30"/>
        <v>20.25</v>
      </c>
      <c r="L699" s="29" t="s">
        <v>206</v>
      </c>
      <c r="M699" s="27">
        <f>IFERROR(VLOOKUP(C699,Custo_MI_Device!$B$2:$E$102,3,FALSE),0)</f>
        <v>0</v>
      </c>
      <c r="N699" s="27">
        <f t="shared" si="31"/>
        <v>0</v>
      </c>
      <c r="O699" s="178">
        <f t="shared" si="32"/>
        <v>0</v>
      </c>
    </row>
    <row r="700" spans="1:15" ht="25.5" hidden="1">
      <c r="A700" s="25">
        <v>1710</v>
      </c>
      <c r="B700" s="25" t="s">
        <v>40</v>
      </c>
      <c r="C700" s="26" t="s">
        <v>46</v>
      </c>
      <c r="D700" s="27">
        <v>73071100</v>
      </c>
      <c r="E700" s="28" t="s">
        <v>207</v>
      </c>
      <c r="F700" s="29" t="s">
        <v>208</v>
      </c>
      <c r="G700" s="30">
        <v>0.75</v>
      </c>
      <c r="H700" s="27" t="s">
        <v>137</v>
      </c>
      <c r="I700" s="26" t="s">
        <v>149</v>
      </c>
      <c r="J700" s="31">
        <v>27</v>
      </c>
      <c r="K700" s="32">
        <f t="shared" si="30"/>
        <v>20.25</v>
      </c>
      <c r="L700" s="29" t="s">
        <v>208</v>
      </c>
      <c r="M700" s="27">
        <f>IFERROR(VLOOKUP(C700,Custo_MI_Device!$B$2:$E$102,3,FALSE),0)</f>
        <v>0</v>
      </c>
      <c r="N700" s="27">
        <f t="shared" si="31"/>
        <v>0</v>
      </c>
      <c r="O700" s="178">
        <f t="shared" si="32"/>
        <v>0</v>
      </c>
    </row>
    <row r="701" spans="1:15" ht="25.5" hidden="1">
      <c r="A701" s="25">
        <v>1715</v>
      </c>
      <c r="B701" s="25" t="s">
        <v>40</v>
      </c>
      <c r="C701" s="26" t="s">
        <v>46</v>
      </c>
      <c r="D701" s="27">
        <v>73071100</v>
      </c>
      <c r="E701" s="28" t="s">
        <v>209</v>
      </c>
      <c r="F701" s="29" t="s">
        <v>210</v>
      </c>
      <c r="G701" s="30">
        <v>0.75</v>
      </c>
      <c r="H701" s="27" t="s">
        <v>137</v>
      </c>
      <c r="I701" s="26" t="s">
        <v>149</v>
      </c>
      <c r="J701" s="31">
        <v>27</v>
      </c>
      <c r="K701" s="32">
        <f t="shared" si="30"/>
        <v>20.25</v>
      </c>
      <c r="L701" s="29" t="s">
        <v>210</v>
      </c>
      <c r="M701" s="27">
        <f>IFERROR(VLOOKUP(C701,Custo_MI_Device!$B$2:$E$102,3,FALSE),0)</f>
        <v>0</v>
      </c>
      <c r="N701" s="27">
        <f t="shared" si="31"/>
        <v>0</v>
      </c>
      <c r="O701" s="178">
        <f t="shared" si="32"/>
        <v>0</v>
      </c>
    </row>
    <row r="702" spans="1:15" ht="25.5" hidden="1">
      <c r="A702" s="25">
        <v>2909</v>
      </c>
      <c r="B702" s="25" t="s">
        <v>40</v>
      </c>
      <c r="C702" s="26" t="s">
        <v>46</v>
      </c>
      <c r="D702" s="27">
        <v>73072200</v>
      </c>
      <c r="E702" s="28" t="s">
        <v>216</v>
      </c>
      <c r="F702" s="29" t="s">
        <v>217</v>
      </c>
      <c r="G702" s="30">
        <v>4</v>
      </c>
      <c r="H702" s="27" t="s">
        <v>137</v>
      </c>
      <c r="I702" s="26" t="s">
        <v>218</v>
      </c>
      <c r="J702" s="31">
        <v>27.7</v>
      </c>
      <c r="K702" s="32">
        <f t="shared" si="30"/>
        <v>110.8</v>
      </c>
      <c r="L702" s="29" t="s">
        <v>217</v>
      </c>
      <c r="M702" s="27">
        <f>IFERROR(VLOOKUP(C702,Custo_MI_Device!$B$2:$E$102,3,FALSE),0)</f>
        <v>0</v>
      </c>
      <c r="N702" s="27">
        <f t="shared" si="31"/>
        <v>0</v>
      </c>
      <c r="O702" s="178">
        <f t="shared" si="32"/>
        <v>0</v>
      </c>
    </row>
    <row r="703" spans="1:15" ht="25.5" hidden="1">
      <c r="A703" s="25">
        <v>2300</v>
      </c>
      <c r="B703" s="25" t="s">
        <v>40</v>
      </c>
      <c r="C703" s="26" t="s">
        <v>46</v>
      </c>
      <c r="D703" s="27">
        <v>73072200</v>
      </c>
      <c r="E703" s="28" t="s">
        <v>222</v>
      </c>
      <c r="F703" s="29" t="s">
        <v>223</v>
      </c>
      <c r="G703" s="30">
        <v>1</v>
      </c>
      <c r="H703" s="27" t="s">
        <v>137</v>
      </c>
      <c r="I703" s="26" t="s">
        <v>218</v>
      </c>
      <c r="J703" s="31">
        <v>41</v>
      </c>
      <c r="K703" s="32">
        <f t="shared" si="30"/>
        <v>41</v>
      </c>
      <c r="L703" s="29" t="s">
        <v>223</v>
      </c>
      <c r="M703" s="27">
        <f>IFERROR(VLOOKUP(C703,Custo_MI_Device!$B$2:$E$102,3,FALSE),0)</f>
        <v>0</v>
      </c>
      <c r="N703" s="27">
        <f t="shared" si="31"/>
        <v>0</v>
      </c>
      <c r="O703" s="178">
        <f t="shared" si="32"/>
        <v>0</v>
      </c>
    </row>
    <row r="704" spans="1:15" ht="25.5" hidden="1">
      <c r="A704" s="25">
        <v>2864</v>
      </c>
      <c r="B704" s="25" t="s">
        <v>40</v>
      </c>
      <c r="C704" s="26" t="s">
        <v>46</v>
      </c>
      <c r="D704" s="27">
        <v>73072200</v>
      </c>
      <c r="E704" s="28" t="s">
        <v>226</v>
      </c>
      <c r="F704" s="29">
        <v>0</v>
      </c>
      <c r="G704" s="30">
        <v>2</v>
      </c>
      <c r="H704" s="27" t="s">
        <v>137</v>
      </c>
      <c r="I704" s="26" t="s">
        <v>220</v>
      </c>
      <c r="J704" s="31">
        <v>65</v>
      </c>
      <c r="K704" s="32">
        <f t="shared" si="30"/>
        <v>130</v>
      </c>
      <c r="L704" s="29" t="s">
        <v>227</v>
      </c>
      <c r="M704" s="27">
        <f>IFERROR(VLOOKUP(C704,Custo_MI_Device!$B$2:$E$102,3,FALSE),0)</f>
        <v>0</v>
      </c>
      <c r="N704" s="27">
        <f t="shared" si="31"/>
        <v>0</v>
      </c>
      <c r="O704" s="178">
        <f t="shared" si="32"/>
        <v>0</v>
      </c>
    </row>
    <row r="705" spans="1:15" ht="25.5" hidden="1">
      <c r="A705" s="25">
        <v>3417</v>
      </c>
      <c r="B705" s="25" t="s">
        <v>40</v>
      </c>
      <c r="C705" s="26" t="s">
        <v>46</v>
      </c>
      <c r="D705" s="27">
        <v>73063000</v>
      </c>
      <c r="E705" s="28" t="s">
        <v>231</v>
      </c>
      <c r="F705" s="29">
        <v>0</v>
      </c>
      <c r="G705" s="30">
        <v>2</v>
      </c>
      <c r="H705" s="27" t="s">
        <v>232</v>
      </c>
      <c r="I705" s="26" t="s">
        <v>233</v>
      </c>
      <c r="J705" s="31">
        <v>33.47</v>
      </c>
      <c r="K705" s="32">
        <f t="shared" si="30"/>
        <v>66.94</v>
      </c>
      <c r="L705" s="29" t="s">
        <v>234</v>
      </c>
      <c r="M705" s="27">
        <f>IFERROR(VLOOKUP(C705,Custo_MI_Device!$B$2:$E$102,3,FALSE),0)</f>
        <v>0</v>
      </c>
      <c r="N705" s="27">
        <f t="shared" si="31"/>
        <v>0</v>
      </c>
      <c r="O705" s="178">
        <f t="shared" si="32"/>
        <v>0</v>
      </c>
    </row>
    <row r="706" spans="1:15" ht="12.75" hidden="1">
      <c r="A706" s="25">
        <v>3316</v>
      </c>
      <c r="B706" s="25" t="s">
        <v>40</v>
      </c>
      <c r="C706" s="26" t="s">
        <v>46</v>
      </c>
      <c r="D706" s="27">
        <v>0</v>
      </c>
      <c r="E706" s="28" t="s">
        <v>246</v>
      </c>
      <c r="F706" s="29" t="s">
        <v>247</v>
      </c>
      <c r="G706" s="30">
        <v>2</v>
      </c>
      <c r="H706" s="27" t="s">
        <v>137</v>
      </c>
      <c r="I706" s="26" t="s">
        <v>248</v>
      </c>
      <c r="J706" s="31">
        <v>5.5</v>
      </c>
      <c r="K706" s="32">
        <f t="shared" si="30"/>
        <v>11</v>
      </c>
      <c r="L706" s="29" t="s">
        <v>247</v>
      </c>
      <c r="M706" s="27">
        <f>IFERROR(VLOOKUP(C706,Custo_MI_Device!$B$2:$E$102,3,FALSE),0)</f>
        <v>0</v>
      </c>
      <c r="N706" s="27">
        <f t="shared" si="31"/>
        <v>0</v>
      </c>
      <c r="O706" s="178">
        <f t="shared" si="32"/>
        <v>0</v>
      </c>
    </row>
    <row r="707" spans="1:15" ht="25.5" hidden="1">
      <c r="A707" s="25">
        <v>1900</v>
      </c>
      <c r="B707" s="25" t="s">
        <v>40</v>
      </c>
      <c r="C707" s="26" t="s">
        <v>46</v>
      </c>
      <c r="D707" s="27">
        <v>73072200</v>
      </c>
      <c r="E707" s="28" t="s">
        <v>249</v>
      </c>
      <c r="F707" s="29" t="s">
        <v>250</v>
      </c>
      <c r="G707" s="30">
        <v>3</v>
      </c>
      <c r="H707" s="27" t="s">
        <v>137</v>
      </c>
      <c r="I707" s="26" t="s">
        <v>218</v>
      </c>
      <c r="J707" s="31">
        <v>27</v>
      </c>
      <c r="K707" s="32">
        <f t="shared" ref="K707:K770" si="33">G707*J707</f>
        <v>81</v>
      </c>
      <c r="L707" s="29" t="s">
        <v>250</v>
      </c>
      <c r="M707" s="27">
        <f>IFERROR(VLOOKUP(C707,Custo_MI_Device!$B$2:$E$102,3,FALSE),0)</f>
        <v>0</v>
      </c>
      <c r="N707" s="27">
        <f t="shared" ref="N707:N770" si="34">ROUNDUP(M707*G707,0)</f>
        <v>0</v>
      </c>
      <c r="O707" s="178">
        <f t="shared" ref="O707:O770" si="35">N707*J707</f>
        <v>0</v>
      </c>
    </row>
    <row r="708" spans="1:15" ht="12.75" hidden="1">
      <c r="A708" s="25">
        <v>1965</v>
      </c>
      <c r="B708" s="25" t="s">
        <v>40</v>
      </c>
      <c r="C708" s="26" t="s">
        <v>46</v>
      </c>
      <c r="D708" s="27">
        <v>73071100</v>
      </c>
      <c r="E708" s="28" t="s">
        <v>251</v>
      </c>
      <c r="F708" s="29" t="s">
        <v>252</v>
      </c>
      <c r="G708" s="30">
        <v>1</v>
      </c>
      <c r="H708" s="27" t="s">
        <v>137</v>
      </c>
      <c r="I708" s="26" t="s">
        <v>253</v>
      </c>
      <c r="J708" s="31">
        <v>5.5</v>
      </c>
      <c r="K708" s="32">
        <f t="shared" si="33"/>
        <v>5.5</v>
      </c>
      <c r="L708" s="29" t="s">
        <v>252</v>
      </c>
      <c r="M708" s="27">
        <f>IFERROR(VLOOKUP(C708,Custo_MI_Device!$B$2:$E$102,3,FALSE),0)</f>
        <v>0</v>
      </c>
      <c r="N708" s="27">
        <f t="shared" si="34"/>
        <v>0</v>
      </c>
      <c r="O708" s="178">
        <f t="shared" si="35"/>
        <v>0</v>
      </c>
    </row>
    <row r="709" spans="1:15" ht="12.75" hidden="1">
      <c r="A709" s="25">
        <v>3274</v>
      </c>
      <c r="B709" s="25" t="s">
        <v>40</v>
      </c>
      <c r="C709" s="26" t="s">
        <v>46</v>
      </c>
      <c r="D709" s="27">
        <v>73181500</v>
      </c>
      <c r="E709" s="28" t="s">
        <v>265</v>
      </c>
      <c r="F709" s="29" t="s">
        <v>266</v>
      </c>
      <c r="G709" s="30">
        <v>24</v>
      </c>
      <c r="H709" s="27" t="s">
        <v>137</v>
      </c>
      <c r="I709" s="26" t="s">
        <v>256</v>
      </c>
      <c r="J709" s="31">
        <v>0.06</v>
      </c>
      <c r="K709" s="32">
        <f t="shared" si="33"/>
        <v>1.44</v>
      </c>
      <c r="L709" s="29" t="s">
        <v>266</v>
      </c>
      <c r="M709" s="27">
        <f>IFERROR(VLOOKUP(C709,Custo_MI_Device!$B$2:$E$102,3,FALSE),0)</f>
        <v>0</v>
      </c>
      <c r="N709" s="27">
        <f t="shared" si="34"/>
        <v>0</v>
      </c>
      <c r="O709" s="178">
        <f t="shared" si="35"/>
        <v>0</v>
      </c>
    </row>
    <row r="710" spans="1:15" ht="12.75" hidden="1">
      <c r="A710" s="25">
        <v>3274</v>
      </c>
      <c r="B710" s="25" t="s">
        <v>40</v>
      </c>
      <c r="C710" s="26" t="s">
        <v>46</v>
      </c>
      <c r="D710" s="27">
        <v>73181500</v>
      </c>
      <c r="E710" s="28" t="s">
        <v>265</v>
      </c>
      <c r="F710" s="29" t="s">
        <v>266</v>
      </c>
      <c r="G710" s="30">
        <v>48</v>
      </c>
      <c r="H710" s="27" t="s">
        <v>137</v>
      </c>
      <c r="I710" s="26" t="s">
        <v>256</v>
      </c>
      <c r="J710" s="31">
        <v>0.06</v>
      </c>
      <c r="K710" s="32">
        <f t="shared" si="33"/>
        <v>2.88</v>
      </c>
      <c r="L710" s="29" t="s">
        <v>266</v>
      </c>
      <c r="M710" s="27">
        <f>IFERROR(VLOOKUP(C710,Custo_MI_Device!$B$2:$E$102,3,FALSE),0)</f>
        <v>0</v>
      </c>
      <c r="N710" s="27">
        <f t="shared" si="34"/>
        <v>0</v>
      </c>
      <c r="O710" s="178">
        <f t="shared" si="35"/>
        <v>0</v>
      </c>
    </row>
    <row r="711" spans="1:15" ht="25.5" hidden="1">
      <c r="A711" s="25">
        <v>3199</v>
      </c>
      <c r="B711" s="25" t="s">
        <v>40</v>
      </c>
      <c r="C711" s="26" t="s">
        <v>46</v>
      </c>
      <c r="D711" s="27">
        <v>90262090</v>
      </c>
      <c r="E711" s="28" t="s">
        <v>268</v>
      </c>
      <c r="F711" s="29">
        <v>0</v>
      </c>
      <c r="G711" s="33">
        <v>0</v>
      </c>
      <c r="H711" s="27" t="s">
        <v>137</v>
      </c>
      <c r="I711" s="26" t="s">
        <v>220</v>
      </c>
      <c r="J711" s="31">
        <v>650</v>
      </c>
      <c r="K711" s="32">
        <f t="shared" si="33"/>
        <v>0</v>
      </c>
      <c r="L711" s="29" t="s">
        <v>269</v>
      </c>
      <c r="M711" s="27">
        <f>IFERROR(VLOOKUP(C711,Custo_MI_Device!$B$2:$E$102,3,FALSE),0)</f>
        <v>0</v>
      </c>
      <c r="N711" s="27">
        <f t="shared" si="34"/>
        <v>0</v>
      </c>
      <c r="O711" s="178">
        <f t="shared" si="35"/>
        <v>0</v>
      </c>
    </row>
    <row r="712" spans="1:15" ht="12.75" hidden="1">
      <c r="A712" s="25">
        <v>5081</v>
      </c>
      <c r="B712" s="25" t="s">
        <v>40</v>
      </c>
      <c r="C712" s="26" t="s">
        <v>46</v>
      </c>
      <c r="D712" s="27">
        <v>73145000</v>
      </c>
      <c r="E712" s="28" t="s">
        <v>278</v>
      </c>
      <c r="F712" s="29">
        <v>0</v>
      </c>
      <c r="G712" s="30">
        <v>1</v>
      </c>
      <c r="H712" s="27" t="s">
        <v>137</v>
      </c>
      <c r="I712" s="26" t="s">
        <v>279</v>
      </c>
      <c r="J712" s="31">
        <v>23</v>
      </c>
      <c r="K712" s="32">
        <f t="shared" si="33"/>
        <v>23</v>
      </c>
      <c r="L712" s="29" t="s">
        <v>280</v>
      </c>
      <c r="M712" s="27">
        <f>IFERROR(VLOOKUP(C712,Custo_MI_Device!$B$2:$E$102,3,FALSE),0)</f>
        <v>0</v>
      </c>
      <c r="N712" s="27">
        <f t="shared" si="34"/>
        <v>0</v>
      </c>
      <c r="O712" s="178">
        <f t="shared" si="35"/>
        <v>0</v>
      </c>
    </row>
    <row r="713" spans="1:15" ht="25.5" hidden="1">
      <c r="A713" s="25">
        <v>2973</v>
      </c>
      <c r="B713" s="25" t="s">
        <v>40</v>
      </c>
      <c r="C713" s="26" t="s">
        <v>46</v>
      </c>
      <c r="D713" s="27">
        <v>73072200</v>
      </c>
      <c r="E713" s="28" t="s">
        <v>281</v>
      </c>
      <c r="F713" s="29" t="s">
        <v>282</v>
      </c>
      <c r="G713" s="30">
        <v>2</v>
      </c>
      <c r="H713" s="27" t="s">
        <v>137</v>
      </c>
      <c r="I713" s="26" t="s">
        <v>218</v>
      </c>
      <c r="J713" s="31">
        <v>29</v>
      </c>
      <c r="K713" s="32">
        <f t="shared" si="33"/>
        <v>58</v>
      </c>
      <c r="L713" s="29" t="s">
        <v>282</v>
      </c>
      <c r="M713" s="27">
        <f>IFERROR(VLOOKUP(C713,Custo_MI_Device!$B$2:$E$102,3,FALSE),0)</f>
        <v>0</v>
      </c>
      <c r="N713" s="27">
        <f t="shared" si="34"/>
        <v>0</v>
      </c>
      <c r="O713" s="178">
        <f t="shared" si="35"/>
        <v>0</v>
      </c>
    </row>
    <row r="714" spans="1:15" ht="25.5" hidden="1">
      <c r="A714" s="25">
        <v>5194</v>
      </c>
      <c r="B714" s="25" t="s">
        <v>40</v>
      </c>
      <c r="C714" s="26" t="s">
        <v>46</v>
      </c>
      <c r="D714" s="27">
        <v>73041010</v>
      </c>
      <c r="E714" s="28" t="s">
        <v>289</v>
      </c>
      <c r="F714" s="29" t="s">
        <v>290</v>
      </c>
      <c r="G714" s="30">
        <v>2</v>
      </c>
      <c r="H714" s="27" t="s">
        <v>232</v>
      </c>
      <c r="I714" s="26" t="s">
        <v>218</v>
      </c>
      <c r="J714" s="31">
        <f>21.5*6</f>
        <v>129</v>
      </c>
      <c r="K714" s="32">
        <f t="shared" si="33"/>
        <v>258</v>
      </c>
      <c r="L714" s="29" t="s">
        <v>290</v>
      </c>
      <c r="M714" s="27">
        <f>IFERROR(VLOOKUP(C714,Custo_MI_Device!$B$2:$E$102,3,FALSE),0)</f>
        <v>0</v>
      </c>
      <c r="N714" s="27">
        <f t="shared" si="34"/>
        <v>0</v>
      </c>
      <c r="O714" s="178">
        <f t="shared" si="35"/>
        <v>0</v>
      </c>
    </row>
    <row r="715" spans="1:15" ht="25.5" hidden="1">
      <c r="A715" s="25">
        <v>5147</v>
      </c>
      <c r="B715" s="25" t="s">
        <v>40</v>
      </c>
      <c r="C715" s="26" t="s">
        <v>46</v>
      </c>
      <c r="D715" s="27">
        <v>83079000</v>
      </c>
      <c r="E715" s="28" t="s">
        <v>293</v>
      </c>
      <c r="F715" s="29" t="s">
        <v>294</v>
      </c>
      <c r="G715" s="30">
        <v>1</v>
      </c>
      <c r="H715" s="27" t="s">
        <v>137</v>
      </c>
      <c r="I715" s="26" t="s">
        <v>180</v>
      </c>
      <c r="J715" s="31">
        <v>155</v>
      </c>
      <c r="K715" s="32">
        <f t="shared" si="33"/>
        <v>155</v>
      </c>
      <c r="L715" s="29" t="s">
        <v>294</v>
      </c>
      <c r="M715" s="27">
        <f>IFERROR(VLOOKUP(C715,Custo_MI_Device!$B$2:$E$102,3,FALSE),0)</f>
        <v>0</v>
      </c>
      <c r="N715" s="27">
        <f t="shared" si="34"/>
        <v>0</v>
      </c>
      <c r="O715" s="178">
        <f t="shared" si="35"/>
        <v>0</v>
      </c>
    </row>
    <row r="716" spans="1:15" ht="25.5" hidden="1">
      <c r="A716" s="25">
        <v>4834</v>
      </c>
      <c r="B716" s="25" t="s">
        <v>40</v>
      </c>
      <c r="C716" s="26" t="s">
        <v>46</v>
      </c>
      <c r="D716" s="27">
        <v>73071100</v>
      </c>
      <c r="E716" s="28" t="s">
        <v>299</v>
      </c>
      <c r="F716" s="29" t="s">
        <v>300</v>
      </c>
      <c r="G716" s="30">
        <v>1</v>
      </c>
      <c r="H716" s="27" t="s">
        <v>137</v>
      </c>
      <c r="I716" s="26" t="s">
        <v>149</v>
      </c>
      <c r="J716" s="31">
        <v>28</v>
      </c>
      <c r="K716" s="32">
        <f t="shared" si="33"/>
        <v>28</v>
      </c>
      <c r="L716" s="29" t="s">
        <v>300</v>
      </c>
      <c r="M716" s="27">
        <f>IFERROR(VLOOKUP(C716,Custo_MI_Device!$B$2:$E$102,3,FALSE),0)</f>
        <v>0</v>
      </c>
      <c r="N716" s="27">
        <f t="shared" si="34"/>
        <v>0</v>
      </c>
      <c r="O716" s="178">
        <f t="shared" si="35"/>
        <v>0</v>
      </c>
    </row>
    <row r="717" spans="1:15" ht="25.5" hidden="1">
      <c r="A717" s="25">
        <v>2125</v>
      </c>
      <c r="B717" s="25" t="s">
        <v>40</v>
      </c>
      <c r="C717" s="26" t="s">
        <v>46</v>
      </c>
      <c r="D717" s="27">
        <v>84818039</v>
      </c>
      <c r="E717" s="28" t="s">
        <v>301</v>
      </c>
      <c r="F717" s="29">
        <v>0</v>
      </c>
      <c r="G717" s="30">
        <v>4</v>
      </c>
      <c r="H717" s="27" t="s">
        <v>137</v>
      </c>
      <c r="I717" s="26" t="s">
        <v>220</v>
      </c>
      <c r="J717" s="31">
        <v>175</v>
      </c>
      <c r="K717" s="32">
        <f t="shared" si="33"/>
        <v>700</v>
      </c>
      <c r="L717" s="29" t="s">
        <v>302</v>
      </c>
      <c r="M717" s="27">
        <f>IFERROR(VLOOKUP(C717,Custo_MI_Device!$B$2:$E$102,3,FALSE),0)</f>
        <v>0</v>
      </c>
      <c r="N717" s="27">
        <f t="shared" si="34"/>
        <v>0</v>
      </c>
      <c r="O717" s="178">
        <f t="shared" si="35"/>
        <v>0</v>
      </c>
    </row>
    <row r="718" spans="1:15" ht="12.75" hidden="1">
      <c r="A718" s="25">
        <v>2534</v>
      </c>
      <c r="B718" s="25" t="s">
        <v>40</v>
      </c>
      <c r="C718" s="26" t="s">
        <v>47</v>
      </c>
      <c r="D718" s="27">
        <v>73072900</v>
      </c>
      <c r="E718" s="28" t="s">
        <v>314</v>
      </c>
      <c r="F718" s="29" t="s">
        <v>315</v>
      </c>
      <c r="G718" s="30">
        <v>12</v>
      </c>
      <c r="H718" s="27" t="s">
        <v>137</v>
      </c>
      <c r="I718" s="26" t="s">
        <v>256</v>
      </c>
      <c r="J718" s="31">
        <v>1.2</v>
      </c>
      <c r="K718" s="32">
        <f t="shared" si="33"/>
        <v>14.399999999999999</v>
      </c>
      <c r="L718" s="29" t="s">
        <v>315</v>
      </c>
      <c r="M718" s="27">
        <f>IFERROR(VLOOKUP(C718,Custo_MI_Device!$B$2:$E$102,3,FALSE),0)</f>
        <v>0</v>
      </c>
      <c r="N718" s="27">
        <f t="shared" si="34"/>
        <v>0</v>
      </c>
      <c r="O718" s="178">
        <f t="shared" si="35"/>
        <v>0</v>
      </c>
    </row>
    <row r="719" spans="1:15" ht="12.75" hidden="1">
      <c r="A719" s="25">
        <v>1669</v>
      </c>
      <c r="B719" s="25" t="s">
        <v>40</v>
      </c>
      <c r="C719" s="26" t="s">
        <v>47</v>
      </c>
      <c r="D719" s="27">
        <v>39269090</v>
      </c>
      <c r="E719" s="28" t="s">
        <v>316</v>
      </c>
      <c r="F719" s="29" t="s">
        <v>317</v>
      </c>
      <c r="G719" s="30">
        <v>3</v>
      </c>
      <c r="H719" s="27" t="s">
        <v>137</v>
      </c>
      <c r="I719" s="26" t="s">
        <v>318</v>
      </c>
      <c r="J719" s="31">
        <v>0.04</v>
      </c>
      <c r="K719" s="32">
        <f t="shared" si="33"/>
        <v>0.12</v>
      </c>
      <c r="L719" s="29" t="s">
        <v>317</v>
      </c>
      <c r="M719" s="27">
        <f>IFERROR(VLOOKUP(C719,Custo_MI_Device!$B$2:$E$102,3,FALSE),0)</f>
        <v>0</v>
      </c>
      <c r="N719" s="27">
        <f t="shared" si="34"/>
        <v>0</v>
      </c>
      <c r="O719" s="178">
        <f t="shared" si="35"/>
        <v>0</v>
      </c>
    </row>
    <row r="720" spans="1:15" ht="12.75" hidden="1">
      <c r="A720" s="25">
        <v>5091</v>
      </c>
      <c r="B720" s="25" t="s">
        <v>40</v>
      </c>
      <c r="C720" s="26" t="s">
        <v>47</v>
      </c>
      <c r="D720" s="27">
        <v>73181500</v>
      </c>
      <c r="E720" s="28" t="s">
        <v>323</v>
      </c>
      <c r="F720" s="29" t="s">
        <v>324</v>
      </c>
      <c r="G720" s="30">
        <v>24</v>
      </c>
      <c r="H720" s="27" t="s">
        <v>137</v>
      </c>
      <c r="I720" s="26" t="s">
        <v>256</v>
      </c>
      <c r="J720" s="31">
        <v>0.04</v>
      </c>
      <c r="K720" s="32">
        <f t="shared" si="33"/>
        <v>0.96</v>
      </c>
      <c r="L720" s="29" t="s">
        <v>324</v>
      </c>
      <c r="M720" s="27">
        <f>IFERROR(VLOOKUP(C720,Custo_MI_Device!$B$2:$E$102,3,FALSE),0)</f>
        <v>0</v>
      </c>
      <c r="N720" s="27">
        <f t="shared" si="34"/>
        <v>0</v>
      </c>
      <c r="O720" s="178">
        <f t="shared" si="35"/>
        <v>0</v>
      </c>
    </row>
    <row r="721" spans="1:15" ht="12.75" hidden="1">
      <c r="A721" s="25">
        <v>1117</v>
      </c>
      <c r="B721" s="25" t="s">
        <v>40</v>
      </c>
      <c r="C721" s="26" t="s">
        <v>47</v>
      </c>
      <c r="D721" s="27"/>
      <c r="E721" s="28" t="s">
        <v>145</v>
      </c>
      <c r="F721" s="29" t="s">
        <v>146</v>
      </c>
      <c r="G721" s="30">
        <v>1</v>
      </c>
      <c r="H721" s="27" t="s">
        <v>137</v>
      </c>
      <c r="I721" s="26" t="s">
        <v>138</v>
      </c>
      <c r="J721" s="31">
        <v>1.95</v>
      </c>
      <c r="K721" s="32">
        <f t="shared" si="33"/>
        <v>1.95</v>
      </c>
      <c r="L721" s="29" t="s">
        <v>146</v>
      </c>
      <c r="M721" s="27">
        <f>IFERROR(VLOOKUP(C721,Custo_MI_Device!$B$2:$E$102,3,FALSE),0)</f>
        <v>0</v>
      </c>
      <c r="N721" s="27">
        <f t="shared" si="34"/>
        <v>0</v>
      </c>
      <c r="O721" s="178">
        <f t="shared" si="35"/>
        <v>0</v>
      </c>
    </row>
    <row r="722" spans="1:15" ht="12.75" hidden="1">
      <c r="A722" s="25">
        <v>3080</v>
      </c>
      <c r="B722" s="25" t="s">
        <v>40</v>
      </c>
      <c r="C722" s="26" t="s">
        <v>47</v>
      </c>
      <c r="D722" s="27">
        <v>74122000</v>
      </c>
      <c r="E722" s="28" t="s">
        <v>153</v>
      </c>
      <c r="F722" s="29" t="s">
        <v>154</v>
      </c>
      <c r="G722" s="30">
        <v>1</v>
      </c>
      <c r="H722" s="27" t="s">
        <v>137</v>
      </c>
      <c r="I722" s="26" t="s">
        <v>155</v>
      </c>
      <c r="J722" s="31">
        <v>3.3</v>
      </c>
      <c r="K722" s="32">
        <f t="shared" si="33"/>
        <v>3.3</v>
      </c>
      <c r="L722" s="29" t="s">
        <v>154</v>
      </c>
      <c r="M722" s="27">
        <f>IFERROR(VLOOKUP(C722,Custo_MI_Device!$B$2:$E$102,3,FALSE),0)</f>
        <v>0</v>
      </c>
      <c r="N722" s="27">
        <f t="shared" si="34"/>
        <v>0</v>
      </c>
      <c r="O722" s="178">
        <f t="shared" si="35"/>
        <v>0</v>
      </c>
    </row>
    <row r="723" spans="1:15" ht="38.25" hidden="1">
      <c r="A723" s="25">
        <v>3585</v>
      </c>
      <c r="B723" s="25" t="s">
        <v>40</v>
      </c>
      <c r="C723" s="26" t="s">
        <v>47</v>
      </c>
      <c r="D723" s="27">
        <v>85444900</v>
      </c>
      <c r="E723" s="28" t="s">
        <v>328</v>
      </c>
      <c r="F723" s="29">
        <v>900400</v>
      </c>
      <c r="G723" s="33">
        <v>0</v>
      </c>
      <c r="H723" s="27" t="s">
        <v>158</v>
      </c>
      <c r="I723" s="26" t="s">
        <v>164</v>
      </c>
      <c r="J723" s="31">
        <v>1.7</v>
      </c>
      <c r="K723" s="32">
        <f t="shared" si="33"/>
        <v>0</v>
      </c>
      <c r="L723" s="29">
        <v>900400</v>
      </c>
      <c r="M723" s="27">
        <f>IFERROR(VLOOKUP(C723,Custo_MI_Device!$B$2:$E$102,3,FALSE),0)</f>
        <v>0</v>
      </c>
      <c r="N723" s="27">
        <f t="shared" si="34"/>
        <v>0</v>
      </c>
      <c r="O723" s="178">
        <f t="shared" si="35"/>
        <v>0</v>
      </c>
    </row>
    <row r="724" spans="1:15" ht="12.75" hidden="1">
      <c r="A724" s="25">
        <v>2805</v>
      </c>
      <c r="B724" s="25" t="s">
        <v>40</v>
      </c>
      <c r="C724" s="26" t="s">
        <v>47</v>
      </c>
      <c r="D724" s="27">
        <v>72162100</v>
      </c>
      <c r="E724" s="28" t="s">
        <v>174</v>
      </c>
      <c r="F724" s="29">
        <v>0</v>
      </c>
      <c r="G724" s="30">
        <v>2.9</v>
      </c>
      <c r="H724" s="27" t="s">
        <v>175</v>
      </c>
      <c r="I724" s="26" t="s">
        <v>176</v>
      </c>
      <c r="J724" s="31">
        <v>4.22</v>
      </c>
      <c r="K724" s="32">
        <f t="shared" si="33"/>
        <v>12.238</v>
      </c>
      <c r="L724" s="29" t="s">
        <v>177</v>
      </c>
      <c r="M724" s="27">
        <f>IFERROR(VLOOKUP(C724,Custo_MI_Device!$B$2:$E$102,3,FALSE),0)</f>
        <v>0</v>
      </c>
      <c r="N724" s="27">
        <f t="shared" si="34"/>
        <v>0</v>
      </c>
      <c r="O724" s="178">
        <f t="shared" si="35"/>
        <v>0</v>
      </c>
    </row>
    <row r="725" spans="1:15" ht="12.75" hidden="1">
      <c r="A725" s="25">
        <v>2904</v>
      </c>
      <c r="B725" s="25" t="s">
        <v>40</v>
      </c>
      <c r="C725" s="26" t="s">
        <v>47</v>
      </c>
      <c r="D725" s="27">
        <v>76090000</v>
      </c>
      <c r="E725" s="28" t="s">
        <v>195</v>
      </c>
      <c r="F725" s="29" t="s">
        <v>196</v>
      </c>
      <c r="G725" s="30">
        <v>0.75</v>
      </c>
      <c r="H725" s="27" t="s">
        <v>137</v>
      </c>
      <c r="I725" s="26" t="s">
        <v>138</v>
      </c>
      <c r="J725" s="31">
        <v>6.7</v>
      </c>
      <c r="K725" s="32">
        <f t="shared" si="33"/>
        <v>5.0250000000000004</v>
      </c>
      <c r="L725" s="29" t="s">
        <v>196</v>
      </c>
      <c r="M725" s="27">
        <f>IFERROR(VLOOKUP(C725,Custo_MI_Device!$B$2:$E$102,3,FALSE),0)</f>
        <v>0</v>
      </c>
      <c r="N725" s="27">
        <f t="shared" si="34"/>
        <v>0</v>
      </c>
      <c r="O725" s="178">
        <f t="shared" si="35"/>
        <v>0</v>
      </c>
    </row>
    <row r="726" spans="1:15" ht="12.75" hidden="1">
      <c r="A726" s="25">
        <v>2911</v>
      </c>
      <c r="B726" s="25" t="s">
        <v>40</v>
      </c>
      <c r="C726" s="26" t="s">
        <v>47</v>
      </c>
      <c r="D726" s="27">
        <v>76090000</v>
      </c>
      <c r="E726" s="28" t="s">
        <v>197</v>
      </c>
      <c r="F726" s="29" t="s">
        <v>198</v>
      </c>
      <c r="G726" s="30">
        <v>0.75</v>
      </c>
      <c r="H726" s="27" t="s">
        <v>137</v>
      </c>
      <c r="I726" s="26" t="s">
        <v>138</v>
      </c>
      <c r="J726" s="31">
        <v>6.7</v>
      </c>
      <c r="K726" s="32">
        <f t="shared" si="33"/>
        <v>5.0250000000000004</v>
      </c>
      <c r="L726" s="29" t="s">
        <v>198</v>
      </c>
      <c r="M726" s="27">
        <f>IFERROR(VLOOKUP(C726,Custo_MI_Device!$B$2:$E$102,3,FALSE),0)</f>
        <v>0</v>
      </c>
      <c r="N726" s="27">
        <f t="shared" si="34"/>
        <v>0</v>
      </c>
      <c r="O726" s="178">
        <f t="shared" si="35"/>
        <v>0</v>
      </c>
    </row>
    <row r="727" spans="1:15" ht="12.75" hidden="1">
      <c r="A727" s="25">
        <v>4823</v>
      </c>
      <c r="B727" s="25" t="s">
        <v>40</v>
      </c>
      <c r="C727" s="26" t="s">
        <v>47</v>
      </c>
      <c r="D727" s="27">
        <v>76090000</v>
      </c>
      <c r="E727" s="28" t="s">
        <v>199</v>
      </c>
      <c r="F727" s="29" t="s">
        <v>200</v>
      </c>
      <c r="G727" s="30">
        <v>0.75</v>
      </c>
      <c r="H727" s="27" t="s">
        <v>137</v>
      </c>
      <c r="I727" s="26" t="s">
        <v>138</v>
      </c>
      <c r="J727" s="31">
        <v>6.7</v>
      </c>
      <c r="K727" s="32">
        <f t="shared" si="33"/>
        <v>5.0250000000000004</v>
      </c>
      <c r="L727" s="29" t="s">
        <v>200</v>
      </c>
      <c r="M727" s="27">
        <f>IFERROR(VLOOKUP(C727,Custo_MI_Device!$B$2:$E$102,3,FALSE),0)</f>
        <v>0</v>
      </c>
      <c r="N727" s="27">
        <f t="shared" si="34"/>
        <v>0</v>
      </c>
      <c r="O727" s="178">
        <f t="shared" si="35"/>
        <v>0</v>
      </c>
    </row>
    <row r="728" spans="1:15" ht="25.5" hidden="1">
      <c r="A728" s="25">
        <v>2909</v>
      </c>
      <c r="B728" s="25" t="s">
        <v>40</v>
      </c>
      <c r="C728" s="26" t="s">
        <v>47</v>
      </c>
      <c r="D728" s="27">
        <v>73072200</v>
      </c>
      <c r="E728" s="28" t="s">
        <v>216</v>
      </c>
      <c r="F728" s="29" t="s">
        <v>217</v>
      </c>
      <c r="G728" s="30">
        <v>2</v>
      </c>
      <c r="H728" s="27" t="s">
        <v>137</v>
      </c>
      <c r="I728" s="26" t="s">
        <v>218</v>
      </c>
      <c r="J728" s="31">
        <v>27.7</v>
      </c>
      <c r="K728" s="32">
        <f t="shared" si="33"/>
        <v>55.4</v>
      </c>
      <c r="L728" s="29" t="s">
        <v>217</v>
      </c>
      <c r="M728" s="27">
        <f>IFERROR(VLOOKUP(C728,Custo_MI_Device!$B$2:$E$102,3,FALSE),0)</f>
        <v>0</v>
      </c>
      <c r="N728" s="27">
        <f t="shared" si="34"/>
        <v>0</v>
      </c>
      <c r="O728" s="178">
        <f t="shared" si="35"/>
        <v>0</v>
      </c>
    </row>
    <row r="729" spans="1:15" ht="12.75" hidden="1">
      <c r="A729" s="25">
        <v>752</v>
      </c>
      <c r="B729" s="25" t="s">
        <v>40</v>
      </c>
      <c r="C729" s="26" t="s">
        <v>47</v>
      </c>
      <c r="D729" s="27">
        <v>73071900</v>
      </c>
      <c r="E729" s="28" t="s">
        <v>229</v>
      </c>
      <c r="F729" s="29">
        <v>120</v>
      </c>
      <c r="G729" s="30">
        <v>1</v>
      </c>
      <c r="H729" s="27" t="s">
        <v>137</v>
      </c>
      <c r="I729" s="26" t="s">
        <v>152</v>
      </c>
      <c r="J729" s="31">
        <v>4.5</v>
      </c>
      <c r="K729" s="32">
        <f t="shared" si="33"/>
        <v>4.5</v>
      </c>
      <c r="L729" s="29">
        <v>120</v>
      </c>
      <c r="M729" s="27">
        <f>IFERROR(VLOOKUP(C729,Custo_MI_Device!$B$2:$E$102,3,FALSE),0)</f>
        <v>0</v>
      </c>
      <c r="N729" s="27">
        <f t="shared" si="34"/>
        <v>0</v>
      </c>
      <c r="O729" s="178">
        <f t="shared" si="35"/>
        <v>0</v>
      </c>
    </row>
    <row r="730" spans="1:15" ht="12.75" hidden="1">
      <c r="A730" s="25">
        <v>2079</v>
      </c>
      <c r="B730" s="25" t="s">
        <v>40</v>
      </c>
      <c r="C730" s="26" t="s">
        <v>47</v>
      </c>
      <c r="D730" s="27">
        <v>73071900</v>
      </c>
      <c r="E730" s="28" t="s">
        <v>230</v>
      </c>
      <c r="F730" s="29">
        <v>90</v>
      </c>
      <c r="G730" s="30">
        <v>3</v>
      </c>
      <c r="H730" s="27" t="s">
        <v>137</v>
      </c>
      <c r="I730" s="26" t="s">
        <v>152</v>
      </c>
      <c r="J730" s="31">
        <v>2.7</v>
      </c>
      <c r="K730" s="32">
        <f t="shared" si="33"/>
        <v>8.1000000000000014</v>
      </c>
      <c r="L730" s="29">
        <v>90</v>
      </c>
      <c r="M730" s="27">
        <f>IFERROR(VLOOKUP(C730,Custo_MI_Device!$B$2:$E$102,3,FALSE),0)</f>
        <v>0</v>
      </c>
      <c r="N730" s="27">
        <f t="shared" si="34"/>
        <v>0</v>
      </c>
      <c r="O730" s="178">
        <f t="shared" si="35"/>
        <v>0</v>
      </c>
    </row>
    <row r="731" spans="1:15" ht="25.5" hidden="1">
      <c r="A731" s="25">
        <v>4306</v>
      </c>
      <c r="B731" s="25" t="s">
        <v>40</v>
      </c>
      <c r="C731" s="26" t="s">
        <v>47</v>
      </c>
      <c r="D731" s="27">
        <v>73063000</v>
      </c>
      <c r="E731" s="28" t="s">
        <v>239</v>
      </c>
      <c r="F731" s="29">
        <v>0</v>
      </c>
      <c r="G731" s="30">
        <v>2</v>
      </c>
      <c r="H731" s="27" t="s">
        <v>232</v>
      </c>
      <c r="I731" s="26" t="s">
        <v>233</v>
      </c>
      <c r="J731" s="31">
        <v>32</v>
      </c>
      <c r="K731" s="32">
        <f t="shared" si="33"/>
        <v>64</v>
      </c>
      <c r="L731" s="29" t="s">
        <v>240</v>
      </c>
      <c r="M731" s="27">
        <f>IFERROR(VLOOKUP(C731,Custo_MI_Device!$B$2:$E$102,3,FALSE),0)</f>
        <v>0</v>
      </c>
      <c r="N731" s="27">
        <f t="shared" si="34"/>
        <v>0</v>
      </c>
      <c r="O731" s="178">
        <f t="shared" si="35"/>
        <v>0</v>
      </c>
    </row>
    <row r="732" spans="1:15" ht="12.75" hidden="1">
      <c r="A732" s="25">
        <v>2979</v>
      </c>
      <c r="B732" s="25" t="s">
        <v>40</v>
      </c>
      <c r="C732" s="26" t="s">
        <v>47</v>
      </c>
      <c r="D732" s="27">
        <v>73071910</v>
      </c>
      <c r="E732" s="28" t="s">
        <v>241</v>
      </c>
      <c r="F732" s="29">
        <v>270</v>
      </c>
      <c r="G732" s="30">
        <v>2</v>
      </c>
      <c r="H732" s="27" t="s">
        <v>137</v>
      </c>
      <c r="I732" s="26" t="s">
        <v>152</v>
      </c>
      <c r="J732" s="31">
        <v>2.8</v>
      </c>
      <c r="K732" s="32">
        <f t="shared" si="33"/>
        <v>5.6</v>
      </c>
      <c r="L732" s="29">
        <v>270</v>
      </c>
      <c r="M732" s="27">
        <f>IFERROR(VLOOKUP(C732,Custo_MI_Device!$B$2:$E$102,3,FALSE),0)</f>
        <v>0</v>
      </c>
      <c r="N732" s="27">
        <f t="shared" si="34"/>
        <v>0</v>
      </c>
      <c r="O732" s="178">
        <f t="shared" si="35"/>
        <v>0</v>
      </c>
    </row>
    <row r="733" spans="1:15" ht="12.75" hidden="1">
      <c r="A733" s="25">
        <v>3316</v>
      </c>
      <c r="B733" s="25" t="s">
        <v>40</v>
      </c>
      <c r="C733" s="26" t="s">
        <v>47</v>
      </c>
      <c r="D733" s="27">
        <v>0</v>
      </c>
      <c r="E733" s="28" t="s">
        <v>246</v>
      </c>
      <c r="F733" s="29" t="s">
        <v>247</v>
      </c>
      <c r="G733" s="30">
        <v>1</v>
      </c>
      <c r="H733" s="27" t="s">
        <v>137</v>
      </c>
      <c r="I733" s="26" t="s">
        <v>248</v>
      </c>
      <c r="J733" s="31">
        <v>5.5</v>
      </c>
      <c r="K733" s="32">
        <f t="shared" si="33"/>
        <v>5.5</v>
      </c>
      <c r="L733" s="29" t="s">
        <v>247</v>
      </c>
      <c r="M733" s="27">
        <f>IFERROR(VLOOKUP(C733,Custo_MI_Device!$B$2:$E$102,3,FALSE),0)</f>
        <v>0</v>
      </c>
      <c r="N733" s="27">
        <f t="shared" si="34"/>
        <v>0</v>
      </c>
      <c r="O733" s="178">
        <f t="shared" si="35"/>
        <v>0</v>
      </c>
    </row>
    <row r="734" spans="1:15" ht="12.75" hidden="1">
      <c r="A734" s="25">
        <v>3274</v>
      </c>
      <c r="B734" s="25" t="s">
        <v>40</v>
      </c>
      <c r="C734" s="26" t="s">
        <v>47</v>
      </c>
      <c r="D734" s="27">
        <v>73181500</v>
      </c>
      <c r="E734" s="28" t="s">
        <v>265</v>
      </c>
      <c r="F734" s="29" t="s">
        <v>266</v>
      </c>
      <c r="G734" s="30">
        <v>24</v>
      </c>
      <c r="H734" s="27" t="s">
        <v>137</v>
      </c>
      <c r="I734" s="26" t="s">
        <v>256</v>
      </c>
      <c r="J734" s="31">
        <v>0.06</v>
      </c>
      <c r="K734" s="32">
        <f t="shared" si="33"/>
        <v>1.44</v>
      </c>
      <c r="L734" s="29" t="s">
        <v>266</v>
      </c>
      <c r="M734" s="27">
        <f>IFERROR(VLOOKUP(C734,Custo_MI_Device!$B$2:$E$102,3,FALSE),0)</f>
        <v>0</v>
      </c>
      <c r="N734" s="27">
        <f t="shared" si="34"/>
        <v>0</v>
      </c>
      <c r="O734" s="178">
        <f t="shared" si="35"/>
        <v>0</v>
      </c>
    </row>
    <row r="735" spans="1:15" ht="25.5" hidden="1">
      <c r="A735" s="25">
        <v>1611</v>
      </c>
      <c r="B735" s="25" t="s">
        <v>40</v>
      </c>
      <c r="C735" s="26" t="s">
        <v>47</v>
      </c>
      <c r="D735" s="27">
        <v>39174090</v>
      </c>
      <c r="E735" s="28" t="s">
        <v>275</v>
      </c>
      <c r="F735" s="29" t="s">
        <v>276</v>
      </c>
      <c r="G735" s="30">
        <v>2</v>
      </c>
      <c r="H735" s="27" t="s">
        <v>137</v>
      </c>
      <c r="I735" s="26" t="s">
        <v>277</v>
      </c>
      <c r="J735" s="31">
        <v>7.8</v>
      </c>
      <c r="K735" s="32">
        <f t="shared" si="33"/>
        <v>15.6</v>
      </c>
      <c r="L735" s="29" t="s">
        <v>276</v>
      </c>
      <c r="M735" s="27">
        <f>IFERROR(VLOOKUP(C735,Custo_MI_Device!$B$2:$E$102,3,FALSE),0)</f>
        <v>0</v>
      </c>
      <c r="N735" s="27">
        <f t="shared" si="34"/>
        <v>0</v>
      </c>
      <c r="O735" s="178">
        <f t="shared" si="35"/>
        <v>0</v>
      </c>
    </row>
    <row r="736" spans="1:15" ht="25.5" hidden="1">
      <c r="A736" s="25">
        <v>2538</v>
      </c>
      <c r="B736" s="25" t="s">
        <v>40</v>
      </c>
      <c r="C736" s="26" t="s">
        <v>47</v>
      </c>
      <c r="D736" s="27">
        <v>73063000</v>
      </c>
      <c r="E736" s="28" t="s">
        <v>287</v>
      </c>
      <c r="F736" s="29">
        <v>0</v>
      </c>
      <c r="G736" s="30">
        <v>4</v>
      </c>
      <c r="H736" s="27" t="s">
        <v>232</v>
      </c>
      <c r="I736" s="26" t="s">
        <v>233</v>
      </c>
      <c r="J736" s="31">
        <v>49.5</v>
      </c>
      <c r="K736" s="32">
        <f t="shared" si="33"/>
        <v>198</v>
      </c>
      <c r="L736" s="29" t="s">
        <v>288</v>
      </c>
      <c r="M736" s="27">
        <f>IFERROR(VLOOKUP(C736,Custo_MI_Device!$B$2:$E$102,3,FALSE),0)</f>
        <v>0</v>
      </c>
      <c r="N736" s="27">
        <f t="shared" si="34"/>
        <v>0</v>
      </c>
      <c r="O736" s="178">
        <f t="shared" si="35"/>
        <v>0</v>
      </c>
    </row>
    <row r="737" spans="1:15" ht="25.5" hidden="1">
      <c r="A737" s="25">
        <v>5194</v>
      </c>
      <c r="B737" s="25" t="s">
        <v>40</v>
      </c>
      <c r="C737" s="26" t="s">
        <v>47</v>
      </c>
      <c r="D737" s="27">
        <v>73041010</v>
      </c>
      <c r="E737" s="28" t="s">
        <v>289</v>
      </c>
      <c r="F737" s="29" t="s">
        <v>290</v>
      </c>
      <c r="G737" s="30">
        <v>1</v>
      </c>
      <c r="H737" s="27" t="s">
        <v>232</v>
      </c>
      <c r="I737" s="26" t="s">
        <v>218</v>
      </c>
      <c r="J737" s="31">
        <f>21.5*6</f>
        <v>129</v>
      </c>
      <c r="K737" s="32">
        <f t="shared" si="33"/>
        <v>129</v>
      </c>
      <c r="L737" s="29" t="s">
        <v>290</v>
      </c>
      <c r="M737" s="27">
        <f>IFERROR(VLOOKUP(C737,Custo_MI_Device!$B$2:$E$102,3,FALSE),0)</f>
        <v>0</v>
      </c>
      <c r="N737" s="27">
        <f t="shared" si="34"/>
        <v>0</v>
      </c>
      <c r="O737" s="178">
        <f t="shared" si="35"/>
        <v>0</v>
      </c>
    </row>
    <row r="738" spans="1:15" ht="12.75" hidden="1">
      <c r="A738" s="25">
        <v>2892</v>
      </c>
      <c r="B738" s="25" t="s">
        <v>40</v>
      </c>
      <c r="C738" s="26" t="s">
        <v>47</v>
      </c>
      <c r="D738" s="27">
        <v>73071100</v>
      </c>
      <c r="E738" s="28" t="s">
        <v>298</v>
      </c>
      <c r="F738" s="29">
        <v>342</v>
      </c>
      <c r="G738" s="30">
        <v>1</v>
      </c>
      <c r="H738" s="27" t="s">
        <v>137</v>
      </c>
      <c r="I738" s="26" t="s">
        <v>152</v>
      </c>
      <c r="J738" s="31">
        <v>28.1</v>
      </c>
      <c r="K738" s="32">
        <f t="shared" si="33"/>
        <v>28.1</v>
      </c>
      <c r="L738" s="29">
        <v>342</v>
      </c>
      <c r="M738" s="27">
        <f>IFERROR(VLOOKUP(C738,Custo_MI_Device!$B$2:$E$102,3,FALSE),0)</f>
        <v>0</v>
      </c>
      <c r="N738" s="27">
        <f t="shared" si="34"/>
        <v>0</v>
      </c>
      <c r="O738" s="178">
        <f t="shared" si="35"/>
        <v>0</v>
      </c>
    </row>
    <row r="739" spans="1:15" ht="25.5" hidden="1">
      <c r="A739" s="25">
        <v>2567</v>
      </c>
      <c r="B739" s="25" t="s">
        <v>40</v>
      </c>
      <c r="C739" s="26" t="s">
        <v>47</v>
      </c>
      <c r="D739" s="27">
        <v>84818095</v>
      </c>
      <c r="E739" s="28" t="s">
        <v>303</v>
      </c>
      <c r="F739" s="29">
        <v>0</v>
      </c>
      <c r="G739" s="30">
        <v>2</v>
      </c>
      <c r="H739" s="27" t="s">
        <v>137</v>
      </c>
      <c r="I739" s="26" t="s">
        <v>304</v>
      </c>
      <c r="J739" s="31">
        <v>27</v>
      </c>
      <c r="K739" s="32">
        <f t="shared" si="33"/>
        <v>54</v>
      </c>
      <c r="L739" s="29" t="s">
        <v>305</v>
      </c>
      <c r="M739" s="27">
        <f>IFERROR(VLOOKUP(C739,Custo_MI_Device!$B$2:$E$102,3,FALSE),0)</f>
        <v>0</v>
      </c>
      <c r="N739" s="27">
        <f t="shared" si="34"/>
        <v>0</v>
      </c>
      <c r="O739" s="178">
        <f t="shared" si="35"/>
        <v>0</v>
      </c>
    </row>
    <row r="740" spans="1:15" ht="12.75" hidden="1">
      <c r="A740" s="25">
        <v>2534</v>
      </c>
      <c r="B740" s="25" t="s">
        <v>40</v>
      </c>
      <c r="C740" s="26" t="s">
        <v>48</v>
      </c>
      <c r="D740" s="27">
        <v>73072900</v>
      </c>
      <c r="E740" s="28" t="s">
        <v>314</v>
      </c>
      <c r="F740" s="29" t="s">
        <v>315</v>
      </c>
      <c r="G740" s="30">
        <v>12</v>
      </c>
      <c r="H740" s="27" t="s">
        <v>137</v>
      </c>
      <c r="I740" s="26" t="s">
        <v>256</v>
      </c>
      <c r="J740" s="31">
        <v>1.2</v>
      </c>
      <c r="K740" s="32">
        <f t="shared" si="33"/>
        <v>14.399999999999999</v>
      </c>
      <c r="L740" s="29" t="s">
        <v>315</v>
      </c>
      <c r="M740" s="27">
        <f>IFERROR(VLOOKUP(C740,Custo_MI_Device!$B$2:$E$102,3,FALSE),0)</f>
        <v>0</v>
      </c>
      <c r="N740" s="27">
        <f t="shared" si="34"/>
        <v>0</v>
      </c>
      <c r="O740" s="178">
        <f t="shared" si="35"/>
        <v>0</v>
      </c>
    </row>
    <row r="741" spans="1:15" ht="12.75" hidden="1">
      <c r="A741" s="25">
        <v>1669</v>
      </c>
      <c r="B741" s="25" t="s">
        <v>40</v>
      </c>
      <c r="C741" s="26" t="s">
        <v>48</v>
      </c>
      <c r="D741" s="27">
        <v>39269090</v>
      </c>
      <c r="E741" s="28" t="s">
        <v>316</v>
      </c>
      <c r="F741" s="29" t="s">
        <v>317</v>
      </c>
      <c r="G741" s="30">
        <v>3</v>
      </c>
      <c r="H741" s="27" t="s">
        <v>137</v>
      </c>
      <c r="I741" s="26" t="s">
        <v>318</v>
      </c>
      <c r="J741" s="31">
        <v>0.04</v>
      </c>
      <c r="K741" s="32">
        <f t="shared" si="33"/>
        <v>0.12</v>
      </c>
      <c r="L741" s="29" t="s">
        <v>317</v>
      </c>
      <c r="M741" s="27">
        <f>IFERROR(VLOOKUP(C741,Custo_MI_Device!$B$2:$E$102,3,FALSE),0)</f>
        <v>0</v>
      </c>
      <c r="N741" s="27">
        <f t="shared" si="34"/>
        <v>0</v>
      </c>
      <c r="O741" s="178">
        <f t="shared" si="35"/>
        <v>0</v>
      </c>
    </row>
    <row r="742" spans="1:15" ht="12.75" hidden="1">
      <c r="A742" s="25">
        <v>5091</v>
      </c>
      <c r="B742" s="25" t="s">
        <v>40</v>
      </c>
      <c r="C742" s="26" t="s">
        <v>48</v>
      </c>
      <c r="D742" s="27">
        <v>73181500</v>
      </c>
      <c r="E742" s="28" t="s">
        <v>323</v>
      </c>
      <c r="F742" s="29" t="s">
        <v>324</v>
      </c>
      <c r="G742" s="30">
        <v>24</v>
      </c>
      <c r="H742" s="27" t="s">
        <v>137</v>
      </c>
      <c r="I742" s="26" t="s">
        <v>256</v>
      </c>
      <c r="J742" s="31">
        <v>0.04</v>
      </c>
      <c r="K742" s="32">
        <f t="shared" si="33"/>
        <v>0.96</v>
      </c>
      <c r="L742" s="29" t="s">
        <v>324</v>
      </c>
      <c r="M742" s="27">
        <f>IFERROR(VLOOKUP(C742,Custo_MI_Device!$B$2:$E$102,3,FALSE),0)</f>
        <v>0</v>
      </c>
      <c r="N742" s="27">
        <f t="shared" si="34"/>
        <v>0</v>
      </c>
      <c r="O742" s="178">
        <f t="shared" si="35"/>
        <v>0</v>
      </c>
    </row>
    <row r="743" spans="1:15" ht="12.75" hidden="1">
      <c r="A743" s="25">
        <v>1117</v>
      </c>
      <c r="B743" s="25" t="s">
        <v>40</v>
      </c>
      <c r="C743" s="26" t="s">
        <v>48</v>
      </c>
      <c r="D743" s="27"/>
      <c r="E743" s="28" t="s">
        <v>145</v>
      </c>
      <c r="F743" s="29" t="s">
        <v>146</v>
      </c>
      <c r="G743" s="30">
        <v>1</v>
      </c>
      <c r="H743" s="27" t="s">
        <v>137</v>
      </c>
      <c r="I743" s="26" t="s">
        <v>138</v>
      </c>
      <c r="J743" s="31">
        <v>1.95</v>
      </c>
      <c r="K743" s="32">
        <f t="shared" si="33"/>
        <v>1.95</v>
      </c>
      <c r="L743" s="29" t="s">
        <v>146</v>
      </c>
      <c r="M743" s="27">
        <f>IFERROR(VLOOKUP(C743,Custo_MI_Device!$B$2:$E$102,3,FALSE),0)</f>
        <v>0</v>
      </c>
      <c r="N743" s="27">
        <f t="shared" si="34"/>
        <v>0</v>
      </c>
      <c r="O743" s="178">
        <f t="shared" si="35"/>
        <v>0</v>
      </c>
    </row>
    <row r="744" spans="1:15" ht="12.75" hidden="1">
      <c r="A744" s="25">
        <v>3080</v>
      </c>
      <c r="B744" s="25" t="s">
        <v>40</v>
      </c>
      <c r="C744" s="26" t="s">
        <v>48</v>
      </c>
      <c r="D744" s="27">
        <v>74122000</v>
      </c>
      <c r="E744" s="28" t="s">
        <v>153</v>
      </c>
      <c r="F744" s="29" t="s">
        <v>154</v>
      </c>
      <c r="G744" s="30">
        <v>1</v>
      </c>
      <c r="H744" s="27" t="s">
        <v>137</v>
      </c>
      <c r="I744" s="26" t="s">
        <v>155</v>
      </c>
      <c r="J744" s="31">
        <v>3.3</v>
      </c>
      <c r="K744" s="32">
        <f t="shared" si="33"/>
        <v>3.3</v>
      </c>
      <c r="L744" s="29" t="s">
        <v>154</v>
      </c>
      <c r="M744" s="27">
        <f>IFERROR(VLOOKUP(C744,Custo_MI_Device!$B$2:$E$102,3,FALSE),0)</f>
        <v>0</v>
      </c>
      <c r="N744" s="27">
        <f t="shared" si="34"/>
        <v>0</v>
      </c>
      <c r="O744" s="178">
        <f t="shared" si="35"/>
        <v>0</v>
      </c>
    </row>
    <row r="745" spans="1:15" ht="25.5" hidden="1">
      <c r="A745" s="25">
        <v>5139</v>
      </c>
      <c r="B745" s="25" t="s">
        <v>40</v>
      </c>
      <c r="C745" s="26" t="s">
        <v>48</v>
      </c>
      <c r="D745" s="27">
        <v>85444900</v>
      </c>
      <c r="E745" s="28" t="s">
        <v>170</v>
      </c>
      <c r="F745" s="29" t="s">
        <v>171</v>
      </c>
      <c r="G745" s="30">
        <v>15</v>
      </c>
      <c r="H745" s="27" t="s">
        <v>158</v>
      </c>
      <c r="I745" s="26" t="s">
        <v>172</v>
      </c>
      <c r="J745" s="31">
        <v>7.5</v>
      </c>
      <c r="K745" s="32">
        <f t="shared" si="33"/>
        <v>112.5</v>
      </c>
      <c r="L745" s="29" t="s">
        <v>173</v>
      </c>
      <c r="M745" s="27">
        <f>IFERROR(VLOOKUP(C745,Custo_MI_Device!$B$2:$E$102,3,FALSE),0)</f>
        <v>0</v>
      </c>
      <c r="N745" s="27">
        <f t="shared" si="34"/>
        <v>0</v>
      </c>
      <c r="O745" s="178">
        <f t="shared" si="35"/>
        <v>0</v>
      </c>
    </row>
    <row r="746" spans="1:15" ht="12.75" hidden="1">
      <c r="A746" s="25">
        <v>2805</v>
      </c>
      <c r="B746" s="25" t="s">
        <v>40</v>
      </c>
      <c r="C746" s="26" t="s">
        <v>48</v>
      </c>
      <c r="D746" s="27">
        <v>72162100</v>
      </c>
      <c r="E746" s="28" t="s">
        <v>174</v>
      </c>
      <c r="F746" s="29">
        <v>0</v>
      </c>
      <c r="G746" s="30">
        <v>2.9</v>
      </c>
      <c r="H746" s="27" t="s">
        <v>175</v>
      </c>
      <c r="I746" s="26" t="s">
        <v>176</v>
      </c>
      <c r="J746" s="31">
        <v>4.22</v>
      </c>
      <c r="K746" s="32">
        <f t="shared" si="33"/>
        <v>12.238</v>
      </c>
      <c r="L746" s="29" t="s">
        <v>177</v>
      </c>
      <c r="M746" s="27">
        <f>IFERROR(VLOOKUP(C746,Custo_MI_Device!$B$2:$E$102,3,FALSE),0)</f>
        <v>0</v>
      </c>
      <c r="N746" s="27">
        <f t="shared" si="34"/>
        <v>0</v>
      </c>
      <c r="O746" s="178">
        <f t="shared" si="35"/>
        <v>0</v>
      </c>
    </row>
    <row r="747" spans="1:15" ht="12.75" hidden="1">
      <c r="A747" s="25">
        <v>2904</v>
      </c>
      <c r="B747" s="25" t="s">
        <v>40</v>
      </c>
      <c r="C747" s="26" t="s">
        <v>48</v>
      </c>
      <c r="D747" s="27">
        <v>76090000</v>
      </c>
      <c r="E747" s="28" t="s">
        <v>195</v>
      </c>
      <c r="F747" s="29" t="s">
        <v>196</v>
      </c>
      <c r="G747" s="30">
        <v>0.75</v>
      </c>
      <c r="H747" s="27" t="s">
        <v>137</v>
      </c>
      <c r="I747" s="26" t="s">
        <v>138</v>
      </c>
      <c r="J747" s="31">
        <v>6.7</v>
      </c>
      <c r="K747" s="32">
        <f t="shared" si="33"/>
        <v>5.0250000000000004</v>
      </c>
      <c r="L747" s="29" t="s">
        <v>196</v>
      </c>
      <c r="M747" s="27">
        <f>IFERROR(VLOOKUP(C747,Custo_MI_Device!$B$2:$E$102,3,FALSE),0)</f>
        <v>0</v>
      </c>
      <c r="N747" s="27">
        <f t="shared" si="34"/>
        <v>0</v>
      </c>
      <c r="O747" s="178">
        <f t="shared" si="35"/>
        <v>0</v>
      </c>
    </row>
    <row r="748" spans="1:15" ht="12.75" hidden="1">
      <c r="A748" s="25">
        <v>2911</v>
      </c>
      <c r="B748" s="25" t="s">
        <v>40</v>
      </c>
      <c r="C748" s="26" t="s">
        <v>48</v>
      </c>
      <c r="D748" s="27">
        <v>76090000</v>
      </c>
      <c r="E748" s="28" t="s">
        <v>197</v>
      </c>
      <c r="F748" s="29" t="s">
        <v>198</v>
      </c>
      <c r="G748" s="30">
        <v>0.75</v>
      </c>
      <c r="H748" s="27" t="s">
        <v>137</v>
      </c>
      <c r="I748" s="26" t="s">
        <v>138</v>
      </c>
      <c r="J748" s="31">
        <v>6.7</v>
      </c>
      <c r="K748" s="32">
        <f t="shared" si="33"/>
        <v>5.0250000000000004</v>
      </c>
      <c r="L748" s="29" t="s">
        <v>198</v>
      </c>
      <c r="M748" s="27">
        <f>IFERROR(VLOOKUP(C748,Custo_MI_Device!$B$2:$E$102,3,FALSE),0)</f>
        <v>0</v>
      </c>
      <c r="N748" s="27">
        <f t="shared" si="34"/>
        <v>0</v>
      </c>
      <c r="O748" s="178">
        <f t="shared" si="35"/>
        <v>0</v>
      </c>
    </row>
    <row r="749" spans="1:15" ht="12.75" hidden="1">
      <c r="A749" s="25">
        <v>4823</v>
      </c>
      <c r="B749" s="25" t="s">
        <v>40</v>
      </c>
      <c r="C749" s="26" t="s">
        <v>48</v>
      </c>
      <c r="D749" s="27">
        <v>76090000</v>
      </c>
      <c r="E749" s="28" t="s">
        <v>199</v>
      </c>
      <c r="F749" s="29" t="s">
        <v>200</v>
      </c>
      <c r="G749" s="30">
        <v>0.75</v>
      </c>
      <c r="H749" s="27" t="s">
        <v>137</v>
      </c>
      <c r="I749" s="26" t="s">
        <v>138</v>
      </c>
      <c r="J749" s="31">
        <v>6.7</v>
      </c>
      <c r="K749" s="32">
        <f t="shared" si="33"/>
        <v>5.0250000000000004</v>
      </c>
      <c r="L749" s="29" t="s">
        <v>200</v>
      </c>
      <c r="M749" s="27">
        <f>IFERROR(VLOOKUP(C749,Custo_MI_Device!$B$2:$E$102,3,FALSE),0)</f>
        <v>0</v>
      </c>
      <c r="N749" s="27">
        <f t="shared" si="34"/>
        <v>0</v>
      </c>
      <c r="O749" s="178">
        <f t="shared" si="35"/>
        <v>0</v>
      </c>
    </row>
    <row r="750" spans="1:15" ht="25.5" hidden="1">
      <c r="A750" s="25">
        <v>2909</v>
      </c>
      <c r="B750" s="25" t="s">
        <v>40</v>
      </c>
      <c r="C750" s="26" t="s">
        <v>48</v>
      </c>
      <c r="D750" s="27">
        <v>73072200</v>
      </c>
      <c r="E750" s="28" t="s">
        <v>216</v>
      </c>
      <c r="F750" s="29" t="s">
        <v>217</v>
      </c>
      <c r="G750" s="30">
        <v>2</v>
      </c>
      <c r="H750" s="27" t="s">
        <v>137</v>
      </c>
      <c r="I750" s="26" t="s">
        <v>218</v>
      </c>
      <c r="J750" s="31">
        <v>27.7</v>
      </c>
      <c r="K750" s="32">
        <f t="shared" si="33"/>
        <v>55.4</v>
      </c>
      <c r="L750" s="29" t="s">
        <v>217</v>
      </c>
      <c r="M750" s="27">
        <f>IFERROR(VLOOKUP(C750,Custo_MI_Device!$B$2:$E$102,3,FALSE),0)</f>
        <v>0</v>
      </c>
      <c r="N750" s="27">
        <f t="shared" si="34"/>
        <v>0</v>
      </c>
      <c r="O750" s="178">
        <f t="shared" si="35"/>
        <v>0</v>
      </c>
    </row>
    <row r="751" spans="1:15" ht="12.75" hidden="1">
      <c r="A751" s="25">
        <v>752</v>
      </c>
      <c r="B751" s="25" t="s">
        <v>40</v>
      </c>
      <c r="C751" s="26" t="s">
        <v>48</v>
      </c>
      <c r="D751" s="27">
        <v>73071900</v>
      </c>
      <c r="E751" s="28" t="s">
        <v>229</v>
      </c>
      <c r="F751" s="29">
        <v>120</v>
      </c>
      <c r="G751" s="30">
        <v>1</v>
      </c>
      <c r="H751" s="27" t="s">
        <v>137</v>
      </c>
      <c r="I751" s="26" t="s">
        <v>152</v>
      </c>
      <c r="J751" s="31">
        <v>4.5</v>
      </c>
      <c r="K751" s="32">
        <f t="shared" si="33"/>
        <v>4.5</v>
      </c>
      <c r="L751" s="29">
        <v>120</v>
      </c>
      <c r="M751" s="27">
        <f>IFERROR(VLOOKUP(C751,Custo_MI_Device!$B$2:$E$102,3,FALSE),0)</f>
        <v>0</v>
      </c>
      <c r="N751" s="27">
        <f t="shared" si="34"/>
        <v>0</v>
      </c>
      <c r="O751" s="178">
        <f t="shared" si="35"/>
        <v>0</v>
      </c>
    </row>
    <row r="752" spans="1:15" ht="12.75" hidden="1">
      <c r="A752" s="25">
        <v>2079</v>
      </c>
      <c r="B752" s="25" t="s">
        <v>40</v>
      </c>
      <c r="C752" s="26" t="s">
        <v>48</v>
      </c>
      <c r="D752" s="27">
        <v>73071900</v>
      </c>
      <c r="E752" s="28" t="s">
        <v>230</v>
      </c>
      <c r="F752" s="29">
        <v>90</v>
      </c>
      <c r="G752" s="30">
        <v>3</v>
      </c>
      <c r="H752" s="27" t="s">
        <v>137</v>
      </c>
      <c r="I752" s="26" t="s">
        <v>152</v>
      </c>
      <c r="J752" s="31">
        <v>2.7</v>
      </c>
      <c r="K752" s="32">
        <f t="shared" si="33"/>
        <v>8.1000000000000014</v>
      </c>
      <c r="L752" s="29">
        <v>90</v>
      </c>
      <c r="M752" s="27">
        <f>IFERROR(VLOOKUP(C752,Custo_MI_Device!$B$2:$E$102,3,FALSE),0)</f>
        <v>0</v>
      </c>
      <c r="N752" s="27">
        <f t="shared" si="34"/>
        <v>0</v>
      </c>
      <c r="O752" s="178">
        <f t="shared" si="35"/>
        <v>0</v>
      </c>
    </row>
    <row r="753" spans="1:15" ht="25.5" hidden="1">
      <c r="A753" s="25">
        <v>4306</v>
      </c>
      <c r="B753" s="25" t="s">
        <v>40</v>
      </c>
      <c r="C753" s="26" t="s">
        <v>48</v>
      </c>
      <c r="D753" s="27">
        <v>73063000</v>
      </c>
      <c r="E753" s="28" t="s">
        <v>239</v>
      </c>
      <c r="F753" s="29">
        <v>0</v>
      </c>
      <c r="G753" s="30">
        <v>2</v>
      </c>
      <c r="H753" s="27" t="s">
        <v>232</v>
      </c>
      <c r="I753" s="26" t="s">
        <v>233</v>
      </c>
      <c r="J753" s="31">
        <v>32</v>
      </c>
      <c r="K753" s="32">
        <f t="shared" si="33"/>
        <v>64</v>
      </c>
      <c r="L753" s="29" t="s">
        <v>240</v>
      </c>
      <c r="M753" s="27">
        <f>IFERROR(VLOOKUP(C753,Custo_MI_Device!$B$2:$E$102,3,FALSE),0)</f>
        <v>0</v>
      </c>
      <c r="N753" s="27">
        <f t="shared" si="34"/>
        <v>0</v>
      </c>
      <c r="O753" s="178">
        <f t="shared" si="35"/>
        <v>0</v>
      </c>
    </row>
    <row r="754" spans="1:15" ht="12.75" hidden="1">
      <c r="A754" s="25">
        <v>2979</v>
      </c>
      <c r="B754" s="25" t="s">
        <v>40</v>
      </c>
      <c r="C754" s="26" t="s">
        <v>48</v>
      </c>
      <c r="D754" s="27">
        <v>73071910</v>
      </c>
      <c r="E754" s="28" t="s">
        <v>241</v>
      </c>
      <c r="F754" s="29">
        <v>270</v>
      </c>
      <c r="G754" s="30">
        <v>2</v>
      </c>
      <c r="H754" s="27" t="s">
        <v>137</v>
      </c>
      <c r="I754" s="26" t="s">
        <v>152</v>
      </c>
      <c r="J754" s="31">
        <v>2.8</v>
      </c>
      <c r="K754" s="32">
        <f t="shared" si="33"/>
        <v>5.6</v>
      </c>
      <c r="L754" s="29">
        <v>270</v>
      </c>
      <c r="M754" s="27">
        <f>IFERROR(VLOOKUP(C754,Custo_MI_Device!$B$2:$E$102,3,FALSE),0)</f>
        <v>0</v>
      </c>
      <c r="N754" s="27">
        <f t="shared" si="34"/>
        <v>0</v>
      </c>
      <c r="O754" s="178">
        <f t="shared" si="35"/>
        <v>0</v>
      </c>
    </row>
    <row r="755" spans="1:15" ht="12.75" hidden="1">
      <c r="A755" s="25">
        <v>3316</v>
      </c>
      <c r="B755" s="25" t="s">
        <v>40</v>
      </c>
      <c r="C755" s="26" t="s">
        <v>48</v>
      </c>
      <c r="D755" s="27">
        <v>0</v>
      </c>
      <c r="E755" s="28" t="s">
        <v>246</v>
      </c>
      <c r="F755" s="29" t="s">
        <v>247</v>
      </c>
      <c r="G755" s="30">
        <v>1</v>
      </c>
      <c r="H755" s="27" t="s">
        <v>137</v>
      </c>
      <c r="I755" s="26" t="s">
        <v>248</v>
      </c>
      <c r="J755" s="31">
        <v>5.5</v>
      </c>
      <c r="K755" s="32">
        <f t="shared" si="33"/>
        <v>5.5</v>
      </c>
      <c r="L755" s="29" t="s">
        <v>247</v>
      </c>
      <c r="M755" s="27">
        <f>IFERROR(VLOOKUP(C755,Custo_MI_Device!$B$2:$E$102,3,FALSE),0)</f>
        <v>0</v>
      </c>
      <c r="N755" s="27">
        <f t="shared" si="34"/>
        <v>0</v>
      </c>
      <c r="O755" s="178">
        <f t="shared" si="35"/>
        <v>0</v>
      </c>
    </row>
    <row r="756" spans="1:15" ht="12.75" hidden="1">
      <c r="A756" s="25">
        <v>3274</v>
      </c>
      <c r="B756" s="25" t="s">
        <v>40</v>
      </c>
      <c r="C756" s="26" t="s">
        <v>48</v>
      </c>
      <c r="D756" s="27">
        <v>73181500</v>
      </c>
      <c r="E756" s="28" t="s">
        <v>265</v>
      </c>
      <c r="F756" s="29" t="s">
        <v>266</v>
      </c>
      <c r="G756" s="30">
        <v>24</v>
      </c>
      <c r="H756" s="27" t="s">
        <v>137</v>
      </c>
      <c r="I756" s="26" t="s">
        <v>256</v>
      </c>
      <c r="J756" s="31">
        <v>0.06</v>
      </c>
      <c r="K756" s="32">
        <f t="shared" si="33"/>
        <v>1.44</v>
      </c>
      <c r="L756" s="29" t="s">
        <v>266</v>
      </c>
      <c r="M756" s="27">
        <f>IFERROR(VLOOKUP(C756,Custo_MI_Device!$B$2:$E$102,3,FALSE),0)</f>
        <v>0</v>
      </c>
      <c r="N756" s="27">
        <f t="shared" si="34"/>
        <v>0</v>
      </c>
      <c r="O756" s="178">
        <f t="shared" si="35"/>
        <v>0</v>
      </c>
    </row>
    <row r="757" spans="1:15" ht="25.5" hidden="1">
      <c r="A757" s="25">
        <v>1611</v>
      </c>
      <c r="B757" s="25" t="s">
        <v>40</v>
      </c>
      <c r="C757" s="26" t="s">
        <v>48</v>
      </c>
      <c r="D757" s="27">
        <v>39174090</v>
      </c>
      <c r="E757" s="28" t="s">
        <v>275</v>
      </c>
      <c r="F757" s="29" t="s">
        <v>276</v>
      </c>
      <c r="G757" s="30">
        <v>2</v>
      </c>
      <c r="H757" s="27" t="s">
        <v>137</v>
      </c>
      <c r="I757" s="26" t="s">
        <v>277</v>
      </c>
      <c r="J757" s="31">
        <v>7.8</v>
      </c>
      <c r="K757" s="32">
        <f t="shared" si="33"/>
        <v>15.6</v>
      </c>
      <c r="L757" s="29" t="s">
        <v>276</v>
      </c>
      <c r="M757" s="27">
        <f>IFERROR(VLOOKUP(C757,Custo_MI_Device!$B$2:$E$102,3,FALSE),0)</f>
        <v>0</v>
      </c>
      <c r="N757" s="27">
        <f t="shared" si="34"/>
        <v>0</v>
      </c>
      <c r="O757" s="178">
        <f t="shared" si="35"/>
        <v>0</v>
      </c>
    </row>
    <row r="758" spans="1:15" ht="25.5" hidden="1">
      <c r="A758" s="25">
        <v>2538</v>
      </c>
      <c r="B758" s="25" t="s">
        <v>40</v>
      </c>
      <c r="C758" s="26" t="s">
        <v>48</v>
      </c>
      <c r="D758" s="27">
        <v>73063000</v>
      </c>
      <c r="E758" s="28" t="s">
        <v>287</v>
      </c>
      <c r="F758" s="29">
        <v>0</v>
      </c>
      <c r="G758" s="30">
        <v>4</v>
      </c>
      <c r="H758" s="27" t="s">
        <v>232</v>
      </c>
      <c r="I758" s="26" t="s">
        <v>233</v>
      </c>
      <c r="J758" s="31">
        <v>49.5</v>
      </c>
      <c r="K758" s="32">
        <f t="shared" si="33"/>
        <v>198</v>
      </c>
      <c r="L758" s="29" t="s">
        <v>288</v>
      </c>
      <c r="M758" s="27">
        <f>IFERROR(VLOOKUP(C758,Custo_MI_Device!$B$2:$E$102,3,FALSE),0)</f>
        <v>0</v>
      </c>
      <c r="N758" s="27">
        <f t="shared" si="34"/>
        <v>0</v>
      </c>
      <c r="O758" s="178">
        <f t="shared" si="35"/>
        <v>0</v>
      </c>
    </row>
    <row r="759" spans="1:15" ht="25.5" hidden="1">
      <c r="A759" s="25">
        <v>5194</v>
      </c>
      <c r="B759" s="25" t="s">
        <v>40</v>
      </c>
      <c r="C759" s="26" t="s">
        <v>48</v>
      </c>
      <c r="D759" s="27">
        <v>73041010</v>
      </c>
      <c r="E759" s="28" t="s">
        <v>289</v>
      </c>
      <c r="F759" s="29" t="s">
        <v>290</v>
      </c>
      <c r="G759" s="30">
        <v>1</v>
      </c>
      <c r="H759" s="27" t="s">
        <v>232</v>
      </c>
      <c r="I759" s="26" t="s">
        <v>218</v>
      </c>
      <c r="J759" s="31">
        <f>21.5*6</f>
        <v>129</v>
      </c>
      <c r="K759" s="32">
        <f t="shared" si="33"/>
        <v>129</v>
      </c>
      <c r="L759" s="29" t="s">
        <v>290</v>
      </c>
      <c r="M759" s="27">
        <f>IFERROR(VLOOKUP(C759,Custo_MI_Device!$B$2:$E$102,3,FALSE),0)</f>
        <v>0</v>
      </c>
      <c r="N759" s="27">
        <f t="shared" si="34"/>
        <v>0</v>
      </c>
      <c r="O759" s="178">
        <f t="shared" si="35"/>
        <v>0</v>
      </c>
    </row>
    <row r="760" spans="1:15" ht="12.75" hidden="1">
      <c r="A760" s="25">
        <v>2892</v>
      </c>
      <c r="B760" s="25" t="s">
        <v>40</v>
      </c>
      <c r="C760" s="26" t="s">
        <v>48</v>
      </c>
      <c r="D760" s="27">
        <v>73071100</v>
      </c>
      <c r="E760" s="28" t="s">
        <v>298</v>
      </c>
      <c r="F760" s="29">
        <v>342</v>
      </c>
      <c r="G760" s="30">
        <v>1</v>
      </c>
      <c r="H760" s="27" t="s">
        <v>137</v>
      </c>
      <c r="I760" s="26" t="s">
        <v>152</v>
      </c>
      <c r="J760" s="31">
        <v>28.1</v>
      </c>
      <c r="K760" s="32">
        <f t="shared" si="33"/>
        <v>28.1</v>
      </c>
      <c r="L760" s="29">
        <v>342</v>
      </c>
      <c r="M760" s="27">
        <f>IFERROR(VLOOKUP(C760,Custo_MI_Device!$B$2:$E$102,3,FALSE),0)</f>
        <v>0</v>
      </c>
      <c r="N760" s="27">
        <f t="shared" si="34"/>
        <v>0</v>
      </c>
      <c r="O760" s="178">
        <f t="shared" si="35"/>
        <v>0</v>
      </c>
    </row>
    <row r="761" spans="1:15" ht="25.5" hidden="1">
      <c r="A761" s="25">
        <v>2567</v>
      </c>
      <c r="B761" s="25" t="s">
        <v>40</v>
      </c>
      <c r="C761" s="26" t="s">
        <v>48</v>
      </c>
      <c r="D761" s="27">
        <v>84818095</v>
      </c>
      <c r="E761" s="28" t="s">
        <v>303</v>
      </c>
      <c r="F761" s="29">
        <v>0</v>
      </c>
      <c r="G761" s="30">
        <v>2</v>
      </c>
      <c r="H761" s="27" t="s">
        <v>137</v>
      </c>
      <c r="I761" s="26" t="s">
        <v>304</v>
      </c>
      <c r="J761" s="31">
        <v>27</v>
      </c>
      <c r="K761" s="32">
        <f t="shared" si="33"/>
        <v>54</v>
      </c>
      <c r="L761" s="29" t="s">
        <v>305</v>
      </c>
      <c r="M761" s="27">
        <f>IFERROR(VLOOKUP(C761,Custo_MI_Device!$B$2:$E$102,3,FALSE),0)</f>
        <v>0</v>
      </c>
      <c r="N761" s="27">
        <f t="shared" si="34"/>
        <v>0</v>
      </c>
      <c r="O761" s="178">
        <f t="shared" si="35"/>
        <v>0</v>
      </c>
    </row>
    <row r="762" spans="1:15" ht="12.75" hidden="1">
      <c r="A762" s="25">
        <v>2534</v>
      </c>
      <c r="B762" s="25" t="s">
        <v>40</v>
      </c>
      <c r="C762" s="26" t="s">
        <v>49</v>
      </c>
      <c r="D762" s="27">
        <v>73072900</v>
      </c>
      <c r="E762" s="28" t="s">
        <v>314</v>
      </c>
      <c r="F762" s="29" t="s">
        <v>315</v>
      </c>
      <c r="G762" s="30">
        <v>12</v>
      </c>
      <c r="H762" s="27" t="s">
        <v>137</v>
      </c>
      <c r="I762" s="26" t="s">
        <v>256</v>
      </c>
      <c r="J762" s="31">
        <v>1.2</v>
      </c>
      <c r="K762" s="32">
        <f t="shared" si="33"/>
        <v>14.399999999999999</v>
      </c>
      <c r="L762" s="29" t="s">
        <v>315</v>
      </c>
      <c r="M762" s="27">
        <f>IFERROR(VLOOKUP(C762,Custo_MI_Device!$B$2:$E$102,3,FALSE),0)</f>
        <v>0</v>
      </c>
      <c r="N762" s="27">
        <f t="shared" si="34"/>
        <v>0</v>
      </c>
      <c r="O762" s="178">
        <f t="shared" si="35"/>
        <v>0</v>
      </c>
    </row>
    <row r="763" spans="1:15" ht="12.75" hidden="1">
      <c r="A763" s="25">
        <v>1669</v>
      </c>
      <c r="B763" s="25" t="s">
        <v>40</v>
      </c>
      <c r="C763" s="26" t="s">
        <v>49</v>
      </c>
      <c r="D763" s="27">
        <v>39269090</v>
      </c>
      <c r="E763" s="28" t="s">
        <v>316</v>
      </c>
      <c r="F763" s="29" t="s">
        <v>317</v>
      </c>
      <c r="G763" s="30">
        <v>3</v>
      </c>
      <c r="H763" s="27" t="s">
        <v>137</v>
      </c>
      <c r="I763" s="26" t="s">
        <v>318</v>
      </c>
      <c r="J763" s="31">
        <v>0.04</v>
      </c>
      <c r="K763" s="32">
        <f t="shared" si="33"/>
        <v>0.12</v>
      </c>
      <c r="L763" s="29" t="s">
        <v>317</v>
      </c>
      <c r="M763" s="27">
        <f>IFERROR(VLOOKUP(C763,Custo_MI_Device!$B$2:$E$102,3,FALSE),0)</f>
        <v>0</v>
      </c>
      <c r="N763" s="27">
        <f t="shared" si="34"/>
        <v>0</v>
      </c>
      <c r="O763" s="178">
        <f t="shared" si="35"/>
        <v>0</v>
      </c>
    </row>
    <row r="764" spans="1:15" ht="12.75" hidden="1">
      <c r="A764" s="25">
        <v>5091</v>
      </c>
      <c r="B764" s="25" t="s">
        <v>40</v>
      </c>
      <c r="C764" s="26" t="s">
        <v>49</v>
      </c>
      <c r="D764" s="27">
        <v>73181500</v>
      </c>
      <c r="E764" s="28" t="s">
        <v>323</v>
      </c>
      <c r="F764" s="29" t="s">
        <v>324</v>
      </c>
      <c r="G764" s="30">
        <v>24</v>
      </c>
      <c r="H764" s="27" t="s">
        <v>137</v>
      </c>
      <c r="I764" s="26" t="s">
        <v>256</v>
      </c>
      <c r="J764" s="31">
        <v>0.04</v>
      </c>
      <c r="K764" s="32">
        <f t="shared" si="33"/>
        <v>0.96</v>
      </c>
      <c r="L764" s="29" t="s">
        <v>324</v>
      </c>
      <c r="M764" s="27">
        <f>IFERROR(VLOOKUP(C764,Custo_MI_Device!$B$2:$E$102,3,FALSE),0)</f>
        <v>0</v>
      </c>
      <c r="N764" s="27">
        <f t="shared" si="34"/>
        <v>0</v>
      </c>
      <c r="O764" s="178">
        <f t="shared" si="35"/>
        <v>0</v>
      </c>
    </row>
    <row r="765" spans="1:15" ht="12.75" hidden="1">
      <c r="A765" s="25">
        <v>1117</v>
      </c>
      <c r="B765" s="25" t="s">
        <v>40</v>
      </c>
      <c r="C765" s="26" t="s">
        <v>49</v>
      </c>
      <c r="D765" s="27"/>
      <c r="E765" s="28" t="s">
        <v>145</v>
      </c>
      <c r="F765" s="29" t="s">
        <v>146</v>
      </c>
      <c r="G765" s="30">
        <v>1</v>
      </c>
      <c r="H765" s="27" t="s">
        <v>137</v>
      </c>
      <c r="I765" s="26" t="s">
        <v>138</v>
      </c>
      <c r="J765" s="31">
        <v>1.95</v>
      </c>
      <c r="K765" s="32">
        <f t="shared" si="33"/>
        <v>1.95</v>
      </c>
      <c r="L765" s="29" t="s">
        <v>146</v>
      </c>
      <c r="M765" s="27">
        <f>IFERROR(VLOOKUP(C765,Custo_MI_Device!$B$2:$E$102,3,FALSE),0)</f>
        <v>0</v>
      </c>
      <c r="N765" s="27">
        <f t="shared" si="34"/>
        <v>0</v>
      </c>
      <c r="O765" s="178">
        <f t="shared" si="35"/>
        <v>0</v>
      </c>
    </row>
    <row r="766" spans="1:15" ht="12.75" hidden="1">
      <c r="A766" s="25">
        <v>3080</v>
      </c>
      <c r="B766" s="25" t="s">
        <v>40</v>
      </c>
      <c r="C766" s="26" t="s">
        <v>49</v>
      </c>
      <c r="D766" s="27">
        <v>74122000</v>
      </c>
      <c r="E766" s="28" t="s">
        <v>153</v>
      </c>
      <c r="F766" s="29" t="s">
        <v>154</v>
      </c>
      <c r="G766" s="30">
        <v>2</v>
      </c>
      <c r="H766" s="27" t="s">
        <v>137</v>
      </c>
      <c r="I766" s="26" t="s">
        <v>155</v>
      </c>
      <c r="J766" s="31">
        <v>3.3</v>
      </c>
      <c r="K766" s="32">
        <f t="shared" si="33"/>
        <v>6.6</v>
      </c>
      <c r="L766" s="29" t="s">
        <v>154</v>
      </c>
      <c r="M766" s="27">
        <f>IFERROR(VLOOKUP(C766,Custo_MI_Device!$B$2:$E$102,3,FALSE),0)</f>
        <v>0</v>
      </c>
      <c r="N766" s="27">
        <f t="shared" si="34"/>
        <v>0</v>
      </c>
      <c r="O766" s="178">
        <f t="shared" si="35"/>
        <v>0</v>
      </c>
    </row>
    <row r="767" spans="1:15" ht="38.25" hidden="1">
      <c r="A767" s="25">
        <v>3585</v>
      </c>
      <c r="B767" s="25" t="s">
        <v>40</v>
      </c>
      <c r="C767" s="26" t="s">
        <v>49</v>
      </c>
      <c r="D767" s="27">
        <v>85444900</v>
      </c>
      <c r="E767" s="28" t="s">
        <v>328</v>
      </c>
      <c r="F767" s="29">
        <v>900400</v>
      </c>
      <c r="G767" s="33">
        <v>0</v>
      </c>
      <c r="H767" s="27" t="s">
        <v>158</v>
      </c>
      <c r="I767" s="26" t="s">
        <v>164</v>
      </c>
      <c r="J767" s="31">
        <v>1.7</v>
      </c>
      <c r="K767" s="32">
        <f t="shared" si="33"/>
        <v>0</v>
      </c>
      <c r="L767" s="29">
        <v>900400</v>
      </c>
      <c r="M767" s="27">
        <f>IFERROR(VLOOKUP(C767,Custo_MI_Device!$B$2:$E$102,3,FALSE),0)</f>
        <v>0</v>
      </c>
      <c r="N767" s="27">
        <f t="shared" si="34"/>
        <v>0</v>
      </c>
      <c r="O767" s="178">
        <f t="shared" si="35"/>
        <v>0</v>
      </c>
    </row>
    <row r="768" spans="1:15" ht="12.75" hidden="1">
      <c r="A768" s="25">
        <v>2805</v>
      </c>
      <c r="B768" s="25" t="s">
        <v>40</v>
      </c>
      <c r="C768" s="26" t="s">
        <v>49</v>
      </c>
      <c r="D768" s="27">
        <v>72162100</v>
      </c>
      <c r="E768" s="28" t="s">
        <v>174</v>
      </c>
      <c r="F768" s="29">
        <v>0</v>
      </c>
      <c r="G768" s="30">
        <v>2.9</v>
      </c>
      <c r="H768" s="27" t="s">
        <v>175</v>
      </c>
      <c r="I768" s="26" t="s">
        <v>176</v>
      </c>
      <c r="J768" s="31">
        <v>4.22</v>
      </c>
      <c r="K768" s="32">
        <f t="shared" si="33"/>
        <v>12.238</v>
      </c>
      <c r="L768" s="29" t="s">
        <v>177</v>
      </c>
      <c r="M768" s="27">
        <f>IFERROR(VLOOKUP(C768,Custo_MI_Device!$B$2:$E$102,3,FALSE),0)</f>
        <v>0</v>
      </c>
      <c r="N768" s="27">
        <f t="shared" si="34"/>
        <v>0</v>
      </c>
      <c r="O768" s="178">
        <f t="shared" si="35"/>
        <v>0</v>
      </c>
    </row>
    <row r="769" spans="1:15" ht="12.75" hidden="1">
      <c r="A769" s="25">
        <v>2904</v>
      </c>
      <c r="B769" s="25" t="s">
        <v>40</v>
      </c>
      <c r="C769" s="26" t="s">
        <v>49</v>
      </c>
      <c r="D769" s="27">
        <v>76090000</v>
      </c>
      <c r="E769" s="28" t="s">
        <v>195</v>
      </c>
      <c r="F769" s="29" t="s">
        <v>196</v>
      </c>
      <c r="G769" s="30">
        <v>0.75</v>
      </c>
      <c r="H769" s="27" t="s">
        <v>137</v>
      </c>
      <c r="I769" s="26" t="s">
        <v>138</v>
      </c>
      <c r="J769" s="31">
        <v>6.7</v>
      </c>
      <c r="K769" s="32">
        <f t="shared" si="33"/>
        <v>5.0250000000000004</v>
      </c>
      <c r="L769" s="29" t="s">
        <v>196</v>
      </c>
      <c r="M769" s="27">
        <f>IFERROR(VLOOKUP(C769,Custo_MI_Device!$B$2:$E$102,3,FALSE),0)</f>
        <v>0</v>
      </c>
      <c r="N769" s="27">
        <f t="shared" si="34"/>
        <v>0</v>
      </c>
      <c r="O769" s="178">
        <f t="shared" si="35"/>
        <v>0</v>
      </c>
    </row>
    <row r="770" spans="1:15" ht="12.75" hidden="1">
      <c r="A770" s="25">
        <v>2911</v>
      </c>
      <c r="B770" s="25" t="s">
        <v>40</v>
      </c>
      <c r="C770" s="26" t="s">
        <v>49</v>
      </c>
      <c r="D770" s="27">
        <v>76090000</v>
      </c>
      <c r="E770" s="28" t="s">
        <v>197</v>
      </c>
      <c r="F770" s="29" t="s">
        <v>198</v>
      </c>
      <c r="G770" s="30">
        <v>0.75</v>
      </c>
      <c r="H770" s="27" t="s">
        <v>137</v>
      </c>
      <c r="I770" s="26" t="s">
        <v>138</v>
      </c>
      <c r="J770" s="31">
        <v>6.7</v>
      </c>
      <c r="K770" s="32">
        <f t="shared" si="33"/>
        <v>5.0250000000000004</v>
      </c>
      <c r="L770" s="29" t="s">
        <v>198</v>
      </c>
      <c r="M770" s="27">
        <f>IFERROR(VLOOKUP(C770,Custo_MI_Device!$B$2:$E$102,3,FALSE),0)</f>
        <v>0</v>
      </c>
      <c r="N770" s="27">
        <f t="shared" si="34"/>
        <v>0</v>
      </c>
      <c r="O770" s="178">
        <f t="shared" si="35"/>
        <v>0</v>
      </c>
    </row>
    <row r="771" spans="1:15" ht="12.75" hidden="1">
      <c r="A771" s="25">
        <v>4823</v>
      </c>
      <c r="B771" s="25" t="s">
        <v>40</v>
      </c>
      <c r="C771" s="26" t="s">
        <v>49</v>
      </c>
      <c r="D771" s="27">
        <v>76090000</v>
      </c>
      <c r="E771" s="28" t="s">
        <v>199</v>
      </c>
      <c r="F771" s="29" t="s">
        <v>200</v>
      </c>
      <c r="G771" s="30">
        <v>0.75</v>
      </c>
      <c r="H771" s="27" t="s">
        <v>137</v>
      </c>
      <c r="I771" s="26" t="s">
        <v>138</v>
      </c>
      <c r="J771" s="31">
        <v>6.7</v>
      </c>
      <c r="K771" s="32">
        <f t="shared" ref="K771:K834" si="36">G771*J771</f>
        <v>5.0250000000000004</v>
      </c>
      <c r="L771" s="29" t="s">
        <v>200</v>
      </c>
      <c r="M771" s="27">
        <f>IFERROR(VLOOKUP(C771,Custo_MI_Device!$B$2:$E$102,3,FALSE),0)</f>
        <v>0</v>
      </c>
      <c r="N771" s="27">
        <f t="shared" ref="N771:N834" si="37">ROUNDUP(M771*G771,0)</f>
        <v>0</v>
      </c>
      <c r="O771" s="178">
        <f t="shared" ref="O771:O834" si="38">N771*J771</f>
        <v>0</v>
      </c>
    </row>
    <row r="772" spans="1:15" ht="25.5" hidden="1">
      <c r="A772" s="25">
        <v>4306</v>
      </c>
      <c r="B772" s="25" t="s">
        <v>40</v>
      </c>
      <c r="C772" s="26" t="s">
        <v>49</v>
      </c>
      <c r="D772" s="27">
        <v>73063000</v>
      </c>
      <c r="E772" s="28" t="s">
        <v>239</v>
      </c>
      <c r="F772" s="29">
        <v>0</v>
      </c>
      <c r="G772" s="30">
        <v>2</v>
      </c>
      <c r="H772" s="27" t="s">
        <v>232</v>
      </c>
      <c r="I772" s="26" t="s">
        <v>233</v>
      </c>
      <c r="J772" s="31">
        <v>32</v>
      </c>
      <c r="K772" s="32">
        <f t="shared" si="36"/>
        <v>64</v>
      </c>
      <c r="L772" s="29" t="s">
        <v>240</v>
      </c>
      <c r="M772" s="27">
        <f>IFERROR(VLOOKUP(C772,Custo_MI_Device!$B$2:$E$102,3,FALSE),0)</f>
        <v>0</v>
      </c>
      <c r="N772" s="27">
        <f t="shared" si="37"/>
        <v>0</v>
      </c>
      <c r="O772" s="178">
        <f t="shared" si="38"/>
        <v>0</v>
      </c>
    </row>
    <row r="773" spans="1:15" ht="12.75" hidden="1">
      <c r="A773" s="25">
        <v>3274</v>
      </c>
      <c r="B773" s="25" t="s">
        <v>40</v>
      </c>
      <c r="C773" s="26" t="s">
        <v>49</v>
      </c>
      <c r="D773" s="27">
        <v>73181500</v>
      </c>
      <c r="E773" s="28" t="s">
        <v>265</v>
      </c>
      <c r="F773" s="29" t="s">
        <v>266</v>
      </c>
      <c r="G773" s="30">
        <v>24</v>
      </c>
      <c r="H773" s="27" t="s">
        <v>137</v>
      </c>
      <c r="I773" s="26" t="s">
        <v>256</v>
      </c>
      <c r="J773" s="31">
        <v>0.06</v>
      </c>
      <c r="K773" s="32">
        <f t="shared" si="36"/>
        <v>1.44</v>
      </c>
      <c r="L773" s="29" t="s">
        <v>266</v>
      </c>
      <c r="M773" s="27">
        <f>IFERROR(VLOOKUP(C773,Custo_MI_Device!$B$2:$E$102,3,FALSE),0)</f>
        <v>0</v>
      </c>
      <c r="N773" s="27">
        <f t="shared" si="37"/>
        <v>0</v>
      </c>
      <c r="O773" s="178">
        <f t="shared" si="38"/>
        <v>0</v>
      </c>
    </row>
    <row r="774" spans="1:15" ht="25.5" hidden="1">
      <c r="A774" s="25">
        <v>1611</v>
      </c>
      <c r="B774" s="25" t="s">
        <v>40</v>
      </c>
      <c r="C774" s="26" t="s">
        <v>49</v>
      </c>
      <c r="D774" s="27">
        <v>39174090</v>
      </c>
      <c r="E774" s="28" t="s">
        <v>275</v>
      </c>
      <c r="F774" s="29" t="s">
        <v>276</v>
      </c>
      <c r="G774" s="30">
        <v>2</v>
      </c>
      <c r="H774" s="27" t="s">
        <v>137</v>
      </c>
      <c r="I774" s="26" t="s">
        <v>277</v>
      </c>
      <c r="J774" s="31">
        <v>7.8</v>
      </c>
      <c r="K774" s="32">
        <f t="shared" si="36"/>
        <v>15.6</v>
      </c>
      <c r="L774" s="29" t="s">
        <v>276</v>
      </c>
      <c r="M774" s="27">
        <f>IFERROR(VLOOKUP(C774,Custo_MI_Device!$B$2:$E$102,3,FALSE),0)</f>
        <v>0</v>
      </c>
      <c r="N774" s="27">
        <f t="shared" si="37"/>
        <v>0</v>
      </c>
      <c r="O774" s="178">
        <f t="shared" si="38"/>
        <v>0</v>
      </c>
    </row>
    <row r="775" spans="1:15" ht="12.75" hidden="1">
      <c r="A775" s="25">
        <v>2534</v>
      </c>
      <c r="B775" s="25" t="s">
        <v>40</v>
      </c>
      <c r="C775" s="26" t="s">
        <v>50</v>
      </c>
      <c r="D775" s="27">
        <v>73072900</v>
      </c>
      <c r="E775" s="28" t="s">
        <v>314</v>
      </c>
      <c r="F775" s="29" t="s">
        <v>315</v>
      </c>
      <c r="G775" s="30">
        <v>12</v>
      </c>
      <c r="H775" s="27" t="s">
        <v>137</v>
      </c>
      <c r="I775" s="26" t="s">
        <v>256</v>
      </c>
      <c r="J775" s="31">
        <v>1.2</v>
      </c>
      <c r="K775" s="32">
        <f t="shared" si="36"/>
        <v>14.399999999999999</v>
      </c>
      <c r="L775" s="29" t="s">
        <v>315</v>
      </c>
      <c r="M775" s="27">
        <f>IFERROR(VLOOKUP(C775,Custo_MI_Device!$B$2:$E$102,3,FALSE),0)</f>
        <v>0</v>
      </c>
      <c r="N775" s="27">
        <f t="shared" si="37"/>
        <v>0</v>
      </c>
      <c r="O775" s="178">
        <f t="shared" si="38"/>
        <v>0</v>
      </c>
    </row>
    <row r="776" spans="1:15" ht="12.75" hidden="1">
      <c r="A776" s="25">
        <v>1669</v>
      </c>
      <c r="B776" s="25" t="s">
        <v>40</v>
      </c>
      <c r="C776" s="26" t="s">
        <v>50</v>
      </c>
      <c r="D776" s="27">
        <v>39269090</v>
      </c>
      <c r="E776" s="28" t="s">
        <v>316</v>
      </c>
      <c r="F776" s="29" t="s">
        <v>317</v>
      </c>
      <c r="G776" s="30">
        <v>3</v>
      </c>
      <c r="H776" s="27" t="s">
        <v>137</v>
      </c>
      <c r="I776" s="26" t="s">
        <v>318</v>
      </c>
      <c r="J776" s="31">
        <v>0.04</v>
      </c>
      <c r="K776" s="32">
        <f t="shared" si="36"/>
        <v>0.12</v>
      </c>
      <c r="L776" s="29" t="s">
        <v>317</v>
      </c>
      <c r="M776" s="27">
        <f>IFERROR(VLOOKUP(C776,Custo_MI_Device!$B$2:$E$102,3,FALSE),0)</f>
        <v>0</v>
      </c>
      <c r="N776" s="27">
        <f t="shared" si="37"/>
        <v>0</v>
      </c>
      <c r="O776" s="178">
        <f t="shared" si="38"/>
        <v>0</v>
      </c>
    </row>
    <row r="777" spans="1:15" ht="12.75" hidden="1">
      <c r="A777" s="25">
        <v>5091</v>
      </c>
      <c r="B777" s="25" t="s">
        <v>40</v>
      </c>
      <c r="C777" s="26" t="s">
        <v>50</v>
      </c>
      <c r="D777" s="27">
        <v>73181500</v>
      </c>
      <c r="E777" s="28" t="s">
        <v>323</v>
      </c>
      <c r="F777" s="29" t="s">
        <v>324</v>
      </c>
      <c r="G777" s="30">
        <v>24</v>
      </c>
      <c r="H777" s="27" t="s">
        <v>137</v>
      </c>
      <c r="I777" s="26" t="s">
        <v>256</v>
      </c>
      <c r="J777" s="31">
        <v>0.04</v>
      </c>
      <c r="K777" s="32">
        <f t="shared" si="36"/>
        <v>0.96</v>
      </c>
      <c r="L777" s="29" t="s">
        <v>324</v>
      </c>
      <c r="M777" s="27">
        <f>IFERROR(VLOOKUP(C777,Custo_MI_Device!$B$2:$E$102,3,FALSE),0)</f>
        <v>0</v>
      </c>
      <c r="N777" s="27">
        <f t="shared" si="37"/>
        <v>0</v>
      </c>
      <c r="O777" s="178">
        <f t="shared" si="38"/>
        <v>0</v>
      </c>
    </row>
    <row r="778" spans="1:15" ht="12.75" hidden="1">
      <c r="A778" s="25">
        <v>1117</v>
      </c>
      <c r="B778" s="25" t="s">
        <v>40</v>
      </c>
      <c r="C778" s="26" t="s">
        <v>50</v>
      </c>
      <c r="D778" s="27"/>
      <c r="E778" s="28" t="s">
        <v>145</v>
      </c>
      <c r="F778" s="29" t="s">
        <v>146</v>
      </c>
      <c r="G778" s="30">
        <v>1</v>
      </c>
      <c r="H778" s="27" t="s">
        <v>137</v>
      </c>
      <c r="I778" s="26" t="s">
        <v>138</v>
      </c>
      <c r="J778" s="31">
        <v>1.95</v>
      </c>
      <c r="K778" s="32">
        <f t="shared" si="36"/>
        <v>1.95</v>
      </c>
      <c r="L778" s="29" t="s">
        <v>146</v>
      </c>
      <c r="M778" s="27">
        <f>IFERROR(VLOOKUP(C778,Custo_MI_Device!$B$2:$E$102,3,FALSE),0)</f>
        <v>0</v>
      </c>
      <c r="N778" s="27">
        <f t="shared" si="37"/>
        <v>0</v>
      </c>
      <c r="O778" s="178">
        <f t="shared" si="38"/>
        <v>0</v>
      </c>
    </row>
    <row r="779" spans="1:15" ht="12.75" hidden="1">
      <c r="A779" s="25">
        <v>3080</v>
      </c>
      <c r="B779" s="25" t="s">
        <v>40</v>
      </c>
      <c r="C779" s="26" t="s">
        <v>50</v>
      </c>
      <c r="D779" s="27">
        <v>74122000</v>
      </c>
      <c r="E779" s="28" t="s">
        <v>153</v>
      </c>
      <c r="F779" s="29" t="s">
        <v>154</v>
      </c>
      <c r="G779" s="30">
        <v>2</v>
      </c>
      <c r="H779" s="27" t="s">
        <v>137</v>
      </c>
      <c r="I779" s="26" t="s">
        <v>155</v>
      </c>
      <c r="J779" s="31">
        <v>3.3</v>
      </c>
      <c r="K779" s="32">
        <f t="shared" si="36"/>
        <v>6.6</v>
      </c>
      <c r="L779" s="29" t="s">
        <v>154</v>
      </c>
      <c r="M779" s="27">
        <f>IFERROR(VLOOKUP(C779,Custo_MI_Device!$B$2:$E$102,3,FALSE),0)</f>
        <v>0</v>
      </c>
      <c r="N779" s="27">
        <f t="shared" si="37"/>
        <v>0</v>
      </c>
      <c r="O779" s="178">
        <f t="shared" si="38"/>
        <v>0</v>
      </c>
    </row>
    <row r="780" spans="1:15" ht="25.5" hidden="1">
      <c r="A780" s="25">
        <v>5139</v>
      </c>
      <c r="B780" s="25" t="s">
        <v>40</v>
      </c>
      <c r="C780" s="26" t="s">
        <v>50</v>
      </c>
      <c r="D780" s="27">
        <v>85444900</v>
      </c>
      <c r="E780" s="28" t="s">
        <v>170</v>
      </c>
      <c r="F780" s="29" t="s">
        <v>171</v>
      </c>
      <c r="G780" s="30">
        <v>15</v>
      </c>
      <c r="H780" s="27" t="s">
        <v>158</v>
      </c>
      <c r="I780" s="26" t="s">
        <v>172</v>
      </c>
      <c r="J780" s="31">
        <v>7.5</v>
      </c>
      <c r="K780" s="32">
        <f t="shared" si="36"/>
        <v>112.5</v>
      </c>
      <c r="L780" s="29" t="s">
        <v>173</v>
      </c>
      <c r="M780" s="27">
        <f>IFERROR(VLOOKUP(C780,Custo_MI_Device!$B$2:$E$102,3,FALSE),0)</f>
        <v>0</v>
      </c>
      <c r="N780" s="27">
        <f t="shared" si="37"/>
        <v>0</v>
      </c>
      <c r="O780" s="178">
        <f t="shared" si="38"/>
        <v>0</v>
      </c>
    </row>
    <row r="781" spans="1:15" ht="12.75" hidden="1">
      <c r="A781" s="25">
        <v>2805</v>
      </c>
      <c r="B781" s="25" t="s">
        <v>40</v>
      </c>
      <c r="C781" s="26" t="s">
        <v>50</v>
      </c>
      <c r="D781" s="27">
        <v>72162100</v>
      </c>
      <c r="E781" s="28" t="s">
        <v>174</v>
      </c>
      <c r="F781" s="29">
        <v>0</v>
      </c>
      <c r="G781" s="30">
        <v>2.9</v>
      </c>
      <c r="H781" s="27" t="s">
        <v>175</v>
      </c>
      <c r="I781" s="26" t="s">
        <v>176</v>
      </c>
      <c r="J781" s="31">
        <v>4.22</v>
      </c>
      <c r="K781" s="32">
        <f t="shared" si="36"/>
        <v>12.238</v>
      </c>
      <c r="L781" s="29" t="s">
        <v>177</v>
      </c>
      <c r="M781" s="27">
        <f>IFERROR(VLOOKUP(C781,Custo_MI_Device!$B$2:$E$102,3,FALSE),0)</f>
        <v>0</v>
      </c>
      <c r="N781" s="27">
        <f t="shared" si="37"/>
        <v>0</v>
      </c>
      <c r="O781" s="178">
        <f t="shared" si="38"/>
        <v>0</v>
      </c>
    </row>
    <row r="782" spans="1:15" ht="12.75" hidden="1">
      <c r="A782" s="25">
        <v>2904</v>
      </c>
      <c r="B782" s="25" t="s">
        <v>40</v>
      </c>
      <c r="C782" s="26" t="s">
        <v>50</v>
      </c>
      <c r="D782" s="27">
        <v>76090000</v>
      </c>
      <c r="E782" s="28" t="s">
        <v>195</v>
      </c>
      <c r="F782" s="29" t="s">
        <v>196</v>
      </c>
      <c r="G782" s="30">
        <v>0.75</v>
      </c>
      <c r="H782" s="27" t="s">
        <v>137</v>
      </c>
      <c r="I782" s="26" t="s">
        <v>138</v>
      </c>
      <c r="J782" s="31">
        <v>6.7</v>
      </c>
      <c r="K782" s="32">
        <f t="shared" si="36"/>
        <v>5.0250000000000004</v>
      </c>
      <c r="L782" s="29" t="s">
        <v>196</v>
      </c>
      <c r="M782" s="27">
        <f>IFERROR(VLOOKUP(C782,Custo_MI_Device!$B$2:$E$102,3,FALSE),0)</f>
        <v>0</v>
      </c>
      <c r="N782" s="27">
        <f t="shared" si="37"/>
        <v>0</v>
      </c>
      <c r="O782" s="178">
        <f t="shared" si="38"/>
        <v>0</v>
      </c>
    </row>
    <row r="783" spans="1:15" ht="12.75" hidden="1">
      <c r="A783" s="25">
        <v>2911</v>
      </c>
      <c r="B783" s="25" t="s">
        <v>40</v>
      </c>
      <c r="C783" s="26" t="s">
        <v>50</v>
      </c>
      <c r="D783" s="27">
        <v>76090000</v>
      </c>
      <c r="E783" s="28" t="s">
        <v>197</v>
      </c>
      <c r="F783" s="29" t="s">
        <v>198</v>
      </c>
      <c r="G783" s="30">
        <v>0.75</v>
      </c>
      <c r="H783" s="27" t="s">
        <v>137</v>
      </c>
      <c r="I783" s="26" t="s">
        <v>138</v>
      </c>
      <c r="J783" s="31">
        <v>6.7</v>
      </c>
      <c r="K783" s="32">
        <f t="shared" si="36"/>
        <v>5.0250000000000004</v>
      </c>
      <c r="L783" s="29" t="s">
        <v>198</v>
      </c>
      <c r="M783" s="27">
        <f>IFERROR(VLOOKUP(C783,Custo_MI_Device!$B$2:$E$102,3,FALSE),0)</f>
        <v>0</v>
      </c>
      <c r="N783" s="27">
        <f t="shared" si="37"/>
        <v>0</v>
      </c>
      <c r="O783" s="178">
        <f t="shared" si="38"/>
        <v>0</v>
      </c>
    </row>
    <row r="784" spans="1:15" ht="12.75" hidden="1">
      <c r="A784" s="25">
        <v>4823</v>
      </c>
      <c r="B784" s="25" t="s">
        <v>40</v>
      </c>
      <c r="C784" s="26" t="s">
        <v>50</v>
      </c>
      <c r="D784" s="27">
        <v>76090000</v>
      </c>
      <c r="E784" s="28" t="s">
        <v>199</v>
      </c>
      <c r="F784" s="29" t="s">
        <v>200</v>
      </c>
      <c r="G784" s="30">
        <v>0.75</v>
      </c>
      <c r="H784" s="27" t="s">
        <v>137</v>
      </c>
      <c r="I784" s="26" t="s">
        <v>138</v>
      </c>
      <c r="J784" s="31">
        <v>6.7</v>
      </c>
      <c r="K784" s="32">
        <f t="shared" si="36"/>
        <v>5.0250000000000004</v>
      </c>
      <c r="L784" s="29" t="s">
        <v>200</v>
      </c>
      <c r="M784" s="27">
        <f>IFERROR(VLOOKUP(C784,Custo_MI_Device!$B$2:$E$102,3,FALSE),0)</f>
        <v>0</v>
      </c>
      <c r="N784" s="27">
        <f t="shared" si="37"/>
        <v>0</v>
      </c>
      <c r="O784" s="178">
        <f t="shared" si="38"/>
        <v>0</v>
      </c>
    </row>
    <row r="785" spans="1:15" ht="25.5" hidden="1">
      <c r="A785" s="25">
        <v>4306</v>
      </c>
      <c r="B785" s="25" t="s">
        <v>40</v>
      </c>
      <c r="C785" s="26" t="s">
        <v>50</v>
      </c>
      <c r="D785" s="27">
        <v>73063000</v>
      </c>
      <c r="E785" s="28" t="s">
        <v>239</v>
      </c>
      <c r="F785" s="29">
        <v>0</v>
      </c>
      <c r="G785" s="30">
        <v>2</v>
      </c>
      <c r="H785" s="27" t="s">
        <v>232</v>
      </c>
      <c r="I785" s="26" t="s">
        <v>233</v>
      </c>
      <c r="J785" s="31">
        <v>32</v>
      </c>
      <c r="K785" s="32">
        <f t="shared" si="36"/>
        <v>64</v>
      </c>
      <c r="L785" s="29" t="s">
        <v>240</v>
      </c>
      <c r="M785" s="27">
        <f>IFERROR(VLOOKUP(C785,Custo_MI_Device!$B$2:$E$102,3,FALSE),0)</f>
        <v>0</v>
      </c>
      <c r="N785" s="27">
        <f t="shared" si="37"/>
        <v>0</v>
      </c>
      <c r="O785" s="178">
        <f t="shared" si="38"/>
        <v>0</v>
      </c>
    </row>
    <row r="786" spans="1:15" ht="12.75" hidden="1">
      <c r="A786" s="25">
        <v>3274</v>
      </c>
      <c r="B786" s="25" t="s">
        <v>40</v>
      </c>
      <c r="C786" s="26" t="s">
        <v>50</v>
      </c>
      <c r="D786" s="27">
        <v>73181500</v>
      </c>
      <c r="E786" s="28" t="s">
        <v>265</v>
      </c>
      <c r="F786" s="29" t="s">
        <v>266</v>
      </c>
      <c r="G786" s="30">
        <v>24</v>
      </c>
      <c r="H786" s="27" t="s">
        <v>137</v>
      </c>
      <c r="I786" s="26" t="s">
        <v>256</v>
      </c>
      <c r="J786" s="31">
        <v>0.06</v>
      </c>
      <c r="K786" s="32">
        <f t="shared" si="36"/>
        <v>1.44</v>
      </c>
      <c r="L786" s="29" t="s">
        <v>266</v>
      </c>
      <c r="M786" s="27">
        <f>IFERROR(VLOOKUP(C786,Custo_MI_Device!$B$2:$E$102,3,FALSE),0)</f>
        <v>0</v>
      </c>
      <c r="N786" s="27">
        <f t="shared" si="37"/>
        <v>0</v>
      </c>
      <c r="O786" s="178">
        <f t="shared" si="38"/>
        <v>0</v>
      </c>
    </row>
    <row r="787" spans="1:15" ht="25.5" hidden="1">
      <c r="A787" s="25">
        <v>1611</v>
      </c>
      <c r="B787" s="25" t="s">
        <v>40</v>
      </c>
      <c r="C787" s="26" t="s">
        <v>50</v>
      </c>
      <c r="D787" s="27">
        <v>39174090</v>
      </c>
      <c r="E787" s="28" t="s">
        <v>275</v>
      </c>
      <c r="F787" s="29" t="s">
        <v>276</v>
      </c>
      <c r="G787" s="30">
        <v>2</v>
      </c>
      <c r="H787" s="27" t="s">
        <v>137</v>
      </c>
      <c r="I787" s="26" t="s">
        <v>277</v>
      </c>
      <c r="J787" s="31">
        <v>7.8</v>
      </c>
      <c r="K787" s="32">
        <f t="shared" si="36"/>
        <v>15.6</v>
      </c>
      <c r="L787" s="29" t="s">
        <v>276</v>
      </c>
      <c r="M787" s="27">
        <f>IFERROR(VLOOKUP(C787,Custo_MI_Device!$B$2:$E$102,3,FALSE),0)</f>
        <v>0</v>
      </c>
      <c r="N787" s="27">
        <f t="shared" si="37"/>
        <v>0</v>
      </c>
      <c r="O787" s="178">
        <f t="shared" si="38"/>
        <v>0</v>
      </c>
    </row>
    <row r="788" spans="1:15" ht="12.75">
      <c r="A788" s="25">
        <v>2534</v>
      </c>
      <c r="B788" s="25" t="s">
        <v>40</v>
      </c>
      <c r="C788" s="26" t="s">
        <v>51</v>
      </c>
      <c r="D788" s="27">
        <v>73072900</v>
      </c>
      <c r="E788" s="28" t="s">
        <v>314</v>
      </c>
      <c r="F788" s="29" t="s">
        <v>315</v>
      </c>
      <c r="G788" s="30">
        <v>12</v>
      </c>
      <c r="H788" s="27" t="s">
        <v>137</v>
      </c>
      <c r="I788" s="26" t="s">
        <v>256</v>
      </c>
      <c r="J788" s="191">
        <v>2.02</v>
      </c>
      <c r="K788" s="32">
        <f t="shared" si="36"/>
        <v>24.240000000000002</v>
      </c>
      <c r="L788" s="29" t="s">
        <v>315</v>
      </c>
      <c r="M788" s="27">
        <f>IFERROR(VLOOKUP(C788,Custo_MI_Device!$B$2:$E$102,3,FALSE),0)</f>
        <v>41</v>
      </c>
      <c r="N788" s="27">
        <f t="shared" si="37"/>
        <v>492</v>
      </c>
      <c r="O788" s="178">
        <f t="shared" si="38"/>
        <v>993.84</v>
      </c>
    </row>
    <row r="789" spans="1:15" ht="12.75">
      <c r="A789" s="25">
        <v>1669</v>
      </c>
      <c r="B789" s="25" t="s">
        <v>40</v>
      </c>
      <c r="C789" s="26" t="s">
        <v>51</v>
      </c>
      <c r="D789" s="27">
        <v>39269090</v>
      </c>
      <c r="E789" s="28" t="s">
        <v>316</v>
      </c>
      <c r="F789" s="29" t="s">
        <v>317</v>
      </c>
      <c r="G789" s="30">
        <v>3</v>
      </c>
      <c r="H789" s="27" t="s">
        <v>137</v>
      </c>
      <c r="I789" s="26" t="s">
        <v>318</v>
      </c>
      <c r="J789" s="191">
        <v>0.1</v>
      </c>
      <c r="K789" s="32">
        <f t="shared" si="36"/>
        <v>0.30000000000000004</v>
      </c>
      <c r="L789" s="29" t="s">
        <v>317</v>
      </c>
      <c r="M789" s="27">
        <f>IFERROR(VLOOKUP(C789,Custo_MI_Device!$B$2:$E$102,3,FALSE),0)</f>
        <v>41</v>
      </c>
      <c r="N789" s="27">
        <f t="shared" si="37"/>
        <v>123</v>
      </c>
      <c r="O789" s="178">
        <f t="shared" si="38"/>
        <v>12.3</v>
      </c>
    </row>
    <row r="790" spans="1:15" ht="12.75">
      <c r="A790" s="25">
        <v>5091</v>
      </c>
      <c r="B790" s="25" t="s">
        <v>40</v>
      </c>
      <c r="C790" s="26" t="s">
        <v>51</v>
      </c>
      <c r="D790" s="27">
        <v>73181500</v>
      </c>
      <c r="E790" s="28" t="s">
        <v>323</v>
      </c>
      <c r="F790" s="29" t="s">
        <v>324</v>
      </c>
      <c r="G790" s="30">
        <v>24</v>
      </c>
      <c r="H790" s="27" t="s">
        <v>137</v>
      </c>
      <c r="I790" s="26" t="s">
        <v>256</v>
      </c>
      <c r="J790" s="191">
        <v>0.1</v>
      </c>
      <c r="K790" s="32">
        <f t="shared" si="36"/>
        <v>2.4000000000000004</v>
      </c>
      <c r="L790" s="29" t="s">
        <v>324</v>
      </c>
      <c r="M790" s="27">
        <f>IFERROR(VLOOKUP(C790,Custo_MI_Device!$B$2:$E$102,3,FALSE),0)</f>
        <v>41</v>
      </c>
      <c r="N790" s="27">
        <f t="shared" si="37"/>
        <v>984</v>
      </c>
      <c r="O790" s="178">
        <f t="shared" si="38"/>
        <v>98.4</v>
      </c>
    </row>
    <row r="791" spans="1:15" ht="12.75">
      <c r="A791" s="25">
        <v>1117</v>
      </c>
      <c r="B791" s="25" t="s">
        <v>40</v>
      </c>
      <c r="C791" s="26" t="s">
        <v>51</v>
      </c>
      <c r="D791" s="27"/>
      <c r="E791" s="28" t="s">
        <v>145</v>
      </c>
      <c r="F791" s="29" t="s">
        <v>146</v>
      </c>
      <c r="G791" s="30">
        <v>1</v>
      </c>
      <c r="H791" s="27" t="s">
        <v>137</v>
      </c>
      <c r="I791" s="26" t="s">
        <v>138</v>
      </c>
      <c r="J791" s="191">
        <v>1.95</v>
      </c>
      <c r="K791" s="190">
        <v>4.8499999999999996</v>
      </c>
      <c r="L791" s="29" t="s">
        <v>146</v>
      </c>
      <c r="M791" s="27">
        <f>IFERROR(VLOOKUP(C791,Custo_MI_Device!$B$2:$E$102,3,FALSE),0)</f>
        <v>41</v>
      </c>
      <c r="N791" s="27">
        <f t="shared" si="37"/>
        <v>41</v>
      </c>
      <c r="O791" s="178">
        <f t="shared" si="38"/>
        <v>79.95</v>
      </c>
    </row>
    <row r="792" spans="1:15" ht="12.75">
      <c r="A792" s="25">
        <v>3080</v>
      </c>
      <c r="B792" s="25" t="s">
        <v>40</v>
      </c>
      <c r="C792" s="26" t="s">
        <v>51</v>
      </c>
      <c r="D792" s="27">
        <v>74122000</v>
      </c>
      <c r="E792" s="28" t="s">
        <v>153</v>
      </c>
      <c r="F792" s="29" t="s">
        <v>154</v>
      </c>
      <c r="G792" s="30">
        <v>1</v>
      </c>
      <c r="H792" s="27" t="s">
        <v>137</v>
      </c>
      <c r="I792" s="26" t="s">
        <v>155</v>
      </c>
      <c r="J792" s="191">
        <v>3.3</v>
      </c>
      <c r="K792" s="32"/>
      <c r="L792" s="29" t="s">
        <v>154</v>
      </c>
      <c r="M792" s="27">
        <f>IFERROR(VLOOKUP(C792,Custo_MI_Device!$B$2:$E$102,3,FALSE),0)</f>
        <v>41</v>
      </c>
      <c r="N792" s="27">
        <f t="shared" si="37"/>
        <v>41</v>
      </c>
      <c r="O792" s="178">
        <f t="shared" si="38"/>
        <v>135.29999999999998</v>
      </c>
    </row>
    <row r="793" spans="1:15" ht="38.25">
      <c r="A793" s="25">
        <v>3585</v>
      </c>
      <c r="B793" s="25" t="s">
        <v>40</v>
      </c>
      <c r="C793" s="26" t="s">
        <v>51</v>
      </c>
      <c r="D793" s="27">
        <v>85444900</v>
      </c>
      <c r="E793" s="28" t="s">
        <v>328</v>
      </c>
      <c r="F793" s="29">
        <v>900400</v>
      </c>
      <c r="G793" s="33">
        <v>0</v>
      </c>
      <c r="H793" s="27" t="s">
        <v>158</v>
      </c>
      <c r="I793" s="26" t="s">
        <v>164</v>
      </c>
      <c r="J793" s="191">
        <v>1.7</v>
      </c>
      <c r="K793" s="32">
        <f t="shared" si="36"/>
        <v>0</v>
      </c>
      <c r="L793" s="29">
        <v>900400</v>
      </c>
      <c r="M793" s="27">
        <f>IFERROR(VLOOKUP(C793,Custo_MI_Device!$B$2:$E$102,3,FALSE),0)</f>
        <v>41</v>
      </c>
      <c r="N793" s="27">
        <f t="shared" si="37"/>
        <v>0</v>
      </c>
      <c r="O793" s="178">
        <f t="shared" si="38"/>
        <v>0</v>
      </c>
    </row>
    <row r="794" spans="1:15" ht="12.75">
      <c r="A794" s="25">
        <v>2805</v>
      </c>
      <c r="B794" s="25" t="s">
        <v>40</v>
      </c>
      <c r="C794" s="26" t="s">
        <v>51</v>
      </c>
      <c r="D794" s="27">
        <v>72162100</v>
      </c>
      <c r="E794" s="28" t="s">
        <v>174</v>
      </c>
      <c r="F794" s="29">
        <v>0</v>
      </c>
      <c r="G794" s="33">
        <v>0</v>
      </c>
      <c r="H794" s="27" t="s">
        <v>175</v>
      </c>
      <c r="I794" s="26" t="s">
        <v>176</v>
      </c>
      <c r="J794" s="191">
        <v>4.22</v>
      </c>
      <c r="K794" s="32">
        <f t="shared" si="36"/>
        <v>0</v>
      </c>
      <c r="L794" s="29" t="s">
        <v>177</v>
      </c>
      <c r="M794" s="27">
        <f>IFERROR(VLOOKUP(C794,Custo_MI_Device!$B$2:$E$102,3,FALSE),0)</f>
        <v>41</v>
      </c>
      <c r="N794" s="27">
        <f t="shared" si="37"/>
        <v>0</v>
      </c>
      <c r="O794" s="178">
        <f t="shared" si="38"/>
        <v>0</v>
      </c>
    </row>
    <row r="795" spans="1:15" ht="12.75">
      <c r="A795" s="25">
        <v>2904</v>
      </c>
      <c r="B795" s="25" t="s">
        <v>40</v>
      </c>
      <c r="C795" s="26" t="s">
        <v>51</v>
      </c>
      <c r="D795" s="27">
        <v>76090000</v>
      </c>
      <c r="E795" s="28" t="s">
        <v>195</v>
      </c>
      <c r="F795" s="29" t="s">
        <v>196</v>
      </c>
      <c r="G795" s="30">
        <v>2</v>
      </c>
      <c r="H795" s="27" t="s">
        <v>137</v>
      </c>
      <c r="I795" s="26" t="s">
        <v>138</v>
      </c>
      <c r="J795" s="31">
        <v>26.06</v>
      </c>
      <c r="K795" s="32">
        <f t="shared" si="36"/>
        <v>52.12</v>
      </c>
      <c r="L795" s="29" t="s">
        <v>196</v>
      </c>
      <c r="M795" s="27">
        <f>IFERROR(VLOOKUP(C795,Custo_MI_Device!$B$2:$E$102,3,FALSE),0)</f>
        <v>41</v>
      </c>
      <c r="N795" s="27">
        <f t="shared" si="37"/>
        <v>82</v>
      </c>
      <c r="O795" s="178">
        <f t="shared" si="38"/>
        <v>2136.92</v>
      </c>
    </row>
    <row r="796" spans="1:15" ht="12.75">
      <c r="A796" s="25">
        <v>2911</v>
      </c>
      <c r="B796" s="25" t="s">
        <v>40</v>
      </c>
      <c r="C796" s="26" t="s">
        <v>51</v>
      </c>
      <c r="D796" s="27">
        <v>76090000</v>
      </c>
      <c r="E796" s="28" t="s">
        <v>197</v>
      </c>
      <c r="F796" s="29" t="s">
        <v>198</v>
      </c>
      <c r="G796" s="30">
        <v>2</v>
      </c>
      <c r="H796" s="27" t="s">
        <v>137</v>
      </c>
      <c r="I796" s="26" t="s">
        <v>138</v>
      </c>
      <c r="J796" s="31">
        <v>26.06</v>
      </c>
      <c r="K796" s="32">
        <f t="shared" si="36"/>
        <v>52.12</v>
      </c>
      <c r="L796" s="29" t="s">
        <v>198</v>
      </c>
      <c r="M796" s="27">
        <f>IFERROR(VLOOKUP(C796,Custo_MI_Device!$B$2:$E$102,3,FALSE),0)</f>
        <v>41</v>
      </c>
      <c r="N796" s="27">
        <f t="shared" si="37"/>
        <v>82</v>
      </c>
      <c r="O796" s="178">
        <f t="shared" si="38"/>
        <v>2136.92</v>
      </c>
    </row>
    <row r="797" spans="1:15" ht="12.75">
      <c r="A797" s="25">
        <v>4823</v>
      </c>
      <c r="B797" s="25" t="s">
        <v>40</v>
      </c>
      <c r="C797" s="26" t="s">
        <v>51</v>
      </c>
      <c r="D797" s="27">
        <v>76090000</v>
      </c>
      <c r="E797" s="28" t="s">
        <v>199</v>
      </c>
      <c r="F797" s="29" t="s">
        <v>200</v>
      </c>
      <c r="G797" s="30">
        <v>2</v>
      </c>
      <c r="H797" s="27" t="s">
        <v>137</v>
      </c>
      <c r="I797" s="26" t="s">
        <v>138</v>
      </c>
      <c r="J797" s="31">
        <v>26.06</v>
      </c>
      <c r="K797" s="32">
        <f t="shared" si="36"/>
        <v>52.12</v>
      </c>
      <c r="L797" s="29" t="s">
        <v>200</v>
      </c>
      <c r="M797" s="27">
        <f>IFERROR(VLOOKUP(C797,Custo_MI_Device!$B$2:$E$102,3,FALSE),0)</f>
        <v>41</v>
      </c>
      <c r="N797" s="27">
        <f t="shared" si="37"/>
        <v>82</v>
      </c>
      <c r="O797" s="178">
        <f t="shared" si="38"/>
        <v>2136.92</v>
      </c>
    </row>
    <row r="798" spans="1:15" ht="25.5">
      <c r="A798" s="25">
        <v>2909</v>
      </c>
      <c r="B798" s="25" t="s">
        <v>40</v>
      </c>
      <c r="C798" s="26" t="s">
        <v>51</v>
      </c>
      <c r="D798" s="27">
        <v>73072200</v>
      </c>
      <c r="E798" s="28" t="s">
        <v>216</v>
      </c>
      <c r="F798" s="29" t="s">
        <v>217</v>
      </c>
      <c r="G798" s="30">
        <v>4</v>
      </c>
      <c r="H798" s="27" t="s">
        <v>137</v>
      </c>
      <c r="I798" s="26" t="s">
        <v>218</v>
      </c>
      <c r="J798" s="191">
        <v>89.89</v>
      </c>
      <c r="K798" s="32">
        <f t="shared" si="36"/>
        <v>359.56</v>
      </c>
      <c r="L798" s="29" t="s">
        <v>217</v>
      </c>
      <c r="M798" s="27">
        <f>IFERROR(VLOOKUP(C798,Custo_MI_Device!$B$2:$E$102,3,FALSE),0)</f>
        <v>41</v>
      </c>
      <c r="N798" s="27">
        <f t="shared" si="37"/>
        <v>164</v>
      </c>
      <c r="O798" s="178">
        <f t="shared" si="38"/>
        <v>14741.960000000001</v>
      </c>
    </row>
    <row r="799" spans="1:15" ht="25.5">
      <c r="A799" s="25">
        <v>2300</v>
      </c>
      <c r="B799" s="25" t="s">
        <v>40</v>
      </c>
      <c r="C799" s="26" t="s">
        <v>51</v>
      </c>
      <c r="D799" s="27">
        <v>73072200</v>
      </c>
      <c r="E799" s="28" t="s">
        <v>222</v>
      </c>
      <c r="F799" s="29" t="s">
        <v>223</v>
      </c>
      <c r="G799" s="30">
        <v>1</v>
      </c>
      <c r="H799" s="27" t="s">
        <v>137</v>
      </c>
      <c r="I799" s="26" t="s">
        <v>218</v>
      </c>
      <c r="J799" s="191">
        <v>98.7</v>
      </c>
      <c r="K799" s="32">
        <f t="shared" si="36"/>
        <v>98.7</v>
      </c>
      <c r="L799" s="29" t="s">
        <v>223</v>
      </c>
      <c r="M799" s="27">
        <f>IFERROR(VLOOKUP(C799,Custo_MI_Device!$B$2:$E$102,3,FALSE),0)</f>
        <v>41</v>
      </c>
      <c r="N799" s="27">
        <f t="shared" si="37"/>
        <v>41</v>
      </c>
      <c r="O799" s="178">
        <f t="shared" si="38"/>
        <v>4046.7000000000003</v>
      </c>
    </row>
    <row r="800" spans="1:15" ht="25.5">
      <c r="A800" s="25">
        <v>7163</v>
      </c>
      <c r="B800" s="25" t="s">
        <v>40</v>
      </c>
      <c r="C800" s="26" t="s">
        <v>51</v>
      </c>
      <c r="D800" s="27">
        <v>73072200</v>
      </c>
      <c r="E800" s="28" t="s">
        <v>224</v>
      </c>
      <c r="F800" s="29">
        <v>0</v>
      </c>
      <c r="G800" s="30">
        <v>3</v>
      </c>
      <c r="H800" s="27" t="s">
        <v>137</v>
      </c>
      <c r="I800" s="26" t="s">
        <v>220</v>
      </c>
      <c r="J800" s="191">
        <v>113.56</v>
      </c>
      <c r="K800" s="32">
        <f t="shared" si="36"/>
        <v>340.68</v>
      </c>
      <c r="L800" s="29" t="s">
        <v>225</v>
      </c>
      <c r="M800" s="27">
        <f>IFERROR(VLOOKUP(C800,Custo_MI_Device!$B$2:$E$102,3,FALSE),0)</f>
        <v>41</v>
      </c>
      <c r="N800" s="27">
        <f t="shared" si="37"/>
        <v>123</v>
      </c>
      <c r="O800" s="178">
        <f t="shared" si="38"/>
        <v>13967.880000000001</v>
      </c>
    </row>
    <row r="801" spans="1:15" ht="25.5">
      <c r="A801" s="25">
        <v>4306</v>
      </c>
      <c r="B801" s="25" t="s">
        <v>40</v>
      </c>
      <c r="C801" s="26" t="s">
        <v>51</v>
      </c>
      <c r="D801" s="27">
        <v>73063000</v>
      </c>
      <c r="E801" s="28" t="s">
        <v>239</v>
      </c>
      <c r="F801" s="29">
        <v>0</v>
      </c>
      <c r="G801" s="30">
        <v>0</v>
      </c>
      <c r="H801" s="27" t="s">
        <v>232</v>
      </c>
      <c r="I801" s="26" t="s">
        <v>233</v>
      </c>
      <c r="J801" s="191">
        <v>32</v>
      </c>
      <c r="K801" s="32">
        <f t="shared" si="36"/>
        <v>0</v>
      </c>
      <c r="L801" s="29" t="s">
        <v>240</v>
      </c>
      <c r="M801" s="27">
        <f>IFERROR(VLOOKUP(C801,Custo_MI_Device!$B$2:$E$102,3,FALSE),0)</f>
        <v>41</v>
      </c>
      <c r="N801" s="27">
        <f t="shared" si="37"/>
        <v>0</v>
      </c>
      <c r="O801" s="178">
        <f t="shared" si="38"/>
        <v>0</v>
      </c>
    </row>
    <row r="802" spans="1:15" ht="12.75">
      <c r="A802" s="25">
        <v>3316</v>
      </c>
      <c r="B802" s="25" t="s">
        <v>40</v>
      </c>
      <c r="C802" s="26" t="s">
        <v>51</v>
      </c>
      <c r="D802" s="27">
        <v>0</v>
      </c>
      <c r="E802" s="28" t="s">
        <v>246</v>
      </c>
      <c r="F802" s="29" t="s">
        <v>247</v>
      </c>
      <c r="G802" s="30">
        <v>0</v>
      </c>
      <c r="H802" s="27" t="s">
        <v>137</v>
      </c>
      <c r="I802" s="26" t="s">
        <v>248</v>
      </c>
      <c r="J802" s="191">
        <v>5.5</v>
      </c>
      <c r="K802" s="32">
        <f t="shared" si="36"/>
        <v>0</v>
      </c>
      <c r="L802" s="29" t="s">
        <v>247</v>
      </c>
      <c r="M802" s="27">
        <f>IFERROR(VLOOKUP(C802,Custo_MI_Device!$B$2:$E$102,3,FALSE),0)</f>
        <v>41</v>
      </c>
      <c r="N802" s="27">
        <f t="shared" si="37"/>
        <v>0</v>
      </c>
      <c r="O802" s="178">
        <f t="shared" si="38"/>
        <v>0</v>
      </c>
    </row>
    <row r="803" spans="1:15" ht="25.5">
      <c r="A803" s="25">
        <v>1900</v>
      </c>
      <c r="B803" s="25" t="s">
        <v>40</v>
      </c>
      <c r="C803" s="26" t="s">
        <v>51</v>
      </c>
      <c r="D803" s="27">
        <v>73072200</v>
      </c>
      <c r="E803" s="28" t="s">
        <v>249</v>
      </c>
      <c r="F803" s="29" t="s">
        <v>250</v>
      </c>
      <c r="G803" s="30">
        <v>2</v>
      </c>
      <c r="H803" s="27" t="s">
        <v>137</v>
      </c>
      <c r="I803" s="26" t="s">
        <v>218</v>
      </c>
      <c r="J803" s="191">
        <v>59.86</v>
      </c>
      <c r="K803" s="32">
        <f t="shared" si="36"/>
        <v>119.72</v>
      </c>
      <c r="L803" s="29" t="s">
        <v>250</v>
      </c>
      <c r="M803" s="27">
        <f>IFERROR(VLOOKUP(C803,Custo_MI_Device!$B$2:$E$102,3,FALSE),0)</f>
        <v>41</v>
      </c>
      <c r="N803" s="27">
        <f t="shared" si="37"/>
        <v>82</v>
      </c>
      <c r="O803" s="178">
        <f t="shared" si="38"/>
        <v>4908.5199999999995</v>
      </c>
    </row>
    <row r="804" spans="1:15" ht="12.75">
      <c r="A804" s="25">
        <v>3274</v>
      </c>
      <c r="B804" s="25" t="s">
        <v>40</v>
      </c>
      <c r="C804" s="26" t="s">
        <v>51</v>
      </c>
      <c r="D804" s="27">
        <v>73181500</v>
      </c>
      <c r="E804" s="28" t="s">
        <v>265</v>
      </c>
      <c r="F804" s="29" t="s">
        <v>266</v>
      </c>
      <c r="G804" s="30">
        <v>24</v>
      </c>
      <c r="H804" s="27" t="s">
        <v>137</v>
      </c>
      <c r="I804" s="26" t="s">
        <v>256</v>
      </c>
      <c r="J804" s="191">
        <v>0.11</v>
      </c>
      <c r="K804" s="32">
        <f t="shared" si="36"/>
        <v>2.64</v>
      </c>
      <c r="L804" s="29" t="s">
        <v>266</v>
      </c>
      <c r="M804" s="27">
        <f>IFERROR(VLOOKUP(C804,Custo_MI_Device!$B$2:$E$102,3,FALSE),0)</f>
        <v>41</v>
      </c>
      <c r="N804" s="27">
        <f t="shared" si="37"/>
        <v>984</v>
      </c>
      <c r="O804" s="178">
        <f t="shared" si="38"/>
        <v>108.24</v>
      </c>
    </row>
    <row r="805" spans="1:15" ht="25.5">
      <c r="A805" s="25">
        <v>1611</v>
      </c>
      <c r="B805" s="25" t="s">
        <v>40</v>
      </c>
      <c r="C805" s="26" t="s">
        <v>51</v>
      </c>
      <c r="D805" s="27">
        <v>39174090</v>
      </c>
      <c r="E805" s="28" t="s">
        <v>275</v>
      </c>
      <c r="F805" s="29" t="s">
        <v>276</v>
      </c>
      <c r="G805" s="30">
        <v>2</v>
      </c>
      <c r="H805" s="27" t="s">
        <v>137</v>
      </c>
      <c r="I805" s="26" t="s">
        <v>277</v>
      </c>
      <c r="J805" s="191">
        <v>7.8</v>
      </c>
      <c r="K805" s="32">
        <f t="shared" si="36"/>
        <v>15.6</v>
      </c>
      <c r="L805" s="29" t="s">
        <v>276</v>
      </c>
      <c r="M805" s="27">
        <f>IFERROR(VLOOKUP(C805,Custo_MI_Device!$B$2:$E$102,3,FALSE),0)</f>
        <v>41</v>
      </c>
      <c r="N805" s="27">
        <f t="shared" si="37"/>
        <v>82</v>
      </c>
      <c r="O805" s="178">
        <f t="shared" si="38"/>
        <v>639.6</v>
      </c>
    </row>
    <row r="806" spans="1:15" ht="25.5">
      <c r="A806" s="25">
        <v>2973</v>
      </c>
      <c r="B806" s="25" t="s">
        <v>40</v>
      </c>
      <c r="C806" s="26" t="s">
        <v>51</v>
      </c>
      <c r="D806" s="27">
        <v>73072200</v>
      </c>
      <c r="E806" s="28" t="s">
        <v>281</v>
      </c>
      <c r="F806" s="29" t="s">
        <v>282</v>
      </c>
      <c r="G806" s="30">
        <v>3</v>
      </c>
      <c r="H806" s="27" t="s">
        <v>137</v>
      </c>
      <c r="I806" s="26" t="s">
        <v>218</v>
      </c>
      <c r="J806" s="191">
        <v>41.53</v>
      </c>
      <c r="K806" s="32">
        <f t="shared" si="36"/>
        <v>124.59</v>
      </c>
      <c r="L806" s="29" t="s">
        <v>282</v>
      </c>
      <c r="M806" s="27">
        <f>IFERROR(VLOOKUP(C806,Custo_MI_Device!$B$2:$E$102,3,FALSE),0)</f>
        <v>41</v>
      </c>
      <c r="N806" s="27">
        <f t="shared" si="37"/>
        <v>123</v>
      </c>
      <c r="O806" s="178">
        <f t="shared" si="38"/>
        <v>5108.1900000000005</v>
      </c>
    </row>
    <row r="807" spans="1:15" ht="25.5">
      <c r="A807" s="25">
        <v>5194</v>
      </c>
      <c r="B807" s="25" t="s">
        <v>40</v>
      </c>
      <c r="C807" s="26" t="s">
        <v>51</v>
      </c>
      <c r="D807" s="27">
        <v>73041010</v>
      </c>
      <c r="E807" s="28" t="s">
        <v>289</v>
      </c>
      <c r="F807" s="29" t="s">
        <v>290</v>
      </c>
      <c r="G807" s="30">
        <v>2</v>
      </c>
      <c r="H807" s="27" t="s">
        <v>232</v>
      </c>
      <c r="I807" s="26" t="s">
        <v>218</v>
      </c>
      <c r="J807" s="191">
        <v>298</v>
      </c>
      <c r="K807" s="32">
        <f t="shared" si="36"/>
        <v>596</v>
      </c>
      <c r="L807" s="29" t="s">
        <v>290</v>
      </c>
      <c r="M807" s="27">
        <f>IFERROR(VLOOKUP(C807,Custo_MI_Device!$B$2:$E$102,3,FALSE),0)</f>
        <v>41</v>
      </c>
      <c r="N807" s="27">
        <f t="shared" si="37"/>
        <v>82</v>
      </c>
      <c r="O807" s="178">
        <f t="shared" si="38"/>
        <v>24436</v>
      </c>
    </row>
    <row r="808" spans="1:15" ht="25.5">
      <c r="A808" s="25">
        <v>2125</v>
      </c>
      <c r="B808" s="25" t="s">
        <v>40</v>
      </c>
      <c r="C808" s="26" t="s">
        <v>51</v>
      </c>
      <c r="D808" s="27">
        <v>84818039</v>
      </c>
      <c r="E808" s="28" t="s">
        <v>301</v>
      </c>
      <c r="F808" s="29">
        <v>0</v>
      </c>
      <c r="G808" s="30">
        <v>2</v>
      </c>
      <c r="H808" s="27" t="s">
        <v>137</v>
      </c>
      <c r="I808" s="26" t="s">
        <v>220</v>
      </c>
      <c r="J808" s="191">
        <v>275</v>
      </c>
      <c r="K808" s="32">
        <f t="shared" si="36"/>
        <v>550</v>
      </c>
      <c r="L808" s="29" t="s">
        <v>302</v>
      </c>
      <c r="M808" s="27">
        <f>IFERROR(VLOOKUP(C808,Custo_MI_Device!$B$2:$E$102,3,FALSE),0)</f>
        <v>41</v>
      </c>
      <c r="N808" s="27">
        <f t="shared" si="37"/>
        <v>82</v>
      </c>
      <c r="O808" s="178">
        <f t="shared" si="38"/>
        <v>22550</v>
      </c>
    </row>
    <row r="809" spans="1:15" ht="25.5">
      <c r="A809" s="25">
        <v>2567</v>
      </c>
      <c r="B809" s="25" t="s">
        <v>40</v>
      </c>
      <c r="C809" s="26" t="s">
        <v>51</v>
      </c>
      <c r="D809" s="27">
        <v>84818095</v>
      </c>
      <c r="E809" s="28" t="s">
        <v>303</v>
      </c>
      <c r="F809" s="29">
        <v>0</v>
      </c>
      <c r="G809" s="30">
        <v>2</v>
      </c>
      <c r="H809" s="27" t="s">
        <v>137</v>
      </c>
      <c r="I809" s="26" t="s">
        <v>304</v>
      </c>
      <c r="J809" s="191">
        <v>56</v>
      </c>
      <c r="K809" s="32">
        <f t="shared" si="36"/>
        <v>112</v>
      </c>
      <c r="L809" s="29" t="s">
        <v>305</v>
      </c>
      <c r="M809" s="27">
        <f>IFERROR(VLOOKUP(C809,Custo_MI_Device!$B$2:$E$102,3,FALSE),0)</f>
        <v>41</v>
      </c>
      <c r="N809" s="27">
        <f t="shared" si="37"/>
        <v>82</v>
      </c>
      <c r="O809" s="178">
        <f t="shared" si="38"/>
        <v>4592</v>
      </c>
    </row>
    <row r="810" spans="1:15" ht="12.75" hidden="1">
      <c r="A810" s="25">
        <v>2534</v>
      </c>
      <c r="B810" s="25" t="s">
        <v>40</v>
      </c>
      <c r="C810" s="26" t="s">
        <v>52</v>
      </c>
      <c r="D810" s="27">
        <v>73072900</v>
      </c>
      <c r="E810" s="28" t="s">
        <v>314</v>
      </c>
      <c r="F810" s="29" t="s">
        <v>315</v>
      </c>
      <c r="G810" s="30">
        <v>12</v>
      </c>
      <c r="H810" s="27" t="s">
        <v>137</v>
      </c>
      <c r="I810" s="26" t="s">
        <v>256</v>
      </c>
      <c r="J810" s="31">
        <v>1.2</v>
      </c>
      <c r="K810" s="32">
        <f t="shared" si="36"/>
        <v>14.399999999999999</v>
      </c>
      <c r="L810" s="29" t="s">
        <v>315</v>
      </c>
      <c r="M810" s="27">
        <f>IFERROR(VLOOKUP(C810,Custo_MI_Device!$B$2:$E$102,3,FALSE),0)</f>
        <v>0</v>
      </c>
      <c r="N810" s="27">
        <f t="shared" si="37"/>
        <v>0</v>
      </c>
      <c r="O810" s="178">
        <f t="shared" si="38"/>
        <v>0</v>
      </c>
    </row>
    <row r="811" spans="1:15" ht="12.75" hidden="1">
      <c r="A811" s="25">
        <v>1669</v>
      </c>
      <c r="B811" s="25" t="s">
        <v>40</v>
      </c>
      <c r="C811" s="26" t="s">
        <v>52</v>
      </c>
      <c r="D811" s="27">
        <v>39269090</v>
      </c>
      <c r="E811" s="28" t="s">
        <v>316</v>
      </c>
      <c r="F811" s="29" t="s">
        <v>317</v>
      </c>
      <c r="G811" s="30">
        <v>3</v>
      </c>
      <c r="H811" s="27" t="s">
        <v>137</v>
      </c>
      <c r="I811" s="26" t="s">
        <v>318</v>
      </c>
      <c r="J811" s="31">
        <v>0.04</v>
      </c>
      <c r="K811" s="32">
        <f t="shared" si="36"/>
        <v>0.12</v>
      </c>
      <c r="L811" s="29" t="s">
        <v>317</v>
      </c>
      <c r="M811" s="27">
        <f>IFERROR(VLOOKUP(C811,Custo_MI_Device!$B$2:$E$102,3,FALSE),0)</f>
        <v>0</v>
      </c>
      <c r="N811" s="27">
        <f t="shared" si="37"/>
        <v>0</v>
      </c>
      <c r="O811" s="178">
        <f t="shared" si="38"/>
        <v>0</v>
      </c>
    </row>
    <row r="812" spans="1:15" ht="12.75" hidden="1">
      <c r="A812" s="25">
        <v>5091</v>
      </c>
      <c r="B812" s="25" t="s">
        <v>40</v>
      </c>
      <c r="C812" s="26" t="s">
        <v>52</v>
      </c>
      <c r="D812" s="27">
        <v>73181500</v>
      </c>
      <c r="E812" s="28" t="s">
        <v>323</v>
      </c>
      <c r="F812" s="29" t="s">
        <v>324</v>
      </c>
      <c r="G812" s="30">
        <v>24</v>
      </c>
      <c r="H812" s="27" t="s">
        <v>137</v>
      </c>
      <c r="I812" s="26" t="s">
        <v>256</v>
      </c>
      <c r="J812" s="31">
        <v>0.04</v>
      </c>
      <c r="K812" s="32">
        <f t="shared" si="36"/>
        <v>0.96</v>
      </c>
      <c r="L812" s="29" t="s">
        <v>324</v>
      </c>
      <c r="M812" s="27">
        <f>IFERROR(VLOOKUP(C812,Custo_MI_Device!$B$2:$E$102,3,FALSE),0)</f>
        <v>0</v>
      </c>
      <c r="N812" s="27">
        <f t="shared" si="37"/>
        <v>0</v>
      </c>
      <c r="O812" s="178">
        <f t="shared" si="38"/>
        <v>0</v>
      </c>
    </row>
    <row r="813" spans="1:15" ht="12.75" hidden="1">
      <c r="A813" s="25">
        <v>1117</v>
      </c>
      <c r="B813" s="25" t="s">
        <v>40</v>
      </c>
      <c r="C813" s="26" t="s">
        <v>52</v>
      </c>
      <c r="D813" s="27"/>
      <c r="E813" s="28" t="s">
        <v>145</v>
      </c>
      <c r="F813" s="29" t="s">
        <v>146</v>
      </c>
      <c r="G813" s="30">
        <v>1</v>
      </c>
      <c r="H813" s="27" t="s">
        <v>137</v>
      </c>
      <c r="I813" s="26" t="s">
        <v>138</v>
      </c>
      <c r="J813" s="31">
        <v>1.95</v>
      </c>
      <c r="K813" s="32">
        <f t="shared" si="36"/>
        <v>1.95</v>
      </c>
      <c r="L813" s="29" t="s">
        <v>146</v>
      </c>
      <c r="M813" s="27">
        <f>IFERROR(VLOOKUP(C813,Custo_MI_Device!$B$2:$E$102,3,FALSE),0)</f>
        <v>0</v>
      </c>
      <c r="N813" s="27">
        <f t="shared" si="37"/>
        <v>0</v>
      </c>
      <c r="O813" s="178">
        <f t="shared" si="38"/>
        <v>0</v>
      </c>
    </row>
    <row r="814" spans="1:15" ht="12.75" hidden="1">
      <c r="A814" s="25">
        <v>3080</v>
      </c>
      <c r="B814" s="25" t="s">
        <v>40</v>
      </c>
      <c r="C814" s="26" t="s">
        <v>52</v>
      </c>
      <c r="D814" s="27">
        <v>74122000</v>
      </c>
      <c r="E814" s="28" t="s">
        <v>153</v>
      </c>
      <c r="F814" s="29" t="s">
        <v>154</v>
      </c>
      <c r="G814" s="30">
        <v>1</v>
      </c>
      <c r="H814" s="27" t="s">
        <v>137</v>
      </c>
      <c r="I814" s="26" t="s">
        <v>155</v>
      </c>
      <c r="J814" s="31">
        <v>3.3</v>
      </c>
      <c r="K814" s="32">
        <f t="shared" si="36"/>
        <v>3.3</v>
      </c>
      <c r="L814" s="29" t="s">
        <v>154</v>
      </c>
      <c r="M814" s="27">
        <f>IFERROR(VLOOKUP(C814,Custo_MI_Device!$B$2:$E$102,3,FALSE),0)</f>
        <v>0</v>
      </c>
      <c r="N814" s="27">
        <f t="shared" si="37"/>
        <v>0</v>
      </c>
      <c r="O814" s="178">
        <f t="shared" si="38"/>
        <v>0</v>
      </c>
    </row>
    <row r="815" spans="1:15" ht="25.5" hidden="1">
      <c r="A815" s="25">
        <v>5139</v>
      </c>
      <c r="B815" s="25" t="s">
        <v>40</v>
      </c>
      <c r="C815" s="26" t="s">
        <v>52</v>
      </c>
      <c r="D815" s="27">
        <v>85444900</v>
      </c>
      <c r="E815" s="28" t="s">
        <v>170</v>
      </c>
      <c r="F815" s="29" t="s">
        <v>171</v>
      </c>
      <c r="G815" s="30">
        <v>15</v>
      </c>
      <c r="H815" s="27" t="s">
        <v>158</v>
      </c>
      <c r="I815" s="26" t="s">
        <v>172</v>
      </c>
      <c r="J815" s="31">
        <v>7.5</v>
      </c>
      <c r="K815" s="32">
        <f t="shared" si="36"/>
        <v>112.5</v>
      </c>
      <c r="L815" s="29" t="s">
        <v>173</v>
      </c>
      <c r="M815" s="27">
        <f>IFERROR(VLOOKUP(C815,Custo_MI_Device!$B$2:$E$102,3,FALSE),0)</f>
        <v>0</v>
      </c>
      <c r="N815" s="27">
        <f t="shared" si="37"/>
        <v>0</v>
      </c>
      <c r="O815" s="178">
        <f t="shared" si="38"/>
        <v>0</v>
      </c>
    </row>
    <row r="816" spans="1:15" ht="12.75" hidden="1">
      <c r="A816" s="25">
        <v>2805</v>
      </c>
      <c r="B816" s="25" t="s">
        <v>40</v>
      </c>
      <c r="C816" s="26" t="s">
        <v>52</v>
      </c>
      <c r="D816" s="27">
        <v>72162100</v>
      </c>
      <c r="E816" s="28" t="s">
        <v>174</v>
      </c>
      <c r="F816" s="29">
        <v>0</v>
      </c>
      <c r="G816" s="30">
        <v>2.9</v>
      </c>
      <c r="H816" s="27" t="s">
        <v>175</v>
      </c>
      <c r="I816" s="26" t="s">
        <v>176</v>
      </c>
      <c r="J816" s="31">
        <v>4.22</v>
      </c>
      <c r="K816" s="32">
        <f t="shared" si="36"/>
        <v>12.238</v>
      </c>
      <c r="L816" s="29" t="s">
        <v>177</v>
      </c>
      <c r="M816" s="27">
        <f>IFERROR(VLOOKUP(C816,Custo_MI_Device!$B$2:$E$102,3,FALSE),0)</f>
        <v>0</v>
      </c>
      <c r="N816" s="27">
        <f t="shared" si="37"/>
        <v>0</v>
      </c>
      <c r="O816" s="178">
        <f t="shared" si="38"/>
        <v>0</v>
      </c>
    </row>
    <row r="817" spans="1:15" ht="12.75" hidden="1">
      <c r="A817" s="25">
        <v>2904</v>
      </c>
      <c r="B817" s="25" t="s">
        <v>40</v>
      </c>
      <c r="C817" s="26" t="s">
        <v>52</v>
      </c>
      <c r="D817" s="27">
        <v>76090000</v>
      </c>
      <c r="E817" s="28" t="s">
        <v>195</v>
      </c>
      <c r="F817" s="29" t="s">
        <v>196</v>
      </c>
      <c r="G817" s="30">
        <v>0.75</v>
      </c>
      <c r="H817" s="27" t="s">
        <v>137</v>
      </c>
      <c r="I817" s="26" t="s">
        <v>138</v>
      </c>
      <c r="J817" s="31">
        <v>6.7</v>
      </c>
      <c r="K817" s="32">
        <f t="shared" si="36"/>
        <v>5.0250000000000004</v>
      </c>
      <c r="L817" s="29" t="s">
        <v>196</v>
      </c>
      <c r="M817" s="27">
        <f>IFERROR(VLOOKUP(C817,Custo_MI_Device!$B$2:$E$102,3,FALSE),0)</f>
        <v>0</v>
      </c>
      <c r="N817" s="27">
        <f t="shared" si="37"/>
        <v>0</v>
      </c>
      <c r="O817" s="178">
        <f t="shared" si="38"/>
        <v>0</v>
      </c>
    </row>
    <row r="818" spans="1:15" ht="12.75" hidden="1">
      <c r="A818" s="25">
        <v>2911</v>
      </c>
      <c r="B818" s="25" t="s">
        <v>40</v>
      </c>
      <c r="C818" s="26" t="s">
        <v>52</v>
      </c>
      <c r="D818" s="27">
        <v>76090000</v>
      </c>
      <c r="E818" s="28" t="s">
        <v>197</v>
      </c>
      <c r="F818" s="29" t="s">
        <v>198</v>
      </c>
      <c r="G818" s="30">
        <v>0.75</v>
      </c>
      <c r="H818" s="27" t="s">
        <v>137</v>
      </c>
      <c r="I818" s="26" t="s">
        <v>138</v>
      </c>
      <c r="J818" s="31">
        <v>6.7</v>
      </c>
      <c r="K818" s="32">
        <f t="shared" si="36"/>
        <v>5.0250000000000004</v>
      </c>
      <c r="L818" s="29" t="s">
        <v>198</v>
      </c>
      <c r="M818" s="27">
        <f>IFERROR(VLOOKUP(C818,Custo_MI_Device!$B$2:$E$102,3,FALSE),0)</f>
        <v>0</v>
      </c>
      <c r="N818" s="27">
        <f t="shared" si="37"/>
        <v>0</v>
      </c>
      <c r="O818" s="178">
        <f t="shared" si="38"/>
        <v>0</v>
      </c>
    </row>
    <row r="819" spans="1:15" ht="12.75" hidden="1">
      <c r="A819" s="25">
        <v>4823</v>
      </c>
      <c r="B819" s="25" t="s">
        <v>40</v>
      </c>
      <c r="C819" s="26" t="s">
        <v>52</v>
      </c>
      <c r="D819" s="27">
        <v>76090000</v>
      </c>
      <c r="E819" s="28" t="s">
        <v>199</v>
      </c>
      <c r="F819" s="29" t="s">
        <v>200</v>
      </c>
      <c r="G819" s="30">
        <v>0.75</v>
      </c>
      <c r="H819" s="27" t="s">
        <v>137</v>
      </c>
      <c r="I819" s="26" t="s">
        <v>138</v>
      </c>
      <c r="J819" s="31">
        <v>6.7</v>
      </c>
      <c r="K819" s="32">
        <f t="shared" si="36"/>
        <v>5.0250000000000004</v>
      </c>
      <c r="L819" s="29" t="s">
        <v>200</v>
      </c>
      <c r="M819" s="27">
        <f>IFERROR(VLOOKUP(C819,Custo_MI_Device!$B$2:$E$102,3,FALSE),0)</f>
        <v>0</v>
      </c>
      <c r="N819" s="27">
        <f t="shared" si="37"/>
        <v>0</v>
      </c>
      <c r="O819" s="178">
        <f t="shared" si="38"/>
        <v>0</v>
      </c>
    </row>
    <row r="820" spans="1:15" ht="25.5" hidden="1">
      <c r="A820" s="25">
        <v>2909</v>
      </c>
      <c r="B820" s="25" t="s">
        <v>40</v>
      </c>
      <c r="C820" s="26" t="s">
        <v>52</v>
      </c>
      <c r="D820" s="27">
        <v>73072200</v>
      </c>
      <c r="E820" s="28" t="s">
        <v>216</v>
      </c>
      <c r="F820" s="29" t="s">
        <v>217</v>
      </c>
      <c r="G820" s="30">
        <v>4</v>
      </c>
      <c r="H820" s="27" t="s">
        <v>137</v>
      </c>
      <c r="I820" s="26" t="s">
        <v>218</v>
      </c>
      <c r="J820" s="31">
        <v>27.7</v>
      </c>
      <c r="K820" s="32">
        <f t="shared" si="36"/>
        <v>110.8</v>
      </c>
      <c r="L820" s="29" t="s">
        <v>217</v>
      </c>
      <c r="M820" s="27">
        <f>IFERROR(VLOOKUP(C820,Custo_MI_Device!$B$2:$E$102,3,FALSE),0)</f>
        <v>0</v>
      </c>
      <c r="N820" s="27">
        <f t="shared" si="37"/>
        <v>0</v>
      </c>
      <c r="O820" s="178">
        <f t="shared" si="38"/>
        <v>0</v>
      </c>
    </row>
    <row r="821" spans="1:15" ht="25.5" hidden="1">
      <c r="A821" s="25">
        <v>2300</v>
      </c>
      <c r="B821" s="25" t="s">
        <v>40</v>
      </c>
      <c r="C821" s="26" t="s">
        <v>52</v>
      </c>
      <c r="D821" s="27">
        <v>73072200</v>
      </c>
      <c r="E821" s="28" t="s">
        <v>222</v>
      </c>
      <c r="F821" s="29" t="s">
        <v>223</v>
      </c>
      <c r="G821" s="30">
        <v>1</v>
      </c>
      <c r="H821" s="27" t="s">
        <v>137</v>
      </c>
      <c r="I821" s="26" t="s">
        <v>218</v>
      </c>
      <c r="J821" s="31">
        <v>41</v>
      </c>
      <c r="K821" s="32">
        <f t="shared" si="36"/>
        <v>41</v>
      </c>
      <c r="L821" s="29" t="s">
        <v>223</v>
      </c>
      <c r="M821" s="27">
        <f>IFERROR(VLOOKUP(C821,Custo_MI_Device!$B$2:$E$102,3,FALSE),0)</f>
        <v>0</v>
      </c>
      <c r="N821" s="27">
        <f t="shared" si="37"/>
        <v>0</v>
      </c>
      <c r="O821" s="178">
        <f t="shared" si="38"/>
        <v>0</v>
      </c>
    </row>
    <row r="822" spans="1:15" ht="25.5" hidden="1">
      <c r="A822" s="25">
        <v>7163</v>
      </c>
      <c r="B822" s="25" t="s">
        <v>40</v>
      </c>
      <c r="C822" s="26" t="s">
        <v>52</v>
      </c>
      <c r="D822" s="27">
        <v>73072200</v>
      </c>
      <c r="E822" s="28" t="s">
        <v>224</v>
      </c>
      <c r="F822" s="29">
        <v>0</v>
      </c>
      <c r="G822" s="30">
        <v>3</v>
      </c>
      <c r="H822" s="27" t="s">
        <v>137</v>
      </c>
      <c r="I822" s="26" t="s">
        <v>220</v>
      </c>
      <c r="J822" s="31">
        <v>58</v>
      </c>
      <c r="K822" s="32">
        <f t="shared" si="36"/>
        <v>174</v>
      </c>
      <c r="L822" s="29" t="s">
        <v>225</v>
      </c>
      <c r="M822" s="27">
        <f>IFERROR(VLOOKUP(C822,Custo_MI_Device!$B$2:$E$102,3,FALSE),0)</f>
        <v>0</v>
      </c>
      <c r="N822" s="27">
        <f t="shared" si="37"/>
        <v>0</v>
      </c>
      <c r="O822" s="178">
        <f t="shared" si="38"/>
        <v>0</v>
      </c>
    </row>
    <row r="823" spans="1:15" ht="25.5" hidden="1">
      <c r="A823" s="25">
        <v>4306</v>
      </c>
      <c r="B823" s="25" t="s">
        <v>40</v>
      </c>
      <c r="C823" s="26" t="s">
        <v>52</v>
      </c>
      <c r="D823" s="27">
        <v>73063000</v>
      </c>
      <c r="E823" s="28" t="s">
        <v>239</v>
      </c>
      <c r="F823" s="29">
        <v>0</v>
      </c>
      <c r="G823" s="30">
        <v>2</v>
      </c>
      <c r="H823" s="27" t="s">
        <v>232</v>
      </c>
      <c r="I823" s="26" t="s">
        <v>233</v>
      </c>
      <c r="J823" s="31">
        <v>32</v>
      </c>
      <c r="K823" s="32">
        <f t="shared" si="36"/>
        <v>64</v>
      </c>
      <c r="L823" s="29" t="s">
        <v>240</v>
      </c>
      <c r="M823" s="27">
        <f>IFERROR(VLOOKUP(C823,Custo_MI_Device!$B$2:$E$102,3,FALSE),0)</f>
        <v>0</v>
      </c>
      <c r="N823" s="27">
        <f t="shared" si="37"/>
        <v>0</v>
      </c>
      <c r="O823" s="178">
        <f t="shared" si="38"/>
        <v>0</v>
      </c>
    </row>
    <row r="824" spans="1:15" ht="12.75" hidden="1">
      <c r="A824" s="25">
        <v>3316</v>
      </c>
      <c r="B824" s="25" t="s">
        <v>40</v>
      </c>
      <c r="C824" s="26" t="s">
        <v>52</v>
      </c>
      <c r="D824" s="27">
        <v>0</v>
      </c>
      <c r="E824" s="28" t="s">
        <v>246</v>
      </c>
      <c r="F824" s="29" t="s">
        <v>247</v>
      </c>
      <c r="G824" s="30">
        <v>2</v>
      </c>
      <c r="H824" s="27" t="s">
        <v>137</v>
      </c>
      <c r="I824" s="26" t="s">
        <v>248</v>
      </c>
      <c r="J824" s="31">
        <v>5.5</v>
      </c>
      <c r="K824" s="32">
        <f t="shared" si="36"/>
        <v>11</v>
      </c>
      <c r="L824" s="29" t="s">
        <v>247</v>
      </c>
      <c r="M824" s="27">
        <f>IFERROR(VLOOKUP(C824,Custo_MI_Device!$B$2:$E$102,3,FALSE),0)</f>
        <v>0</v>
      </c>
      <c r="N824" s="27">
        <f t="shared" si="37"/>
        <v>0</v>
      </c>
      <c r="O824" s="178">
        <f t="shared" si="38"/>
        <v>0</v>
      </c>
    </row>
    <row r="825" spans="1:15" ht="25.5" hidden="1">
      <c r="A825" s="25">
        <v>1900</v>
      </c>
      <c r="B825" s="25" t="s">
        <v>40</v>
      </c>
      <c r="C825" s="26" t="s">
        <v>52</v>
      </c>
      <c r="D825" s="27">
        <v>73072200</v>
      </c>
      <c r="E825" s="28" t="s">
        <v>249</v>
      </c>
      <c r="F825" s="29" t="s">
        <v>250</v>
      </c>
      <c r="G825" s="30">
        <v>2</v>
      </c>
      <c r="H825" s="27" t="s">
        <v>137</v>
      </c>
      <c r="I825" s="26" t="s">
        <v>218</v>
      </c>
      <c r="J825" s="31">
        <v>27</v>
      </c>
      <c r="K825" s="32">
        <f t="shared" si="36"/>
        <v>54</v>
      </c>
      <c r="L825" s="29" t="s">
        <v>250</v>
      </c>
      <c r="M825" s="27">
        <f>IFERROR(VLOOKUP(C825,Custo_MI_Device!$B$2:$E$102,3,FALSE),0)</f>
        <v>0</v>
      </c>
      <c r="N825" s="27">
        <f t="shared" si="37"/>
        <v>0</v>
      </c>
      <c r="O825" s="178">
        <f t="shared" si="38"/>
        <v>0</v>
      </c>
    </row>
    <row r="826" spans="1:15" ht="12.75" hidden="1">
      <c r="A826" s="25">
        <v>3274</v>
      </c>
      <c r="B826" s="25" t="s">
        <v>40</v>
      </c>
      <c r="C826" s="26" t="s">
        <v>52</v>
      </c>
      <c r="D826" s="27">
        <v>73181500</v>
      </c>
      <c r="E826" s="28" t="s">
        <v>265</v>
      </c>
      <c r="F826" s="29" t="s">
        <v>266</v>
      </c>
      <c r="G826" s="30">
        <v>24</v>
      </c>
      <c r="H826" s="27" t="s">
        <v>137</v>
      </c>
      <c r="I826" s="26" t="s">
        <v>256</v>
      </c>
      <c r="J826" s="31">
        <v>0.06</v>
      </c>
      <c r="K826" s="32">
        <f t="shared" si="36"/>
        <v>1.44</v>
      </c>
      <c r="L826" s="29" t="s">
        <v>266</v>
      </c>
      <c r="M826" s="27">
        <f>IFERROR(VLOOKUP(C826,Custo_MI_Device!$B$2:$E$102,3,FALSE),0)</f>
        <v>0</v>
      </c>
      <c r="N826" s="27">
        <f t="shared" si="37"/>
        <v>0</v>
      </c>
      <c r="O826" s="178">
        <f t="shared" si="38"/>
        <v>0</v>
      </c>
    </row>
    <row r="827" spans="1:15" ht="25.5" hidden="1">
      <c r="A827" s="25">
        <v>1611</v>
      </c>
      <c r="B827" s="25" t="s">
        <v>40</v>
      </c>
      <c r="C827" s="26" t="s">
        <v>52</v>
      </c>
      <c r="D827" s="27">
        <v>39174090</v>
      </c>
      <c r="E827" s="28" t="s">
        <v>275</v>
      </c>
      <c r="F827" s="29" t="s">
        <v>276</v>
      </c>
      <c r="G827" s="30">
        <v>2</v>
      </c>
      <c r="H827" s="27" t="s">
        <v>137</v>
      </c>
      <c r="I827" s="26" t="s">
        <v>277</v>
      </c>
      <c r="J827" s="31">
        <v>7.8</v>
      </c>
      <c r="K827" s="32">
        <f t="shared" si="36"/>
        <v>15.6</v>
      </c>
      <c r="L827" s="29" t="s">
        <v>276</v>
      </c>
      <c r="M827" s="27">
        <f>IFERROR(VLOOKUP(C827,Custo_MI_Device!$B$2:$E$102,3,FALSE),0)</f>
        <v>0</v>
      </c>
      <c r="N827" s="27">
        <f t="shared" si="37"/>
        <v>0</v>
      </c>
      <c r="O827" s="178">
        <f t="shared" si="38"/>
        <v>0</v>
      </c>
    </row>
    <row r="828" spans="1:15" ht="25.5" hidden="1">
      <c r="A828" s="25">
        <v>2973</v>
      </c>
      <c r="B828" s="25" t="s">
        <v>40</v>
      </c>
      <c r="C828" s="26" t="s">
        <v>52</v>
      </c>
      <c r="D828" s="27">
        <v>73072200</v>
      </c>
      <c r="E828" s="28" t="s">
        <v>281</v>
      </c>
      <c r="F828" s="29" t="s">
        <v>282</v>
      </c>
      <c r="G828" s="30">
        <v>3</v>
      </c>
      <c r="H828" s="27" t="s">
        <v>137</v>
      </c>
      <c r="I828" s="26" t="s">
        <v>218</v>
      </c>
      <c r="J828" s="31">
        <v>29</v>
      </c>
      <c r="K828" s="32">
        <f t="shared" si="36"/>
        <v>87</v>
      </c>
      <c r="L828" s="29" t="s">
        <v>282</v>
      </c>
      <c r="M828" s="27">
        <f>IFERROR(VLOOKUP(C828,Custo_MI_Device!$B$2:$E$102,3,FALSE),0)</f>
        <v>0</v>
      </c>
      <c r="N828" s="27">
        <f t="shared" si="37"/>
        <v>0</v>
      </c>
      <c r="O828" s="178">
        <f t="shared" si="38"/>
        <v>0</v>
      </c>
    </row>
    <row r="829" spans="1:15" ht="25.5" hidden="1">
      <c r="A829" s="25">
        <v>5194</v>
      </c>
      <c r="B829" s="25" t="s">
        <v>40</v>
      </c>
      <c r="C829" s="26" t="s">
        <v>52</v>
      </c>
      <c r="D829" s="27">
        <v>73041010</v>
      </c>
      <c r="E829" s="28" t="s">
        <v>289</v>
      </c>
      <c r="F829" s="29" t="s">
        <v>290</v>
      </c>
      <c r="G829" s="30">
        <v>2</v>
      </c>
      <c r="H829" s="27" t="s">
        <v>232</v>
      </c>
      <c r="I829" s="26" t="s">
        <v>218</v>
      </c>
      <c r="J829" s="31">
        <f>21.5*6</f>
        <v>129</v>
      </c>
      <c r="K829" s="32">
        <f t="shared" si="36"/>
        <v>258</v>
      </c>
      <c r="L829" s="29" t="s">
        <v>290</v>
      </c>
      <c r="M829" s="27">
        <f>IFERROR(VLOOKUP(C829,Custo_MI_Device!$B$2:$E$102,3,FALSE),0)</f>
        <v>0</v>
      </c>
      <c r="N829" s="27">
        <f t="shared" si="37"/>
        <v>0</v>
      </c>
      <c r="O829" s="178">
        <f t="shared" si="38"/>
        <v>0</v>
      </c>
    </row>
    <row r="830" spans="1:15" ht="25.5" hidden="1">
      <c r="A830" s="25">
        <v>2125</v>
      </c>
      <c r="B830" s="25" t="s">
        <v>40</v>
      </c>
      <c r="C830" s="26" t="s">
        <v>52</v>
      </c>
      <c r="D830" s="27">
        <v>84818039</v>
      </c>
      <c r="E830" s="28" t="s">
        <v>301</v>
      </c>
      <c r="F830" s="29">
        <v>0</v>
      </c>
      <c r="G830" s="30">
        <v>2</v>
      </c>
      <c r="H830" s="27" t="s">
        <v>137</v>
      </c>
      <c r="I830" s="26" t="s">
        <v>220</v>
      </c>
      <c r="J830" s="31">
        <v>175</v>
      </c>
      <c r="K830" s="32">
        <f t="shared" si="36"/>
        <v>350</v>
      </c>
      <c r="L830" s="29" t="s">
        <v>302</v>
      </c>
      <c r="M830" s="27">
        <f>IFERROR(VLOOKUP(C830,Custo_MI_Device!$B$2:$E$102,3,FALSE),0)</f>
        <v>0</v>
      </c>
      <c r="N830" s="27">
        <f t="shared" si="37"/>
        <v>0</v>
      </c>
      <c r="O830" s="178">
        <f t="shared" si="38"/>
        <v>0</v>
      </c>
    </row>
    <row r="831" spans="1:15" ht="25.5" hidden="1">
      <c r="A831" s="25">
        <v>2567</v>
      </c>
      <c r="B831" s="25" t="s">
        <v>40</v>
      </c>
      <c r="C831" s="26" t="s">
        <v>52</v>
      </c>
      <c r="D831" s="27">
        <v>84818095</v>
      </c>
      <c r="E831" s="28" t="s">
        <v>303</v>
      </c>
      <c r="F831" s="29">
        <v>0</v>
      </c>
      <c r="G831" s="30">
        <v>2</v>
      </c>
      <c r="H831" s="27" t="s">
        <v>137</v>
      </c>
      <c r="I831" s="26" t="s">
        <v>304</v>
      </c>
      <c r="J831" s="31">
        <v>27</v>
      </c>
      <c r="K831" s="32">
        <f t="shared" si="36"/>
        <v>54</v>
      </c>
      <c r="L831" s="29" t="s">
        <v>305</v>
      </c>
      <c r="M831" s="27">
        <f>IFERROR(VLOOKUP(C831,Custo_MI_Device!$B$2:$E$102,3,FALSE),0)</f>
        <v>0</v>
      </c>
      <c r="N831" s="27">
        <f t="shared" si="37"/>
        <v>0</v>
      </c>
      <c r="O831" s="178">
        <f t="shared" si="38"/>
        <v>0</v>
      </c>
    </row>
    <row r="832" spans="1:15" ht="12.75" hidden="1">
      <c r="A832" s="25">
        <v>2534</v>
      </c>
      <c r="B832" s="25" t="s">
        <v>40</v>
      </c>
      <c r="C832" s="26" t="s">
        <v>53</v>
      </c>
      <c r="D832" s="27">
        <v>73072900</v>
      </c>
      <c r="E832" s="28" t="s">
        <v>314</v>
      </c>
      <c r="F832" s="29" t="s">
        <v>315</v>
      </c>
      <c r="G832" s="30">
        <v>12</v>
      </c>
      <c r="H832" s="27" t="s">
        <v>137</v>
      </c>
      <c r="I832" s="26" t="s">
        <v>256</v>
      </c>
      <c r="J832" s="31">
        <v>1.2</v>
      </c>
      <c r="K832" s="32">
        <f t="shared" si="36"/>
        <v>14.399999999999999</v>
      </c>
      <c r="L832" s="29" t="s">
        <v>315</v>
      </c>
      <c r="M832" s="27">
        <f>IFERROR(VLOOKUP(C832,Custo_MI_Device!$B$2:$E$102,3,FALSE),0)</f>
        <v>0</v>
      </c>
      <c r="N832" s="27">
        <f t="shared" si="37"/>
        <v>0</v>
      </c>
      <c r="O832" s="178">
        <f t="shared" si="38"/>
        <v>0</v>
      </c>
    </row>
    <row r="833" spans="1:15" ht="12.75" hidden="1">
      <c r="A833" s="25">
        <v>1669</v>
      </c>
      <c r="B833" s="25" t="s">
        <v>40</v>
      </c>
      <c r="C833" s="26" t="s">
        <v>53</v>
      </c>
      <c r="D833" s="27">
        <v>39269090</v>
      </c>
      <c r="E833" s="28" t="s">
        <v>316</v>
      </c>
      <c r="F833" s="29" t="s">
        <v>317</v>
      </c>
      <c r="G833" s="30">
        <v>3</v>
      </c>
      <c r="H833" s="27" t="s">
        <v>137</v>
      </c>
      <c r="I833" s="26" t="s">
        <v>318</v>
      </c>
      <c r="J833" s="31">
        <v>0.04</v>
      </c>
      <c r="K833" s="32">
        <f t="shared" si="36"/>
        <v>0.12</v>
      </c>
      <c r="L833" s="29" t="s">
        <v>317</v>
      </c>
      <c r="M833" s="27">
        <f>IFERROR(VLOOKUP(C833,Custo_MI_Device!$B$2:$E$102,3,FALSE),0)</f>
        <v>0</v>
      </c>
      <c r="N833" s="27">
        <f t="shared" si="37"/>
        <v>0</v>
      </c>
      <c r="O833" s="178">
        <f t="shared" si="38"/>
        <v>0</v>
      </c>
    </row>
    <row r="834" spans="1:15" ht="12.75" hidden="1">
      <c r="A834" s="25">
        <v>5091</v>
      </c>
      <c r="B834" s="25" t="s">
        <v>40</v>
      </c>
      <c r="C834" s="26" t="s">
        <v>53</v>
      </c>
      <c r="D834" s="27">
        <v>73181500</v>
      </c>
      <c r="E834" s="28" t="s">
        <v>323</v>
      </c>
      <c r="F834" s="29" t="s">
        <v>324</v>
      </c>
      <c r="G834" s="30">
        <v>24</v>
      </c>
      <c r="H834" s="27" t="s">
        <v>137</v>
      </c>
      <c r="I834" s="26" t="s">
        <v>256</v>
      </c>
      <c r="J834" s="31">
        <v>0.04</v>
      </c>
      <c r="K834" s="32">
        <f t="shared" si="36"/>
        <v>0.96</v>
      </c>
      <c r="L834" s="29" t="s">
        <v>324</v>
      </c>
      <c r="M834" s="27">
        <f>IFERROR(VLOOKUP(C834,Custo_MI_Device!$B$2:$E$102,3,FALSE),0)</f>
        <v>0</v>
      </c>
      <c r="N834" s="27">
        <f t="shared" si="37"/>
        <v>0</v>
      </c>
      <c r="O834" s="178">
        <f t="shared" si="38"/>
        <v>0</v>
      </c>
    </row>
    <row r="835" spans="1:15" ht="12.75" hidden="1">
      <c r="A835" s="25">
        <v>83</v>
      </c>
      <c r="B835" s="25" t="s">
        <v>40</v>
      </c>
      <c r="C835" s="26" t="s">
        <v>53</v>
      </c>
      <c r="D835" s="27"/>
      <c r="E835" s="28" t="s">
        <v>150</v>
      </c>
      <c r="F835" s="29" t="s">
        <v>148</v>
      </c>
      <c r="G835" s="30">
        <v>1</v>
      </c>
      <c r="H835" s="27" t="s">
        <v>137</v>
      </c>
      <c r="I835" s="26" t="s">
        <v>149</v>
      </c>
      <c r="J835" s="31">
        <v>4.8</v>
      </c>
      <c r="K835" s="32">
        <f t="shared" ref="K835:K898" si="39">G835*J835</f>
        <v>4.8</v>
      </c>
      <c r="L835" s="29" t="s">
        <v>148</v>
      </c>
      <c r="M835" s="27">
        <f>IFERROR(VLOOKUP(C835,Custo_MI_Device!$B$2:$E$102,3,FALSE),0)</f>
        <v>0</v>
      </c>
      <c r="N835" s="27">
        <f t="shared" ref="N835:N898" si="40">ROUNDUP(M835*G835,0)</f>
        <v>0</v>
      </c>
      <c r="O835" s="178">
        <f t="shared" ref="O835:O898" si="41">N835*J835</f>
        <v>0</v>
      </c>
    </row>
    <row r="836" spans="1:15" ht="12.75" hidden="1">
      <c r="A836" s="25">
        <v>3080</v>
      </c>
      <c r="B836" s="25" t="s">
        <v>40</v>
      </c>
      <c r="C836" s="26" t="s">
        <v>53</v>
      </c>
      <c r="D836" s="27">
        <v>74122000</v>
      </c>
      <c r="E836" s="28" t="s">
        <v>153</v>
      </c>
      <c r="F836" s="29" t="s">
        <v>154</v>
      </c>
      <c r="G836" s="30">
        <v>1</v>
      </c>
      <c r="H836" s="27" t="s">
        <v>137</v>
      </c>
      <c r="I836" s="26" t="s">
        <v>155</v>
      </c>
      <c r="J836" s="31">
        <v>3.3</v>
      </c>
      <c r="K836" s="32">
        <f t="shared" si="39"/>
        <v>3.3</v>
      </c>
      <c r="L836" s="29" t="s">
        <v>154</v>
      </c>
      <c r="M836" s="27">
        <f>IFERROR(VLOOKUP(C836,Custo_MI_Device!$B$2:$E$102,3,FALSE),0)</f>
        <v>0</v>
      </c>
      <c r="N836" s="27">
        <f t="shared" si="40"/>
        <v>0</v>
      </c>
      <c r="O836" s="178">
        <f t="shared" si="41"/>
        <v>0</v>
      </c>
    </row>
    <row r="837" spans="1:15" ht="38.25" hidden="1">
      <c r="A837" s="25">
        <v>3585</v>
      </c>
      <c r="B837" s="25" t="s">
        <v>40</v>
      </c>
      <c r="C837" s="26" t="s">
        <v>53</v>
      </c>
      <c r="D837" s="27">
        <v>85444900</v>
      </c>
      <c r="E837" s="28" t="s">
        <v>328</v>
      </c>
      <c r="F837" s="29">
        <v>900400</v>
      </c>
      <c r="G837" s="33">
        <v>0</v>
      </c>
      <c r="H837" s="27" t="s">
        <v>158</v>
      </c>
      <c r="I837" s="26" t="s">
        <v>164</v>
      </c>
      <c r="J837" s="31">
        <v>1.7</v>
      </c>
      <c r="K837" s="32">
        <f t="shared" si="39"/>
        <v>0</v>
      </c>
      <c r="L837" s="29">
        <v>900400</v>
      </c>
      <c r="M837" s="27">
        <f>IFERROR(VLOOKUP(C837,Custo_MI_Device!$B$2:$E$102,3,FALSE),0)</f>
        <v>0</v>
      </c>
      <c r="N837" s="27">
        <f t="shared" si="40"/>
        <v>0</v>
      </c>
      <c r="O837" s="178">
        <f t="shared" si="41"/>
        <v>0</v>
      </c>
    </row>
    <row r="838" spans="1:15" ht="12.75" hidden="1">
      <c r="A838" s="25">
        <v>2805</v>
      </c>
      <c r="B838" s="25" t="s">
        <v>40</v>
      </c>
      <c r="C838" s="26" t="s">
        <v>53</v>
      </c>
      <c r="D838" s="27">
        <v>72162100</v>
      </c>
      <c r="E838" s="28" t="s">
        <v>174</v>
      </c>
      <c r="F838" s="29">
        <v>0</v>
      </c>
      <c r="G838" s="30">
        <v>2.9</v>
      </c>
      <c r="H838" s="27" t="s">
        <v>175</v>
      </c>
      <c r="I838" s="26" t="s">
        <v>176</v>
      </c>
      <c r="J838" s="31">
        <v>4.22</v>
      </c>
      <c r="K838" s="32">
        <f t="shared" si="39"/>
        <v>12.238</v>
      </c>
      <c r="L838" s="29" t="s">
        <v>177</v>
      </c>
      <c r="M838" s="27">
        <f>IFERROR(VLOOKUP(C838,Custo_MI_Device!$B$2:$E$102,3,FALSE),0)</f>
        <v>0</v>
      </c>
      <c r="N838" s="27">
        <f t="shared" si="40"/>
        <v>0</v>
      </c>
      <c r="O838" s="178">
        <f t="shared" si="41"/>
        <v>0</v>
      </c>
    </row>
    <row r="839" spans="1:15" ht="25.5" hidden="1">
      <c r="A839" s="25">
        <v>3738</v>
      </c>
      <c r="B839" s="25" t="s">
        <v>40</v>
      </c>
      <c r="C839" s="26" t="s">
        <v>53</v>
      </c>
      <c r="D839" s="27">
        <v>73071100</v>
      </c>
      <c r="E839" s="28" t="s">
        <v>205</v>
      </c>
      <c r="F839" s="29" t="s">
        <v>206</v>
      </c>
      <c r="G839" s="30">
        <v>0.75</v>
      </c>
      <c r="H839" s="27" t="s">
        <v>137</v>
      </c>
      <c r="I839" s="26" t="s">
        <v>149</v>
      </c>
      <c r="J839" s="31">
        <v>27</v>
      </c>
      <c r="K839" s="32">
        <f t="shared" si="39"/>
        <v>20.25</v>
      </c>
      <c r="L839" s="29" t="s">
        <v>206</v>
      </c>
      <c r="M839" s="27">
        <f>IFERROR(VLOOKUP(C839,Custo_MI_Device!$B$2:$E$102,3,FALSE),0)</f>
        <v>0</v>
      </c>
      <c r="N839" s="27">
        <f t="shared" si="40"/>
        <v>0</v>
      </c>
      <c r="O839" s="178">
        <f t="shared" si="41"/>
        <v>0</v>
      </c>
    </row>
    <row r="840" spans="1:15" ht="25.5" hidden="1">
      <c r="A840" s="25">
        <v>1710</v>
      </c>
      <c r="B840" s="25" t="s">
        <v>40</v>
      </c>
      <c r="C840" s="26" t="s">
        <v>53</v>
      </c>
      <c r="D840" s="27">
        <v>73071100</v>
      </c>
      <c r="E840" s="28" t="s">
        <v>207</v>
      </c>
      <c r="F840" s="29" t="s">
        <v>208</v>
      </c>
      <c r="G840" s="30">
        <v>0.75</v>
      </c>
      <c r="H840" s="27" t="s">
        <v>137</v>
      </c>
      <c r="I840" s="26" t="s">
        <v>149</v>
      </c>
      <c r="J840" s="31">
        <v>27</v>
      </c>
      <c r="K840" s="32">
        <f t="shared" si="39"/>
        <v>20.25</v>
      </c>
      <c r="L840" s="29" t="s">
        <v>208</v>
      </c>
      <c r="M840" s="27">
        <f>IFERROR(VLOOKUP(C840,Custo_MI_Device!$B$2:$E$102,3,FALSE),0)</f>
        <v>0</v>
      </c>
      <c r="N840" s="27">
        <f t="shared" si="40"/>
        <v>0</v>
      </c>
      <c r="O840" s="178">
        <f t="shared" si="41"/>
        <v>0</v>
      </c>
    </row>
    <row r="841" spans="1:15" ht="25.5" hidden="1">
      <c r="A841" s="25">
        <v>1715</v>
      </c>
      <c r="B841" s="25" t="s">
        <v>40</v>
      </c>
      <c r="C841" s="26" t="s">
        <v>53</v>
      </c>
      <c r="D841" s="27">
        <v>73071100</v>
      </c>
      <c r="E841" s="28" t="s">
        <v>209</v>
      </c>
      <c r="F841" s="29" t="s">
        <v>210</v>
      </c>
      <c r="G841" s="30">
        <v>0.75</v>
      </c>
      <c r="H841" s="27" t="s">
        <v>137</v>
      </c>
      <c r="I841" s="26" t="s">
        <v>149</v>
      </c>
      <c r="J841" s="31">
        <v>27</v>
      </c>
      <c r="K841" s="32">
        <f t="shared" si="39"/>
        <v>20.25</v>
      </c>
      <c r="L841" s="29" t="s">
        <v>210</v>
      </c>
      <c r="M841" s="27">
        <f>IFERROR(VLOOKUP(C841,Custo_MI_Device!$B$2:$E$102,3,FALSE),0)</f>
        <v>0</v>
      </c>
      <c r="N841" s="27">
        <f t="shared" si="40"/>
        <v>0</v>
      </c>
      <c r="O841" s="178">
        <f t="shared" si="41"/>
        <v>0</v>
      </c>
    </row>
    <row r="842" spans="1:15" ht="25.5" hidden="1">
      <c r="A842" s="25">
        <v>2909</v>
      </c>
      <c r="B842" s="25" t="s">
        <v>40</v>
      </c>
      <c r="C842" s="26" t="s">
        <v>53</v>
      </c>
      <c r="D842" s="27">
        <v>73072200</v>
      </c>
      <c r="E842" s="28" t="s">
        <v>216</v>
      </c>
      <c r="F842" s="29" t="s">
        <v>217</v>
      </c>
      <c r="G842" s="30">
        <v>4</v>
      </c>
      <c r="H842" s="27" t="s">
        <v>137</v>
      </c>
      <c r="I842" s="26" t="s">
        <v>218</v>
      </c>
      <c r="J842" s="31">
        <v>27.7</v>
      </c>
      <c r="K842" s="32">
        <f t="shared" si="39"/>
        <v>110.8</v>
      </c>
      <c r="L842" s="29" t="s">
        <v>217</v>
      </c>
      <c r="M842" s="27">
        <f>IFERROR(VLOOKUP(C842,Custo_MI_Device!$B$2:$E$102,3,FALSE),0)</f>
        <v>0</v>
      </c>
      <c r="N842" s="27">
        <f t="shared" si="40"/>
        <v>0</v>
      </c>
      <c r="O842" s="178">
        <f t="shared" si="41"/>
        <v>0</v>
      </c>
    </row>
    <row r="843" spans="1:15" ht="25.5" hidden="1">
      <c r="A843" s="25">
        <v>2300</v>
      </c>
      <c r="B843" s="25" t="s">
        <v>40</v>
      </c>
      <c r="C843" s="26" t="s">
        <v>53</v>
      </c>
      <c r="D843" s="27">
        <v>73072200</v>
      </c>
      <c r="E843" s="28" t="s">
        <v>222</v>
      </c>
      <c r="F843" s="29" t="s">
        <v>223</v>
      </c>
      <c r="G843" s="30">
        <v>1</v>
      </c>
      <c r="H843" s="27" t="s">
        <v>137</v>
      </c>
      <c r="I843" s="26" t="s">
        <v>218</v>
      </c>
      <c r="J843" s="31">
        <v>41</v>
      </c>
      <c r="K843" s="32">
        <f t="shared" si="39"/>
        <v>41</v>
      </c>
      <c r="L843" s="29" t="s">
        <v>223</v>
      </c>
      <c r="M843" s="27">
        <f>IFERROR(VLOOKUP(C843,Custo_MI_Device!$B$2:$E$102,3,FALSE),0)</f>
        <v>0</v>
      </c>
      <c r="N843" s="27">
        <f t="shared" si="40"/>
        <v>0</v>
      </c>
      <c r="O843" s="178">
        <f t="shared" si="41"/>
        <v>0</v>
      </c>
    </row>
    <row r="844" spans="1:15" ht="25.5" hidden="1">
      <c r="A844" s="25">
        <v>7163</v>
      </c>
      <c r="B844" s="25" t="s">
        <v>40</v>
      </c>
      <c r="C844" s="26" t="s">
        <v>53</v>
      </c>
      <c r="D844" s="27">
        <v>73072200</v>
      </c>
      <c r="E844" s="28" t="s">
        <v>224</v>
      </c>
      <c r="F844" s="29">
        <v>0</v>
      </c>
      <c r="G844" s="30">
        <v>3</v>
      </c>
      <c r="H844" s="27" t="s">
        <v>137</v>
      </c>
      <c r="I844" s="26" t="s">
        <v>220</v>
      </c>
      <c r="J844" s="31">
        <v>58</v>
      </c>
      <c r="K844" s="32">
        <f t="shared" si="39"/>
        <v>174</v>
      </c>
      <c r="L844" s="29" t="s">
        <v>225</v>
      </c>
      <c r="M844" s="27">
        <f>IFERROR(VLOOKUP(C844,Custo_MI_Device!$B$2:$E$102,3,FALSE),0)</f>
        <v>0</v>
      </c>
      <c r="N844" s="27">
        <f t="shared" si="40"/>
        <v>0</v>
      </c>
      <c r="O844" s="178">
        <f t="shared" si="41"/>
        <v>0</v>
      </c>
    </row>
    <row r="845" spans="1:15" ht="25.5" hidden="1">
      <c r="A845" s="25">
        <v>3417</v>
      </c>
      <c r="B845" s="25" t="s">
        <v>40</v>
      </c>
      <c r="C845" s="26" t="s">
        <v>53</v>
      </c>
      <c r="D845" s="27">
        <v>73063000</v>
      </c>
      <c r="E845" s="28" t="s">
        <v>231</v>
      </c>
      <c r="F845" s="29">
        <v>0</v>
      </c>
      <c r="G845" s="30">
        <v>2</v>
      </c>
      <c r="H845" s="27" t="s">
        <v>232</v>
      </c>
      <c r="I845" s="26" t="s">
        <v>233</v>
      </c>
      <c r="J845" s="31">
        <v>33.47</v>
      </c>
      <c r="K845" s="32">
        <f t="shared" si="39"/>
        <v>66.94</v>
      </c>
      <c r="L845" s="29" t="s">
        <v>234</v>
      </c>
      <c r="M845" s="27">
        <f>IFERROR(VLOOKUP(C845,Custo_MI_Device!$B$2:$E$102,3,FALSE),0)</f>
        <v>0</v>
      </c>
      <c r="N845" s="27">
        <f t="shared" si="40"/>
        <v>0</v>
      </c>
      <c r="O845" s="178">
        <f t="shared" si="41"/>
        <v>0</v>
      </c>
    </row>
    <row r="846" spans="1:15" ht="12.75" hidden="1">
      <c r="A846" s="25">
        <v>3316</v>
      </c>
      <c r="B846" s="25" t="s">
        <v>40</v>
      </c>
      <c r="C846" s="26" t="s">
        <v>53</v>
      </c>
      <c r="D846" s="27">
        <v>0</v>
      </c>
      <c r="E846" s="28" t="s">
        <v>246</v>
      </c>
      <c r="F846" s="29" t="s">
        <v>247</v>
      </c>
      <c r="G846" s="30">
        <v>2</v>
      </c>
      <c r="H846" s="27" t="s">
        <v>137</v>
      </c>
      <c r="I846" s="26" t="s">
        <v>248</v>
      </c>
      <c r="J846" s="31">
        <v>5.5</v>
      </c>
      <c r="K846" s="32">
        <f t="shared" si="39"/>
        <v>11</v>
      </c>
      <c r="L846" s="29" t="s">
        <v>247</v>
      </c>
      <c r="M846" s="27">
        <f>IFERROR(VLOOKUP(C846,Custo_MI_Device!$B$2:$E$102,3,FALSE),0)</f>
        <v>0</v>
      </c>
      <c r="N846" s="27">
        <f t="shared" si="40"/>
        <v>0</v>
      </c>
      <c r="O846" s="178">
        <f t="shared" si="41"/>
        <v>0</v>
      </c>
    </row>
    <row r="847" spans="1:15" ht="25.5" hidden="1">
      <c r="A847" s="25">
        <v>1900</v>
      </c>
      <c r="B847" s="25" t="s">
        <v>40</v>
      </c>
      <c r="C847" s="26" t="s">
        <v>53</v>
      </c>
      <c r="D847" s="27">
        <v>73072200</v>
      </c>
      <c r="E847" s="28" t="s">
        <v>249</v>
      </c>
      <c r="F847" s="29" t="s">
        <v>250</v>
      </c>
      <c r="G847" s="30">
        <v>2</v>
      </c>
      <c r="H847" s="27" t="s">
        <v>137</v>
      </c>
      <c r="I847" s="26" t="s">
        <v>218</v>
      </c>
      <c r="J847" s="31">
        <v>27</v>
      </c>
      <c r="K847" s="32">
        <f t="shared" si="39"/>
        <v>54</v>
      </c>
      <c r="L847" s="29" t="s">
        <v>250</v>
      </c>
      <c r="M847" s="27">
        <f>IFERROR(VLOOKUP(C847,Custo_MI_Device!$B$2:$E$102,3,FALSE),0)</f>
        <v>0</v>
      </c>
      <c r="N847" s="27">
        <f t="shared" si="40"/>
        <v>0</v>
      </c>
      <c r="O847" s="178">
        <f t="shared" si="41"/>
        <v>0</v>
      </c>
    </row>
    <row r="848" spans="1:15" ht="12.75" hidden="1">
      <c r="A848" s="25">
        <v>1965</v>
      </c>
      <c r="B848" s="25" t="s">
        <v>40</v>
      </c>
      <c r="C848" s="26" t="s">
        <v>53</v>
      </c>
      <c r="D848" s="27">
        <v>73071100</v>
      </c>
      <c r="E848" s="28" t="s">
        <v>251</v>
      </c>
      <c r="F848" s="29" t="s">
        <v>252</v>
      </c>
      <c r="G848" s="30">
        <v>1</v>
      </c>
      <c r="H848" s="27" t="s">
        <v>137</v>
      </c>
      <c r="I848" s="26" t="s">
        <v>253</v>
      </c>
      <c r="J848" s="31">
        <v>5.5</v>
      </c>
      <c r="K848" s="32">
        <f t="shared" si="39"/>
        <v>5.5</v>
      </c>
      <c r="L848" s="29" t="s">
        <v>252</v>
      </c>
      <c r="M848" s="27">
        <f>IFERROR(VLOOKUP(C848,Custo_MI_Device!$B$2:$E$102,3,FALSE),0)</f>
        <v>0</v>
      </c>
      <c r="N848" s="27">
        <f t="shared" si="40"/>
        <v>0</v>
      </c>
      <c r="O848" s="178">
        <f t="shared" si="41"/>
        <v>0</v>
      </c>
    </row>
    <row r="849" spans="1:15" ht="12.75" hidden="1">
      <c r="A849" s="25">
        <v>3274</v>
      </c>
      <c r="B849" s="25" t="s">
        <v>40</v>
      </c>
      <c r="C849" s="26" t="s">
        <v>53</v>
      </c>
      <c r="D849" s="27">
        <v>73181500</v>
      </c>
      <c r="E849" s="28" t="s">
        <v>265</v>
      </c>
      <c r="F849" s="29" t="s">
        <v>266</v>
      </c>
      <c r="G849" s="30">
        <v>24</v>
      </c>
      <c r="H849" s="27" t="s">
        <v>137</v>
      </c>
      <c r="I849" s="26" t="s">
        <v>256</v>
      </c>
      <c r="J849" s="31">
        <v>0.06</v>
      </c>
      <c r="K849" s="32">
        <f t="shared" si="39"/>
        <v>1.44</v>
      </c>
      <c r="L849" s="29" t="s">
        <v>266</v>
      </c>
      <c r="M849" s="27">
        <f>IFERROR(VLOOKUP(C849,Custo_MI_Device!$B$2:$E$102,3,FALSE),0)</f>
        <v>0</v>
      </c>
      <c r="N849" s="27">
        <f t="shared" si="40"/>
        <v>0</v>
      </c>
      <c r="O849" s="178">
        <f t="shared" si="41"/>
        <v>0</v>
      </c>
    </row>
    <row r="850" spans="1:15" ht="25.5" hidden="1">
      <c r="A850" s="25">
        <v>2973</v>
      </c>
      <c r="B850" s="25" t="s">
        <v>40</v>
      </c>
      <c r="C850" s="26" t="s">
        <v>53</v>
      </c>
      <c r="D850" s="27">
        <v>73072200</v>
      </c>
      <c r="E850" s="28" t="s">
        <v>281</v>
      </c>
      <c r="F850" s="29" t="s">
        <v>282</v>
      </c>
      <c r="G850" s="30">
        <v>3</v>
      </c>
      <c r="H850" s="27" t="s">
        <v>137</v>
      </c>
      <c r="I850" s="26" t="s">
        <v>218</v>
      </c>
      <c r="J850" s="31">
        <v>29</v>
      </c>
      <c r="K850" s="32">
        <f t="shared" si="39"/>
        <v>87</v>
      </c>
      <c r="L850" s="29" t="s">
        <v>282</v>
      </c>
      <c r="M850" s="27">
        <f>IFERROR(VLOOKUP(C850,Custo_MI_Device!$B$2:$E$102,3,FALSE),0)</f>
        <v>0</v>
      </c>
      <c r="N850" s="27">
        <f t="shared" si="40"/>
        <v>0</v>
      </c>
      <c r="O850" s="178">
        <f t="shared" si="41"/>
        <v>0</v>
      </c>
    </row>
    <row r="851" spans="1:15" ht="25.5" hidden="1">
      <c r="A851" s="25">
        <v>5194</v>
      </c>
      <c r="B851" s="25" t="s">
        <v>40</v>
      </c>
      <c r="C851" s="26" t="s">
        <v>53</v>
      </c>
      <c r="D851" s="27">
        <v>73041010</v>
      </c>
      <c r="E851" s="28" t="s">
        <v>289</v>
      </c>
      <c r="F851" s="29" t="s">
        <v>290</v>
      </c>
      <c r="G851" s="30">
        <v>2</v>
      </c>
      <c r="H851" s="27" t="s">
        <v>232</v>
      </c>
      <c r="I851" s="26" t="s">
        <v>218</v>
      </c>
      <c r="J851" s="31">
        <f>21.5*6</f>
        <v>129</v>
      </c>
      <c r="K851" s="32">
        <f t="shared" si="39"/>
        <v>258</v>
      </c>
      <c r="L851" s="29" t="s">
        <v>290</v>
      </c>
      <c r="M851" s="27">
        <f>IFERROR(VLOOKUP(C851,Custo_MI_Device!$B$2:$E$102,3,FALSE),0)</f>
        <v>0</v>
      </c>
      <c r="N851" s="27">
        <f t="shared" si="40"/>
        <v>0</v>
      </c>
      <c r="O851" s="178">
        <f t="shared" si="41"/>
        <v>0</v>
      </c>
    </row>
    <row r="852" spans="1:15" ht="25.5" hidden="1">
      <c r="A852" s="25">
        <v>5147</v>
      </c>
      <c r="B852" s="25" t="s">
        <v>40</v>
      </c>
      <c r="C852" s="26" t="s">
        <v>53</v>
      </c>
      <c r="D852" s="27">
        <v>83079000</v>
      </c>
      <c r="E852" s="28" t="s">
        <v>293</v>
      </c>
      <c r="F852" s="29" t="s">
        <v>294</v>
      </c>
      <c r="G852" s="30">
        <v>1</v>
      </c>
      <c r="H852" s="27" t="s">
        <v>137</v>
      </c>
      <c r="I852" s="26" t="s">
        <v>180</v>
      </c>
      <c r="J852" s="31">
        <v>155</v>
      </c>
      <c r="K852" s="32">
        <f t="shared" si="39"/>
        <v>155</v>
      </c>
      <c r="L852" s="29" t="s">
        <v>294</v>
      </c>
      <c r="M852" s="27">
        <f>IFERROR(VLOOKUP(C852,Custo_MI_Device!$B$2:$E$102,3,FALSE),0)</f>
        <v>0</v>
      </c>
      <c r="N852" s="27">
        <f t="shared" si="40"/>
        <v>0</v>
      </c>
      <c r="O852" s="178">
        <f t="shared" si="41"/>
        <v>0</v>
      </c>
    </row>
    <row r="853" spans="1:15" ht="25.5" hidden="1">
      <c r="A853" s="25">
        <v>4834</v>
      </c>
      <c r="B853" s="25" t="s">
        <v>40</v>
      </c>
      <c r="C853" s="26" t="s">
        <v>53</v>
      </c>
      <c r="D853" s="27">
        <v>73071100</v>
      </c>
      <c r="E853" s="28" t="s">
        <v>299</v>
      </c>
      <c r="F853" s="29" t="s">
        <v>300</v>
      </c>
      <c r="G853" s="30">
        <v>1</v>
      </c>
      <c r="H853" s="27" t="s">
        <v>137</v>
      </c>
      <c r="I853" s="26" t="s">
        <v>149</v>
      </c>
      <c r="J853" s="31">
        <v>28</v>
      </c>
      <c r="K853" s="32">
        <f t="shared" si="39"/>
        <v>28</v>
      </c>
      <c r="L853" s="29" t="s">
        <v>300</v>
      </c>
      <c r="M853" s="27">
        <f>IFERROR(VLOOKUP(C853,Custo_MI_Device!$B$2:$E$102,3,FALSE),0)</f>
        <v>0</v>
      </c>
      <c r="N853" s="27">
        <f t="shared" si="40"/>
        <v>0</v>
      </c>
      <c r="O853" s="178">
        <f t="shared" si="41"/>
        <v>0</v>
      </c>
    </row>
    <row r="854" spans="1:15" ht="25.5" hidden="1">
      <c r="A854" s="25">
        <v>2125</v>
      </c>
      <c r="B854" s="25" t="s">
        <v>40</v>
      </c>
      <c r="C854" s="26" t="s">
        <v>53</v>
      </c>
      <c r="D854" s="27">
        <v>84818039</v>
      </c>
      <c r="E854" s="28" t="s">
        <v>301</v>
      </c>
      <c r="F854" s="29">
        <v>0</v>
      </c>
      <c r="G854" s="30">
        <v>2</v>
      </c>
      <c r="H854" s="27" t="s">
        <v>137</v>
      </c>
      <c r="I854" s="26" t="s">
        <v>220</v>
      </c>
      <c r="J854" s="31">
        <v>175</v>
      </c>
      <c r="K854" s="32">
        <f t="shared" si="39"/>
        <v>350</v>
      </c>
      <c r="L854" s="29" t="s">
        <v>302</v>
      </c>
      <c r="M854" s="27">
        <f>IFERROR(VLOOKUP(C854,Custo_MI_Device!$B$2:$E$102,3,FALSE),0)</f>
        <v>0</v>
      </c>
      <c r="N854" s="27">
        <f t="shared" si="40"/>
        <v>0</v>
      </c>
      <c r="O854" s="178">
        <f t="shared" si="41"/>
        <v>0</v>
      </c>
    </row>
    <row r="855" spans="1:15" ht="25.5" hidden="1">
      <c r="A855" s="25">
        <v>2567</v>
      </c>
      <c r="B855" s="25" t="s">
        <v>40</v>
      </c>
      <c r="C855" s="26" t="s">
        <v>53</v>
      </c>
      <c r="D855" s="27">
        <v>84818095</v>
      </c>
      <c r="E855" s="28" t="s">
        <v>303</v>
      </c>
      <c r="F855" s="29">
        <v>0</v>
      </c>
      <c r="G855" s="30">
        <v>2</v>
      </c>
      <c r="H855" s="27" t="s">
        <v>137</v>
      </c>
      <c r="I855" s="26" t="s">
        <v>304</v>
      </c>
      <c r="J855" s="31">
        <v>27</v>
      </c>
      <c r="K855" s="32">
        <f t="shared" si="39"/>
        <v>54</v>
      </c>
      <c r="L855" s="29" t="s">
        <v>305</v>
      </c>
      <c r="M855" s="27">
        <f>IFERROR(VLOOKUP(C855,Custo_MI_Device!$B$2:$E$102,3,FALSE),0)</f>
        <v>0</v>
      </c>
      <c r="N855" s="27">
        <f t="shared" si="40"/>
        <v>0</v>
      </c>
      <c r="O855" s="178">
        <f t="shared" si="41"/>
        <v>0</v>
      </c>
    </row>
    <row r="856" spans="1:15" ht="12.75" hidden="1">
      <c r="A856" s="25">
        <v>2534</v>
      </c>
      <c r="B856" s="25" t="s">
        <v>40</v>
      </c>
      <c r="C856" s="26" t="s">
        <v>54</v>
      </c>
      <c r="D856" s="27">
        <v>73072900</v>
      </c>
      <c r="E856" s="28" t="s">
        <v>314</v>
      </c>
      <c r="F856" s="29" t="s">
        <v>315</v>
      </c>
      <c r="G856" s="30">
        <v>12</v>
      </c>
      <c r="H856" s="27" t="s">
        <v>137</v>
      </c>
      <c r="I856" s="26" t="s">
        <v>256</v>
      </c>
      <c r="J856" s="31">
        <v>1.2</v>
      </c>
      <c r="K856" s="32">
        <f t="shared" si="39"/>
        <v>14.399999999999999</v>
      </c>
      <c r="L856" s="29" t="s">
        <v>315</v>
      </c>
      <c r="M856" s="27">
        <f>IFERROR(VLOOKUP(C856,Custo_MI_Device!$B$2:$E$102,3,FALSE),0)</f>
        <v>0</v>
      </c>
      <c r="N856" s="27">
        <f t="shared" si="40"/>
        <v>0</v>
      </c>
      <c r="O856" s="178">
        <f t="shared" si="41"/>
        <v>0</v>
      </c>
    </row>
    <row r="857" spans="1:15" ht="12.75" hidden="1">
      <c r="A857" s="25">
        <v>1669</v>
      </c>
      <c r="B857" s="25" t="s">
        <v>40</v>
      </c>
      <c r="C857" s="26" t="s">
        <v>54</v>
      </c>
      <c r="D857" s="27">
        <v>39269090</v>
      </c>
      <c r="E857" s="28" t="s">
        <v>316</v>
      </c>
      <c r="F857" s="29" t="s">
        <v>317</v>
      </c>
      <c r="G857" s="30">
        <v>3</v>
      </c>
      <c r="H857" s="27" t="s">
        <v>137</v>
      </c>
      <c r="I857" s="26" t="s">
        <v>318</v>
      </c>
      <c r="J857" s="31">
        <v>0.04</v>
      </c>
      <c r="K857" s="32">
        <f t="shared" si="39"/>
        <v>0.12</v>
      </c>
      <c r="L857" s="29" t="s">
        <v>317</v>
      </c>
      <c r="M857" s="27">
        <f>IFERROR(VLOOKUP(C857,Custo_MI_Device!$B$2:$E$102,3,FALSE),0)</f>
        <v>0</v>
      </c>
      <c r="N857" s="27">
        <f t="shared" si="40"/>
        <v>0</v>
      </c>
      <c r="O857" s="178">
        <f t="shared" si="41"/>
        <v>0</v>
      </c>
    </row>
    <row r="858" spans="1:15" ht="12.75" hidden="1">
      <c r="A858" s="25">
        <v>5091</v>
      </c>
      <c r="B858" s="25" t="s">
        <v>40</v>
      </c>
      <c r="C858" s="26" t="s">
        <v>54</v>
      </c>
      <c r="D858" s="27">
        <v>73181500</v>
      </c>
      <c r="E858" s="28" t="s">
        <v>323</v>
      </c>
      <c r="F858" s="29" t="s">
        <v>324</v>
      </c>
      <c r="G858" s="30">
        <v>24</v>
      </c>
      <c r="H858" s="27" t="s">
        <v>137</v>
      </c>
      <c r="I858" s="26" t="s">
        <v>256</v>
      </c>
      <c r="J858" s="31">
        <v>0.04</v>
      </c>
      <c r="K858" s="32">
        <f t="shared" si="39"/>
        <v>0.96</v>
      </c>
      <c r="L858" s="29" t="s">
        <v>324</v>
      </c>
      <c r="M858" s="27">
        <f>IFERROR(VLOOKUP(C858,Custo_MI_Device!$B$2:$E$102,3,FALSE),0)</f>
        <v>0</v>
      </c>
      <c r="N858" s="27">
        <f t="shared" si="40"/>
        <v>0</v>
      </c>
      <c r="O858" s="178">
        <f t="shared" si="41"/>
        <v>0</v>
      </c>
    </row>
    <row r="859" spans="1:15" ht="12.75" hidden="1">
      <c r="A859" s="25">
        <v>83</v>
      </c>
      <c r="B859" s="25" t="s">
        <v>40</v>
      </c>
      <c r="C859" s="26" t="s">
        <v>54</v>
      </c>
      <c r="D859" s="27"/>
      <c r="E859" s="28" t="s">
        <v>150</v>
      </c>
      <c r="F859" s="29" t="s">
        <v>148</v>
      </c>
      <c r="G859" s="30">
        <v>1</v>
      </c>
      <c r="H859" s="27" t="s">
        <v>137</v>
      </c>
      <c r="I859" s="26" t="s">
        <v>149</v>
      </c>
      <c r="J859" s="31">
        <v>4.8</v>
      </c>
      <c r="K859" s="32">
        <f t="shared" si="39"/>
        <v>4.8</v>
      </c>
      <c r="L859" s="29" t="s">
        <v>148</v>
      </c>
      <c r="M859" s="27">
        <f>IFERROR(VLOOKUP(C859,Custo_MI_Device!$B$2:$E$102,3,FALSE),0)</f>
        <v>0</v>
      </c>
      <c r="N859" s="27">
        <f t="shared" si="40"/>
        <v>0</v>
      </c>
      <c r="O859" s="178">
        <f t="shared" si="41"/>
        <v>0</v>
      </c>
    </row>
    <row r="860" spans="1:15" ht="12.75" hidden="1">
      <c r="A860" s="25">
        <v>3080</v>
      </c>
      <c r="B860" s="25" t="s">
        <v>40</v>
      </c>
      <c r="C860" s="26" t="s">
        <v>54</v>
      </c>
      <c r="D860" s="27">
        <v>74122000</v>
      </c>
      <c r="E860" s="28" t="s">
        <v>153</v>
      </c>
      <c r="F860" s="29" t="s">
        <v>154</v>
      </c>
      <c r="G860" s="30">
        <v>1</v>
      </c>
      <c r="H860" s="27" t="s">
        <v>137</v>
      </c>
      <c r="I860" s="26" t="s">
        <v>155</v>
      </c>
      <c r="J860" s="31">
        <v>3.3</v>
      </c>
      <c r="K860" s="32">
        <f t="shared" si="39"/>
        <v>3.3</v>
      </c>
      <c r="L860" s="29" t="s">
        <v>154</v>
      </c>
      <c r="M860" s="27">
        <f>IFERROR(VLOOKUP(C860,Custo_MI_Device!$B$2:$E$102,3,FALSE),0)</f>
        <v>0</v>
      </c>
      <c r="N860" s="27">
        <f t="shared" si="40"/>
        <v>0</v>
      </c>
      <c r="O860" s="178">
        <f t="shared" si="41"/>
        <v>0</v>
      </c>
    </row>
    <row r="861" spans="1:15" ht="25.5" hidden="1">
      <c r="A861" s="25">
        <v>5139</v>
      </c>
      <c r="B861" s="25" t="s">
        <v>40</v>
      </c>
      <c r="C861" s="26" t="s">
        <v>54</v>
      </c>
      <c r="D861" s="27">
        <v>85444900</v>
      </c>
      <c r="E861" s="28" t="s">
        <v>170</v>
      </c>
      <c r="F861" s="29" t="s">
        <v>171</v>
      </c>
      <c r="G861" s="30">
        <v>15</v>
      </c>
      <c r="H861" s="27" t="s">
        <v>158</v>
      </c>
      <c r="I861" s="26" t="s">
        <v>172</v>
      </c>
      <c r="J861" s="31">
        <v>7.5</v>
      </c>
      <c r="K861" s="32">
        <f t="shared" si="39"/>
        <v>112.5</v>
      </c>
      <c r="L861" s="29" t="s">
        <v>173</v>
      </c>
      <c r="M861" s="27">
        <f>IFERROR(VLOOKUP(C861,Custo_MI_Device!$B$2:$E$102,3,FALSE),0)</f>
        <v>0</v>
      </c>
      <c r="N861" s="27">
        <f t="shared" si="40"/>
        <v>0</v>
      </c>
      <c r="O861" s="178">
        <f t="shared" si="41"/>
        <v>0</v>
      </c>
    </row>
    <row r="862" spans="1:15" ht="12.75" hidden="1">
      <c r="A862" s="25">
        <v>2805</v>
      </c>
      <c r="B862" s="25" t="s">
        <v>40</v>
      </c>
      <c r="C862" s="26" t="s">
        <v>54</v>
      </c>
      <c r="D862" s="27">
        <v>72162100</v>
      </c>
      <c r="E862" s="28" t="s">
        <v>174</v>
      </c>
      <c r="F862" s="29">
        <v>0</v>
      </c>
      <c r="G862" s="30">
        <v>2.9</v>
      </c>
      <c r="H862" s="27" t="s">
        <v>175</v>
      </c>
      <c r="I862" s="26" t="s">
        <v>176</v>
      </c>
      <c r="J862" s="31">
        <v>4.22</v>
      </c>
      <c r="K862" s="32">
        <f t="shared" si="39"/>
        <v>12.238</v>
      </c>
      <c r="L862" s="29" t="s">
        <v>177</v>
      </c>
      <c r="M862" s="27">
        <f>IFERROR(VLOOKUP(C862,Custo_MI_Device!$B$2:$E$102,3,FALSE),0)</f>
        <v>0</v>
      </c>
      <c r="N862" s="27">
        <f t="shared" si="40"/>
        <v>0</v>
      </c>
      <c r="O862" s="178">
        <f t="shared" si="41"/>
        <v>0</v>
      </c>
    </row>
    <row r="863" spans="1:15" ht="25.5" hidden="1">
      <c r="A863" s="25">
        <v>3738</v>
      </c>
      <c r="B863" s="25" t="s">
        <v>40</v>
      </c>
      <c r="C863" s="26" t="s">
        <v>54</v>
      </c>
      <c r="D863" s="27">
        <v>73071100</v>
      </c>
      <c r="E863" s="28" t="s">
        <v>205</v>
      </c>
      <c r="F863" s="29" t="s">
        <v>206</v>
      </c>
      <c r="G863" s="30">
        <v>0.75</v>
      </c>
      <c r="H863" s="27" t="s">
        <v>137</v>
      </c>
      <c r="I863" s="26" t="s">
        <v>149</v>
      </c>
      <c r="J863" s="31">
        <v>27</v>
      </c>
      <c r="K863" s="32">
        <f t="shared" si="39"/>
        <v>20.25</v>
      </c>
      <c r="L863" s="29" t="s">
        <v>206</v>
      </c>
      <c r="M863" s="27">
        <f>IFERROR(VLOOKUP(C863,Custo_MI_Device!$B$2:$E$102,3,FALSE),0)</f>
        <v>0</v>
      </c>
      <c r="N863" s="27">
        <f t="shared" si="40"/>
        <v>0</v>
      </c>
      <c r="O863" s="178">
        <f t="shared" si="41"/>
        <v>0</v>
      </c>
    </row>
    <row r="864" spans="1:15" ht="25.5" hidden="1">
      <c r="A864" s="25">
        <v>1710</v>
      </c>
      <c r="B864" s="25" t="s">
        <v>40</v>
      </c>
      <c r="C864" s="26" t="s">
        <v>54</v>
      </c>
      <c r="D864" s="27">
        <v>73071100</v>
      </c>
      <c r="E864" s="28" t="s">
        <v>207</v>
      </c>
      <c r="F864" s="29" t="s">
        <v>208</v>
      </c>
      <c r="G864" s="30">
        <v>0.75</v>
      </c>
      <c r="H864" s="27" t="s">
        <v>137</v>
      </c>
      <c r="I864" s="26" t="s">
        <v>149</v>
      </c>
      <c r="J864" s="31">
        <v>27</v>
      </c>
      <c r="K864" s="32">
        <f t="shared" si="39"/>
        <v>20.25</v>
      </c>
      <c r="L864" s="29" t="s">
        <v>208</v>
      </c>
      <c r="M864" s="27">
        <f>IFERROR(VLOOKUP(C864,Custo_MI_Device!$B$2:$E$102,3,FALSE),0)</f>
        <v>0</v>
      </c>
      <c r="N864" s="27">
        <f t="shared" si="40"/>
        <v>0</v>
      </c>
      <c r="O864" s="178">
        <f t="shared" si="41"/>
        <v>0</v>
      </c>
    </row>
    <row r="865" spans="1:15" ht="25.5" hidden="1">
      <c r="A865" s="25">
        <v>1715</v>
      </c>
      <c r="B865" s="25" t="s">
        <v>40</v>
      </c>
      <c r="C865" s="26" t="s">
        <v>54</v>
      </c>
      <c r="D865" s="27">
        <v>73071100</v>
      </c>
      <c r="E865" s="28" t="s">
        <v>209</v>
      </c>
      <c r="F865" s="29" t="s">
        <v>210</v>
      </c>
      <c r="G865" s="30">
        <v>0.75</v>
      </c>
      <c r="H865" s="27" t="s">
        <v>137</v>
      </c>
      <c r="I865" s="26" t="s">
        <v>149</v>
      </c>
      <c r="J865" s="31">
        <v>27</v>
      </c>
      <c r="K865" s="32">
        <f t="shared" si="39"/>
        <v>20.25</v>
      </c>
      <c r="L865" s="29" t="s">
        <v>210</v>
      </c>
      <c r="M865" s="27">
        <f>IFERROR(VLOOKUP(C865,Custo_MI_Device!$B$2:$E$102,3,FALSE),0)</f>
        <v>0</v>
      </c>
      <c r="N865" s="27">
        <f t="shared" si="40"/>
        <v>0</v>
      </c>
      <c r="O865" s="178">
        <f t="shared" si="41"/>
        <v>0</v>
      </c>
    </row>
    <row r="866" spans="1:15" ht="25.5" hidden="1">
      <c r="A866" s="25">
        <v>2909</v>
      </c>
      <c r="B866" s="25" t="s">
        <v>40</v>
      </c>
      <c r="C866" s="26" t="s">
        <v>54</v>
      </c>
      <c r="D866" s="27">
        <v>73072200</v>
      </c>
      <c r="E866" s="28" t="s">
        <v>216</v>
      </c>
      <c r="F866" s="29" t="s">
        <v>217</v>
      </c>
      <c r="G866" s="30">
        <v>4</v>
      </c>
      <c r="H866" s="27" t="s">
        <v>137</v>
      </c>
      <c r="I866" s="26" t="s">
        <v>218</v>
      </c>
      <c r="J866" s="31">
        <v>27.7</v>
      </c>
      <c r="K866" s="32">
        <f t="shared" si="39"/>
        <v>110.8</v>
      </c>
      <c r="L866" s="29" t="s">
        <v>217</v>
      </c>
      <c r="M866" s="27">
        <f>IFERROR(VLOOKUP(C866,Custo_MI_Device!$B$2:$E$102,3,FALSE),0)</f>
        <v>0</v>
      </c>
      <c r="N866" s="27">
        <f t="shared" si="40"/>
        <v>0</v>
      </c>
      <c r="O866" s="178">
        <f t="shared" si="41"/>
        <v>0</v>
      </c>
    </row>
    <row r="867" spans="1:15" ht="25.5" hidden="1">
      <c r="A867" s="25">
        <v>2300</v>
      </c>
      <c r="B867" s="25" t="s">
        <v>40</v>
      </c>
      <c r="C867" s="26" t="s">
        <v>54</v>
      </c>
      <c r="D867" s="27">
        <v>73072200</v>
      </c>
      <c r="E867" s="28" t="s">
        <v>222</v>
      </c>
      <c r="F867" s="29" t="s">
        <v>223</v>
      </c>
      <c r="G867" s="30">
        <v>1</v>
      </c>
      <c r="H867" s="27" t="s">
        <v>137</v>
      </c>
      <c r="I867" s="26" t="s">
        <v>218</v>
      </c>
      <c r="J867" s="31">
        <v>41</v>
      </c>
      <c r="K867" s="32">
        <f t="shared" si="39"/>
        <v>41</v>
      </c>
      <c r="L867" s="29" t="s">
        <v>223</v>
      </c>
      <c r="M867" s="27">
        <f>IFERROR(VLOOKUP(C867,Custo_MI_Device!$B$2:$E$102,3,FALSE),0)</f>
        <v>0</v>
      </c>
      <c r="N867" s="27">
        <f t="shared" si="40"/>
        <v>0</v>
      </c>
      <c r="O867" s="178">
        <f t="shared" si="41"/>
        <v>0</v>
      </c>
    </row>
    <row r="868" spans="1:15" ht="25.5" hidden="1">
      <c r="A868" s="25">
        <v>7163</v>
      </c>
      <c r="B868" s="25" t="s">
        <v>40</v>
      </c>
      <c r="C868" s="26" t="s">
        <v>54</v>
      </c>
      <c r="D868" s="27">
        <v>73072200</v>
      </c>
      <c r="E868" s="28" t="s">
        <v>224</v>
      </c>
      <c r="F868" s="29">
        <v>0</v>
      </c>
      <c r="G868" s="30">
        <v>3</v>
      </c>
      <c r="H868" s="27" t="s">
        <v>137</v>
      </c>
      <c r="I868" s="26" t="s">
        <v>220</v>
      </c>
      <c r="J868" s="31">
        <v>58</v>
      </c>
      <c r="K868" s="32">
        <f t="shared" si="39"/>
        <v>174</v>
      </c>
      <c r="L868" s="29" t="s">
        <v>225</v>
      </c>
      <c r="M868" s="27">
        <f>IFERROR(VLOOKUP(C868,Custo_MI_Device!$B$2:$E$102,3,FALSE),0)</f>
        <v>0</v>
      </c>
      <c r="N868" s="27">
        <f t="shared" si="40"/>
        <v>0</v>
      </c>
      <c r="O868" s="178">
        <f t="shared" si="41"/>
        <v>0</v>
      </c>
    </row>
    <row r="869" spans="1:15" ht="25.5" hidden="1">
      <c r="A869" s="25">
        <v>3417</v>
      </c>
      <c r="B869" s="25" t="s">
        <v>40</v>
      </c>
      <c r="C869" s="26" t="s">
        <v>54</v>
      </c>
      <c r="D869" s="27">
        <v>73063000</v>
      </c>
      <c r="E869" s="28" t="s">
        <v>231</v>
      </c>
      <c r="F869" s="29">
        <v>0</v>
      </c>
      <c r="G869" s="30">
        <v>2</v>
      </c>
      <c r="H869" s="27" t="s">
        <v>232</v>
      </c>
      <c r="I869" s="26" t="s">
        <v>233</v>
      </c>
      <c r="J869" s="31">
        <v>33.47</v>
      </c>
      <c r="K869" s="32">
        <f t="shared" si="39"/>
        <v>66.94</v>
      </c>
      <c r="L869" s="29" t="s">
        <v>234</v>
      </c>
      <c r="M869" s="27">
        <f>IFERROR(VLOOKUP(C869,Custo_MI_Device!$B$2:$E$102,3,FALSE),0)</f>
        <v>0</v>
      </c>
      <c r="N869" s="27">
        <f t="shared" si="40"/>
        <v>0</v>
      </c>
      <c r="O869" s="178">
        <f t="shared" si="41"/>
        <v>0</v>
      </c>
    </row>
    <row r="870" spans="1:15" ht="12.75" hidden="1">
      <c r="A870" s="25">
        <v>3316</v>
      </c>
      <c r="B870" s="25" t="s">
        <v>40</v>
      </c>
      <c r="C870" s="26" t="s">
        <v>54</v>
      </c>
      <c r="D870" s="27">
        <v>0</v>
      </c>
      <c r="E870" s="28" t="s">
        <v>246</v>
      </c>
      <c r="F870" s="29" t="s">
        <v>247</v>
      </c>
      <c r="G870" s="30">
        <v>2</v>
      </c>
      <c r="H870" s="27" t="s">
        <v>137</v>
      </c>
      <c r="I870" s="26" t="s">
        <v>248</v>
      </c>
      <c r="J870" s="31">
        <v>5.5</v>
      </c>
      <c r="K870" s="32">
        <f t="shared" si="39"/>
        <v>11</v>
      </c>
      <c r="L870" s="29" t="s">
        <v>247</v>
      </c>
      <c r="M870" s="27">
        <f>IFERROR(VLOOKUP(C870,Custo_MI_Device!$B$2:$E$102,3,FALSE),0)</f>
        <v>0</v>
      </c>
      <c r="N870" s="27">
        <f t="shared" si="40"/>
        <v>0</v>
      </c>
      <c r="O870" s="178">
        <f t="shared" si="41"/>
        <v>0</v>
      </c>
    </row>
    <row r="871" spans="1:15" ht="25.5" hidden="1">
      <c r="A871" s="25">
        <v>1900</v>
      </c>
      <c r="B871" s="25" t="s">
        <v>40</v>
      </c>
      <c r="C871" s="26" t="s">
        <v>54</v>
      </c>
      <c r="D871" s="27">
        <v>73072200</v>
      </c>
      <c r="E871" s="28" t="s">
        <v>249</v>
      </c>
      <c r="F871" s="29" t="s">
        <v>250</v>
      </c>
      <c r="G871" s="30">
        <v>2</v>
      </c>
      <c r="H871" s="27" t="s">
        <v>137</v>
      </c>
      <c r="I871" s="26" t="s">
        <v>218</v>
      </c>
      <c r="J871" s="31">
        <v>27</v>
      </c>
      <c r="K871" s="32">
        <f t="shared" si="39"/>
        <v>54</v>
      </c>
      <c r="L871" s="29" t="s">
        <v>250</v>
      </c>
      <c r="M871" s="27">
        <f>IFERROR(VLOOKUP(C871,Custo_MI_Device!$B$2:$E$102,3,FALSE),0)</f>
        <v>0</v>
      </c>
      <c r="N871" s="27">
        <f t="shared" si="40"/>
        <v>0</v>
      </c>
      <c r="O871" s="178">
        <f t="shared" si="41"/>
        <v>0</v>
      </c>
    </row>
    <row r="872" spans="1:15" ht="12.75" hidden="1">
      <c r="A872" s="25">
        <v>1965</v>
      </c>
      <c r="B872" s="25" t="s">
        <v>40</v>
      </c>
      <c r="C872" s="26" t="s">
        <v>54</v>
      </c>
      <c r="D872" s="27">
        <v>73071100</v>
      </c>
      <c r="E872" s="28" t="s">
        <v>251</v>
      </c>
      <c r="F872" s="29" t="s">
        <v>252</v>
      </c>
      <c r="G872" s="30">
        <v>1</v>
      </c>
      <c r="H872" s="27" t="s">
        <v>137</v>
      </c>
      <c r="I872" s="26" t="s">
        <v>253</v>
      </c>
      <c r="J872" s="31">
        <v>5.5</v>
      </c>
      <c r="K872" s="32">
        <f t="shared" si="39"/>
        <v>5.5</v>
      </c>
      <c r="L872" s="29" t="s">
        <v>252</v>
      </c>
      <c r="M872" s="27">
        <f>IFERROR(VLOOKUP(C872,Custo_MI_Device!$B$2:$E$102,3,FALSE),0)</f>
        <v>0</v>
      </c>
      <c r="N872" s="27">
        <f t="shared" si="40"/>
        <v>0</v>
      </c>
      <c r="O872" s="178">
        <f t="shared" si="41"/>
        <v>0</v>
      </c>
    </row>
    <row r="873" spans="1:15" ht="12.75" hidden="1">
      <c r="A873" s="25">
        <v>3274</v>
      </c>
      <c r="B873" s="25" t="s">
        <v>40</v>
      </c>
      <c r="C873" s="26" t="s">
        <v>54</v>
      </c>
      <c r="D873" s="27">
        <v>73181500</v>
      </c>
      <c r="E873" s="28" t="s">
        <v>265</v>
      </c>
      <c r="F873" s="29" t="s">
        <v>266</v>
      </c>
      <c r="G873" s="30">
        <v>24</v>
      </c>
      <c r="H873" s="27" t="s">
        <v>137</v>
      </c>
      <c r="I873" s="26" t="s">
        <v>256</v>
      </c>
      <c r="J873" s="31">
        <v>0.06</v>
      </c>
      <c r="K873" s="32">
        <f t="shared" si="39"/>
        <v>1.44</v>
      </c>
      <c r="L873" s="29" t="s">
        <v>266</v>
      </c>
      <c r="M873" s="27">
        <f>IFERROR(VLOOKUP(C873,Custo_MI_Device!$B$2:$E$102,3,FALSE),0)</f>
        <v>0</v>
      </c>
      <c r="N873" s="27">
        <f t="shared" si="40"/>
        <v>0</v>
      </c>
      <c r="O873" s="178">
        <f t="shared" si="41"/>
        <v>0</v>
      </c>
    </row>
    <row r="874" spans="1:15" ht="25.5" hidden="1">
      <c r="A874" s="25">
        <v>2973</v>
      </c>
      <c r="B874" s="25" t="s">
        <v>40</v>
      </c>
      <c r="C874" s="26" t="s">
        <v>54</v>
      </c>
      <c r="D874" s="27">
        <v>73072200</v>
      </c>
      <c r="E874" s="28" t="s">
        <v>281</v>
      </c>
      <c r="F874" s="29" t="s">
        <v>282</v>
      </c>
      <c r="G874" s="30">
        <v>3</v>
      </c>
      <c r="H874" s="27" t="s">
        <v>137</v>
      </c>
      <c r="I874" s="26" t="s">
        <v>218</v>
      </c>
      <c r="J874" s="31">
        <v>29</v>
      </c>
      <c r="K874" s="32">
        <f t="shared" si="39"/>
        <v>87</v>
      </c>
      <c r="L874" s="29" t="s">
        <v>282</v>
      </c>
      <c r="M874" s="27">
        <f>IFERROR(VLOOKUP(C874,Custo_MI_Device!$B$2:$E$102,3,FALSE),0)</f>
        <v>0</v>
      </c>
      <c r="N874" s="27">
        <f t="shared" si="40"/>
        <v>0</v>
      </c>
      <c r="O874" s="178">
        <f t="shared" si="41"/>
        <v>0</v>
      </c>
    </row>
    <row r="875" spans="1:15" ht="25.5" hidden="1">
      <c r="A875" s="25">
        <v>5194</v>
      </c>
      <c r="B875" s="25" t="s">
        <v>40</v>
      </c>
      <c r="C875" s="26" t="s">
        <v>54</v>
      </c>
      <c r="D875" s="27">
        <v>73041010</v>
      </c>
      <c r="E875" s="28" t="s">
        <v>289</v>
      </c>
      <c r="F875" s="29" t="s">
        <v>290</v>
      </c>
      <c r="G875" s="30">
        <v>2</v>
      </c>
      <c r="H875" s="27" t="s">
        <v>232</v>
      </c>
      <c r="I875" s="26" t="s">
        <v>218</v>
      </c>
      <c r="J875" s="31">
        <f>21.5*6</f>
        <v>129</v>
      </c>
      <c r="K875" s="32">
        <f t="shared" si="39"/>
        <v>258</v>
      </c>
      <c r="L875" s="29" t="s">
        <v>290</v>
      </c>
      <c r="M875" s="27">
        <f>IFERROR(VLOOKUP(C875,Custo_MI_Device!$B$2:$E$102,3,FALSE),0)</f>
        <v>0</v>
      </c>
      <c r="N875" s="27">
        <f t="shared" si="40"/>
        <v>0</v>
      </c>
      <c r="O875" s="178">
        <f t="shared" si="41"/>
        <v>0</v>
      </c>
    </row>
    <row r="876" spans="1:15" ht="25.5" hidden="1">
      <c r="A876" s="25">
        <v>5147</v>
      </c>
      <c r="B876" s="25" t="s">
        <v>40</v>
      </c>
      <c r="C876" s="26" t="s">
        <v>54</v>
      </c>
      <c r="D876" s="27">
        <v>83079000</v>
      </c>
      <c r="E876" s="28" t="s">
        <v>293</v>
      </c>
      <c r="F876" s="29" t="s">
        <v>294</v>
      </c>
      <c r="G876" s="30">
        <v>1</v>
      </c>
      <c r="H876" s="27" t="s">
        <v>137</v>
      </c>
      <c r="I876" s="26" t="s">
        <v>180</v>
      </c>
      <c r="J876" s="31">
        <v>155</v>
      </c>
      <c r="K876" s="32">
        <f t="shared" si="39"/>
        <v>155</v>
      </c>
      <c r="L876" s="29" t="s">
        <v>294</v>
      </c>
      <c r="M876" s="27">
        <f>IFERROR(VLOOKUP(C876,Custo_MI_Device!$B$2:$E$102,3,FALSE),0)</f>
        <v>0</v>
      </c>
      <c r="N876" s="27">
        <f t="shared" si="40"/>
        <v>0</v>
      </c>
      <c r="O876" s="178">
        <f t="shared" si="41"/>
        <v>0</v>
      </c>
    </row>
    <row r="877" spans="1:15" ht="25.5" hidden="1">
      <c r="A877" s="25">
        <v>4834</v>
      </c>
      <c r="B877" s="25" t="s">
        <v>40</v>
      </c>
      <c r="C877" s="26" t="s">
        <v>54</v>
      </c>
      <c r="D877" s="27">
        <v>73071100</v>
      </c>
      <c r="E877" s="28" t="s">
        <v>299</v>
      </c>
      <c r="F877" s="29" t="s">
        <v>300</v>
      </c>
      <c r="G877" s="30">
        <v>1</v>
      </c>
      <c r="H877" s="27" t="s">
        <v>137</v>
      </c>
      <c r="I877" s="26" t="s">
        <v>149</v>
      </c>
      <c r="J877" s="31">
        <v>28</v>
      </c>
      <c r="K877" s="32">
        <f t="shared" si="39"/>
        <v>28</v>
      </c>
      <c r="L877" s="29" t="s">
        <v>300</v>
      </c>
      <c r="M877" s="27">
        <f>IFERROR(VLOOKUP(C877,Custo_MI_Device!$B$2:$E$102,3,FALSE),0)</f>
        <v>0</v>
      </c>
      <c r="N877" s="27">
        <f t="shared" si="40"/>
        <v>0</v>
      </c>
      <c r="O877" s="178">
        <f t="shared" si="41"/>
        <v>0</v>
      </c>
    </row>
    <row r="878" spans="1:15" ht="25.5" hidden="1">
      <c r="A878" s="25">
        <v>2125</v>
      </c>
      <c r="B878" s="25" t="s">
        <v>40</v>
      </c>
      <c r="C878" s="26" t="s">
        <v>54</v>
      </c>
      <c r="D878" s="27">
        <v>84818039</v>
      </c>
      <c r="E878" s="28" t="s">
        <v>301</v>
      </c>
      <c r="F878" s="29">
        <v>0</v>
      </c>
      <c r="G878" s="30">
        <v>2</v>
      </c>
      <c r="H878" s="27" t="s">
        <v>137</v>
      </c>
      <c r="I878" s="26" t="s">
        <v>220</v>
      </c>
      <c r="J878" s="31">
        <v>175</v>
      </c>
      <c r="K878" s="32">
        <f t="shared" si="39"/>
        <v>350</v>
      </c>
      <c r="L878" s="29" t="s">
        <v>302</v>
      </c>
      <c r="M878" s="27">
        <f>IFERROR(VLOOKUP(C878,Custo_MI_Device!$B$2:$E$102,3,FALSE),0)</f>
        <v>0</v>
      </c>
      <c r="N878" s="27">
        <f t="shared" si="40"/>
        <v>0</v>
      </c>
      <c r="O878" s="178">
        <f t="shared" si="41"/>
        <v>0</v>
      </c>
    </row>
    <row r="879" spans="1:15" ht="25.5" hidden="1">
      <c r="A879" s="25">
        <v>2567</v>
      </c>
      <c r="B879" s="25" t="s">
        <v>40</v>
      </c>
      <c r="C879" s="26" t="s">
        <v>54</v>
      </c>
      <c r="D879" s="27">
        <v>84818095</v>
      </c>
      <c r="E879" s="28" t="s">
        <v>303</v>
      </c>
      <c r="F879" s="29">
        <v>0</v>
      </c>
      <c r="G879" s="30">
        <v>2</v>
      </c>
      <c r="H879" s="27" t="s">
        <v>137</v>
      </c>
      <c r="I879" s="26" t="s">
        <v>304</v>
      </c>
      <c r="J879" s="31">
        <v>27</v>
      </c>
      <c r="K879" s="32">
        <f t="shared" si="39"/>
        <v>54</v>
      </c>
      <c r="L879" s="29" t="s">
        <v>305</v>
      </c>
      <c r="M879" s="27">
        <f>IFERROR(VLOOKUP(C879,Custo_MI_Device!$B$2:$E$102,3,FALSE),0)</f>
        <v>0</v>
      </c>
      <c r="N879" s="27">
        <f t="shared" si="40"/>
        <v>0</v>
      </c>
      <c r="O879" s="178">
        <f t="shared" si="41"/>
        <v>0</v>
      </c>
    </row>
    <row r="880" spans="1:15" ht="12.75" hidden="1">
      <c r="A880" s="25">
        <v>2534</v>
      </c>
      <c r="B880" s="25" t="s">
        <v>40</v>
      </c>
      <c r="C880" s="26" t="s">
        <v>55</v>
      </c>
      <c r="D880" s="27">
        <v>73072900</v>
      </c>
      <c r="E880" s="28" t="s">
        <v>314</v>
      </c>
      <c r="F880" s="29" t="s">
        <v>315</v>
      </c>
      <c r="G880" s="30">
        <v>12</v>
      </c>
      <c r="H880" s="27" t="s">
        <v>137</v>
      </c>
      <c r="I880" s="26" t="s">
        <v>256</v>
      </c>
      <c r="J880" s="31">
        <v>1.2</v>
      </c>
      <c r="K880" s="32">
        <f t="shared" si="39"/>
        <v>14.399999999999999</v>
      </c>
      <c r="L880" s="29" t="s">
        <v>315</v>
      </c>
      <c r="M880" s="27">
        <f>IFERROR(VLOOKUP(C880,Custo_MI_Device!$B$2:$E$102,3,FALSE),0)</f>
        <v>0</v>
      </c>
      <c r="N880" s="27">
        <f t="shared" si="40"/>
        <v>0</v>
      </c>
      <c r="O880" s="178">
        <f t="shared" si="41"/>
        <v>0</v>
      </c>
    </row>
    <row r="881" spans="1:15" ht="12.75" hidden="1">
      <c r="A881" s="25">
        <v>1669</v>
      </c>
      <c r="B881" s="25" t="s">
        <v>40</v>
      </c>
      <c r="C881" s="26" t="s">
        <v>55</v>
      </c>
      <c r="D881" s="27">
        <v>39269090</v>
      </c>
      <c r="E881" s="28" t="s">
        <v>316</v>
      </c>
      <c r="F881" s="29" t="s">
        <v>317</v>
      </c>
      <c r="G881" s="30">
        <v>3</v>
      </c>
      <c r="H881" s="27" t="s">
        <v>137</v>
      </c>
      <c r="I881" s="26" t="s">
        <v>318</v>
      </c>
      <c r="J881" s="31">
        <v>0.04</v>
      </c>
      <c r="K881" s="32">
        <f t="shared" si="39"/>
        <v>0.12</v>
      </c>
      <c r="L881" s="29" t="s">
        <v>317</v>
      </c>
      <c r="M881" s="27">
        <f>IFERROR(VLOOKUP(C881,Custo_MI_Device!$B$2:$E$102,3,FALSE),0)</f>
        <v>0</v>
      </c>
      <c r="N881" s="27">
        <f t="shared" si="40"/>
        <v>0</v>
      </c>
      <c r="O881" s="178">
        <f t="shared" si="41"/>
        <v>0</v>
      </c>
    </row>
    <row r="882" spans="1:15" ht="12.75" hidden="1">
      <c r="A882" s="25">
        <v>5091</v>
      </c>
      <c r="B882" s="25" t="s">
        <v>40</v>
      </c>
      <c r="C882" s="26" t="s">
        <v>55</v>
      </c>
      <c r="D882" s="27">
        <v>73181500</v>
      </c>
      <c r="E882" s="28" t="s">
        <v>323</v>
      </c>
      <c r="F882" s="29" t="s">
        <v>324</v>
      </c>
      <c r="G882" s="30">
        <v>24</v>
      </c>
      <c r="H882" s="27" t="s">
        <v>137</v>
      </c>
      <c r="I882" s="26" t="s">
        <v>256</v>
      </c>
      <c r="J882" s="31">
        <v>0.04</v>
      </c>
      <c r="K882" s="32">
        <f t="shared" si="39"/>
        <v>0.96</v>
      </c>
      <c r="L882" s="29" t="s">
        <v>324</v>
      </c>
      <c r="M882" s="27">
        <f>IFERROR(VLOOKUP(C882,Custo_MI_Device!$B$2:$E$102,3,FALSE),0)</f>
        <v>0</v>
      </c>
      <c r="N882" s="27">
        <f t="shared" si="40"/>
        <v>0</v>
      </c>
      <c r="O882" s="178">
        <f t="shared" si="41"/>
        <v>0</v>
      </c>
    </row>
    <row r="883" spans="1:15" ht="12.75" hidden="1">
      <c r="A883" s="25">
        <v>83</v>
      </c>
      <c r="B883" s="25" t="s">
        <v>40</v>
      </c>
      <c r="C883" s="26" t="s">
        <v>55</v>
      </c>
      <c r="D883" s="27"/>
      <c r="E883" s="28" t="s">
        <v>150</v>
      </c>
      <c r="F883" s="29" t="s">
        <v>148</v>
      </c>
      <c r="G883" s="30">
        <v>1</v>
      </c>
      <c r="H883" s="27" t="s">
        <v>137</v>
      </c>
      <c r="I883" s="26" t="s">
        <v>149</v>
      </c>
      <c r="J883" s="31">
        <v>4.8</v>
      </c>
      <c r="K883" s="32">
        <f t="shared" si="39"/>
        <v>4.8</v>
      </c>
      <c r="L883" s="29" t="s">
        <v>148</v>
      </c>
      <c r="M883" s="27">
        <f>IFERROR(VLOOKUP(C883,Custo_MI_Device!$B$2:$E$102,3,FALSE),0)</f>
        <v>0</v>
      </c>
      <c r="N883" s="27">
        <f t="shared" si="40"/>
        <v>0</v>
      </c>
      <c r="O883" s="178">
        <f t="shared" si="41"/>
        <v>0</v>
      </c>
    </row>
    <row r="884" spans="1:15" ht="12.75" hidden="1">
      <c r="A884" s="25">
        <v>3080</v>
      </c>
      <c r="B884" s="25" t="s">
        <v>40</v>
      </c>
      <c r="C884" s="26" t="s">
        <v>55</v>
      </c>
      <c r="D884" s="27">
        <v>74122000</v>
      </c>
      <c r="E884" s="28" t="s">
        <v>153</v>
      </c>
      <c r="F884" s="29" t="s">
        <v>154</v>
      </c>
      <c r="G884" s="30">
        <v>1</v>
      </c>
      <c r="H884" s="27" t="s">
        <v>137</v>
      </c>
      <c r="I884" s="26" t="s">
        <v>155</v>
      </c>
      <c r="J884" s="31">
        <v>3.3</v>
      </c>
      <c r="K884" s="32">
        <f t="shared" si="39"/>
        <v>3.3</v>
      </c>
      <c r="L884" s="29" t="s">
        <v>154</v>
      </c>
      <c r="M884" s="27">
        <f>IFERROR(VLOOKUP(C884,Custo_MI_Device!$B$2:$E$102,3,FALSE),0)</f>
        <v>0</v>
      </c>
      <c r="N884" s="27">
        <f t="shared" si="40"/>
        <v>0</v>
      </c>
      <c r="O884" s="178">
        <f t="shared" si="41"/>
        <v>0</v>
      </c>
    </row>
    <row r="885" spans="1:15" ht="38.25" hidden="1">
      <c r="A885" s="25">
        <v>3585</v>
      </c>
      <c r="B885" s="25" t="s">
        <v>40</v>
      </c>
      <c r="C885" s="26" t="s">
        <v>55</v>
      </c>
      <c r="D885" s="27">
        <v>85444900</v>
      </c>
      <c r="E885" s="28" t="s">
        <v>328</v>
      </c>
      <c r="F885" s="29">
        <v>900400</v>
      </c>
      <c r="G885" s="33">
        <v>0</v>
      </c>
      <c r="H885" s="27" t="s">
        <v>158</v>
      </c>
      <c r="I885" s="26" t="s">
        <v>164</v>
      </c>
      <c r="J885" s="31">
        <v>1.7</v>
      </c>
      <c r="K885" s="32">
        <f t="shared" si="39"/>
        <v>0</v>
      </c>
      <c r="L885" s="29">
        <v>900400</v>
      </c>
      <c r="M885" s="27">
        <f>IFERROR(VLOOKUP(C885,Custo_MI_Device!$B$2:$E$102,3,FALSE),0)</f>
        <v>0</v>
      </c>
      <c r="N885" s="27">
        <f t="shared" si="40"/>
        <v>0</v>
      </c>
      <c r="O885" s="178">
        <f t="shared" si="41"/>
        <v>0</v>
      </c>
    </row>
    <row r="886" spans="1:15" ht="12.75" hidden="1">
      <c r="A886" s="25">
        <v>2805</v>
      </c>
      <c r="B886" s="25" t="s">
        <v>40</v>
      </c>
      <c r="C886" s="26" t="s">
        <v>55</v>
      </c>
      <c r="D886" s="27">
        <v>72162100</v>
      </c>
      <c r="E886" s="28" t="s">
        <v>174</v>
      </c>
      <c r="F886" s="29">
        <v>0</v>
      </c>
      <c r="G886" s="30">
        <v>2.9</v>
      </c>
      <c r="H886" s="27" t="s">
        <v>175</v>
      </c>
      <c r="I886" s="26" t="s">
        <v>176</v>
      </c>
      <c r="J886" s="31">
        <v>4.22</v>
      </c>
      <c r="K886" s="32">
        <f t="shared" si="39"/>
        <v>12.238</v>
      </c>
      <c r="L886" s="29" t="s">
        <v>177</v>
      </c>
      <c r="M886" s="27">
        <f>IFERROR(VLOOKUP(C886,Custo_MI_Device!$B$2:$E$102,3,FALSE),0)</f>
        <v>0</v>
      </c>
      <c r="N886" s="27">
        <f t="shared" si="40"/>
        <v>0</v>
      </c>
      <c r="O886" s="178">
        <f t="shared" si="41"/>
        <v>0</v>
      </c>
    </row>
    <row r="887" spans="1:15" ht="25.5" hidden="1">
      <c r="A887" s="25">
        <v>3738</v>
      </c>
      <c r="B887" s="25" t="s">
        <v>40</v>
      </c>
      <c r="C887" s="26" t="s">
        <v>55</v>
      </c>
      <c r="D887" s="27">
        <v>73071100</v>
      </c>
      <c r="E887" s="28" t="s">
        <v>205</v>
      </c>
      <c r="F887" s="29" t="s">
        <v>206</v>
      </c>
      <c r="G887" s="30">
        <v>0.75</v>
      </c>
      <c r="H887" s="27" t="s">
        <v>137</v>
      </c>
      <c r="I887" s="26" t="s">
        <v>149</v>
      </c>
      <c r="J887" s="31">
        <v>27</v>
      </c>
      <c r="K887" s="32">
        <f t="shared" si="39"/>
        <v>20.25</v>
      </c>
      <c r="L887" s="29" t="s">
        <v>206</v>
      </c>
      <c r="M887" s="27">
        <f>IFERROR(VLOOKUP(C887,Custo_MI_Device!$B$2:$E$102,3,FALSE),0)</f>
        <v>0</v>
      </c>
      <c r="N887" s="27">
        <f t="shared" si="40"/>
        <v>0</v>
      </c>
      <c r="O887" s="178">
        <f t="shared" si="41"/>
        <v>0</v>
      </c>
    </row>
    <row r="888" spans="1:15" ht="25.5" hidden="1">
      <c r="A888" s="25">
        <v>1710</v>
      </c>
      <c r="B888" s="25" t="s">
        <v>40</v>
      </c>
      <c r="C888" s="26" t="s">
        <v>55</v>
      </c>
      <c r="D888" s="27">
        <v>73071100</v>
      </c>
      <c r="E888" s="28" t="s">
        <v>207</v>
      </c>
      <c r="F888" s="29" t="s">
        <v>208</v>
      </c>
      <c r="G888" s="30">
        <v>0.75</v>
      </c>
      <c r="H888" s="27" t="s">
        <v>137</v>
      </c>
      <c r="I888" s="26" t="s">
        <v>149</v>
      </c>
      <c r="J888" s="31">
        <v>27</v>
      </c>
      <c r="K888" s="32">
        <f t="shared" si="39"/>
        <v>20.25</v>
      </c>
      <c r="L888" s="29" t="s">
        <v>208</v>
      </c>
      <c r="M888" s="27">
        <f>IFERROR(VLOOKUP(C888,Custo_MI_Device!$B$2:$E$102,3,FALSE),0)</f>
        <v>0</v>
      </c>
      <c r="N888" s="27">
        <f t="shared" si="40"/>
        <v>0</v>
      </c>
      <c r="O888" s="178">
        <f t="shared" si="41"/>
        <v>0</v>
      </c>
    </row>
    <row r="889" spans="1:15" ht="25.5" hidden="1">
      <c r="A889" s="25">
        <v>1715</v>
      </c>
      <c r="B889" s="25" t="s">
        <v>40</v>
      </c>
      <c r="C889" s="26" t="s">
        <v>55</v>
      </c>
      <c r="D889" s="27">
        <v>73071100</v>
      </c>
      <c r="E889" s="28" t="s">
        <v>209</v>
      </c>
      <c r="F889" s="29" t="s">
        <v>210</v>
      </c>
      <c r="G889" s="30">
        <v>0.75</v>
      </c>
      <c r="H889" s="27" t="s">
        <v>137</v>
      </c>
      <c r="I889" s="26" t="s">
        <v>149</v>
      </c>
      <c r="J889" s="31">
        <v>27</v>
      </c>
      <c r="K889" s="32">
        <f t="shared" si="39"/>
        <v>20.25</v>
      </c>
      <c r="L889" s="29" t="s">
        <v>210</v>
      </c>
      <c r="M889" s="27">
        <f>IFERROR(VLOOKUP(C889,Custo_MI_Device!$B$2:$E$102,3,FALSE),0)</f>
        <v>0</v>
      </c>
      <c r="N889" s="27">
        <f t="shared" si="40"/>
        <v>0</v>
      </c>
      <c r="O889" s="178">
        <f t="shared" si="41"/>
        <v>0</v>
      </c>
    </row>
    <row r="890" spans="1:15" ht="25.5" hidden="1">
      <c r="A890" s="25">
        <v>2909</v>
      </c>
      <c r="B890" s="25" t="s">
        <v>40</v>
      </c>
      <c r="C890" s="26" t="s">
        <v>55</v>
      </c>
      <c r="D890" s="27">
        <v>73072200</v>
      </c>
      <c r="E890" s="28" t="s">
        <v>216</v>
      </c>
      <c r="F890" s="29" t="s">
        <v>217</v>
      </c>
      <c r="G890" s="30">
        <v>2</v>
      </c>
      <c r="H890" s="27" t="s">
        <v>137</v>
      </c>
      <c r="I890" s="26" t="s">
        <v>218</v>
      </c>
      <c r="J890" s="31">
        <v>27.7</v>
      </c>
      <c r="K890" s="32">
        <f t="shared" si="39"/>
        <v>55.4</v>
      </c>
      <c r="L890" s="29" t="s">
        <v>217</v>
      </c>
      <c r="M890" s="27">
        <f>IFERROR(VLOOKUP(C890,Custo_MI_Device!$B$2:$E$102,3,FALSE),0)</f>
        <v>0</v>
      </c>
      <c r="N890" s="27">
        <f t="shared" si="40"/>
        <v>0</v>
      </c>
      <c r="O890" s="178">
        <f t="shared" si="41"/>
        <v>0</v>
      </c>
    </row>
    <row r="891" spans="1:15" ht="25.5" hidden="1">
      <c r="A891" s="25">
        <v>3417</v>
      </c>
      <c r="B891" s="25" t="s">
        <v>40</v>
      </c>
      <c r="C891" s="26" t="s">
        <v>55</v>
      </c>
      <c r="D891" s="27">
        <v>73063000</v>
      </c>
      <c r="E891" s="28" t="s">
        <v>231</v>
      </c>
      <c r="F891" s="29">
        <v>0</v>
      </c>
      <c r="G891" s="30">
        <v>2</v>
      </c>
      <c r="H891" s="27" t="s">
        <v>232</v>
      </c>
      <c r="I891" s="26" t="s">
        <v>233</v>
      </c>
      <c r="J891" s="31">
        <v>33.47</v>
      </c>
      <c r="K891" s="32">
        <f t="shared" si="39"/>
        <v>66.94</v>
      </c>
      <c r="L891" s="29" t="s">
        <v>234</v>
      </c>
      <c r="M891" s="27">
        <f>IFERROR(VLOOKUP(C891,Custo_MI_Device!$B$2:$E$102,3,FALSE),0)</f>
        <v>0</v>
      </c>
      <c r="N891" s="27">
        <f t="shared" si="40"/>
        <v>0</v>
      </c>
      <c r="O891" s="178">
        <f t="shared" si="41"/>
        <v>0</v>
      </c>
    </row>
    <row r="892" spans="1:15" ht="12.75" hidden="1">
      <c r="A892" s="25">
        <v>3316</v>
      </c>
      <c r="B892" s="25" t="s">
        <v>40</v>
      </c>
      <c r="C892" s="26" t="s">
        <v>55</v>
      </c>
      <c r="D892" s="27">
        <v>0</v>
      </c>
      <c r="E892" s="28" t="s">
        <v>246</v>
      </c>
      <c r="F892" s="29" t="s">
        <v>247</v>
      </c>
      <c r="G892" s="30">
        <v>1</v>
      </c>
      <c r="H892" s="27" t="s">
        <v>137</v>
      </c>
      <c r="I892" s="26" t="s">
        <v>248</v>
      </c>
      <c r="J892" s="31">
        <v>5.5</v>
      </c>
      <c r="K892" s="32">
        <f t="shared" si="39"/>
        <v>5.5</v>
      </c>
      <c r="L892" s="29" t="s">
        <v>247</v>
      </c>
      <c r="M892" s="27">
        <f>IFERROR(VLOOKUP(C892,Custo_MI_Device!$B$2:$E$102,3,FALSE),0)</f>
        <v>0</v>
      </c>
      <c r="N892" s="27">
        <f t="shared" si="40"/>
        <v>0</v>
      </c>
      <c r="O892" s="178">
        <f t="shared" si="41"/>
        <v>0</v>
      </c>
    </row>
    <row r="893" spans="1:15" ht="25.5" hidden="1">
      <c r="A893" s="25">
        <v>1900</v>
      </c>
      <c r="B893" s="25" t="s">
        <v>40</v>
      </c>
      <c r="C893" s="26" t="s">
        <v>55</v>
      </c>
      <c r="D893" s="27">
        <v>73072200</v>
      </c>
      <c r="E893" s="28" t="s">
        <v>249</v>
      </c>
      <c r="F893" s="29" t="s">
        <v>250</v>
      </c>
      <c r="G893" s="30">
        <v>1</v>
      </c>
      <c r="H893" s="27" t="s">
        <v>137</v>
      </c>
      <c r="I893" s="26" t="s">
        <v>218</v>
      </c>
      <c r="J893" s="31">
        <v>27</v>
      </c>
      <c r="K893" s="32">
        <f t="shared" si="39"/>
        <v>27</v>
      </c>
      <c r="L893" s="29" t="s">
        <v>250</v>
      </c>
      <c r="M893" s="27">
        <f>IFERROR(VLOOKUP(C893,Custo_MI_Device!$B$2:$E$102,3,FALSE),0)</f>
        <v>0</v>
      </c>
      <c r="N893" s="27">
        <f t="shared" si="40"/>
        <v>0</v>
      </c>
      <c r="O893" s="178">
        <f t="shared" si="41"/>
        <v>0</v>
      </c>
    </row>
    <row r="894" spans="1:15" ht="12.75" hidden="1">
      <c r="A894" s="25">
        <v>1965</v>
      </c>
      <c r="B894" s="25" t="s">
        <v>40</v>
      </c>
      <c r="C894" s="26" t="s">
        <v>55</v>
      </c>
      <c r="D894" s="27">
        <v>73071100</v>
      </c>
      <c r="E894" s="28" t="s">
        <v>251</v>
      </c>
      <c r="F894" s="29" t="s">
        <v>252</v>
      </c>
      <c r="G894" s="30">
        <v>1</v>
      </c>
      <c r="H894" s="27" t="s">
        <v>137</v>
      </c>
      <c r="I894" s="26" t="s">
        <v>253</v>
      </c>
      <c r="J894" s="31">
        <v>5.5</v>
      </c>
      <c r="K894" s="32">
        <f t="shared" si="39"/>
        <v>5.5</v>
      </c>
      <c r="L894" s="29" t="s">
        <v>252</v>
      </c>
      <c r="M894" s="27">
        <f>IFERROR(VLOOKUP(C894,Custo_MI_Device!$B$2:$E$102,3,FALSE),0)</f>
        <v>0</v>
      </c>
      <c r="N894" s="27">
        <f t="shared" si="40"/>
        <v>0</v>
      </c>
      <c r="O894" s="178">
        <f t="shared" si="41"/>
        <v>0</v>
      </c>
    </row>
    <row r="895" spans="1:15" ht="12.75" hidden="1">
      <c r="A895" s="25">
        <v>3274</v>
      </c>
      <c r="B895" s="25" t="s">
        <v>40</v>
      </c>
      <c r="C895" s="26" t="s">
        <v>55</v>
      </c>
      <c r="D895" s="27">
        <v>73181500</v>
      </c>
      <c r="E895" s="28" t="s">
        <v>265</v>
      </c>
      <c r="F895" s="29" t="s">
        <v>266</v>
      </c>
      <c r="G895" s="30">
        <v>24</v>
      </c>
      <c r="H895" s="27" t="s">
        <v>137</v>
      </c>
      <c r="I895" s="26" t="s">
        <v>256</v>
      </c>
      <c r="J895" s="31">
        <v>0.06</v>
      </c>
      <c r="K895" s="32">
        <f t="shared" si="39"/>
        <v>1.44</v>
      </c>
      <c r="L895" s="29" t="s">
        <v>266</v>
      </c>
      <c r="M895" s="27">
        <f>IFERROR(VLOOKUP(C895,Custo_MI_Device!$B$2:$E$102,3,FALSE),0)</f>
        <v>0</v>
      </c>
      <c r="N895" s="27">
        <f t="shared" si="40"/>
        <v>0</v>
      </c>
      <c r="O895" s="178">
        <f t="shared" si="41"/>
        <v>0</v>
      </c>
    </row>
    <row r="896" spans="1:15" ht="12.75" hidden="1">
      <c r="A896" s="25">
        <v>5081</v>
      </c>
      <c r="B896" s="25" t="s">
        <v>40</v>
      </c>
      <c r="C896" s="26" t="s">
        <v>55</v>
      </c>
      <c r="D896" s="27">
        <v>73145000</v>
      </c>
      <c r="E896" s="28" t="s">
        <v>278</v>
      </c>
      <c r="F896" s="29">
        <v>0</v>
      </c>
      <c r="G896" s="30">
        <v>1</v>
      </c>
      <c r="H896" s="27" t="s">
        <v>137</v>
      </c>
      <c r="I896" s="26" t="s">
        <v>279</v>
      </c>
      <c r="J896" s="31">
        <v>23</v>
      </c>
      <c r="K896" s="32">
        <f t="shared" si="39"/>
        <v>23</v>
      </c>
      <c r="L896" s="29" t="s">
        <v>280</v>
      </c>
      <c r="M896" s="27">
        <f>IFERROR(VLOOKUP(C896,Custo_MI_Device!$B$2:$E$102,3,FALSE),0)</f>
        <v>0</v>
      </c>
      <c r="N896" s="27">
        <f t="shared" si="40"/>
        <v>0</v>
      </c>
      <c r="O896" s="178">
        <f t="shared" si="41"/>
        <v>0</v>
      </c>
    </row>
    <row r="897" spans="1:15" ht="25.5" hidden="1">
      <c r="A897" s="25">
        <v>5194</v>
      </c>
      <c r="B897" s="25" t="s">
        <v>40</v>
      </c>
      <c r="C897" s="26" t="s">
        <v>55</v>
      </c>
      <c r="D897" s="27">
        <v>73041010</v>
      </c>
      <c r="E897" s="28" t="s">
        <v>289</v>
      </c>
      <c r="F897" s="29" t="s">
        <v>290</v>
      </c>
      <c r="G897" s="30">
        <v>1</v>
      </c>
      <c r="H897" s="27" t="s">
        <v>232</v>
      </c>
      <c r="I897" s="26" t="s">
        <v>218</v>
      </c>
      <c r="J897" s="31">
        <f>21.5*6</f>
        <v>129</v>
      </c>
      <c r="K897" s="32">
        <f t="shared" si="39"/>
        <v>129</v>
      </c>
      <c r="L897" s="29" t="s">
        <v>290</v>
      </c>
      <c r="M897" s="27">
        <f>IFERROR(VLOOKUP(C897,Custo_MI_Device!$B$2:$E$102,3,FALSE),0)</f>
        <v>0</v>
      </c>
      <c r="N897" s="27">
        <f t="shared" si="40"/>
        <v>0</v>
      </c>
      <c r="O897" s="178">
        <f t="shared" si="41"/>
        <v>0</v>
      </c>
    </row>
    <row r="898" spans="1:15" ht="25.5" hidden="1">
      <c r="A898" s="25">
        <v>5147</v>
      </c>
      <c r="B898" s="25" t="s">
        <v>40</v>
      </c>
      <c r="C898" s="26" t="s">
        <v>55</v>
      </c>
      <c r="D898" s="27">
        <v>83079000</v>
      </c>
      <c r="E898" s="28" t="s">
        <v>293</v>
      </c>
      <c r="F898" s="29" t="s">
        <v>294</v>
      </c>
      <c r="G898" s="30">
        <v>1</v>
      </c>
      <c r="H898" s="27" t="s">
        <v>137</v>
      </c>
      <c r="I898" s="26" t="s">
        <v>180</v>
      </c>
      <c r="J898" s="31">
        <v>155</v>
      </c>
      <c r="K898" s="32">
        <f t="shared" si="39"/>
        <v>155</v>
      </c>
      <c r="L898" s="29" t="s">
        <v>294</v>
      </c>
      <c r="M898" s="27">
        <f>IFERROR(VLOOKUP(C898,Custo_MI_Device!$B$2:$E$102,3,FALSE),0)</f>
        <v>0</v>
      </c>
      <c r="N898" s="27">
        <f t="shared" si="40"/>
        <v>0</v>
      </c>
      <c r="O898" s="178">
        <f t="shared" si="41"/>
        <v>0</v>
      </c>
    </row>
    <row r="899" spans="1:15" ht="25.5" hidden="1">
      <c r="A899" s="25">
        <v>4834</v>
      </c>
      <c r="B899" s="25" t="s">
        <v>40</v>
      </c>
      <c r="C899" s="26" t="s">
        <v>55</v>
      </c>
      <c r="D899" s="27">
        <v>73071100</v>
      </c>
      <c r="E899" s="28" t="s">
        <v>299</v>
      </c>
      <c r="F899" s="29" t="s">
        <v>300</v>
      </c>
      <c r="G899" s="30">
        <v>1</v>
      </c>
      <c r="H899" s="27" t="s">
        <v>137</v>
      </c>
      <c r="I899" s="26" t="s">
        <v>149</v>
      </c>
      <c r="J899" s="31">
        <v>28</v>
      </c>
      <c r="K899" s="32">
        <f t="shared" ref="K899:K962" si="42">G899*J899</f>
        <v>28</v>
      </c>
      <c r="L899" s="29" t="s">
        <v>300</v>
      </c>
      <c r="M899" s="27">
        <f>IFERROR(VLOOKUP(C899,Custo_MI_Device!$B$2:$E$102,3,FALSE),0)</f>
        <v>0</v>
      </c>
      <c r="N899" s="27">
        <f t="shared" ref="N899:N962" si="43">ROUNDUP(M899*G899,0)</f>
        <v>0</v>
      </c>
      <c r="O899" s="178">
        <f t="shared" ref="O899:O962" si="44">N899*J899</f>
        <v>0</v>
      </c>
    </row>
    <row r="900" spans="1:15" ht="25.5" hidden="1">
      <c r="A900" s="25">
        <v>2125</v>
      </c>
      <c r="B900" s="25" t="s">
        <v>40</v>
      </c>
      <c r="C900" s="26" t="s">
        <v>55</v>
      </c>
      <c r="D900" s="27">
        <v>84818039</v>
      </c>
      <c r="E900" s="28" t="s">
        <v>301</v>
      </c>
      <c r="F900" s="29">
        <v>0</v>
      </c>
      <c r="G900" s="30">
        <v>1</v>
      </c>
      <c r="H900" s="27" t="s">
        <v>137</v>
      </c>
      <c r="I900" s="26" t="s">
        <v>220</v>
      </c>
      <c r="J900" s="31">
        <v>175</v>
      </c>
      <c r="K900" s="32">
        <f t="shared" si="42"/>
        <v>175</v>
      </c>
      <c r="L900" s="29" t="s">
        <v>302</v>
      </c>
      <c r="M900" s="27">
        <f>IFERROR(VLOOKUP(C900,Custo_MI_Device!$B$2:$E$102,3,FALSE),0)</f>
        <v>0</v>
      </c>
      <c r="N900" s="27">
        <f t="shared" si="43"/>
        <v>0</v>
      </c>
      <c r="O900" s="178">
        <f t="shared" si="44"/>
        <v>0</v>
      </c>
    </row>
    <row r="901" spans="1:15" ht="12.75" hidden="1">
      <c r="A901" s="25">
        <v>2534</v>
      </c>
      <c r="B901" s="25" t="s">
        <v>40</v>
      </c>
      <c r="C901" s="26" t="s">
        <v>56</v>
      </c>
      <c r="D901" s="27">
        <v>73072900</v>
      </c>
      <c r="E901" s="28" t="s">
        <v>314</v>
      </c>
      <c r="F901" s="29" t="s">
        <v>315</v>
      </c>
      <c r="G901" s="30">
        <v>12</v>
      </c>
      <c r="H901" s="27" t="s">
        <v>137</v>
      </c>
      <c r="I901" s="26" t="s">
        <v>256</v>
      </c>
      <c r="J901" s="31">
        <v>1.2</v>
      </c>
      <c r="K901" s="32">
        <f t="shared" si="42"/>
        <v>14.399999999999999</v>
      </c>
      <c r="L901" s="29" t="s">
        <v>315</v>
      </c>
      <c r="M901" s="27">
        <f>IFERROR(VLOOKUP(C901,Custo_MI_Device!$B$2:$E$102,3,FALSE),0)</f>
        <v>0</v>
      </c>
      <c r="N901" s="27">
        <f t="shared" si="43"/>
        <v>0</v>
      </c>
      <c r="O901" s="178">
        <f t="shared" si="44"/>
        <v>0</v>
      </c>
    </row>
    <row r="902" spans="1:15" ht="12.75" hidden="1">
      <c r="A902" s="25">
        <v>1669</v>
      </c>
      <c r="B902" s="25" t="s">
        <v>40</v>
      </c>
      <c r="C902" s="26" t="s">
        <v>56</v>
      </c>
      <c r="D902" s="27">
        <v>39269090</v>
      </c>
      <c r="E902" s="28" t="s">
        <v>316</v>
      </c>
      <c r="F902" s="29" t="s">
        <v>317</v>
      </c>
      <c r="G902" s="30">
        <v>3</v>
      </c>
      <c r="H902" s="27" t="s">
        <v>137</v>
      </c>
      <c r="I902" s="26" t="s">
        <v>318</v>
      </c>
      <c r="J902" s="31">
        <v>0.04</v>
      </c>
      <c r="K902" s="32">
        <f t="shared" si="42"/>
        <v>0.12</v>
      </c>
      <c r="L902" s="29" t="s">
        <v>317</v>
      </c>
      <c r="M902" s="27">
        <f>IFERROR(VLOOKUP(C902,Custo_MI_Device!$B$2:$E$102,3,FALSE),0)</f>
        <v>0</v>
      </c>
      <c r="N902" s="27">
        <f t="shared" si="43"/>
        <v>0</v>
      </c>
      <c r="O902" s="178">
        <f t="shared" si="44"/>
        <v>0</v>
      </c>
    </row>
    <row r="903" spans="1:15" ht="12.75" hidden="1">
      <c r="A903" s="25">
        <v>5091</v>
      </c>
      <c r="B903" s="25" t="s">
        <v>40</v>
      </c>
      <c r="C903" s="26" t="s">
        <v>56</v>
      </c>
      <c r="D903" s="27">
        <v>73181500</v>
      </c>
      <c r="E903" s="28" t="s">
        <v>323</v>
      </c>
      <c r="F903" s="29" t="s">
        <v>324</v>
      </c>
      <c r="G903" s="30">
        <v>24</v>
      </c>
      <c r="H903" s="27" t="s">
        <v>137</v>
      </c>
      <c r="I903" s="26" t="s">
        <v>256</v>
      </c>
      <c r="J903" s="31">
        <v>0.04</v>
      </c>
      <c r="K903" s="32">
        <f t="shared" si="42"/>
        <v>0.96</v>
      </c>
      <c r="L903" s="29" t="s">
        <v>324</v>
      </c>
      <c r="M903" s="27">
        <f>IFERROR(VLOOKUP(C903,Custo_MI_Device!$B$2:$E$102,3,FALSE),0)</f>
        <v>0</v>
      </c>
      <c r="N903" s="27">
        <f t="shared" si="43"/>
        <v>0</v>
      </c>
      <c r="O903" s="178">
        <f t="shared" si="44"/>
        <v>0</v>
      </c>
    </row>
    <row r="904" spans="1:15" ht="12.75" hidden="1">
      <c r="A904" s="25">
        <v>83</v>
      </c>
      <c r="B904" s="25" t="s">
        <v>40</v>
      </c>
      <c r="C904" s="26" t="s">
        <v>56</v>
      </c>
      <c r="D904" s="27"/>
      <c r="E904" s="28" t="s">
        <v>150</v>
      </c>
      <c r="F904" s="29" t="s">
        <v>148</v>
      </c>
      <c r="G904" s="30">
        <v>1</v>
      </c>
      <c r="H904" s="27" t="s">
        <v>137</v>
      </c>
      <c r="I904" s="26" t="s">
        <v>149</v>
      </c>
      <c r="J904" s="31">
        <v>4.8</v>
      </c>
      <c r="K904" s="32">
        <f t="shared" si="42"/>
        <v>4.8</v>
      </c>
      <c r="L904" s="29" t="s">
        <v>148</v>
      </c>
      <c r="M904" s="27">
        <f>IFERROR(VLOOKUP(C904,Custo_MI_Device!$B$2:$E$102,3,FALSE),0)</f>
        <v>0</v>
      </c>
      <c r="N904" s="27">
        <f t="shared" si="43"/>
        <v>0</v>
      </c>
      <c r="O904" s="178">
        <f t="shared" si="44"/>
        <v>0</v>
      </c>
    </row>
    <row r="905" spans="1:15" ht="12.75" hidden="1">
      <c r="A905" s="25">
        <v>3080</v>
      </c>
      <c r="B905" s="25" t="s">
        <v>40</v>
      </c>
      <c r="C905" s="26" t="s">
        <v>56</v>
      </c>
      <c r="D905" s="27">
        <v>74122000</v>
      </c>
      <c r="E905" s="28" t="s">
        <v>153</v>
      </c>
      <c r="F905" s="29" t="s">
        <v>154</v>
      </c>
      <c r="G905" s="30">
        <v>1</v>
      </c>
      <c r="H905" s="27" t="s">
        <v>137</v>
      </c>
      <c r="I905" s="26" t="s">
        <v>155</v>
      </c>
      <c r="J905" s="31">
        <v>3.3</v>
      </c>
      <c r="K905" s="32">
        <f t="shared" si="42"/>
        <v>3.3</v>
      </c>
      <c r="L905" s="29" t="s">
        <v>154</v>
      </c>
      <c r="M905" s="27">
        <f>IFERROR(VLOOKUP(C905,Custo_MI_Device!$B$2:$E$102,3,FALSE),0)</f>
        <v>0</v>
      </c>
      <c r="N905" s="27">
        <f t="shared" si="43"/>
        <v>0</v>
      </c>
      <c r="O905" s="178">
        <f t="shared" si="44"/>
        <v>0</v>
      </c>
    </row>
    <row r="906" spans="1:15" ht="25.5" hidden="1">
      <c r="A906" s="25">
        <v>5139</v>
      </c>
      <c r="B906" s="25" t="s">
        <v>40</v>
      </c>
      <c r="C906" s="26" t="s">
        <v>56</v>
      </c>
      <c r="D906" s="27">
        <v>85444900</v>
      </c>
      <c r="E906" s="28" t="s">
        <v>170</v>
      </c>
      <c r="F906" s="29" t="s">
        <v>171</v>
      </c>
      <c r="G906" s="30">
        <v>15</v>
      </c>
      <c r="H906" s="27" t="s">
        <v>158</v>
      </c>
      <c r="I906" s="26" t="s">
        <v>172</v>
      </c>
      <c r="J906" s="31">
        <v>7.5</v>
      </c>
      <c r="K906" s="32">
        <f t="shared" si="42"/>
        <v>112.5</v>
      </c>
      <c r="L906" s="29" t="s">
        <v>173</v>
      </c>
      <c r="M906" s="27">
        <f>IFERROR(VLOOKUP(C906,Custo_MI_Device!$B$2:$E$102,3,FALSE),0)</f>
        <v>0</v>
      </c>
      <c r="N906" s="27">
        <f t="shared" si="43"/>
        <v>0</v>
      </c>
      <c r="O906" s="178">
        <f t="shared" si="44"/>
        <v>0</v>
      </c>
    </row>
    <row r="907" spans="1:15" ht="12.75" hidden="1">
      <c r="A907" s="25">
        <v>2805</v>
      </c>
      <c r="B907" s="25" t="s">
        <v>40</v>
      </c>
      <c r="C907" s="26" t="s">
        <v>56</v>
      </c>
      <c r="D907" s="27">
        <v>72162100</v>
      </c>
      <c r="E907" s="28" t="s">
        <v>174</v>
      </c>
      <c r="F907" s="29">
        <v>0</v>
      </c>
      <c r="G907" s="30">
        <v>2.9</v>
      </c>
      <c r="H907" s="27" t="s">
        <v>175</v>
      </c>
      <c r="I907" s="26" t="s">
        <v>176</v>
      </c>
      <c r="J907" s="31">
        <v>4.22</v>
      </c>
      <c r="K907" s="32">
        <f t="shared" si="42"/>
        <v>12.238</v>
      </c>
      <c r="L907" s="29" t="s">
        <v>177</v>
      </c>
      <c r="M907" s="27">
        <f>IFERROR(VLOOKUP(C907,Custo_MI_Device!$B$2:$E$102,3,FALSE),0)</f>
        <v>0</v>
      </c>
      <c r="N907" s="27">
        <f t="shared" si="43"/>
        <v>0</v>
      </c>
      <c r="O907" s="178">
        <f t="shared" si="44"/>
        <v>0</v>
      </c>
    </row>
    <row r="908" spans="1:15" ht="25.5" hidden="1">
      <c r="A908" s="25">
        <v>3738</v>
      </c>
      <c r="B908" s="25" t="s">
        <v>40</v>
      </c>
      <c r="C908" s="26" t="s">
        <v>56</v>
      </c>
      <c r="D908" s="27">
        <v>73071100</v>
      </c>
      <c r="E908" s="28" t="s">
        <v>205</v>
      </c>
      <c r="F908" s="29" t="s">
        <v>206</v>
      </c>
      <c r="G908" s="30">
        <v>0.75</v>
      </c>
      <c r="H908" s="27" t="s">
        <v>137</v>
      </c>
      <c r="I908" s="26" t="s">
        <v>149</v>
      </c>
      <c r="J908" s="31">
        <v>27</v>
      </c>
      <c r="K908" s="32">
        <f t="shared" si="42"/>
        <v>20.25</v>
      </c>
      <c r="L908" s="29" t="s">
        <v>206</v>
      </c>
      <c r="M908" s="27">
        <f>IFERROR(VLOOKUP(C908,Custo_MI_Device!$B$2:$E$102,3,FALSE),0)</f>
        <v>0</v>
      </c>
      <c r="N908" s="27">
        <f t="shared" si="43"/>
        <v>0</v>
      </c>
      <c r="O908" s="178">
        <f t="shared" si="44"/>
        <v>0</v>
      </c>
    </row>
    <row r="909" spans="1:15" ht="25.5" hidden="1">
      <c r="A909" s="25">
        <v>1710</v>
      </c>
      <c r="B909" s="25" t="s">
        <v>40</v>
      </c>
      <c r="C909" s="26" t="s">
        <v>56</v>
      </c>
      <c r="D909" s="27">
        <v>73071100</v>
      </c>
      <c r="E909" s="28" t="s">
        <v>207</v>
      </c>
      <c r="F909" s="29" t="s">
        <v>208</v>
      </c>
      <c r="G909" s="30">
        <v>0.75</v>
      </c>
      <c r="H909" s="27" t="s">
        <v>137</v>
      </c>
      <c r="I909" s="26" t="s">
        <v>149</v>
      </c>
      <c r="J909" s="31">
        <v>27</v>
      </c>
      <c r="K909" s="32">
        <f t="shared" si="42"/>
        <v>20.25</v>
      </c>
      <c r="L909" s="29" t="s">
        <v>208</v>
      </c>
      <c r="M909" s="27">
        <f>IFERROR(VLOOKUP(C909,Custo_MI_Device!$B$2:$E$102,3,FALSE),0)</f>
        <v>0</v>
      </c>
      <c r="N909" s="27">
        <f t="shared" si="43"/>
        <v>0</v>
      </c>
      <c r="O909" s="178">
        <f t="shared" si="44"/>
        <v>0</v>
      </c>
    </row>
    <row r="910" spans="1:15" ht="25.5" hidden="1">
      <c r="A910" s="25">
        <v>1715</v>
      </c>
      <c r="B910" s="25" t="s">
        <v>40</v>
      </c>
      <c r="C910" s="26" t="s">
        <v>56</v>
      </c>
      <c r="D910" s="27">
        <v>73071100</v>
      </c>
      <c r="E910" s="28" t="s">
        <v>209</v>
      </c>
      <c r="F910" s="29" t="s">
        <v>210</v>
      </c>
      <c r="G910" s="30">
        <v>0.75</v>
      </c>
      <c r="H910" s="27" t="s">
        <v>137</v>
      </c>
      <c r="I910" s="26" t="s">
        <v>149</v>
      </c>
      <c r="J910" s="31">
        <v>27</v>
      </c>
      <c r="K910" s="32">
        <f t="shared" si="42"/>
        <v>20.25</v>
      </c>
      <c r="L910" s="29" t="s">
        <v>210</v>
      </c>
      <c r="M910" s="27">
        <f>IFERROR(VLOOKUP(C910,Custo_MI_Device!$B$2:$E$102,3,FALSE),0)</f>
        <v>0</v>
      </c>
      <c r="N910" s="27">
        <f t="shared" si="43"/>
        <v>0</v>
      </c>
      <c r="O910" s="178">
        <f t="shared" si="44"/>
        <v>0</v>
      </c>
    </row>
    <row r="911" spans="1:15" ht="25.5" hidden="1">
      <c r="A911" s="25">
        <v>2909</v>
      </c>
      <c r="B911" s="25" t="s">
        <v>40</v>
      </c>
      <c r="C911" s="26" t="s">
        <v>56</v>
      </c>
      <c r="D911" s="27">
        <v>73072200</v>
      </c>
      <c r="E911" s="28" t="s">
        <v>216</v>
      </c>
      <c r="F911" s="29" t="s">
        <v>217</v>
      </c>
      <c r="G911" s="30">
        <v>2</v>
      </c>
      <c r="H911" s="27" t="s">
        <v>137</v>
      </c>
      <c r="I911" s="26" t="s">
        <v>218</v>
      </c>
      <c r="J911" s="31">
        <v>27.7</v>
      </c>
      <c r="K911" s="32">
        <f t="shared" si="42"/>
        <v>55.4</v>
      </c>
      <c r="L911" s="29" t="s">
        <v>217</v>
      </c>
      <c r="M911" s="27">
        <f>IFERROR(VLOOKUP(C911,Custo_MI_Device!$B$2:$E$102,3,FALSE),0)</f>
        <v>0</v>
      </c>
      <c r="N911" s="27">
        <f t="shared" si="43"/>
        <v>0</v>
      </c>
      <c r="O911" s="178">
        <f t="shared" si="44"/>
        <v>0</v>
      </c>
    </row>
    <row r="912" spans="1:15" ht="25.5" hidden="1">
      <c r="A912" s="25">
        <v>3417</v>
      </c>
      <c r="B912" s="25" t="s">
        <v>40</v>
      </c>
      <c r="C912" s="26" t="s">
        <v>56</v>
      </c>
      <c r="D912" s="27">
        <v>73063000</v>
      </c>
      <c r="E912" s="28" t="s">
        <v>231</v>
      </c>
      <c r="F912" s="29">
        <v>0</v>
      </c>
      <c r="G912" s="30">
        <v>2</v>
      </c>
      <c r="H912" s="27" t="s">
        <v>232</v>
      </c>
      <c r="I912" s="26" t="s">
        <v>233</v>
      </c>
      <c r="J912" s="31">
        <v>33.47</v>
      </c>
      <c r="K912" s="32">
        <f t="shared" si="42"/>
        <v>66.94</v>
      </c>
      <c r="L912" s="29" t="s">
        <v>234</v>
      </c>
      <c r="M912" s="27">
        <f>IFERROR(VLOOKUP(C912,Custo_MI_Device!$B$2:$E$102,3,FALSE),0)</f>
        <v>0</v>
      </c>
      <c r="N912" s="27">
        <f t="shared" si="43"/>
        <v>0</v>
      </c>
      <c r="O912" s="178">
        <f t="shared" si="44"/>
        <v>0</v>
      </c>
    </row>
    <row r="913" spans="1:15" ht="12.75" hidden="1">
      <c r="A913" s="25">
        <v>3316</v>
      </c>
      <c r="B913" s="25" t="s">
        <v>40</v>
      </c>
      <c r="C913" s="26" t="s">
        <v>56</v>
      </c>
      <c r="D913" s="27">
        <v>0</v>
      </c>
      <c r="E913" s="28" t="s">
        <v>246</v>
      </c>
      <c r="F913" s="29" t="s">
        <v>247</v>
      </c>
      <c r="G913" s="30">
        <v>1</v>
      </c>
      <c r="H913" s="27" t="s">
        <v>137</v>
      </c>
      <c r="I913" s="26" t="s">
        <v>248</v>
      </c>
      <c r="J913" s="31">
        <v>5.5</v>
      </c>
      <c r="K913" s="32">
        <f t="shared" si="42"/>
        <v>5.5</v>
      </c>
      <c r="L913" s="29" t="s">
        <v>247</v>
      </c>
      <c r="M913" s="27">
        <f>IFERROR(VLOOKUP(C913,Custo_MI_Device!$B$2:$E$102,3,FALSE),0)</f>
        <v>0</v>
      </c>
      <c r="N913" s="27">
        <f t="shared" si="43"/>
        <v>0</v>
      </c>
      <c r="O913" s="178">
        <f t="shared" si="44"/>
        <v>0</v>
      </c>
    </row>
    <row r="914" spans="1:15" ht="25.5" hidden="1">
      <c r="A914" s="25">
        <v>1900</v>
      </c>
      <c r="B914" s="25" t="s">
        <v>40</v>
      </c>
      <c r="C914" s="26" t="s">
        <v>56</v>
      </c>
      <c r="D914" s="27">
        <v>73072200</v>
      </c>
      <c r="E914" s="28" t="s">
        <v>249</v>
      </c>
      <c r="F914" s="29" t="s">
        <v>250</v>
      </c>
      <c r="G914" s="30">
        <v>1</v>
      </c>
      <c r="H914" s="27" t="s">
        <v>137</v>
      </c>
      <c r="I914" s="26" t="s">
        <v>218</v>
      </c>
      <c r="J914" s="31">
        <v>27</v>
      </c>
      <c r="K914" s="32">
        <f t="shared" si="42"/>
        <v>27</v>
      </c>
      <c r="L914" s="29" t="s">
        <v>250</v>
      </c>
      <c r="M914" s="27">
        <f>IFERROR(VLOOKUP(C914,Custo_MI_Device!$B$2:$E$102,3,FALSE),0)</f>
        <v>0</v>
      </c>
      <c r="N914" s="27">
        <f t="shared" si="43"/>
        <v>0</v>
      </c>
      <c r="O914" s="178">
        <f t="shared" si="44"/>
        <v>0</v>
      </c>
    </row>
    <row r="915" spans="1:15" ht="12.75" hidden="1">
      <c r="A915" s="25">
        <v>1965</v>
      </c>
      <c r="B915" s="25" t="s">
        <v>40</v>
      </c>
      <c r="C915" s="26" t="s">
        <v>56</v>
      </c>
      <c r="D915" s="27">
        <v>73071100</v>
      </c>
      <c r="E915" s="28" t="s">
        <v>251</v>
      </c>
      <c r="F915" s="29" t="s">
        <v>252</v>
      </c>
      <c r="G915" s="30">
        <v>1</v>
      </c>
      <c r="H915" s="27" t="s">
        <v>137</v>
      </c>
      <c r="I915" s="26" t="s">
        <v>253</v>
      </c>
      <c r="J915" s="31">
        <v>5.5</v>
      </c>
      <c r="K915" s="32">
        <f t="shared" si="42"/>
        <v>5.5</v>
      </c>
      <c r="L915" s="29" t="s">
        <v>252</v>
      </c>
      <c r="M915" s="27">
        <f>IFERROR(VLOOKUP(C915,Custo_MI_Device!$B$2:$E$102,3,FALSE),0)</f>
        <v>0</v>
      </c>
      <c r="N915" s="27">
        <f t="shared" si="43"/>
        <v>0</v>
      </c>
      <c r="O915" s="178">
        <f t="shared" si="44"/>
        <v>0</v>
      </c>
    </row>
    <row r="916" spans="1:15" ht="12.75" hidden="1">
      <c r="A916" s="25">
        <v>3274</v>
      </c>
      <c r="B916" s="25" t="s">
        <v>40</v>
      </c>
      <c r="C916" s="26" t="s">
        <v>56</v>
      </c>
      <c r="D916" s="27">
        <v>73181500</v>
      </c>
      <c r="E916" s="28" t="s">
        <v>265</v>
      </c>
      <c r="F916" s="29" t="s">
        <v>266</v>
      </c>
      <c r="G916" s="30">
        <v>24</v>
      </c>
      <c r="H916" s="27" t="s">
        <v>137</v>
      </c>
      <c r="I916" s="26" t="s">
        <v>256</v>
      </c>
      <c r="J916" s="31">
        <v>0.06</v>
      </c>
      <c r="K916" s="32">
        <f t="shared" si="42"/>
        <v>1.44</v>
      </c>
      <c r="L916" s="29" t="s">
        <v>266</v>
      </c>
      <c r="M916" s="27">
        <f>IFERROR(VLOOKUP(C916,Custo_MI_Device!$B$2:$E$102,3,FALSE),0)</f>
        <v>0</v>
      </c>
      <c r="N916" s="27">
        <f t="shared" si="43"/>
        <v>0</v>
      </c>
      <c r="O916" s="178">
        <f t="shared" si="44"/>
        <v>0</v>
      </c>
    </row>
    <row r="917" spans="1:15" ht="12.75" hidden="1">
      <c r="A917" s="25">
        <v>5081</v>
      </c>
      <c r="B917" s="25" t="s">
        <v>40</v>
      </c>
      <c r="C917" s="26" t="s">
        <v>56</v>
      </c>
      <c r="D917" s="27">
        <v>73145000</v>
      </c>
      <c r="E917" s="28" t="s">
        <v>278</v>
      </c>
      <c r="F917" s="29">
        <v>0</v>
      </c>
      <c r="G917" s="30">
        <v>1</v>
      </c>
      <c r="H917" s="27" t="s">
        <v>137</v>
      </c>
      <c r="I917" s="26" t="s">
        <v>279</v>
      </c>
      <c r="J917" s="31">
        <v>23</v>
      </c>
      <c r="K917" s="32">
        <f t="shared" si="42"/>
        <v>23</v>
      </c>
      <c r="L917" s="29" t="s">
        <v>280</v>
      </c>
      <c r="M917" s="27">
        <f>IFERROR(VLOOKUP(C917,Custo_MI_Device!$B$2:$E$102,3,FALSE),0)</f>
        <v>0</v>
      </c>
      <c r="N917" s="27">
        <f t="shared" si="43"/>
        <v>0</v>
      </c>
      <c r="O917" s="178">
        <f t="shared" si="44"/>
        <v>0</v>
      </c>
    </row>
    <row r="918" spans="1:15" ht="25.5" hidden="1">
      <c r="A918" s="25">
        <v>5194</v>
      </c>
      <c r="B918" s="25" t="s">
        <v>40</v>
      </c>
      <c r="C918" s="26" t="s">
        <v>56</v>
      </c>
      <c r="D918" s="27">
        <v>73041010</v>
      </c>
      <c r="E918" s="28" t="s">
        <v>289</v>
      </c>
      <c r="F918" s="29" t="s">
        <v>290</v>
      </c>
      <c r="G918" s="30">
        <v>1</v>
      </c>
      <c r="H918" s="27" t="s">
        <v>232</v>
      </c>
      <c r="I918" s="26" t="s">
        <v>218</v>
      </c>
      <c r="J918" s="31">
        <f>21.5*6</f>
        <v>129</v>
      </c>
      <c r="K918" s="32">
        <f t="shared" si="42"/>
        <v>129</v>
      </c>
      <c r="L918" s="29" t="s">
        <v>290</v>
      </c>
      <c r="M918" s="27">
        <f>IFERROR(VLOOKUP(C918,Custo_MI_Device!$B$2:$E$102,3,FALSE),0)</f>
        <v>0</v>
      </c>
      <c r="N918" s="27">
        <f t="shared" si="43"/>
        <v>0</v>
      </c>
      <c r="O918" s="178">
        <f t="shared" si="44"/>
        <v>0</v>
      </c>
    </row>
    <row r="919" spans="1:15" ht="25.5" hidden="1">
      <c r="A919" s="25">
        <v>5147</v>
      </c>
      <c r="B919" s="25" t="s">
        <v>40</v>
      </c>
      <c r="C919" s="26" t="s">
        <v>56</v>
      </c>
      <c r="D919" s="27">
        <v>83079000</v>
      </c>
      <c r="E919" s="28" t="s">
        <v>293</v>
      </c>
      <c r="F919" s="29" t="s">
        <v>294</v>
      </c>
      <c r="G919" s="30">
        <v>1</v>
      </c>
      <c r="H919" s="27" t="s">
        <v>137</v>
      </c>
      <c r="I919" s="26" t="s">
        <v>180</v>
      </c>
      <c r="J919" s="31">
        <v>155</v>
      </c>
      <c r="K919" s="32">
        <f t="shared" si="42"/>
        <v>155</v>
      </c>
      <c r="L919" s="29" t="s">
        <v>294</v>
      </c>
      <c r="M919" s="27">
        <f>IFERROR(VLOOKUP(C919,Custo_MI_Device!$B$2:$E$102,3,FALSE),0)</f>
        <v>0</v>
      </c>
      <c r="N919" s="27">
        <f t="shared" si="43"/>
        <v>0</v>
      </c>
      <c r="O919" s="178">
        <f t="shared" si="44"/>
        <v>0</v>
      </c>
    </row>
    <row r="920" spans="1:15" ht="25.5" hidden="1">
      <c r="A920" s="25">
        <v>4834</v>
      </c>
      <c r="B920" s="25" t="s">
        <v>40</v>
      </c>
      <c r="C920" s="26" t="s">
        <v>56</v>
      </c>
      <c r="D920" s="27">
        <v>73071100</v>
      </c>
      <c r="E920" s="28" t="s">
        <v>299</v>
      </c>
      <c r="F920" s="29" t="s">
        <v>300</v>
      </c>
      <c r="G920" s="30">
        <v>1</v>
      </c>
      <c r="H920" s="27" t="s">
        <v>137</v>
      </c>
      <c r="I920" s="26" t="s">
        <v>149</v>
      </c>
      <c r="J920" s="31">
        <v>28</v>
      </c>
      <c r="K920" s="32">
        <f t="shared" si="42"/>
        <v>28</v>
      </c>
      <c r="L920" s="29" t="s">
        <v>300</v>
      </c>
      <c r="M920" s="27">
        <f>IFERROR(VLOOKUP(C920,Custo_MI_Device!$B$2:$E$102,3,FALSE),0)</f>
        <v>0</v>
      </c>
      <c r="N920" s="27">
        <f t="shared" si="43"/>
        <v>0</v>
      </c>
      <c r="O920" s="178">
        <f t="shared" si="44"/>
        <v>0</v>
      </c>
    </row>
    <row r="921" spans="1:15" ht="25.5" hidden="1">
      <c r="A921" s="25">
        <v>2125</v>
      </c>
      <c r="B921" s="25" t="s">
        <v>40</v>
      </c>
      <c r="C921" s="26" t="s">
        <v>56</v>
      </c>
      <c r="D921" s="27">
        <v>84818039</v>
      </c>
      <c r="E921" s="28" t="s">
        <v>301</v>
      </c>
      <c r="F921" s="29">
        <v>0</v>
      </c>
      <c r="G921" s="30">
        <v>1</v>
      </c>
      <c r="H921" s="27" t="s">
        <v>137</v>
      </c>
      <c r="I921" s="26" t="s">
        <v>220</v>
      </c>
      <c r="J921" s="31">
        <v>175</v>
      </c>
      <c r="K921" s="32">
        <f t="shared" si="42"/>
        <v>175</v>
      </c>
      <c r="L921" s="29" t="s">
        <v>302</v>
      </c>
      <c r="M921" s="27">
        <f>IFERROR(VLOOKUP(C921,Custo_MI_Device!$B$2:$E$102,3,FALSE),0)</f>
        <v>0</v>
      </c>
      <c r="N921" s="27">
        <f t="shared" si="43"/>
        <v>0</v>
      </c>
      <c r="O921" s="178">
        <f t="shared" si="44"/>
        <v>0</v>
      </c>
    </row>
    <row r="922" spans="1:15" ht="12.75" hidden="1">
      <c r="A922" s="25">
        <v>2534</v>
      </c>
      <c r="B922" s="25" t="s">
        <v>40</v>
      </c>
      <c r="C922" s="26" t="s">
        <v>57</v>
      </c>
      <c r="D922" s="27">
        <v>73072900</v>
      </c>
      <c r="E922" s="28" t="s">
        <v>314</v>
      </c>
      <c r="F922" s="29" t="s">
        <v>315</v>
      </c>
      <c r="G922" s="30">
        <v>12</v>
      </c>
      <c r="H922" s="27" t="s">
        <v>137</v>
      </c>
      <c r="I922" s="26" t="s">
        <v>256</v>
      </c>
      <c r="J922" s="31">
        <v>1.2</v>
      </c>
      <c r="K922" s="32">
        <f t="shared" si="42"/>
        <v>14.399999999999999</v>
      </c>
      <c r="L922" s="29" t="s">
        <v>315</v>
      </c>
      <c r="M922" s="27">
        <f>IFERROR(VLOOKUP(C922,Custo_MI_Device!$B$2:$E$102,3,FALSE),0)</f>
        <v>0</v>
      </c>
      <c r="N922" s="27">
        <f t="shared" si="43"/>
        <v>0</v>
      </c>
      <c r="O922" s="178">
        <f t="shared" si="44"/>
        <v>0</v>
      </c>
    </row>
    <row r="923" spans="1:15" ht="12.75" hidden="1">
      <c r="A923" s="25">
        <v>1669</v>
      </c>
      <c r="B923" s="25" t="s">
        <v>40</v>
      </c>
      <c r="C923" s="26" t="s">
        <v>57</v>
      </c>
      <c r="D923" s="27">
        <v>39269090</v>
      </c>
      <c r="E923" s="28" t="s">
        <v>316</v>
      </c>
      <c r="F923" s="29" t="s">
        <v>317</v>
      </c>
      <c r="G923" s="30">
        <v>3</v>
      </c>
      <c r="H923" s="27" t="s">
        <v>137</v>
      </c>
      <c r="I923" s="26" t="s">
        <v>318</v>
      </c>
      <c r="J923" s="31">
        <v>0.04</v>
      </c>
      <c r="K923" s="32">
        <f t="shared" si="42"/>
        <v>0.12</v>
      </c>
      <c r="L923" s="29" t="s">
        <v>317</v>
      </c>
      <c r="M923" s="27">
        <f>IFERROR(VLOOKUP(C923,Custo_MI_Device!$B$2:$E$102,3,FALSE),0)</f>
        <v>0</v>
      </c>
      <c r="N923" s="27">
        <f t="shared" si="43"/>
        <v>0</v>
      </c>
      <c r="O923" s="178">
        <f t="shared" si="44"/>
        <v>0</v>
      </c>
    </row>
    <row r="924" spans="1:15" ht="12.75" hidden="1">
      <c r="A924" s="25">
        <v>5091</v>
      </c>
      <c r="B924" s="25" t="s">
        <v>40</v>
      </c>
      <c r="C924" s="26" t="s">
        <v>57</v>
      </c>
      <c r="D924" s="27">
        <v>73181500</v>
      </c>
      <c r="E924" s="28" t="s">
        <v>323</v>
      </c>
      <c r="F924" s="29" t="s">
        <v>324</v>
      </c>
      <c r="G924" s="30">
        <v>24</v>
      </c>
      <c r="H924" s="27" t="s">
        <v>137</v>
      </c>
      <c r="I924" s="26" t="s">
        <v>256</v>
      </c>
      <c r="J924" s="31">
        <v>0.04</v>
      </c>
      <c r="K924" s="32">
        <f t="shared" si="42"/>
        <v>0.96</v>
      </c>
      <c r="L924" s="29" t="s">
        <v>324</v>
      </c>
      <c r="M924" s="27">
        <f>IFERROR(VLOOKUP(C924,Custo_MI_Device!$B$2:$E$102,3,FALSE),0)</f>
        <v>0</v>
      </c>
      <c r="N924" s="27">
        <f t="shared" si="43"/>
        <v>0</v>
      </c>
      <c r="O924" s="178">
        <f t="shared" si="44"/>
        <v>0</v>
      </c>
    </row>
    <row r="925" spans="1:15" ht="12.75" hidden="1">
      <c r="A925" s="25">
        <v>1117</v>
      </c>
      <c r="B925" s="25" t="s">
        <v>40</v>
      </c>
      <c r="C925" s="26" t="s">
        <v>57</v>
      </c>
      <c r="D925" s="27"/>
      <c r="E925" s="28" t="s">
        <v>145</v>
      </c>
      <c r="F925" s="29" t="s">
        <v>146</v>
      </c>
      <c r="G925" s="30">
        <v>1</v>
      </c>
      <c r="H925" s="27" t="s">
        <v>137</v>
      </c>
      <c r="I925" s="26" t="s">
        <v>138</v>
      </c>
      <c r="J925" s="31">
        <v>1.95</v>
      </c>
      <c r="K925" s="32">
        <f t="shared" si="42"/>
        <v>1.95</v>
      </c>
      <c r="L925" s="29" t="s">
        <v>146</v>
      </c>
      <c r="M925" s="27">
        <f>IFERROR(VLOOKUP(C925,Custo_MI_Device!$B$2:$E$102,3,FALSE),0)</f>
        <v>0</v>
      </c>
      <c r="N925" s="27">
        <f t="shared" si="43"/>
        <v>0</v>
      </c>
      <c r="O925" s="178">
        <f t="shared" si="44"/>
        <v>0</v>
      </c>
    </row>
    <row r="926" spans="1:15" ht="12.75" hidden="1">
      <c r="A926" s="25">
        <v>3080</v>
      </c>
      <c r="B926" s="25" t="s">
        <v>40</v>
      </c>
      <c r="C926" s="26" t="s">
        <v>57</v>
      </c>
      <c r="D926" s="27">
        <v>74122000</v>
      </c>
      <c r="E926" s="28" t="s">
        <v>153</v>
      </c>
      <c r="F926" s="29" t="s">
        <v>154</v>
      </c>
      <c r="G926" s="30">
        <v>1</v>
      </c>
      <c r="H926" s="27" t="s">
        <v>137</v>
      </c>
      <c r="I926" s="26" t="s">
        <v>155</v>
      </c>
      <c r="J926" s="31">
        <v>3.3</v>
      </c>
      <c r="K926" s="32">
        <f t="shared" si="42"/>
        <v>3.3</v>
      </c>
      <c r="L926" s="29" t="s">
        <v>154</v>
      </c>
      <c r="M926" s="27">
        <f>IFERROR(VLOOKUP(C926,Custo_MI_Device!$B$2:$E$102,3,FALSE),0)</f>
        <v>0</v>
      </c>
      <c r="N926" s="27">
        <f t="shared" si="43"/>
        <v>0</v>
      </c>
      <c r="O926" s="178">
        <f t="shared" si="44"/>
        <v>0</v>
      </c>
    </row>
    <row r="927" spans="1:15" ht="38.25" hidden="1">
      <c r="A927" s="25">
        <v>3585</v>
      </c>
      <c r="B927" s="25" t="s">
        <v>40</v>
      </c>
      <c r="C927" s="26" t="s">
        <v>57</v>
      </c>
      <c r="D927" s="27">
        <v>85444900</v>
      </c>
      <c r="E927" s="28" t="s">
        <v>328</v>
      </c>
      <c r="F927" s="29">
        <v>900400</v>
      </c>
      <c r="G927" s="30">
        <v>50</v>
      </c>
      <c r="H927" s="27" t="s">
        <v>158</v>
      </c>
      <c r="I927" s="26" t="s">
        <v>164</v>
      </c>
      <c r="J927" s="31">
        <v>1.7</v>
      </c>
      <c r="K927" s="32">
        <f t="shared" si="42"/>
        <v>85</v>
      </c>
      <c r="L927" s="29">
        <v>900400</v>
      </c>
      <c r="M927" s="27">
        <f>IFERROR(VLOOKUP(C927,Custo_MI_Device!$B$2:$E$102,3,FALSE),0)</f>
        <v>0</v>
      </c>
      <c r="N927" s="27">
        <f t="shared" si="43"/>
        <v>0</v>
      </c>
      <c r="O927" s="178">
        <f t="shared" si="44"/>
        <v>0</v>
      </c>
    </row>
    <row r="928" spans="1:15" ht="12.75" hidden="1">
      <c r="A928" s="25">
        <v>2805</v>
      </c>
      <c r="B928" s="25" t="s">
        <v>40</v>
      </c>
      <c r="C928" s="26" t="s">
        <v>57</v>
      </c>
      <c r="D928" s="27">
        <v>72162100</v>
      </c>
      <c r="E928" s="28" t="s">
        <v>174</v>
      </c>
      <c r="F928" s="29">
        <v>0</v>
      </c>
      <c r="G928" s="30">
        <v>2.9</v>
      </c>
      <c r="H928" s="27" t="s">
        <v>175</v>
      </c>
      <c r="I928" s="26" t="s">
        <v>176</v>
      </c>
      <c r="J928" s="31">
        <v>4.22</v>
      </c>
      <c r="K928" s="32">
        <f t="shared" si="42"/>
        <v>12.238</v>
      </c>
      <c r="L928" s="29" t="s">
        <v>177</v>
      </c>
      <c r="M928" s="27">
        <f>IFERROR(VLOOKUP(C928,Custo_MI_Device!$B$2:$E$102,3,FALSE),0)</f>
        <v>0</v>
      </c>
      <c r="N928" s="27">
        <f t="shared" si="43"/>
        <v>0</v>
      </c>
      <c r="O928" s="178">
        <f t="shared" si="44"/>
        <v>0</v>
      </c>
    </row>
    <row r="929" spans="1:15" ht="12.75" hidden="1">
      <c r="A929" s="25">
        <v>2904</v>
      </c>
      <c r="B929" s="25" t="s">
        <v>40</v>
      </c>
      <c r="C929" s="26" t="s">
        <v>57</v>
      </c>
      <c r="D929" s="27">
        <v>76090000</v>
      </c>
      <c r="E929" s="28" t="s">
        <v>195</v>
      </c>
      <c r="F929" s="29" t="s">
        <v>196</v>
      </c>
      <c r="G929" s="30">
        <v>0.75</v>
      </c>
      <c r="H929" s="27" t="s">
        <v>137</v>
      </c>
      <c r="I929" s="26" t="s">
        <v>138</v>
      </c>
      <c r="J929" s="31">
        <v>6.7</v>
      </c>
      <c r="K929" s="32">
        <f t="shared" si="42"/>
        <v>5.0250000000000004</v>
      </c>
      <c r="L929" s="29" t="s">
        <v>196</v>
      </c>
      <c r="M929" s="27">
        <f>IFERROR(VLOOKUP(C929,Custo_MI_Device!$B$2:$E$102,3,FALSE),0)</f>
        <v>0</v>
      </c>
      <c r="N929" s="27">
        <f t="shared" si="43"/>
        <v>0</v>
      </c>
      <c r="O929" s="178">
        <f t="shared" si="44"/>
        <v>0</v>
      </c>
    </row>
    <row r="930" spans="1:15" ht="12.75" hidden="1">
      <c r="A930" s="25">
        <v>2911</v>
      </c>
      <c r="B930" s="25" t="s">
        <v>40</v>
      </c>
      <c r="C930" s="26" t="s">
        <v>57</v>
      </c>
      <c r="D930" s="27">
        <v>76090000</v>
      </c>
      <c r="E930" s="28" t="s">
        <v>197</v>
      </c>
      <c r="F930" s="29" t="s">
        <v>198</v>
      </c>
      <c r="G930" s="30">
        <v>0.75</v>
      </c>
      <c r="H930" s="27" t="s">
        <v>137</v>
      </c>
      <c r="I930" s="26" t="s">
        <v>138</v>
      </c>
      <c r="J930" s="31">
        <v>6.7</v>
      </c>
      <c r="K930" s="32">
        <f t="shared" si="42"/>
        <v>5.0250000000000004</v>
      </c>
      <c r="L930" s="29" t="s">
        <v>198</v>
      </c>
      <c r="M930" s="27">
        <f>IFERROR(VLOOKUP(C930,Custo_MI_Device!$B$2:$E$102,3,FALSE),0)</f>
        <v>0</v>
      </c>
      <c r="N930" s="27">
        <f t="shared" si="43"/>
        <v>0</v>
      </c>
      <c r="O930" s="178">
        <f t="shared" si="44"/>
        <v>0</v>
      </c>
    </row>
    <row r="931" spans="1:15" ht="12.75" hidden="1">
      <c r="A931" s="25">
        <v>4823</v>
      </c>
      <c r="B931" s="25" t="s">
        <v>40</v>
      </c>
      <c r="C931" s="26" t="s">
        <v>57</v>
      </c>
      <c r="D931" s="27">
        <v>76090000</v>
      </c>
      <c r="E931" s="28" t="s">
        <v>199</v>
      </c>
      <c r="F931" s="29" t="s">
        <v>200</v>
      </c>
      <c r="G931" s="30">
        <v>0.75</v>
      </c>
      <c r="H931" s="27" t="s">
        <v>137</v>
      </c>
      <c r="I931" s="26" t="s">
        <v>138</v>
      </c>
      <c r="J931" s="31">
        <v>6.7</v>
      </c>
      <c r="K931" s="32">
        <f t="shared" si="42"/>
        <v>5.0250000000000004</v>
      </c>
      <c r="L931" s="29" t="s">
        <v>200</v>
      </c>
      <c r="M931" s="27">
        <f>IFERROR(VLOOKUP(C931,Custo_MI_Device!$B$2:$E$102,3,FALSE),0)</f>
        <v>0</v>
      </c>
      <c r="N931" s="27">
        <f t="shared" si="43"/>
        <v>0</v>
      </c>
      <c r="O931" s="178">
        <f t="shared" si="44"/>
        <v>0</v>
      </c>
    </row>
    <row r="932" spans="1:15" ht="25.5" hidden="1">
      <c r="A932" s="25">
        <v>2909</v>
      </c>
      <c r="B932" s="25" t="s">
        <v>40</v>
      </c>
      <c r="C932" s="26" t="s">
        <v>57</v>
      </c>
      <c r="D932" s="27">
        <v>73072200</v>
      </c>
      <c r="E932" s="28" t="s">
        <v>216</v>
      </c>
      <c r="F932" s="29" t="s">
        <v>217</v>
      </c>
      <c r="G932" s="30">
        <v>2</v>
      </c>
      <c r="H932" s="27" t="s">
        <v>137</v>
      </c>
      <c r="I932" s="26" t="s">
        <v>218</v>
      </c>
      <c r="J932" s="31">
        <v>27.7</v>
      </c>
      <c r="K932" s="32">
        <f t="shared" si="42"/>
        <v>55.4</v>
      </c>
      <c r="L932" s="29" t="s">
        <v>217</v>
      </c>
      <c r="M932" s="27">
        <f>IFERROR(VLOOKUP(C932,Custo_MI_Device!$B$2:$E$102,3,FALSE),0)</f>
        <v>0</v>
      </c>
      <c r="N932" s="27">
        <f t="shared" si="43"/>
        <v>0</v>
      </c>
      <c r="O932" s="178">
        <f t="shared" si="44"/>
        <v>0</v>
      </c>
    </row>
    <row r="933" spans="1:15" ht="25.5" hidden="1">
      <c r="A933" s="25">
        <v>4306</v>
      </c>
      <c r="B933" s="25" t="s">
        <v>40</v>
      </c>
      <c r="C933" s="26" t="s">
        <v>57</v>
      </c>
      <c r="D933" s="27">
        <v>73063000</v>
      </c>
      <c r="E933" s="28" t="s">
        <v>239</v>
      </c>
      <c r="F933" s="29">
        <v>0</v>
      </c>
      <c r="G933" s="30">
        <v>2</v>
      </c>
      <c r="H933" s="27" t="s">
        <v>232</v>
      </c>
      <c r="I933" s="26" t="s">
        <v>233</v>
      </c>
      <c r="J933" s="31">
        <v>32</v>
      </c>
      <c r="K933" s="32">
        <f t="shared" si="42"/>
        <v>64</v>
      </c>
      <c r="L933" s="29" t="s">
        <v>240</v>
      </c>
      <c r="M933" s="27">
        <f>IFERROR(VLOOKUP(C933,Custo_MI_Device!$B$2:$E$102,3,FALSE),0)</f>
        <v>0</v>
      </c>
      <c r="N933" s="27">
        <f t="shared" si="43"/>
        <v>0</v>
      </c>
      <c r="O933" s="178">
        <f t="shared" si="44"/>
        <v>0</v>
      </c>
    </row>
    <row r="934" spans="1:15" ht="12.75" hidden="1">
      <c r="A934" s="25">
        <v>3316</v>
      </c>
      <c r="B934" s="25" t="s">
        <v>40</v>
      </c>
      <c r="C934" s="26" t="s">
        <v>57</v>
      </c>
      <c r="D934" s="27">
        <v>0</v>
      </c>
      <c r="E934" s="28" t="s">
        <v>246</v>
      </c>
      <c r="F934" s="29" t="s">
        <v>247</v>
      </c>
      <c r="G934" s="30">
        <v>1</v>
      </c>
      <c r="H934" s="27" t="s">
        <v>137</v>
      </c>
      <c r="I934" s="26" t="s">
        <v>248</v>
      </c>
      <c r="J934" s="31">
        <v>5.5</v>
      </c>
      <c r="K934" s="32">
        <f t="shared" si="42"/>
        <v>5.5</v>
      </c>
      <c r="L934" s="29" t="s">
        <v>247</v>
      </c>
      <c r="M934" s="27">
        <f>IFERROR(VLOOKUP(C934,Custo_MI_Device!$B$2:$E$102,3,FALSE),0)</f>
        <v>0</v>
      </c>
      <c r="N934" s="27">
        <f t="shared" si="43"/>
        <v>0</v>
      </c>
      <c r="O934" s="178">
        <f t="shared" si="44"/>
        <v>0</v>
      </c>
    </row>
    <row r="935" spans="1:15" ht="25.5" hidden="1">
      <c r="A935" s="25">
        <v>1900</v>
      </c>
      <c r="B935" s="25" t="s">
        <v>40</v>
      </c>
      <c r="C935" s="26" t="s">
        <v>57</v>
      </c>
      <c r="D935" s="27">
        <v>73072200</v>
      </c>
      <c r="E935" s="28" t="s">
        <v>249</v>
      </c>
      <c r="F935" s="29" t="s">
        <v>250</v>
      </c>
      <c r="G935" s="30">
        <v>1</v>
      </c>
      <c r="H935" s="27" t="s">
        <v>137</v>
      </c>
      <c r="I935" s="26" t="s">
        <v>218</v>
      </c>
      <c r="J935" s="31">
        <v>27</v>
      </c>
      <c r="K935" s="32">
        <f t="shared" si="42"/>
        <v>27</v>
      </c>
      <c r="L935" s="29" t="s">
        <v>250</v>
      </c>
      <c r="M935" s="27">
        <f>IFERROR(VLOOKUP(C935,Custo_MI_Device!$B$2:$E$102,3,FALSE),0)</f>
        <v>0</v>
      </c>
      <c r="N935" s="27">
        <f t="shared" si="43"/>
        <v>0</v>
      </c>
      <c r="O935" s="178">
        <f t="shared" si="44"/>
        <v>0</v>
      </c>
    </row>
    <row r="936" spans="1:15" ht="12.75" hidden="1">
      <c r="A936" s="25">
        <v>3274</v>
      </c>
      <c r="B936" s="25" t="s">
        <v>40</v>
      </c>
      <c r="C936" s="26" t="s">
        <v>57</v>
      </c>
      <c r="D936" s="27">
        <v>73181500</v>
      </c>
      <c r="E936" s="28" t="s">
        <v>265</v>
      </c>
      <c r="F936" s="29" t="s">
        <v>266</v>
      </c>
      <c r="G936" s="30">
        <v>24</v>
      </c>
      <c r="H936" s="27" t="s">
        <v>137</v>
      </c>
      <c r="I936" s="26" t="s">
        <v>256</v>
      </c>
      <c r="J936" s="31">
        <v>0.06</v>
      </c>
      <c r="K936" s="32">
        <f t="shared" si="42"/>
        <v>1.44</v>
      </c>
      <c r="L936" s="29" t="s">
        <v>266</v>
      </c>
      <c r="M936" s="27">
        <f>IFERROR(VLOOKUP(C936,Custo_MI_Device!$B$2:$E$102,3,FALSE),0)</f>
        <v>0</v>
      </c>
      <c r="N936" s="27">
        <f t="shared" si="43"/>
        <v>0</v>
      </c>
      <c r="O936" s="178">
        <f t="shared" si="44"/>
        <v>0</v>
      </c>
    </row>
    <row r="937" spans="1:15" ht="25.5" hidden="1">
      <c r="A937" s="25">
        <v>1611</v>
      </c>
      <c r="B937" s="25" t="s">
        <v>40</v>
      </c>
      <c r="C937" s="26" t="s">
        <v>57</v>
      </c>
      <c r="D937" s="27">
        <v>39174090</v>
      </c>
      <c r="E937" s="28" t="s">
        <v>275</v>
      </c>
      <c r="F937" s="29" t="s">
        <v>276</v>
      </c>
      <c r="G937" s="30">
        <v>2</v>
      </c>
      <c r="H937" s="27" t="s">
        <v>137</v>
      </c>
      <c r="I937" s="26" t="s">
        <v>277</v>
      </c>
      <c r="J937" s="31">
        <v>7.8</v>
      </c>
      <c r="K937" s="32">
        <f t="shared" si="42"/>
        <v>15.6</v>
      </c>
      <c r="L937" s="29" t="s">
        <v>276</v>
      </c>
      <c r="M937" s="27">
        <f>IFERROR(VLOOKUP(C937,Custo_MI_Device!$B$2:$E$102,3,FALSE),0)</f>
        <v>0</v>
      </c>
      <c r="N937" s="27">
        <f t="shared" si="43"/>
        <v>0</v>
      </c>
      <c r="O937" s="178">
        <f t="shared" si="44"/>
        <v>0</v>
      </c>
    </row>
    <row r="938" spans="1:15" ht="12.75" hidden="1">
      <c r="A938" s="25">
        <v>5081</v>
      </c>
      <c r="B938" s="25" t="s">
        <v>40</v>
      </c>
      <c r="C938" s="26" t="s">
        <v>57</v>
      </c>
      <c r="D938" s="27">
        <v>73145000</v>
      </c>
      <c r="E938" s="28" t="s">
        <v>278</v>
      </c>
      <c r="F938" s="29">
        <v>0</v>
      </c>
      <c r="G938" s="30">
        <v>1</v>
      </c>
      <c r="H938" s="27" t="s">
        <v>137</v>
      </c>
      <c r="I938" s="26" t="s">
        <v>279</v>
      </c>
      <c r="J938" s="31">
        <v>23</v>
      </c>
      <c r="K938" s="32">
        <f t="shared" si="42"/>
        <v>23</v>
      </c>
      <c r="L938" s="29" t="s">
        <v>280</v>
      </c>
      <c r="M938" s="27">
        <f>IFERROR(VLOOKUP(C938,Custo_MI_Device!$B$2:$E$102,3,FALSE),0)</f>
        <v>0</v>
      </c>
      <c r="N938" s="27">
        <f t="shared" si="43"/>
        <v>0</v>
      </c>
      <c r="O938" s="178">
        <f t="shared" si="44"/>
        <v>0</v>
      </c>
    </row>
    <row r="939" spans="1:15" ht="25.5" hidden="1">
      <c r="A939" s="25">
        <v>5194</v>
      </c>
      <c r="B939" s="25" t="s">
        <v>40</v>
      </c>
      <c r="C939" s="26" t="s">
        <v>57</v>
      </c>
      <c r="D939" s="27">
        <v>73041010</v>
      </c>
      <c r="E939" s="28" t="s">
        <v>289</v>
      </c>
      <c r="F939" s="29" t="s">
        <v>290</v>
      </c>
      <c r="G939" s="30">
        <v>1</v>
      </c>
      <c r="H939" s="27" t="s">
        <v>232</v>
      </c>
      <c r="I939" s="26" t="s">
        <v>218</v>
      </c>
      <c r="J939" s="31">
        <f>21.5*6</f>
        <v>129</v>
      </c>
      <c r="K939" s="32">
        <f t="shared" si="42"/>
        <v>129</v>
      </c>
      <c r="L939" s="29" t="s">
        <v>290</v>
      </c>
      <c r="M939" s="27">
        <f>IFERROR(VLOOKUP(C939,Custo_MI_Device!$B$2:$E$102,3,FALSE),0)</f>
        <v>0</v>
      </c>
      <c r="N939" s="27">
        <f t="shared" si="43"/>
        <v>0</v>
      </c>
      <c r="O939" s="178">
        <f t="shared" si="44"/>
        <v>0</v>
      </c>
    </row>
    <row r="940" spans="1:15" ht="25.5" hidden="1">
      <c r="A940" s="25">
        <v>2567</v>
      </c>
      <c r="B940" s="25" t="s">
        <v>40</v>
      </c>
      <c r="C940" s="26" t="s">
        <v>57</v>
      </c>
      <c r="D940" s="27">
        <v>84818095</v>
      </c>
      <c r="E940" s="28" t="s">
        <v>303</v>
      </c>
      <c r="F940" s="29">
        <v>0</v>
      </c>
      <c r="G940" s="30">
        <v>1</v>
      </c>
      <c r="H940" s="27" t="s">
        <v>137</v>
      </c>
      <c r="I940" s="26" t="s">
        <v>304</v>
      </c>
      <c r="J940" s="31">
        <v>27</v>
      </c>
      <c r="K940" s="32">
        <f t="shared" si="42"/>
        <v>27</v>
      </c>
      <c r="L940" s="29" t="s">
        <v>305</v>
      </c>
      <c r="M940" s="27">
        <f>IFERROR(VLOOKUP(C940,Custo_MI_Device!$B$2:$E$102,3,FALSE),0)</f>
        <v>0</v>
      </c>
      <c r="N940" s="27">
        <f t="shared" si="43"/>
        <v>0</v>
      </c>
      <c r="O940" s="178">
        <f t="shared" si="44"/>
        <v>0</v>
      </c>
    </row>
    <row r="941" spans="1:15" ht="12.75" hidden="1">
      <c r="A941" s="25">
        <v>2534</v>
      </c>
      <c r="B941" s="25" t="s">
        <v>40</v>
      </c>
      <c r="C941" s="26" t="s">
        <v>58</v>
      </c>
      <c r="D941" s="27">
        <v>73072900</v>
      </c>
      <c r="E941" s="28" t="s">
        <v>314</v>
      </c>
      <c r="F941" s="29" t="s">
        <v>315</v>
      </c>
      <c r="G941" s="30">
        <v>12</v>
      </c>
      <c r="H941" s="27" t="s">
        <v>137</v>
      </c>
      <c r="I941" s="26" t="s">
        <v>256</v>
      </c>
      <c r="J941" s="31">
        <v>1.2</v>
      </c>
      <c r="K941" s="32">
        <f t="shared" si="42"/>
        <v>14.399999999999999</v>
      </c>
      <c r="L941" s="29" t="s">
        <v>315</v>
      </c>
      <c r="M941" s="27">
        <f>IFERROR(VLOOKUP(C941,Custo_MI_Device!$B$2:$E$102,3,FALSE),0)</f>
        <v>0</v>
      </c>
      <c r="N941" s="27">
        <f t="shared" si="43"/>
        <v>0</v>
      </c>
      <c r="O941" s="178">
        <f t="shared" si="44"/>
        <v>0</v>
      </c>
    </row>
    <row r="942" spans="1:15" ht="12.75" hidden="1">
      <c r="A942" s="25">
        <v>1669</v>
      </c>
      <c r="B942" s="25" t="s">
        <v>40</v>
      </c>
      <c r="C942" s="26" t="s">
        <v>58</v>
      </c>
      <c r="D942" s="27">
        <v>39269090</v>
      </c>
      <c r="E942" s="28" t="s">
        <v>316</v>
      </c>
      <c r="F942" s="29" t="s">
        <v>317</v>
      </c>
      <c r="G942" s="30">
        <v>3</v>
      </c>
      <c r="H942" s="27" t="s">
        <v>137</v>
      </c>
      <c r="I942" s="26" t="s">
        <v>318</v>
      </c>
      <c r="J942" s="31">
        <v>0.04</v>
      </c>
      <c r="K942" s="32">
        <f t="shared" si="42"/>
        <v>0.12</v>
      </c>
      <c r="L942" s="29" t="s">
        <v>317</v>
      </c>
      <c r="M942" s="27">
        <f>IFERROR(VLOOKUP(C942,Custo_MI_Device!$B$2:$E$102,3,FALSE),0)</f>
        <v>0</v>
      </c>
      <c r="N942" s="27">
        <f t="shared" si="43"/>
        <v>0</v>
      </c>
      <c r="O942" s="178">
        <f t="shared" si="44"/>
        <v>0</v>
      </c>
    </row>
    <row r="943" spans="1:15" ht="12.75" hidden="1">
      <c r="A943" s="25">
        <v>5091</v>
      </c>
      <c r="B943" s="25" t="s">
        <v>40</v>
      </c>
      <c r="C943" s="26" t="s">
        <v>58</v>
      </c>
      <c r="D943" s="27">
        <v>73181500</v>
      </c>
      <c r="E943" s="28" t="s">
        <v>323</v>
      </c>
      <c r="F943" s="29" t="s">
        <v>324</v>
      </c>
      <c r="G943" s="30">
        <v>24</v>
      </c>
      <c r="H943" s="27" t="s">
        <v>137</v>
      </c>
      <c r="I943" s="26" t="s">
        <v>256</v>
      </c>
      <c r="J943" s="31">
        <v>0.04</v>
      </c>
      <c r="K943" s="32">
        <f t="shared" si="42"/>
        <v>0.96</v>
      </c>
      <c r="L943" s="29" t="s">
        <v>324</v>
      </c>
      <c r="M943" s="27">
        <f>IFERROR(VLOOKUP(C943,Custo_MI_Device!$B$2:$E$102,3,FALSE),0)</f>
        <v>0</v>
      </c>
      <c r="N943" s="27">
        <f t="shared" si="43"/>
        <v>0</v>
      </c>
      <c r="O943" s="178">
        <f t="shared" si="44"/>
        <v>0</v>
      </c>
    </row>
    <row r="944" spans="1:15" ht="12.75" hidden="1">
      <c r="A944" s="25">
        <v>1117</v>
      </c>
      <c r="B944" s="25" t="s">
        <v>40</v>
      </c>
      <c r="C944" s="26" t="s">
        <v>58</v>
      </c>
      <c r="D944" s="27"/>
      <c r="E944" s="28" t="s">
        <v>145</v>
      </c>
      <c r="F944" s="29" t="s">
        <v>146</v>
      </c>
      <c r="G944" s="30">
        <v>1</v>
      </c>
      <c r="H944" s="27" t="s">
        <v>137</v>
      </c>
      <c r="I944" s="26" t="s">
        <v>138</v>
      </c>
      <c r="J944" s="31">
        <v>1.95</v>
      </c>
      <c r="K944" s="32">
        <f t="shared" si="42"/>
        <v>1.95</v>
      </c>
      <c r="L944" s="29" t="s">
        <v>146</v>
      </c>
      <c r="M944" s="27">
        <f>IFERROR(VLOOKUP(C944,Custo_MI_Device!$B$2:$E$102,3,FALSE),0)</f>
        <v>0</v>
      </c>
      <c r="N944" s="27">
        <f t="shared" si="43"/>
        <v>0</v>
      </c>
      <c r="O944" s="178">
        <f t="shared" si="44"/>
        <v>0</v>
      </c>
    </row>
    <row r="945" spans="1:15" ht="12.75" hidden="1">
      <c r="A945" s="25">
        <v>3080</v>
      </c>
      <c r="B945" s="25" t="s">
        <v>40</v>
      </c>
      <c r="C945" s="26" t="s">
        <v>58</v>
      </c>
      <c r="D945" s="27">
        <v>74122000</v>
      </c>
      <c r="E945" s="28" t="s">
        <v>153</v>
      </c>
      <c r="F945" s="29" t="s">
        <v>154</v>
      </c>
      <c r="G945" s="30">
        <v>1</v>
      </c>
      <c r="H945" s="27" t="s">
        <v>137</v>
      </c>
      <c r="I945" s="26" t="s">
        <v>155</v>
      </c>
      <c r="J945" s="31">
        <v>3.3</v>
      </c>
      <c r="K945" s="32">
        <f t="shared" si="42"/>
        <v>3.3</v>
      </c>
      <c r="L945" s="29" t="s">
        <v>154</v>
      </c>
      <c r="M945" s="27">
        <f>IFERROR(VLOOKUP(C945,Custo_MI_Device!$B$2:$E$102,3,FALSE),0)</f>
        <v>0</v>
      </c>
      <c r="N945" s="27">
        <f t="shared" si="43"/>
        <v>0</v>
      </c>
      <c r="O945" s="178">
        <f t="shared" si="44"/>
        <v>0</v>
      </c>
    </row>
    <row r="946" spans="1:15" ht="25.5" hidden="1">
      <c r="A946" s="25">
        <v>5139</v>
      </c>
      <c r="B946" s="25" t="s">
        <v>40</v>
      </c>
      <c r="C946" s="26" t="s">
        <v>58</v>
      </c>
      <c r="D946" s="27">
        <v>85444900</v>
      </c>
      <c r="E946" s="28" t="s">
        <v>170</v>
      </c>
      <c r="F946" s="29" t="s">
        <v>171</v>
      </c>
      <c r="G946" s="30">
        <v>15</v>
      </c>
      <c r="H946" s="27" t="s">
        <v>158</v>
      </c>
      <c r="I946" s="26" t="s">
        <v>172</v>
      </c>
      <c r="J946" s="31">
        <v>7.5</v>
      </c>
      <c r="K946" s="32">
        <f t="shared" si="42"/>
        <v>112.5</v>
      </c>
      <c r="L946" s="29" t="s">
        <v>173</v>
      </c>
      <c r="M946" s="27">
        <f>IFERROR(VLOOKUP(C946,Custo_MI_Device!$B$2:$E$102,3,FALSE),0)</f>
        <v>0</v>
      </c>
      <c r="N946" s="27">
        <f t="shared" si="43"/>
        <v>0</v>
      </c>
      <c r="O946" s="178">
        <f t="shared" si="44"/>
        <v>0</v>
      </c>
    </row>
    <row r="947" spans="1:15" ht="12.75" hidden="1">
      <c r="A947" s="25">
        <v>2805</v>
      </c>
      <c r="B947" s="25" t="s">
        <v>40</v>
      </c>
      <c r="C947" s="26" t="s">
        <v>58</v>
      </c>
      <c r="D947" s="27">
        <v>72162100</v>
      </c>
      <c r="E947" s="28" t="s">
        <v>174</v>
      </c>
      <c r="F947" s="29">
        <v>0</v>
      </c>
      <c r="G947" s="30">
        <v>2.9</v>
      </c>
      <c r="H947" s="27" t="s">
        <v>175</v>
      </c>
      <c r="I947" s="26" t="s">
        <v>176</v>
      </c>
      <c r="J947" s="31">
        <v>4.22</v>
      </c>
      <c r="K947" s="32">
        <f t="shared" si="42"/>
        <v>12.238</v>
      </c>
      <c r="L947" s="29" t="s">
        <v>177</v>
      </c>
      <c r="M947" s="27">
        <f>IFERROR(VLOOKUP(C947,Custo_MI_Device!$B$2:$E$102,3,FALSE),0)</f>
        <v>0</v>
      </c>
      <c r="N947" s="27">
        <f t="shared" si="43"/>
        <v>0</v>
      </c>
      <c r="O947" s="178">
        <f t="shared" si="44"/>
        <v>0</v>
      </c>
    </row>
    <row r="948" spans="1:15" ht="12.75" hidden="1">
      <c r="A948" s="25">
        <v>2904</v>
      </c>
      <c r="B948" s="25" t="s">
        <v>40</v>
      </c>
      <c r="C948" s="26" t="s">
        <v>58</v>
      </c>
      <c r="D948" s="27">
        <v>76090000</v>
      </c>
      <c r="E948" s="28" t="s">
        <v>195</v>
      </c>
      <c r="F948" s="29" t="s">
        <v>196</v>
      </c>
      <c r="G948" s="30">
        <v>0.75</v>
      </c>
      <c r="H948" s="27" t="s">
        <v>137</v>
      </c>
      <c r="I948" s="26" t="s">
        <v>138</v>
      </c>
      <c r="J948" s="31">
        <v>6.7</v>
      </c>
      <c r="K948" s="32">
        <f t="shared" si="42"/>
        <v>5.0250000000000004</v>
      </c>
      <c r="L948" s="29" t="s">
        <v>196</v>
      </c>
      <c r="M948" s="27">
        <f>IFERROR(VLOOKUP(C948,Custo_MI_Device!$B$2:$E$102,3,FALSE),0)</f>
        <v>0</v>
      </c>
      <c r="N948" s="27">
        <f t="shared" si="43"/>
        <v>0</v>
      </c>
      <c r="O948" s="178">
        <f t="shared" si="44"/>
        <v>0</v>
      </c>
    </row>
    <row r="949" spans="1:15" ht="12.75" hidden="1">
      <c r="A949" s="25">
        <v>2911</v>
      </c>
      <c r="B949" s="25" t="s">
        <v>40</v>
      </c>
      <c r="C949" s="26" t="s">
        <v>58</v>
      </c>
      <c r="D949" s="27">
        <v>76090000</v>
      </c>
      <c r="E949" s="28" t="s">
        <v>197</v>
      </c>
      <c r="F949" s="29" t="s">
        <v>198</v>
      </c>
      <c r="G949" s="30">
        <v>0.75</v>
      </c>
      <c r="H949" s="27" t="s">
        <v>137</v>
      </c>
      <c r="I949" s="26" t="s">
        <v>138</v>
      </c>
      <c r="J949" s="31">
        <v>6.7</v>
      </c>
      <c r="K949" s="32">
        <f t="shared" si="42"/>
        <v>5.0250000000000004</v>
      </c>
      <c r="L949" s="29" t="s">
        <v>198</v>
      </c>
      <c r="M949" s="27">
        <f>IFERROR(VLOOKUP(C949,Custo_MI_Device!$B$2:$E$102,3,FALSE),0)</f>
        <v>0</v>
      </c>
      <c r="N949" s="27">
        <f t="shared" si="43"/>
        <v>0</v>
      </c>
      <c r="O949" s="178">
        <f t="shared" si="44"/>
        <v>0</v>
      </c>
    </row>
    <row r="950" spans="1:15" ht="12.75" hidden="1">
      <c r="A950" s="25">
        <v>4823</v>
      </c>
      <c r="B950" s="25" t="s">
        <v>40</v>
      </c>
      <c r="C950" s="26" t="s">
        <v>58</v>
      </c>
      <c r="D950" s="27">
        <v>76090000</v>
      </c>
      <c r="E950" s="28" t="s">
        <v>199</v>
      </c>
      <c r="F950" s="29" t="s">
        <v>200</v>
      </c>
      <c r="G950" s="30">
        <v>0.75</v>
      </c>
      <c r="H950" s="27" t="s">
        <v>137</v>
      </c>
      <c r="I950" s="26" t="s">
        <v>138</v>
      </c>
      <c r="J950" s="31">
        <v>6.7</v>
      </c>
      <c r="K950" s="32">
        <f t="shared" si="42"/>
        <v>5.0250000000000004</v>
      </c>
      <c r="L950" s="29" t="s">
        <v>200</v>
      </c>
      <c r="M950" s="27">
        <f>IFERROR(VLOOKUP(C950,Custo_MI_Device!$B$2:$E$102,3,FALSE),0)</f>
        <v>0</v>
      </c>
      <c r="N950" s="27">
        <f t="shared" si="43"/>
        <v>0</v>
      </c>
      <c r="O950" s="178">
        <f t="shared" si="44"/>
        <v>0</v>
      </c>
    </row>
    <row r="951" spans="1:15" ht="25.5" hidden="1">
      <c r="A951" s="25">
        <v>2909</v>
      </c>
      <c r="B951" s="25" t="s">
        <v>40</v>
      </c>
      <c r="C951" s="26" t="s">
        <v>58</v>
      </c>
      <c r="D951" s="27">
        <v>73072200</v>
      </c>
      <c r="E951" s="28" t="s">
        <v>216</v>
      </c>
      <c r="F951" s="29" t="s">
        <v>217</v>
      </c>
      <c r="G951" s="30">
        <v>2</v>
      </c>
      <c r="H951" s="27" t="s">
        <v>137</v>
      </c>
      <c r="I951" s="26" t="s">
        <v>218</v>
      </c>
      <c r="J951" s="31">
        <v>27.7</v>
      </c>
      <c r="K951" s="32">
        <f t="shared" si="42"/>
        <v>55.4</v>
      </c>
      <c r="L951" s="29" t="s">
        <v>217</v>
      </c>
      <c r="M951" s="27">
        <f>IFERROR(VLOOKUP(C951,Custo_MI_Device!$B$2:$E$102,3,FALSE),0)</f>
        <v>0</v>
      </c>
      <c r="N951" s="27">
        <f t="shared" si="43"/>
        <v>0</v>
      </c>
      <c r="O951" s="178">
        <f t="shared" si="44"/>
        <v>0</v>
      </c>
    </row>
    <row r="952" spans="1:15" ht="25.5" hidden="1">
      <c r="A952" s="25">
        <v>4306</v>
      </c>
      <c r="B952" s="25" t="s">
        <v>40</v>
      </c>
      <c r="C952" s="26" t="s">
        <v>58</v>
      </c>
      <c r="D952" s="27">
        <v>73063000</v>
      </c>
      <c r="E952" s="28" t="s">
        <v>239</v>
      </c>
      <c r="F952" s="29">
        <v>0</v>
      </c>
      <c r="G952" s="30">
        <v>2</v>
      </c>
      <c r="H952" s="27" t="s">
        <v>232</v>
      </c>
      <c r="I952" s="26" t="s">
        <v>233</v>
      </c>
      <c r="J952" s="31">
        <v>32</v>
      </c>
      <c r="K952" s="32">
        <f t="shared" si="42"/>
        <v>64</v>
      </c>
      <c r="L952" s="29" t="s">
        <v>240</v>
      </c>
      <c r="M952" s="27">
        <f>IFERROR(VLOOKUP(C952,Custo_MI_Device!$B$2:$E$102,3,FALSE),0)</f>
        <v>0</v>
      </c>
      <c r="N952" s="27">
        <f t="shared" si="43"/>
        <v>0</v>
      </c>
      <c r="O952" s="178">
        <f t="shared" si="44"/>
        <v>0</v>
      </c>
    </row>
    <row r="953" spans="1:15" ht="12.75" hidden="1">
      <c r="A953" s="25">
        <v>3316</v>
      </c>
      <c r="B953" s="25" t="s">
        <v>40</v>
      </c>
      <c r="C953" s="26" t="s">
        <v>58</v>
      </c>
      <c r="D953" s="27">
        <v>0</v>
      </c>
      <c r="E953" s="28" t="s">
        <v>246</v>
      </c>
      <c r="F953" s="29" t="s">
        <v>247</v>
      </c>
      <c r="G953" s="30">
        <v>1</v>
      </c>
      <c r="H953" s="27" t="s">
        <v>137</v>
      </c>
      <c r="I953" s="26" t="s">
        <v>248</v>
      </c>
      <c r="J953" s="31">
        <v>5.5</v>
      </c>
      <c r="K953" s="32">
        <f t="shared" si="42"/>
        <v>5.5</v>
      </c>
      <c r="L953" s="29" t="s">
        <v>247</v>
      </c>
      <c r="M953" s="27">
        <f>IFERROR(VLOOKUP(C953,Custo_MI_Device!$B$2:$E$102,3,FALSE),0)</f>
        <v>0</v>
      </c>
      <c r="N953" s="27">
        <f t="shared" si="43"/>
        <v>0</v>
      </c>
      <c r="O953" s="178">
        <f t="shared" si="44"/>
        <v>0</v>
      </c>
    </row>
    <row r="954" spans="1:15" ht="25.5" hidden="1">
      <c r="A954" s="25">
        <v>1900</v>
      </c>
      <c r="B954" s="25" t="s">
        <v>40</v>
      </c>
      <c r="C954" s="26" t="s">
        <v>58</v>
      </c>
      <c r="D954" s="27">
        <v>73072200</v>
      </c>
      <c r="E954" s="28" t="s">
        <v>249</v>
      </c>
      <c r="F954" s="29" t="s">
        <v>250</v>
      </c>
      <c r="G954" s="30">
        <v>1</v>
      </c>
      <c r="H954" s="27" t="s">
        <v>137</v>
      </c>
      <c r="I954" s="26" t="s">
        <v>218</v>
      </c>
      <c r="J954" s="31">
        <v>27</v>
      </c>
      <c r="K954" s="32">
        <f t="shared" si="42"/>
        <v>27</v>
      </c>
      <c r="L954" s="29" t="s">
        <v>250</v>
      </c>
      <c r="M954" s="27">
        <f>IFERROR(VLOOKUP(C954,Custo_MI_Device!$B$2:$E$102,3,FALSE),0)</f>
        <v>0</v>
      </c>
      <c r="N954" s="27">
        <f t="shared" si="43"/>
        <v>0</v>
      </c>
      <c r="O954" s="178">
        <f t="shared" si="44"/>
        <v>0</v>
      </c>
    </row>
    <row r="955" spans="1:15" ht="12.75" hidden="1">
      <c r="A955" s="25">
        <v>3274</v>
      </c>
      <c r="B955" s="25" t="s">
        <v>40</v>
      </c>
      <c r="C955" s="26" t="s">
        <v>58</v>
      </c>
      <c r="D955" s="27">
        <v>73181500</v>
      </c>
      <c r="E955" s="28" t="s">
        <v>265</v>
      </c>
      <c r="F955" s="29" t="s">
        <v>266</v>
      </c>
      <c r="G955" s="30">
        <v>24</v>
      </c>
      <c r="H955" s="27" t="s">
        <v>137</v>
      </c>
      <c r="I955" s="26" t="s">
        <v>256</v>
      </c>
      <c r="J955" s="31">
        <v>0.06</v>
      </c>
      <c r="K955" s="32">
        <f t="shared" si="42"/>
        <v>1.44</v>
      </c>
      <c r="L955" s="29" t="s">
        <v>266</v>
      </c>
      <c r="M955" s="27">
        <f>IFERROR(VLOOKUP(C955,Custo_MI_Device!$B$2:$E$102,3,FALSE),0)</f>
        <v>0</v>
      </c>
      <c r="N955" s="27">
        <f t="shared" si="43"/>
        <v>0</v>
      </c>
      <c r="O955" s="178">
        <f t="shared" si="44"/>
        <v>0</v>
      </c>
    </row>
    <row r="956" spans="1:15" ht="25.5" hidden="1">
      <c r="A956" s="25">
        <v>1611</v>
      </c>
      <c r="B956" s="25" t="s">
        <v>40</v>
      </c>
      <c r="C956" s="26" t="s">
        <v>58</v>
      </c>
      <c r="D956" s="27">
        <v>39174090</v>
      </c>
      <c r="E956" s="28" t="s">
        <v>275</v>
      </c>
      <c r="F956" s="29" t="s">
        <v>276</v>
      </c>
      <c r="G956" s="30">
        <v>2</v>
      </c>
      <c r="H956" s="27" t="s">
        <v>137</v>
      </c>
      <c r="I956" s="26" t="s">
        <v>277</v>
      </c>
      <c r="J956" s="31">
        <v>7.8</v>
      </c>
      <c r="K956" s="32">
        <f t="shared" si="42"/>
        <v>15.6</v>
      </c>
      <c r="L956" s="29" t="s">
        <v>276</v>
      </c>
      <c r="M956" s="27">
        <f>IFERROR(VLOOKUP(C956,Custo_MI_Device!$B$2:$E$102,3,FALSE),0)</f>
        <v>0</v>
      </c>
      <c r="N956" s="27">
        <f t="shared" si="43"/>
        <v>0</v>
      </c>
      <c r="O956" s="178">
        <f t="shared" si="44"/>
        <v>0</v>
      </c>
    </row>
    <row r="957" spans="1:15" ht="12.75" hidden="1">
      <c r="A957" s="25">
        <v>5081</v>
      </c>
      <c r="B957" s="25" t="s">
        <v>40</v>
      </c>
      <c r="C957" s="26" t="s">
        <v>58</v>
      </c>
      <c r="D957" s="27">
        <v>73145000</v>
      </c>
      <c r="E957" s="28" t="s">
        <v>278</v>
      </c>
      <c r="F957" s="29">
        <v>0</v>
      </c>
      <c r="G957" s="30">
        <v>1</v>
      </c>
      <c r="H957" s="27" t="s">
        <v>137</v>
      </c>
      <c r="I957" s="26" t="s">
        <v>279</v>
      </c>
      <c r="J957" s="31">
        <v>23</v>
      </c>
      <c r="K957" s="32">
        <f t="shared" si="42"/>
        <v>23</v>
      </c>
      <c r="L957" s="29" t="s">
        <v>280</v>
      </c>
      <c r="M957" s="27">
        <f>IFERROR(VLOOKUP(C957,Custo_MI_Device!$B$2:$E$102,3,FALSE),0)</f>
        <v>0</v>
      </c>
      <c r="N957" s="27">
        <f t="shared" si="43"/>
        <v>0</v>
      </c>
      <c r="O957" s="178">
        <f t="shared" si="44"/>
        <v>0</v>
      </c>
    </row>
    <row r="958" spans="1:15" ht="25.5" hidden="1">
      <c r="A958" s="25">
        <v>5194</v>
      </c>
      <c r="B958" s="25" t="s">
        <v>40</v>
      </c>
      <c r="C958" s="26" t="s">
        <v>58</v>
      </c>
      <c r="D958" s="27">
        <v>73041010</v>
      </c>
      <c r="E958" s="28" t="s">
        <v>289</v>
      </c>
      <c r="F958" s="29" t="s">
        <v>290</v>
      </c>
      <c r="G958" s="30">
        <v>1</v>
      </c>
      <c r="H958" s="27" t="s">
        <v>232</v>
      </c>
      <c r="I958" s="26" t="s">
        <v>218</v>
      </c>
      <c r="J958" s="31">
        <f>21.5*6</f>
        <v>129</v>
      </c>
      <c r="K958" s="32">
        <f t="shared" si="42"/>
        <v>129</v>
      </c>
      <c r="L958" s="29" t="s">
        <v>290</v>
      </c>
      <c r="M958" s="27">
        <f>IFERROR(VLOOKUP(C958,Custo_MI_Device!$B$2:$E$102,3,FALSE),0)</f>
        <v>0</v>
      </c>
      <c r="N958" s="27">
        <f t="shared" si="43"/>
        <v>0</v>
      </c>
      <c r="O958" s="178">
        <f t="shared" si="44"/>
        <v>0</v>
      </c>
    </row>
    <row r="959" spans="1:15" ht="25.5" hidden="1">
      <c r="A959" s="25">
        <v>2567</v>
      </c>
      <c r="B959" s="25" t="s">
        <v>40</v>
      </c>
      <c r="C959" s="26" t="s">
        <v>58</v>
      </c>
      <c r="D959" s="27">
        <v>84818095</v>
      </c>
      <c r="E959" s="28" t="s">
        <v>303</v>
      </c>
      <c r="F959" s="29">
        <v>0</v>
      </c>
      <c r="G959" s="30">
        <v>1</v>
      </c>
      <c r="H959" s="27" t="s">
        <v>137</v>
      </c>
      <c r="I959" s="26" t="s">
        <v>304</v>
      </c>
      <c r="J959" s="31">
        <v>27</v>
      </c>
      <c r="K959" s="32">
        <f t="shared" si="42"/>
        <v>27</v>
      </c>
      <c r="L959" s="29" t="s">
        <v>305</v>
      </c>
      <c r="M959" s="27">
        <f>IFERROR(VLOOKUP(C959,Custo_MI_Device!$B$2:$E$102,3,FALSE),0)</f>
        <v>0</v>
      </c>
      <c r="N959" s="27">
        <f t="shared" si="43"/>
        <v>0</v>
      </c>
      <c r="O959" s="178">
        <f t="shared" si="44"/>
        <v>0</v>
      </c>
    </row>
    <row r="960" spans="1:15" ht="12.75" hidden="1">
      <c r="A960" s="25">
        <v>3778</v>
      </c>
      <c r="B960" s="25" t="s">
        <v>40</v>
      </c>
      <c r="C960" s="26" t="s">
        <v>59</v>
      </c>
      <c r="D960" s="27">
        <v>73072900</v>
      </c>
      <c r="E960" s="28" t="s">
        <v>310</v>
      </c>
      <c r="F960" s="29" t="s">
        <v>311</v>
      </c>
      <c r="G960" s="30">
        <v>24</v>
      </c>
      <c r="H960" s="27" t="s">
        <v>137</v>
      </c>
      <c r="I960" s="26" t="s">
        <v>256</v>
      </c>
      <c r="J960" s="31">
        <v>0.65</v>
      </c>
      <c r="K960" s="32">
        <f t="shared" si="42"/>
        <v>15.600000000000001</v>
      </c>
      <c r="L960" s="29" t="s">
        <v>311</v>
      </c>
      <c r="M960" s="27">
        <f>IFERROR(VLOOKUP(C960,Custo_MI_Device!$B$2:$E$102,3,FALSE),0)</f>
        <v>0</v>
      </c>
      <c r="N960" s="27">
        <f t="shared" si="43"/>
        <v>0</v>
      </c>
      <c r="O960" s="178">
        <f t="shared" si="44"/>
        <v>0</v>
      </c>
    </row>
    <row r="961" spans="1:15" ht="12.75" hidden="1">
      <c r="A961" s="25">
        <v>2534</v>
      </c>
      <c r="B961" s="25" t="s">
        <v>40</v>
      </c>
      <c r="C961" s="26" t="s">
        <v>59</v>
      </c>
      <c r="D961" s="27">
        <v>73072900</v>
      </c>
      <c r="E961" s="28" t="s">
        <v>314</v>
      </c>
      <c r="F961" s="29" t="s">
        <v>315</v>
      </c>
      <c r="G961" s="30">
        <v>12</v>
      </c>
      <c r="H961" s="27" t="s">
        <v>137</v>
      </c>
      <c r="I961" s="26" t="s">
        <v>256</v>
      </c>
      <c r="J961" s="31">
        <v>1.2</v>
      </c>
      <c r="K961" s="32">
        <f t="shared" si="42"/>
        <v>14.399999999999999</v>
      </c>
      <c r="L961" s="29" t="s">
        <v>315</v>
      </c>
      <c r="M961" s="27">
        <f>IFERROR(VLOOKUP(C961,Custo_MI_Device!$B$2:$E$102,3,FALSE),0)</f>
        <v>0</v>
      </c>
      <c r="N961" s="27">
        <f t="shared" si="43"/>
        <v>0</v>
      </c>
      <c r="O961" s="178">
        <f t="shared" si="44"/>
        <v>0</v>
      </c>
    </row>
    <row r="962" spans="1:15" ht="12.75" hidden="1">
      <c r="A962" s="25">
        <v>1669</v>
      </c>
      <c r="B962" s="25" t="s">
        <v>40</v>
      </c>
      <c r="C962" s="26" t="s">
        <v>59</v>
      </c>
      <c r="D962" s="27">
        <v>39269090</v>
      </c>
      <c r="E962" s="28" t="s">
        <v>316</v>
      </c>
      <c r="F962" s="29" t="s">
        <v>317</v>
      </c>
      <c r="G962" s="30">
        <v>3</v>
      </c>
      <c r="H962" s="27" t="s">
        <v>137</v>
      </c>
      <c r="I962" s="26" t="s">
        <v>318</v>
      </c>
      <c r="J962" s="31">
        <v>0.04</v>
      </c>
      <c r="K962" s="32">
        <f t="shared" si="42"/>
        <v>0.12</v>
      </c>
      <c r="L962" s="29" t="s">
        <v>317</v>
      </c>
      <c r="M962" s="27">
        <f>IFERROR(VLOOKUP(C962,Custo_MI_Device!$B$2:$E$102,3,FALSE),0)</f>
        <v>0</v>
      </c>
      <c r="N962" s="27">
        <f t="shared" si="43"/>
        <v>0</v>
      </c>
      <c r="O962" s="178">
        <f t="shared" si="44"/>
        <v>0</v>
      </c>
    </row>
    <row r="963" spans="1:15" ht="12.75" hidden="1">
      <c r="A963" s="25">
        <v>5091</v>
      </c>
      <c r="B963" s="25" t="s">
        <v>40</v>
      </c>
      <c r="C963" s="26" t="s">
        <v>59</v>
      </c>
      <c r="D963" s="27">
        <v>73181500</v>
      </c>
      <c r="E963" s="28" t="s">
        <v>323</v>
      </c>
      <c r="F963" s="29" t="s">
        <v>324</v>
      </c>
      <c r="G963" s="30">
        <v>24</v>
      </c>
      <c r="H963" s="27" t="s">
        <v>137</v>
      </c>
      <c r="I963" s="26" t="s">
        <v>256</v>
      </c>
      <c r="J963" s="31">
        <v>0.04</v>
      </c>
      <c r="K963" s="32">
        <f t="shared" ref="K963:K1026" si="45">G963*J963</f>
        <v>0.96</v>
      </c>
      <c r="L963" s="29" t="s">
        <v>324</v>
      </c>
      <c r="M963" s="27">
        <f>IFERROR(VLOOKUP(C963,Custo_MI_Device!$B$2:$E$102,3,FALSE),0)</f>
        <v>0</v>
      </c>
      <c r="N963" s="27">
        <f t="shared" ref="N963:N1026" si="46">ROUNDUP(M963*G963,0)</f>
        <v>0</v>
      </c>
      <c r="O963" s="178">
        <f t="shared" ref="O963:O1026" si="47">N963*J963</f>
        <v>0</v>
      </c>
    </row>
    <row r="964" spans="1:15" ht="12.75" hidden="1">
      <c r="A964" s="25">
        <v>5091</v>
      </c>
      <c r="B964" s="25" t="s">
        <v>40</v>
      </c>
      <c r="C964" s="26" t="s">
        <v>59</v>
      </c>
      <c r="D964" s="27">
        <v>73181500</v>
      </c>
      <c r="E964" s="28" t="s">
        <v>323</v>
      </c>
      <c r="F964" s="29" t="s">
        <v>324</v>
      </c>
      <c r="G964" s="30">
        <v>48</v>
      </c>
      <c r="H964" s="27" t="s">
        <v>137</v>
      </c>
      <c r="I964" s="26" t="s">
        <v>256</v>
      </c>
      <c r="J964" s="31">
        <v>0.04</v>
      </c>
      <c r="K964" s="32">
        <f t="shared" si="45"/>
        <v>1.92</v>
      </c>
      <c r="L964" s="29" t="s">
        <v>324</v>
      </c>
      <c r="M964" s="27">
        <f>IFERROR(VLOOKUP(C964,Custo_MI_Device!$B$2:$E$102,3,FALSE),0)</f>
        <v>0</v>
      </c>
      <c r="N964" s="27">
        <f t="shared" si="46"/>
        <v>0</v>
      </c>
      <c r="O964" s="178">
        <f t="shared" si="47"/>
        <v>0</v>
      </c>
    </row>
    <row r="965" spans="1:15" ht="12.75" hidden="1">
      <c r="A965" s="25">
        <v>1117</v>
      </c>
      <c r="B965" s="25" t="s">
        <v>40</v>
      </c>
      <c r="C965" s="26" t="s">
        <v>59</v>
      </c>
      <c r="D965" s="27"/>
      <c r="E965" s="28" t="s">
        <v>145</v>
      </c>
      <c r="F965" s="29" t="s">
        <v>146</v>
      </c>
      <c r="G965" s="30">
        <v>1</v>
      </c>
      <c r="H965" s="27" t="s">
        <v>137</v>
      </c>
      <c r="I965" s="26" t="s">
        <v>138</v>
      </c>
      <c r="J965" s="31">
        <v>1.95</v>
      </c>
      <c r="K965" s="32">
        <f t="shared" si="45"/>
        <v>1.95</v>
      </c>
      <c r="L965" s="29" t="s">
        <v>146</v>
      </c>
      <c r="M965" s="27">
        <f>IFERROR(VLOOKUP(C965,Custo_MI_Device!$B$2:$E$102,3,FALSE),0)</f>
        <v>0</v>
      </c>
      <c r="N965" s="27">
        <f t="shared" si="46"/>
        <v>0</v>
      </c>
      <c r="O965" s="178">
        <f t="shared" si="47"/>
        <v>0</v>
      </c>
    </row>
    <row r="966" spans="1:15" ht="12.75" hidden="1">
      <c r="A966" s="25">
        <v>3080</v>
      </c>
      <c r="B966" s="25" t="s">
        <v>40</v>
      </c>
      <c r="C966" s="26" t="s">
        <v>59</v>
      </c>
      <c r="D966" s="27">
        <v>74122000</v>
      </c>
      <c r="E966" s="28" t="s">
        <v>153</v>
      </c>
      <c r="F966" s="29" t="s">
        <v>154</v>
      </c>
      <c r="G966" s="30">
        <v>1</v>
      </c>
      <c r="H966" s="27" t="s">
        <v>137</v>
      </c>
      <c r="I966" s="26" t="s">
        <v>155</v>
      </c>
      <c r="J966" s="31">
        <v>3.3</v>
      </c>
      <c r="K966" s="32">
        <f t="shared" si="45"/>
        <v>3.3</v>
      </c>
      <c r="L966" s="29" t="s">
        <v>154</v>
      </c>
      <c r="M966" s="27">
        <f>IFERROR(VLOOKUP(C966,Custo_MI_Device!$B$2:$E$102,3,FALSE),0)</f>
        <v>0</v>
      </c>
      <c r="N966" s="27">
        <f t="shared" si="46"/>
        <v>0</v>
      </c>
      <c r="O966" s="178">
        <f t="shared" si="47"/>
        <v>0</v>
      </c>
    </row>
    <row r="967" spans="1:15" ht="38.25" hidden="1">
      <c r="A967" s="25">
        <v>3585</v>
      </c>
      <c r="B967" s="25" t="s">
        <v>40</v>
      </c>
      <c r="C967" s="26" t="s">
        <v>59</v>
      </c>
      <c r="D967" s="27">
        <v>85444900</v>
      </c>
      <c r="E967" s="28" t="s">
        <v>328</v>
      </c>
      <c r="F967" s="29">
        <v>900400</v>
      </c>
      <c r="G967" s="30">
        <v>50</v>
      </c>
      <c r="H967" s="27" t="s">
        <v>158</v>
      </c>
      <c r="I967" s="26" t="s">
        <v>164</v>
      </c>
      <c r="J967" s="31">
        <v>1.7</v>
      </c>
      <c r="K967" s="32">
        <f t="shared" si="45"/>
        <v>85</v>
      </c>
      <c r="L967" s="29">
        <v>900400</v>
      </c>
      <c r="M967" s="27">
        <f>IFERROR(VLOOKUP(C967,Custo_MI_Device!$B$2:$E$102,3,FALSE),0)</f>
        <v>0</v>
      </c>
      <c r="N967" s="27">
        <f t="shared" si="46"/>
        <v>0</v>
      </c>
      <c r="O967" s="178">
        <f t="shared" si="47"/>
        <v>0</v>
      </c>
    </row>
    <row r="968" spans="1:15" ht="12.75" hidden="1">
      <c r="A968" s="25">
        <v>2805</v>
      </c>
      <c r="B968" s="25" t="s">
        <v>40</v>
      </c>
      <c r="C968" s="26" t="s">
        <v>59</v>
      </c>
      <c r="D968" s="27">
        <v>72162100</v>
      </c>
      <c r="E968" s="28" t="s">
        <v>174</v>
      </c>
      <c r="F968" s="29">
        <v>0</v>
      </c>
      <c r="G968" s="30">
        <v>2.9</v>
      </c>
      <c r="H968" s="27" t="s">
        <v>175</v>
      </c>
      <c r="I968" s="26" t="s">
        <v>176</v>
      </c>
      <c r="J968" s="31">
        <v>4.22</v>
      </c>
      <c r="K968" s="32">
        <f t="shared" si="45"/>
        <v>12.238</v>
      </c>
      <c r="L968" s="29" t="s">
        <v>177</v>
      </c>
      <c r="M968" s="27">
        <f>IFERROR(VLOOKUP(C968,Custo_MI_Device!$B$2:$E$102,3,FALSE),0)</f>
        <v>0</v>
      </c>
      <c r="N968" s="27">
        <f t="shared" si="46"/>
        <v>0</v>
      </c>
      <c r="O968" s="178">
        <f t="shared" si="47"/>
        <v>0</v>
      </c>
    </row>
    <row r="969" spans="1:15" ht="12.75" hidden="1">
      <c r="A969" s="25">
        <v>2904</v>
      </c>
      <c r="B969" s="25" t="s">
        <v>40</v>
      </c>
      <c r="C969" s="26" t="s">
        <v>59</v>
      </c>
      <c r="D969" s="27">
        <v>76090000</v>
      </c>
      <c r="E969" s="28" t="s">
        <v>195</v>
      </c>
      <c r="F969" s="29" t="s">
        <v>196</v>
      </c>
      <c r="G969" s="30">
        <v>0.75</v>
      </c>
      <c r="H969" s="27" t="s">
        <v>137</v>
      </c>
      <c r="I969" s="26" t="s">
        <v>138</v>
      </c>
      <c r="J969" s="31">
        <v>6.7</v>
      </c>
      <c r="K969" s="32">
        <f t="shared" si="45"/>
        <v>5.0250000000000004</v>
      </c>
      <c r="L969" s="29" t="s">
        <v>196</v>
      </c>
      <c r="M969" s="27">
        <f>IFERROR(VLOOKUP(C969,Custo_MI_Device!$B$2:$E$102,3,FALSE),0)</f>
        <v>0</v>
      </c>
      <c r="N969" s="27">
        <f t="shared" si="46"/>
        <v>0</v>
      </c>
      <c r="O969" s="178">
        <f t="shared" si="47"/>
        <v>0</v>
      </c>
    </row>
    <row r="970" spans="1:15" ht="12.75" hidden="1">
      <c r="A970" s="25">
        <v>2911</v>
      </c>
      <c r="B970" s="25" t="s">
        <v>40</v>
      </c>
      <c r="C970" s="26" t="s">
        <v>59</v>
      </c>
      <c r="D970" s="27">
        <v>76090000</v>
      </c>
      <c r="E970" s="28" t="s">
        <v>197</v>
      </c>
      <c r="F970" s="29" t="s">
        <v>198</v>
      </c>
      <c r="G970" s="30">
        <v>0.75</v>
      </c>
      <c r="H970" s="27" t="s">
        <v>137</v>
      </c>
      <c r="I970" s="26" t="s">
        <v>138</v>
      </c>
      <c r="J970" s="31">
        <v>6.7</v>
      </c>
      <c r="K970" s="32">
        <f t="shared" si="45"/>
        <v>5.0250000000000004</v>
      </c>
      <c r="L970" s="29" t="s">
        <v>198</v>
      </c>
      <c r="M970" s="27">
        <f>IFERROR(VLOOKUP(C970,Custo_MI_Device!$B$2:$E$102,3,FALSE),0)</f>
        <v>0</v>
      </c>
      <c r="N970" s="27">
        <f t="shared" si="46"/>
        <v>0</v>
      </c>
      <c r="O970" s="178">
        <f t="shared" si="47"/>
        <v>0</v>
      </c>
    </row>
    <row r="971" spans="1:15" ht="12.75" hidden="1">
      <c r="A971" s="25">
        <v>4823</v>
      </c>
      <c r="B971" s="25" t="s">
        <v>40</v>
      </c>
      <c r="C971" s="26" t="s">
        <v>59</v>
      </c>
      <c r="D971" s="27">
        <v>76090000</v>
      </c>
      <c r="E971" s="28" t="s">
        <v>199</v>
      </c>
      <c r="F971" s="29" t="s">
        <v>200</v>
      </c>
      <c r="G971" s="30">
        <v>0.75</v>
      </c>
      <c r="H971" s="27" t="s">
        <v>137</v>
      </c>
      <c r="I971" s="26" t="s">
        <v>138</v>
      </c>
      <c r="J971" s="31">
        <v>6.7</v>
      </c>
      <c r="K971" s="32">
        <f t="shared" si="45"/>
        <v>5.0250000000000004</v>
      </c>
      <c r="L971" s="29" t="s">
        <v>200</v>
      </c>
      <c r="M971" s="27">
        <f>IFERROR(VLOOKUP(C971,Custo_MI_Device!$B$2:$E$102,3,FALSE),0)</f>
        <v>0</v>
      </c>
      <c r="N971" s="27">
        <f t="shared" si="46"/>
        <v>0</v>
      </c>
      <c r="O971" s="178">
        <f t="shared" si="47"/>
        <v>0</v>
      </c>
    </row>
    <row r="972" spans="1:15" ht="25.5" hidden="1">
      <c r="A972" s="25">
        <v>2909</v>
      </c>
      <c r="B972" s="25" t="s">
        <v>40</v>
      </c>
      <c r="C972" s="26" t="s">
        <v>59</v>
      </c>
      <c r="D972" s="27">
        <v>73072200</v>
      </c>
      <c r="E972" s="28" t="s">
        <v>216</v>
      </c>
      <c r="F972" s="29" t="s">
        <v>217</v>
      </c>
      <c r="G972" s="30">
        <v>4</v>
      </c>
      <c r="H972" s="27" t="s">
        <v>137</v>
      </c>
      <c r="I972" s="26" t="s">
        <v>218</v>
      </c>
      <c r="J972" s="31">
        <v>27.7</v>
      </c>
      <c r="K972" s="32">
        <f t="shared" si="45"/>
        <v>110.8</v>
      </c>
      <c r="L972" s="29" t="s">
        <v>217</v>
      </c>
      <c r="M972" s="27">
        <f>IFERROR(VLOOKUP(C972,Custo_MI_Device!$B$2:$E$102,3,FALSE),0)</f>
        <v>0</v>
      </c>
      <c r="N972" s="27">
        <f t="shared" si="46"/>
        <v>0</v>
      </c>
      <c r="O972" s="178">
        <f t="shared" si="47"/>
        <v>0</v>
      </c>
    </row>
    <row r="973" spans="1:15" ht="25.5" hidden="1">
      <c r="A973" s="25">
        <v>2300</v>
      </c>
      <c r="B973" s="25" t="s">
        <v>40</v>
      </c>
      <c r="C973" s="26" t="s">
        <v>59</v>
      </c>
      <c r="D973" s="27">
        <v>73072200</v>
      </c>
      <c r="E973" s="28" t="s">
        <v>222</v>
      </c>
      <c r="F973" s="29" t="s">
        <v>223</v>
      </c>
      <c r="G973" s="30">
        <v>1</v>
      </c>
      <c r="H973" s="27" t="s">
        <v>137</v>
      </c>
      <c r="I973" s="26" t="s">
        <v>218</v>
      </c>
      <c r="J973" s="31">
        <v>41</v>
      </c>
      <c r="K973" s="32">
        <f t="shared" si="45"/>
        <v>41</v>
      </c>
      <c r="L973" s="29" t="s">
        <v>223</v>
      </c>
      <c r="M973" s="27">
        <f>IFERROR(VLOOKUP(C973,Custo_MI_Device!$B$2:$E$102,3,FALSE),0)</f>
        <v>0</v>
      </c>
      <c r="N973" s="27">
        <f t="shared" si="46"/>
        <v>0</v>
      </c>
      <c r="O973" s="178">
        <f t="shared" si="47"/>
        <v>0</v>
      </c>
    </row>
    <row r="974" spans="1:15" ht="25.5" hidden="1">
      <c r="A974" s="25">
        <v>2864</v>
      </c>
      <c r="B974" s="25" t="s">
        <v>40</v>
      </c>
      <c r="C974" s="26" t="s">
        <v>59</v>
      </c>
      <c r="D974" s="27">
        <v>73072200</v>
      </c>
      <c r="E974" s="28" t="s">
        <v>226</v>
      </c>
      <c r="F974" s="29">
        <v>0</v>
      </c>
      <c r="G974" s="30">
        <v>3</v>
      </c>
      <c r="H974" s="27" t="s">
        <v>137</v>
      </c>
      <c r="I974" s="26" t="s">
        <v>220</v>
      </c>
      <c r="J974" s="31">
        <v>65</v>
      </c>
      <c r="K974" s="32">
        <f t="shared" si="45"/>
        <v>195</v>
      </c>
      <c r="L974" s="29" t="s">
        <v>227</v>
      </c>
      <c r="M974" s="27">
        <f>IFERROR(VLOOKUP(C974,Custo_MI_Device!$B$2:$E$102,3,FALSE),0)</f>
        <v>0</v>
      </c>
      <c r="N974" s="27">
        <f t="shared" si="46"/>
        <v>0</v>
      </c>
      <c r="O974" s="178">
        <f t="shared" si="47"/>
        <v>0</v>
      </c>
    </row>
    <row r="975" spans="1:15" ht="25.5" hidden="1">
      <c r="A975" s="25">
        <v>4306</v>
      </c>
      <c r="B975" s="25" t="s">
        <v>40</v>
      </c>
      <c r="C975" s="26" t="s">
        <v>59</v>
      </c>
      <c r="D975" s="27">
        <v>73063000</v>
      </c>
      <c r="E975" s="28" t="s">
        <v>239</v>
      </c>
      <c r="F975" s="29">
        <v>0</v>
      </c>
      <c r="G975" s="30">
        <v>2</v>
      </c>
      <c r="H975" s="27" t="s">
        <v>232</v>
      </c>
      <c r="I975" s="26" t="s">
        <v>233</v>
      </c>
      <c r="J975" s="31">
        <v>32</v>
      </c>
      <c r="K975" s="32">
        <f t="shared" si="45"/>
        <v>64</v>
      </c>
      <c r="L975" s="29" t="s">
        <v>240</v>
      </c>
      <c r="M975" s="27">
        <f>IFERROR(VLOOKUP(C975,Custo_MI_Device!$B$2:$E$102,3,FALSE),0)</f>
        <v>0</v>
      </c>
      <c r="N975" s="27">
        <f t="shared" si="46"/>
        <v>0</v>
      </c>
      <c r="O975" s="178">
        <f t="shared" si="47"/>
        <v>0</v>
      </c>
    </row>
    <row r="976" spans="1:15" ht="12.75" hidden="1">
      <c r="A976" s="25">
        <v>3316</v>
      </c>
      <c r="B976" s="25" t="s">
        <v>40</v>
      </c>
      <c r="C976" s="26" t="s">
        <v>59</v>
      </c>
      <c r="D976" s="27">
        <v>0</v>
      </c>
      <c r="E976" s="28" t="s">
        <v>246</v>
      </c>
      <c r="F976" s="29" t="s">
        <v>247</v>
      </c>
      <c r="G976" s="30">
        <v>2</v>
      </c>
      <c r="H976" s="27" t="s">
        <v>137</v>
      </c>
      <c r="I976" s="26" t="s">
        <v>248</v>
      </c>
      <c r="J976" s="31">
        <v>5.5</v>
      </c>
      <c r="K976" s="32">
        <f t="shared" si="45"/>
        <v>11</v>
      </c>
      <c r="L976" s="29" t="s">
        <v>247</v>
      </c>
      <c r="M976" s="27">
        <f>IFERROR(VLOOKUP(C976,Custo_MI_Device!$B$2:$E$102,3,FALSE),0)</f>
        <v>0</v>
      </c>
      <c r="N976" s="27">
        <f t="shared" si="46"/>
        <v>0</v>
      </c>
      <c r="O976" s="178">
        <f t="shared" si="47"/>
        <v>0</v>
      </c>
    </row>
    <row r="977" spans="1:15" ht="12.75" hidden="1">
      <c r="A977" s="25">
        <v>3274</v>
      </c>
      <c r="B977" s="25" t="s">
        <v>40</v>
      </c>
      <c r="C977" s="26" t="s">
        <v>59</v>
      </c>
      <c r="D977" s="27">
        <v>73181500</v>
      </c>
      <c r="E977" s="28" t="s">
        <v>265</v>
      </c>
      <c r="F977" s="29" t="s">
        <v>266</v>
      </c>
      <c r="G977" s="30">
        <v>24</v>
      </c>
      <c r="H977" s="27" t="s">
        <v>137</v>
      </c>
      <c r="I977" s="26" t="s">
        <v>256</v>
      </c>
      <c r="J977" s="31">
        <v>0.06</v>
      </c>
      <c r="K977" s="32">
        <f t="shared" si="45"/>
        <v>1.44</v>
      </c>
      <c r="L977" s="29" t="s">
        <v>266</v>
      </c>
      <c r="M977" s="27">
        <f>IFERROR(VLOOKUP(C977,Custo_MI_Device!$B$2:$E$102,3,FALSE),0)</f>
        <v>0</v>
      </c>
      <c r="N977" s="27">
        <f t="shared" si="46"/>
        <v>0</v>
      </c>
      <c r="O977" s="178">
        <f t="shared" si="47"/>
        <v>0</v>
      </c>
    </row>
    <row r="978" spans="1:15" ht="12.75" hidden="1">
      <c r="A978" s="25">
        <v>3274</v>
      </c>
      <c r="B978" s="25" t="s">
        <v>40</v>
      </c>
      <c r="C978" s="26" t="s">
        <v>59</v>
      </c>
      <c r="D978" s="27">
        <v>73181500</v>
      </c>
      <c r="E978" s="28" t="s">
        <v>265</v>
      </c>
      <c r="F978" s="29" t="s">
        <v>266</v>
      </c>
      <c r="G978" s="30">
        <v>48</v>
      </c>
      <c r="H978" s="27" t="s">
        <v>137</v>
      </c>
      <c r="I978" s="26" t="s">
        <v>256</v>
      </c>
      <c r="J978" s="31">
        <v>0.06</v>
      </c>
      <c r="K978" s="32">
        <f t="shared" si="45"/>
        <v>2.88</v>
      </c>
      <c r="L978" s="29" t="s">
        <v>266</v>
      </c>
      <c r="M978" s="27">
        <f>IFERROR(VLOOKUP(C978,Custo_MI_Device!$B$2:$E$102,3,FALSE),0)</f>
        <v>0</v>
      </c>
      <c r="N978" s="27">
        <f t="shared" si="46"/>
        <v>0</v>
      </c>
      <c r="O978" s="178">
        <f t="shared" si="47"/>
        <v>0</v>
      </c>
    </row>
    <row r="979" spans="1:15" ht="25.5" hidden="1">
      <c r="A979" s="25">
        <v>1611</v>
      </c>
      <c r="B979" s="25" t="s">
        <v>40</v>
      </c>
      <c r="C979" s="26" t="s">
        <v>59</v>
      </c>
      <c r="D979" s="27">
        <v>39174090</v>
      </c>
      <c r="E979" s="28" t="s">
        <v>275</v>
      </c>
      <c r="F979" s="29" t="s">
        <v>276</v>
      </c>
      <c r="G979" s="30">
        <v>2</v>
      </c>
      <c r="H979" s="27" t="s">
        <v>137</v>
      </c>
      <c r="I979" s="26" t="s">
        <v>277</v>
      </c>
      <c r="J979" s="31">
        <v>7.8</v>
      </c>
      <c r="K979" s="32">
        <f t="shared" si="45"/>
        <v>15.6</v>
      </c>
      <c r="L979" s="29" t="s">
        <v>276</v>
      </c>
      <c r="M979" s="27">
        <f>IFERROR(VLOOKUP(C979,Custo_MI_Device!$B$2:$E$102,3,FALSE),0)</f>
        <v>0</v>
      </c>
      <c r="N979" s="27">
        <f t="shared" si="46"/>
        <v>0</v>
      </c>
      <c r="O979" s="178">
        <f t="shared" si="47"/>
        <v>0</v>
      </c>
    </row>
    <row r="980" spans="1:15" ht="12.75" hidden="1">
      <c r="A980" s="25">
        <v>5081</v>
      </c>
      <c r="B980" s="25" t="s">
        <v>40</v>
      </c>
      <c r="C980" s="26" t="s">
        <v>59</v>
      </c>
      <c r="D980" s="27">
        <v>73145000</v>
      </c>
      <c r="E980" s="28" t="s">
        <v>278</v>
      </c>
      <c r="F980" s="29">
        <v>0</v>
      </c>
      <c r="G980" s="30">
        <v>1</v>
      </c>
      <c r="H980" s="27" t="s">
        <v>137</v>
      </c>
      <c r="I980" s="26" t="s">
        <v>279</v>
      </c>
      <c r="J980" s="31">
        <v>23</v>
      </c>
      <c r="K980" s="32">
        <f t="shared" si="45"/>
        <v>23</v>
      </c>
      <c r="L980" s="29" t="s">
        <v>280</v>
      </c>
      <c r="M980" s="27">
        <f>IFERROR(VLOOKUP(C980,Custo_MI_Device!$B$2:$E$102,3,FALSE),0)</f>
        <v>0</v>
      </c>
      <c r="N980" s="27">
        <f t="shared" si="46"/>
        <v>0</v>
      </c>
      <c r="O980" s="178">
        <f t="shared" si="47"/>
        <v>0</v>
      </c>
    </row>
    <row r="981" spans="1:15" ht="25.5" hidden="1">
      <c r="A981" s="25">
        <v>2973</v>
      </c>
      <c r="B981" s="25" t="s">
        <v>40</v>
      </c>
      <c r="C981" s="26" t="s">
        <v>59</v>
      </c>
      <c r="D981" s="27">
        <v>73072200</v>
      </c>
      <c r="E981" s="28" t="s">
        <v>281</v>
      </c>
      <c r="F981" s="29" t="s">
        <v>282</v>
      </c>
      <c r="G981" s="30">
        <v>3</v>
      </c>
      <c r="H981" s="27" t="s">
        <v>137</v>
      </c>
      <c r="I981" s="26" t="s">
        <v>218</v>
      </c>
      <c r="J981" s="31">
        <v>29</v>
      </c>
      <c r="K981" s="32">
        <f t="shared" si="45"/>
        <v>87</v>
      </c>
      <c r="L981" s="29" t="s">
        <v>282</v>
      </c>
      <c r="M981" s="27">
        <f>IFERROR(VLOOKUP(C981,Custo_MI_Device!$B$2:$E$102,3,FALSE),0)</f>
        <v>0</v>
      </c>
      <c r="N981" s="27">
        <f t="shared" si="46"/>
        <v>0</v>
      </c>
      <c r="O981" s="178">
        <f t="shared" si="47"/>
        <v>0</v>
      </c>
    </row>
    <row r="982" spans="1:15" ht="25.5" hidden="1">
      <c r="A982" s="25">
        <v>5194</v>
      </c>
      <c r="B982" s="25" t="s">
        <v>40</v>
      </c>
      <c r="C982" s="26" t="s">
        <v>59</v>
      </c>
      <c r="D982" s="27">
        <v>73041010</v>
      </c>
      <c r="E982" s="28" t="s">
        <v>289</v>
      </c>
      <c r="F982" s="29" t="s">
        <v>290</v>
      </c>
      <c r="G982" s="30">
        <v>2</v>
      </c>
      <c r="H982" s="27" t="s">
        <v>232</v>
      </c>
      <c r="I982" s="26" t="s">
        <v>218</v>
      </c>
      <c r="J982" s="31">
        <f>21.5*6</f>
        <v>129</v>
      </c>
      <c r="K982" s="32">
        <f t="shared" si="45"/>
        <v>258</v>
      </c>
      <c r="L982" s="29" t="s">
        <v>290</v>
      </c>
      <c r="M982" s="27">
        <f>IFERROR(VLOOKUP(C982,Custo_MI_Device!$B$2:$E$102,3,FALSE),0)</f>
        <v>0</v>
      </c>
      <c r="N982" s="27">
        <f t="shared" si="46"/>
        <v>0</v>
      </c>
      <c r="O982" s="178">
        <f t="shared" si="47"/>
        <v>0</v>
      </c>
    </row>
    <row r="983" spans="1:15" ht="25.5" hidden="1">
      <c r="A983" s="25">
        <v>2125</v>
      </c>
      <c r="B983" s="25" t="s">
        <v>40</v>
      </c>
      <c r="C983" s="26" t="s">
        <v>59</v>
      </c>
      <c r="D983" s="27">
        <v>84818039</v>
      </c>
      <c r="E983" s="28" t="s">
        <v>301</v>
      </c>
      <c r="F983" s="29">
        <v>0</v>
      </c>
      <c r="G983" s="30">
        <v>2</v>
      </c>
      <c r="H983" s="27" t="s">
        <v>137</v>
      </c>
      <c r="I983" s="26" t="s">
        <v>220</v>
      </c>
      <c r="J983" s="31">
        <v>175</v>
      </c>
      <c r="K983" s="32">
        <f t="shared" si="45"/>
        <v>350</v>
      </c>
      <c r="L983" s="29" t="s">
        <v>302</v>
      </c>
      <c r="M983" s="27">
        <f>IFERROR(VLOOKUP(C983,Custo_MI_Device!$B$2:$E$102,3,FALSE),0)</f>
        <v>0</v>
      </c>
      <c r="N983" s="27">
        <f t="shared" si="46"/>
        <v>0</v>
      </c>
      <c r="O983" s="178">
        <f t="shared" si="47"/>
        <v>0</v>
      </c>
    </row>
    <row r="984" spans="1:15" ht="25.5" hidden="1">
      <c r="A984" s="25">
        <v>2567</v>
      </c>
      <c r="B984" s="25" t="s">
        <v>40</v>
      </c>
      <c r="C984" s="26" t="s">
        <v>59</v>
      </c>
      <c r="D984" s="27">
        <v>84818095</v>
      </c>
      <c r="E984" s="28" t="s">
        <v>303</v>
      </c>
      <c r="F984" s="29">
        <v>0</v>
      </c>
      <c r="G984" s="30">
        <v>2</v>
      </c>
      <c r="H984" s="27" t="s">
        <v>137</v>
      </c>
      <c r="I984" s="26" t="s">
        <v>304</v>
      </c>
      <c r="J984" s="31">
        <v>27</v>
      </c>
      <c r="K984" s="32">
        <f t="shared" si="45"/>
        <v>54</v>
      </c>
      <c r="L984" s="29" t="s">
        <v>305</v>
      </c>
      <c r="M984" s="27">
        <f>IFERROR(VLOOKUP(C984,Custo_MI_Device!$B$2:$E$102,3,FALSE),0)</f>
        <v>0</v>
      </c>
      <c r="N984" s="27">
        <f t="shared" si="46"/>
        <v>0</v>
      </c>
      <c r="O984" s="178">
        <f t="shared" si="47"/>
        <v>0</v>
      </c>
    </row>
    <row r="985" spans="1:15" ht="12.75" hidden="1">
      <c r="A985" s="25">
        <v>3778</v>
      </c>
      <c r="B985" s="25" t="s">
        <v>40</v>
      </c>
      <c r="C985" s="26" t="s">
        <v>60</v>
      </c>
      <c r="D985" s="27">
        <v>73072900</v>
      </c>
      <c r="E985" s="28" t="s">
        <v>310</v>
      </c>
      <c r="F985" s="29" t="s">
        <v>311</v>
      </c>
      <c r="G985" s="30">
        <v>24</v>
      </c>
      <c r="H985" s="27" t="s">
        <v>137</v>
      </c>
      <c r="I985" s="26" t="s">
        <v>256</v>
      </c>
      <c r="J985" s="31">
        <v>0.65</v>
      </c>
      <c r="K985" s="32">
        <f t="shared" si="45"/>
        <v>15.600000000000001</v>
      </c>
      <c r="L985" s="29" t="s">
        <v>311</v>
      </c>
      <c r="M985" s="27">
        <f>IFERROR(VLOOKUP(C985,Custo_MI_Device!$B$2:$E$102,3,FALSE),0)</f>
        <v>0</v>
      </c>
      <c r="N985" s="27">
        <f t="shared" si="46"/>
        <v>0</v>
      </c>
      <c r="O985" s="178">
        <f t="shared" si="47"/>
        <v>0</v>
      </c>
    </row>
    <row r="986" spans="1:15" ht="12.75" hidden="1">
      <c r="A986" s="25">
        <v>2534</v>
      </c>
      <c r="B986" s="25" t="s">
        <v>40</v>
      </c>
      <c r="C986" s="26" t="s">
        <v>60</v>
      </c>
      <c r="D986" s="27">
        <v>73072900</v>
      </c>
      <c r="E986" s="28" t="s">
        <v>314</v>
      </c>
      <c r="F986" s="29" t="s">
        <v>315</v>
      </c>
      <c r="G986" s="30">
        <v>12</v>
      </c>
      <c r="H986" s="27" t="s">
        <v>137</v>
      </c>
      <c r="I986" s="26" t="s">
        <v>256</v>
      </c>
      <c r="J986" s="31">
        <v>1.2</v>
      </c>
      <c r="K986" s="32">
        <f t="shared" si="45"/>
        <v>14.399999999999999</v>
      </c>
      <c r="L986" s="29" t="s">
        <v>315</v>
      </c>
      <c r="M986" s="27">
        <f>IFERROR(VLOOKUP(C986,Custo_MI_Device!$B$2:$E$102,3,FALSE),0)</f>
        <v>0</v>
      </c>
      <c r="N986" s="27">
        <f t="shared" si="46"/>
        <v>0</v>
      </c>
      <c r="O986" s="178">
        <f t="shared" si="47"/>
        <v>0</v>
      </c>
    </row>
    <row r="987" spans="1:15" ht="12.75" hidden="1">
      <c r="A987" s="25">
        <v>1669</v>
      </c>
      <c r="B987" s="25" t="s">
        <v>40</v>
      </c>
      <c r="C987" s="26" t="s">
        <v>60</v>
      </c>
      <c r="D987" s="27">
        <v>39269090</v>
      </c>
      <c r="E987" s="28" t="s">
        <v>316</v>
      </c>
      <c r="F987" s="29" t="s">
        <v>317</v>
      </c>
      <c r="G987" s="30">
        <v>3</v>
      </c>
      <c r="H987" s="27" t="s">
        <v>137</v>
      </c>
      <c r="I987" s="26" t="s">
        <v>318</v>
      </c>
      <c r="J987" s="31">
        <v>0.04</v>
      </c>
      <c r="K987" s="32">
        <f t="shared" si="45"/>
        <v>0.12</v>
      </c>
      <c r="L987" s="29" t="s">
        <v>317</v>
      </c>
      <c r="M987" s="27">
        <f>IFERROR(VLOOKUP(C987,Custo_MI_Device!$B$2:$E$102,3,FALSE),0)</f>
        <v>0</v>
      </c>
      <c r="N987" s="27">
        <f t="shared" si="46"/>
        <v>0</v>
      </c>
      <c r="O987" s="178">
        <f t="shared" si="47"/>
        <v>0</v>
      </c>
    </row>
    <row r="988" spans="1:15" ht="12.75" hidden="1">
      <c r="A988" s="25">
        <v>5091</v>
      </c>
      <c r="B988" s="25" t="s">
        <v>40</v>
      </c>
      <c r="C988" s="26" t="s">
        <v>60</v>
      </c>
      <c r="D988" s="27">
        <v>73181500</v>
      </c>
      <c r="E988" s="28" t="s">
        <v>323</v>
      </c>
      <c r="F988" s="29" t="s">
        <v>324</v>
      </c>
      <c r="G988" s="30">
        <v>24</v>
      </c>
      <c r="H988" s="27" t="s">
        <v>137</v>
      </c>
      <c r="I988" s="26" t="s">
        <v>256</v>
      </c>
      <c r="J988" s="31">
        <v>0.04</v>
      </c>
      <c r="K988" s="32">
        <f t="shared" si="45"/>
        <v>0.96</v>
      </c>
      <c r="L988" s="29" t="s">
        <v>324</v>
      </c>
      <c r="M988" s="27">
        <f>IFERROR(VLOOKUP(C988,Custo_MI_Device!$B$2:$E$102,3,FALSE),0)</f>
        <v>0</v>
      </c>
      <c r="N988" s="27">
        <f t="shared" si="46"/>
        <v>0</v>
      </c>
      <c r="O988" s="178">
        <f t="shared" si="47"/>
        <v>0</v>
      </c>
    </row>
    <row r="989" spans="1:15" ht="12.75" hidden="1">
      <c r="A989" s="25">
        <v>5091</v>
      </c>
      <c r="B989" s="25" t="s">
        <v>40</v>
      </c>
      <c r="C989" s="26" t="s">
        <v>60</v>
      </c>
      <c r="D989" s="27">
        <v>73181500</v>
      </c>
      <c r="E989" s="28" t="s">
        <v>323</v>
      </c>
      <c r="F989" s="29" t="s">
        <v>324</v>
      </c>
      <c r="G989" s="30">
        <v>48</v>
      </c>
      <c r="H989" s="27" t="s">
        <v>137</v>
      </c>
      <c r="I989" s="26" t="s">
        <v>256</v>
      </c>
      <c r="J989" s="31">
        <v>0.04</v>
      </c>
      <c r="K989" s="32">
        <f t="shared" si="45"/>
        <v>1.92</v>
      </c>
      <c r="L989" s="29" t="s">
        <v>324</v>
      </c>
      <c r="M989" s="27">
        <f>IFERROR(VLOOKUP(C989,Custo_MI_Device!$B$2:$E$102,3,FALSE),0)</f>
        <v>0</v>
      </c>
      <c r="N989" s="27">
        <f t="shared" si="46"/>
        <v>0</v>
      </c>
      <c r="O989" s="178">
        <f t="shared" si="47"/>
        <v>0</v>
      </c>
    </row>
    <row r="990" spans="1:15" ht="12.75" hidden="1">
      <c r="A990" s="25">
        <v>1117</v>
      </c>
      <c r="B990" s="25" t="s">
        <v>40</v>
      </c>
      <c r="C990" s="26" t="s">
        <v>60</v>
      </c>
      <c r="D990" s="27"/>
      <c r="E990" s="28" t="s">
        <v>145</v>
      </c>
      <c r="F990" s="29" t="s">
        <v>146</v>
      </c>
      <c r="G990" s="30">
        <v>1</v>
      </c>
      <c r="H990" s="27" t="s">
        <v>137</v>
      </c>
      <c r="I990" s="26" t="s">
        <v>138</v>
      </c>
      <c r="J990" s="31">
        <v>1.95</v>
      </c>
      <c r="K990" s="32">
        <f t="shared" si="45"/>
        <v>1.95</v>
      </c>
      <c r="L990" s="29" t="s">
        <v>146</v>
      </c>
      <c r="M990" s="27">
        <f>IFERROR(VLOOKUP(C990,Custo_MI_Device!$B$2:$E$102,3,FALSE),0)</f>
        <v>0</v>
      </c>
      <c r="N990" s="27">
        <f t="shared" si="46"/>
        <v>0</v>
      </c>
      <c r="O990" s="178">
        <f t="shared" si="47"/>
        <v>0</v>
      </c>
    </row>
    <row r="991" spans="1:15" ht="12.75" hidden="1">
      <c r="A991" s="25">
        <v>3080</v>
      </c>
      <c r="B991" s="25" t="s">
        <v>40</v>
      </c>
      <c r="C991" s="26" t="s">
        <v>60</v>
      </c>
      <c r="D991" s="27">
        <v>74122000</v>
      </c>
      <c r="E991" s="28" t="s">
        <v>153</v>
      </c>
      <c r="F991" s="29" t="s">
        <v>154</v>
      </c>
      <c r="G991" s="30">
        <v>1</v>
      </c>
      <c r="H991" s="27" t="s">
        <v>137</v>
      </c>
      <c r="I991" s="26" t="s">
        <v>155</v>
      </c>
      <c r="J991" s="31">
        <v>3.3</v>
      </c>
      <c r="K991" s="32">
        <f t="shared" si="45"/>
        <v>3.3</v>
      </c>
      <c r="L991" s="29" t="s">
        <v>154</v>
      </c>
      <c r="M991" s="27">
        <f>IFERROR(VLOOKUP(C991,Custo_MI_Device!$B$2:$E$102,3,FALSE),0)</f>
        <v>0</v>
      </c>
      <c r="N991" s="27">
        <f t="shared" si="46"/>
        <v>0</v>
      </c>
      <c r="O991" s="178">
        <f t="shared" si="47"/>
        <v>0</v>
      </c>
    </row>
    <row r="992" spans="1:15" ht="25.5" hidden="1">
      <c r="A992" s="25">
        <v>5139</v>
      </c>
      <c r="B992" s="25" t="s">
        <v>40</v>
      </c>
      <c r="C992" s="26" t="s">
        <v>60</v>
      </c>
      <c r="D992" s="27">
        <v>85444900</v>
      </c>
      <c r="E992" s="28" t="s">
        <v>170</v>
      </c>
      <c r="F992" s="29" t="s">
        <v>171</v>
      </c>
      <c r="G992" s="30">
        <v>15</v>
      </c>
      <c r="H992" s="27" t="s">
        <v>158</v>
      </c>
      <c r="I992" s="26" t="s">
        <v>172</v>
      </c>
      <c r="J992" s="31">
        <v>7.5</v>
      </c>
      <c r="K992" s="32">
        <f t="shared" si="45"/>
        <v>112.5</v>
      </c>
      <c r="L992" s="29" t="s">
        <v>173</v>
      </c>
      <c r="M992" s="27">
        <f>IFERROR(VLOOKUP(C992,Custo_MI_Device!$B$2:$E$102,3,FALSE),0)</f>
        <v>0</v>
      </c>
      <c r="N992" s="27">
        <f t="shared" si="46"/>
        <v>0</v>
      </c>
      <c r="O992" s="178">
        <f t="shared" si="47"/>
        <v>0</v>
      </c>
    </row>
    <row r="993" spans="1:15" ht="12.75" hidden="1">
      <c r="A993" s="25">
        <v>2805</v>
      </c>
      <c r="B993" s="25" t="s">
        <v>40</v>
      </c>
      <c r="C993" s="26" t="s">
        <v>60</v>
      </c>
      <c r="D993" s="27">
        <v>72162100</v>
      </c>
      <c r="E993" s="28" t="s">
        <v>174</v>
      </c>
      <c r="F993" s="29">
        <v>0</v>
      </c>
      <c r="G993" s="30">
        <v>2.9</v>
      </c>
      <c r="H993" s="27" t="s">
        <v>175</v>
      </c>
      <c r="I993" s="26" t="s">
        <v>176</v>
      </c>
      <c r="J993" s="31">
        <v>4.22</v>
      </c>
      <c r="K993" s="32">
        <f t="shared" si="45"/>
        <v>12.238</v>
      </c>
      <c r="L993" s="29" t="s">
        <v>177</v>
      </c>
      <c r="M993" s="27">
        <f>IFERROR(VLOOKUP(C993,Custo_MI_Device!$B$2:$E$102,3,FALSE),0)</f>
        <v>0</v>
      </c>
      <c r="N993" s="27">
        <f t="shared" si="46"/>
        <v>0</v>
      </c>
      <c r="O993" s="178">
        <f t="shared" si="47"/>
        <v>0</v>
      </c>
    </row>
    <row r="994" spans="1:15" ht="12.75" hidden="1">
      <c r="A994" s="25">
        <v>2904</v>
      </c>
      <c r="B994" s="25" t="s">
        <v>40</v>
      </c>
      <c r="C994" s="26" t="s">
        <v>60</v>
      </c>
      <c r="D994" s="27">
        <v>76090000</v>
      </c>
      <c r="E994" s="28" t="s">
        <v>195</v>
      </c>
      <c r="F994" s="29" t="s">
        <v>196</v>
      </c>
      <c r="G994" s="30">
        <v>0.75</v>
      </c>
      <c r="H994" s="27" t="s">
        <v>137</v>
      </c>
      <c r="I994" s="26" t="s">
        <v>138</v>
      </c>
      <c r="J994" s="31">
        <v>6.7</v>
      </c>
      <c r="K994" s="32">
        <f t="shared" si="45"/>
        <v>5.0250000000000004</v>
      </c>
      <c r="L994" s="29" t="s">
        <v>196</v>
      </c>
      <c r="M994" s="27">
        <f>IFERROR(VLOOKUP(C994,Custo_MI_Device!$B$2:$E$102,3,FALSE),0)</f>
        <v>0</v>
      </c>
      <c r="N994" s="27">
        <f t="shared" si="46"/>
        <v>0</v>
      </c>
      <c r="O994" s="178">
        <f t="shared" si="47"/>
        <v>0</v>
      </c>
    </row>
    <row r="995" spans="1:15" ht="12.75" hidden="1">
      <c r="A995" s="25">
        <v>2911</v>
      </c>
      <c r="B995" s="25" t="s">
        <v>40</v>
      </c>
      <c r="C995" s="26" t="s">
        <v>60</v>
      </c>
      <c r="D995" s="27">
        <v>76090000</v>
      </c>
      <c r="E995" s="28" t="s">
        <v>197</v>
      </c>
      <c r="F995" s="29" t="s">
        <v>198</v>
      </c>
      <c r="G995" s="30">
        <v>0.75</v>
      </c>
      <c r="H995" s="27" t="s">
        <v>137</v>
      </c>
      <c r="I995" s="26" t="s">
        <v>138</v>
      </c>
      <c r="J995" s="31">
        <v>6.7</v>
      </c>
      <c r="K995" s="32">
        <f t="shared" si="45"/>
        <v>5.0250000000000004</v>
      </c>
      <c r="L995" s="29" t="s">
        <v>198</v>
      </c>
      <c r="M995" s="27">
        <f>IFERROR(VLOOKUP(C995,Custo_MI_Device!$B$2:$E$102,3,FALSE),0)</f>
        <v>0</v>
      </c>
      <c r="N995" s="27">
        <f t="shared" si="46"/>
        <v>0</v>
      </c>
      <c r="O995" s="178">
        <f t="shared" si="47"/>
        <v>0</v>
      </c>
    </row>
    <row r="996" spans="1:15" ht="12.75" hidden="1">
      <c r="A996" s="25">
        <v>4823</v>
      </c>
      <c r="B996" s="25" t="s">
        <v>40</v>
      </c>
      <c r="C996" s="26" t="s">
        <v>60</v>
      </c>
      <c r="D996" s="27">
        <v>76090000</v>
      </c>
      <c r="E996" s="28" t="s">
        <v>199</v>
      </c>
      <c r="F996" s="29" t="s">
        <v>200</v>
      </c>
      <c r="G996" s="30">
        <v>0.75</v>
      </c>
      <c r="H996" s="27" t="s">
        <v>137</v>
      </c>
      <c r="I996" s="26" t="s">
        <v>138</v>
      </c>
      <c r="J996" s="31">
        <v>6.7</v>
      </c>
      <c r="K996" s="32">
        <f t="shared" si="45"/>
        <v>5.0250000000000004</v>
      </c>
      <c r="L996" s="29" t="s">
        <v>200</v>
      </c>
      <c r="M996" s="27">
        <f>IFERROR(VLOOKUP(C996,Custo_MI_Device!$B$2:$E$102,3,FALSE),0)</f>
        <v>0</v>
      </c>
      <c r="N996" s="27">
        <f t="shared" si="46"/>
        <v>0</v>
      </c>
      <c r="O996" s="178">
        <f t="shared" si="47"/>
        <v>0</v>
      </c>
    </row>
    <row r="997" spans="1:15" ht="25.5" hidden="1">
      <c r="A997" s="25">
        <v>2909</v>
      </c>
      <c r="B997" s="25" t="s">
        <v>40</v>
      </c>
      <c r="C997" s="26" t="s">
        <v>60</v>
      </c>
      <c r="D997" s="27">
        <v>73072200</v>
      </c>
      <c r="E997" s="28" t="s">
        <v>216</v>
      </c>
      <c r="F997" s="29" t="s">
        <v>217</v>
      </c>
      <c r="G997" s="30">
        <v>4</v>
      </c>
      <c r="H997" s="27" t="s">
        <v>137</v>
      </c>
      <c r="I997" s="26" t="s">
        <v>218</v>
      </c>
      <c r="J997" s="31">
        <v>27.7</v>
      </c>
      <c r="K997" s="32">
        <f t="shared" si="45"/>
        <v>110.8</v>
      </c>
      <c r="L997" s="29" t="s">
        <v>217</v>
      </c>
      <c r="M997" s="27">
        <f>IFERROR(VLOOKUP(C997,Custo_MI_Device!$B$2:$E$102,3,FALSE),0)</f>
        <v>0</v>
      </c>
      <c r="N997" s="27">
        <f t="shared" si="46"/>
        <v>0</v>
      </c>
      <c r="O997" s="178">
        <f t="shared" si="47"/>
        <v>0</v>
      </c>
    </row>
    <row r="998" spans="1:15" ht="25.5" hidden="1">
      <c r="A998" s="25">
        <v>2300</v>
      </c>
      <c r="B998" s="25" t="s">
        <v>40</v>
      </c>
      <c r="C998" s="26" t="s">
        <v>60</v>
      </c>
      <c r="D998" s="27">
        <v>73072200</v>
      </c>
      <c r="E998" s="28" t="s">
        <v>222</v>
      </c>
      <c r="F998" s="29" t="s">
        <v>223</v>
      </c>
      <c r="G998" s="30">
        <v>1</v>
      </c>
      <c r="H998" s="27" t="s">
        <v>137</v>
      </c>
      <c r="I998" s="26" t="s">
        <v>218</v>
      </c>
      <c r="J998" s="31">
        <v>41</v>
      </c>
      <c r="K998" s="32">
        <f t="shared" si="45"/>
        <v>41</v>
      </c>
      <c r="L998" s="29" t="s">
        <v>223</v>
      </c>
      <c r="M998" s="27">
        <f>IFERROR(VLOOKUP(C998,Custo_MI_Device!$B$2:$E$102,3,FALSE),0)</f>
        <v>0</v>
      </c>
      <c r="N998" s="27">
        <f t="shared" si="46"/>
        <v>0</v>
      </c>
      <c r="O998" s="178">
        <f t="shared" si="47"/>
        <v>0</v>
      </c>
    </row>
    <row r="999" spans="1:15" ht="25.5" hidden="1">
      <c r="A999" s="25">
        <v>2864</v>
      </c>
      <c r="B999" s="25" t="s">
        <v>40</v>
      </c>
      <c r="C999" s="26" t="s">
        <v>60</v>
      </c>
      <c r="D999" s="27">
        <v>73072200</v>
      </c>
      <c r="E999" s="28" t="s">
        <v>226</v>
      </c>
      <c r="F999" s="29">
        <v>0</v>
      </c>
      <c r="G999" s="30">
        <v>3</v>
      </c>
      <c r="H999" s="27" t="s">
        <v>137</v>
      </c>
      <c r="I999" s="26" t="s">
        <v>220</v>
      </c>
      <c r="J999" s="31">
        <v>65</v>
      </c>
      <c r="K999" s="32">
        <f t="shared" si="45"/>
        <v>195</v>
      </c>
      <c r="L999" s="29" t="s">
        <v>227</v>
      </c>
      <c r="M999" s="27">
        <f>IFERROR(VLOOKUP(C999,Custo_MI_Device!$B$2:$E$102,3,FALSE),0)</f>
        <v>0</v>
      </c>
      <c r="N999" s="27">
        <f t="shared" si="46"/>
        <v>0</v>
      </c>
      <c r="O999" s="178">
        <f t="shared" si="47"/>
        <v>0</v>
      </c>
    </row>
    <row r="1000" spans="1:15" ht="25.5" hidden="1">
      <c r="A1000" s="25">
        <v>4306</v>
      </c>
      <c r="B1000" s="25" t="s">
        <v>40</v>
      </c>
      <c r="C1000" s="26" t="s">
        <v>60</v>
      </c>
      <c r="D1000" s="27">
        <v>73063000</v>
      </c>
      <c r="E1000" s="28" t="s">
        <v>239</v>
      </c>
      <c r="F1000" s="29">
        <v>0</v>
      </c>
      <c r="G1000" s="30">
        <v>2</v>
      </c>
      <c r="H1000" s="27" t="s">
        <v>232</v>
      </c>
      <c r="I1000" s="26" t="s">
        <v>233</v>
      </c>
      <c r="J1000" s="31">
        <v>32</v>
      </c>
      <c r="K1000" s="32">
        <f t="shared" si="45"/>
        <v>64</v>
      </c>
      <c r="L1000" s="29" t="s">
        <v>240</v>
      </c>
      <c r="M1000" s="27">
        <f>IFERROR(VLOOKUP(C1000,Custo_MI_Device!$B$2:$E$102,3,FALSE),0)</f>
        <v>0</v>
      </c>
      <c r="N1000" s="27">
        <f t="shared" si="46"/>
        <v>0</v>
      </c>
      <c r="O1000" s="178">
        <f t="shared" si="47"/>
        <v>0</v>
      </c>
    </row>
    <row r="1001" spans="1:15" ht="12.75" hidden="1">
      <c r="A1001" s="25">
        <v>3316</v>
      </c>
      <c r="B1001" s="25" t="s">
        <v>40</v>
      </c>
      <c r="C1001" s="26" t="s">
        <v>60</v>
      </c>
      <c r="D1001" s="27">
        <v>0</v>
      </c>
      <c r="E1001" s="28" t="s">
        <v>246</v>
      </c>
      <c r="F1001" s="29" t="s">
        <v>247</v>
      </c>
      <c r="G1001" s="30">
        <v>2</v>
      </c>
      <c r="H1001" s="27" t="s">
        <v>137</v>
      </c>
      <c r="I1001" s="26" t="s">
        <v>248</v>
      </c>
      <c r="J1001" s="31">
        <v>5.5</v>
      </c>
      <c r="K1001" s="32">
        <f t="shared" si="45"/>
        <v>11</v>
      </c>
      <c r="L1001" s="29" t="s">
        <v>247</v>
      </c>
      <c r="M1001" s="27">
        <f>IFERROR(VLOOKUP(C1001,Custo_MI_Device!$B$2:$E$102,3,FALSE),0)</f>
        <v>0</v>
      </c>
      <c r="N1001" s="27">
        <f t="shared" si="46"/>
        <v>0</v>
      </c>
      <c r="O1001" s="178">
        <f t="shared" si="47"/>
        <v>0</v>
      </c>
    </row>
    <row r="1002" spans="1:15" ht="12.75" hidden="1">
      <c r="A1002" s="25">
        <v>3274</v>
      </c>
      <c r="B1002" s="25" t="s">
        <v>40</v>
      </c>
      <c r="C1002" s="26" t="s">
        <v>60</v>
      </c>
      <c r="D1002" s="27">
        <v>73181500</v>
      </c>
      <c r="E1002" s="28" t="s">
        <v>265</v>
      </c>
      <c r="F1002" s="29" t="s">
        <v>266</v>
      </c>
      <c r="G1002" s="30">
        <v>24</v>
      </c>
      <c r="H1002" s="27" t="s">
        <v>137</v>
      </c>
      <c r="I1002" s="26" t="s">
        <v>256</v>
      </c>
      <c r="J1002" s="31">
        <v>0.06</v>
      </c>
      <c r="K1002" s="32">
        <f t="shared" si="45"/>
        <v>1.44</v>
      </c>
      <c r="L1002" s="29" t="s">
        <v>266</v>
      </c>
      <c r="M1002" s="27">
        <f>IFERROR(VLOOKUP(C1002,Custo_MI_Device!$B$2:$E$102,3,FALSE),0)</f>
        <v>0</v>
      </c>
      <c r="N1002" s="27">
        <f t="shared" si="46"/>
        <v>0</v>
      </c>
      <c r="O1002" s="178">
        <f t="shared" si="47"/>
        <v>0</v>
      </c>
    </row>
    <row r="1003" spans="1:15" ht="12.75" hidden="1">
      <c r="A1003" s="25">
        <v>3274</v>
      </c>
      <c r="B1003" s="25" t="s">
        <v>40</v>
      </c>
      <c r="C1003" s="26" t="s">
        <v>60</v>
      </c>
      <c r="D1003" s="27">
        <v>73181500</v>
      </c>
      <c r="E1003" s="28" t="s">
        <v>265</v>
      </c>
      <c r="F1003" s="29" t="s">
        <v>266</v>
      </c>
      <c r="G1003" s="30">
        <v>48</v>
      </c>
      <c r="H1003" s="27" t="s">
        <v>137</v>
      </c>
      <c r="I1003" s="26" t="s">
        <v>256</v>
      </c>
      <c r="J1003" s="31">
        <v>0.06</v>
      </c>
      <c r="K1003" s="32">
        <f t="shared" si="45"/>
        <v>2.88</v>
      </c>
      <c r="L1003" s="29" t="s">
        <v>266</v>
      </c>
      <c r="M1003" s="27">
        <f>IFERROR(VLOOKUP(C1003,Custo_MI_Device!$B$2:$E$102,3,FALSE),0)</f>
        <v>0</v>
      </c>
      <c r="N1003" s="27">
        <f t="shared" si="46"/>
        <v>0</v>
      </c>
      <c r="O1003" s="178">
        <f t="shared" si="47"/>
        <v>0</v>
      </c>
    </row>
    <row r="1004" spans="1:15" ht="25.5" hidden="1">
      <c r="A1004" s="25">
        <v>1611</v>
      </c>
      <c r="B1004" s="25" t="s">
        <v>40</v>
      </c>
      <c r="C1004" s="26" t="s">
        <v>60</v>
      </c>
      <c r="D1004" s="27">
        <v>39174090</v>
      </c>
      <c r="E1004" s="28" t="s">
        <v>275</v>
      </c>
      <c r="F1004" s="29" t="s">
        <v>276</v>
      </c>
      <c r="G1004" s="30">
        <v>2</v>
      </c>
      <c r="H1004" s="27" t="s">
        <v>137</v>
      </c>
      <c r="I1004" s="26" t="s">
        <v>277</v>
      </c>
      <c r="J1004" s="31">
        <v>7.8</v>
      </c>
      <c r="K1004" s="32">
        <f t="shared" si="45"/>
        <v>15.6</v>
      </c>
      <c r="L1004" s="29" t="s">
        <v>276</v>
      </c>
      <c r="M1004" s="27">
        <f>IFERROR(VLOOKUP(C1004,Custo_MI_Device!$B$2:$E$102,3,FALSE),0)</f>
        <v>0</v>
      </c>
      <c r="N1004" s="27">
        <f t="shared" si="46"/>
        <v>0</v>
      </c>
      <c r="O1004" s="178">
        <f t="shared" si="47"/>
        <v>0</v>
      </c>
    </row>
    <row r="1005" spans="1:15" ht="12.75" hidden="1">
      <c r="A1005" s="25">
        <v>5081</v>
      </c>
      <c r="B1005" s="25" t="s">
        <v>40</v>
      </c>
      <c r="C1005" s="26" t="s">
        <v>60</v>
      </c>
      <c r="D1005" s="27">
        <v>73145000</v>
      </c>
      <c r="E1005" s="28" t="s">
        <v>278</v>
      </c>
      <c r="F1005" s="29">
        <v>0</v>
      </c>
      <c r="G1005" s="30">
        <v>1</v>
      </c>
      <c r="H1005" s="27" t="s">
        <v>137</v>
      </c>
      <c r="I1005" s="26" t="s">
        <v>279</v>
      </c>
      <c r="J1005" s="31">
        <v>23</v>
      </c>
      <c r="K1005" s="32">
        <f t="shared" si="45"/>
        <v>23</v>
      </c>
      <c r="L1005" s="29" t="s">
        <v>280</v>
      </c>
      <c r="M1005" s="27">
        <f>IFERROR(VLOOKUP(C1005,Custo_MI_Device!$B$2:$E$102,3,FALSE),0)</f>
        <v>0</v>
      </c>
      <c r="N1005" s="27">
        <f t="shared" si="46"/>
        <v>0</v>
      </c>
      <c r="O1005" s="178">
        <f t="shared" si="47"/>
        <v>0</v>
      </c>
    </row>
    <row r="1006" spans="1:15" ht="25.5" hidden="1">
      <c r="A1006" s="25">
        <v>2973</v>
      </c>
      <c r="B1006" s="25" t="s">
        <v>40</v>
      </c>
      <c r="C1006" s="26" t="s">
        <v>60</v>
      </c>
      <c r="D1006" s="27">
        <v>73072200</v>
      </c>
      <c r="E1006" s="28" t="s">
        <v>281</v>
      </c>
      <c r="F1006" s="29" t="s">
        <v>282</v>
      </c>
      <c r="G1006" s="30">
        <v>3</v>
      </c>
      <c r="H1006" s="27" t="s">
        <v>137</v>
      </c>
      <c r="I1006" s="26" t="s">
        <v>218</v>
      </c>
      <c r="J1006" s="31">
        <v>29</v>
      </c>
      <c r="K1006" s="32">
        <f t="shared" si="45"/>
        <v>87</v>
      </c>
      <c r="L1006" s="29" t="s">
        <v>282</v>
      </c>
      <c r="M1006" s="27">
        <f>IFERROR(VLOOKUP(C1006,Custo_MI_Device!$B$2:$E$102,3,FALSE),0)</f>
        <v>0</v>
      </c>
      <c r="N1006" s="27">
        <f t="shared" si="46"/>
        <v>0</v>
      </c>
      <c r="O1006" s="178">
        <f t="shared" si="47"/>
        <v>0</v>
      </c>
    </row>
    <row r="1007" spans="1:15" ht="25.5" hidden="1">
      <c r="A1007" s="25">
        <v>5194</v>
      </c>
      <c r="B1007" s="25" t="s">
        <v>40</v>
      </c>
      <c r="C1007" s="26" t="s">
        <v>60</v>
      </c>
      <c r="D1007" s="27">
        <v>73041010</v>
      </c>
      <c r="E1007" s="28" t="s">
        <v>289</v>
      </c>
      <c r="F1007" s="29" t="s">
        <v>290</v>
      </c>
      <c r="G1007" s="30">
        <v>2</v>
      </c>
      <c r="H1007" s="27" t="s">
        <v>232</v>
      </c>
      <c r="I1007" s="26" t="s">
        <v>218</v>
      </c>
      <c r="J1007" s="31">
        <f>21.5*6</f>
        <v>129</v>
      </c>
      <c r="K1007" s="32">
        <f t="shared" si="45"/>
        <v>258</v>
      </c>
      <c r="L1007" s="29" t="s">
        <v>290</v>
      </c>
      <c r="M1007" s="27">
        <f>IFERROR(VLOOKUP(C1007,Custo_MI_Device!$B$2:$E$102,3,FALSE),0)</f>
        <v>0</v>
      </c>
      <c r="N1007" s="27">
        <f t="shared" si="46"/>
        <v>0</v>
      </c>
      <c r="O1007" s="178">
        <f t="shared" si="47"/>
        <v>0</v>
      </c>
    </row>
    <row r="1008" spans="1:15" ht="25.5" hidden="1">
      <c r="A1008" s="25">
        <v>2125</v>
      </c>
      <c r="B1008" s="25" t="s">
        <v>40</v>
      </c>
      <c r="C1008" s="26" t="s">
        <v>60</v>
      </c>
      <c r="D1008" s="27">
        <v>84818039</v>
      </c>
      <c r="E1008" s="28" t="s">
        <v>301</v>
      </c>
      <c r="F1008" s="29">
        <v>0</v>
      </c>
      <c r="G1008" s="30">
        <v>2</v>
      </c>
      <c r="H1008" s="27" t="s">
        <v>137</v>
      </c>
      <c r="I1008" s="26" t="s">
        <v>220</v>
      </c>
      <c r="J1008" s="31">
        <v>175</v>
      </c>
      <c r="K1008" s="32">
        <f t="shared" si="45"/>
        <v>350</v>
      </c>
      <c r="L1008" s="29" t="s">
        <v>302</v>
      </c>
      <c r="M1008" s="27">
        <f>IFERROR(VLOOKUP(C1008,Custo_MI_Device!$B$2:$E$102,3,FALSE),0)</f>
        <v>0</v>
      </c>
      <c r="N1008" s="27">
        <f t="shared" si="46"/>
        <v>0</v>
      </c>
      <c r="O1008" s="178">
        <f t="shared" si="47"/>
        <v>0</v>
      </c>
    </row>
    <row r="1009" spans="1:15" ht="25.5" hidden="1">
      <c r="A1009" s="25">
        <v>2567</v>
      </c>
      <c r="B1009" s="25" t="s">
        <v>40</v>
      </c>
      <c r="C1009" s="26" t="s">
        <v>60</v>
      </c>
      <c r="D1009" s="27">
        <v>84818095</v>
      </c>
      <c r="E1009" s="28" t="s">
        <v>303</v>
      </c>
      <c r="F1009" s="29">
        <v>0</v>
      </c>
      <c r="G1009" s="30">
        <v>2</v>
      </c>
      <c r="H1009" s="27" t="s">
        <v>137</v>
      </c>
      <c r="I1009" s="26" t="s">
        <v>304</v>
      </c>
      <c r="J1009" s="31">
        <v>27</v>
      </c>
      <c r="K1009" s="32">
        <f t="shared" si="45"/>
        <v>54</v>
      </c>
      <c r="L1009" s="29" t="s">
        <v>305</v>
      </c>
      <c r="M1009" s="27">
        <f>IFERROR(VLOOKUP(C1009,Custo_MI_Device!$B$2:$E$102,3,FALSE),0)</f>
        <v>0</v>
      </c>
      <c r="N1009" s="27">
        <f t="shared" si="46"/>
        <v>0</v>
      </c>
      <c r="O1009" s="178">
        <f t="shared" si="47"/>
        <v>0</v>
      </c>
    </row>
    <row r="1010" spans="1:15" ht="12.75" hidden="1">
      <c r="A1010" s="25">
        <v>3778</v>
      </c>
      <c r="B1010" s="25" t="s">
        <v>40</v>
      </c>
      <c r="C1010" s="26" t="s">
        <v>61</v>
      </c>
      <c r="D1010" s="27">
        <v>73072900</v>
      </c>
      <c r="E1010" s="28" t="s">
        <v>310</v>
      </c>
      <c r="F1010" s="29" t="s">
        <v>311</v>
      </c>
      <c r="G1010" s="30">
        <v>24</v>
      </c>
      <c r="H1010" s="27" t="s">
        <v>137</v>
      </c>
      <c r="I1010" s="26" t="s">
        <v>256</v>
      </c>
      <c r="J1010" s="31">
        <v>0.65</v>
      </c>
      <c r="K1010" s="32">
        <f t="shared" si="45"/>
        <v>15.600000000000001</v>
      </c>
      <c r="L1010" s="29" t="s">
        <v>311</v>
      </c>
      <c r="M1010" s="27">
        <f>IFERROR(VLOOKUP(C1010,Custo_MI_Device!$B$2:$E$102,3,FALSE),0)</f>
        <v>0</v>
      </c>
      <c r="N1010" s="27">
        <f t="shared" si="46"/>
        <v>0</v>
      </c>
      <c r="O1010" s="178">
        <f t="shared" si="47"/>
        <v>0</v>
      </c>
    </row>
    <row r="1011" spans="1:15" ht="12.75" hidden="1">
      <c r="A1011" s="25">
        <v>2534</v>
      </c>
      <c r="B1011" s="25" t="s">
        <v>40</v>
      </c>
      <c r="C1011" s="26" t="s">
        <v>61</v>
      </c>
      <c r="D1011" s="27">
        <v>73072900</v>
      </c>
      <c r="E1011" s="28" t="s">
        <v>314</v>
      </c>
      <c r="F1011" s="29" t="s">
        <v>315</v>
      </c>
      <c r="G1011" s="30">
        <v>12</v>
      </c>
      <c r="H1011" s="27" t="s">
        <v>137</v>
      </c>
      <c r="I1011" s="26" t="s">
        <v>256</v>
      </c>
      <c r="J1011" s="31">
        <v>1.2</v>
      </c>
      <c r="K1011" s="32">
        <f t="shared" si="45"/>
        <v>14.399999999999999</v>
      </c>
      <c r="L1011" s="29" t="s">
        <v>315</v>
      </c>
      <c r="M1011" s="27">
        <f>IFERROR(VLOOKUP(C1011,Custo_MI_Device!$B$2:$E$102,3,FALSE),0)</f>
        <v>0</v>
      </c>
      <c r="N1011" s="27">
        <f t="shared" si="46"/>
        <v>0</v>
      </c>
      <c r="O1011" s="178">
        <f t="shared" si="47"/>
        <v>0</v>
      </c>
    </row>
    <row r="1012" spans="1:15" ht="12.75" hidden="1">
      <c r="A1012" s="25">
        <v>1669</v>
      </c>
      <c r="B1012" s="25" t="s">
        <v>40</v>
      </c>
      <c r="C1012" s="26" t="s">
        <v>61</v>
      </c>
      <c r="D1012" s="27">
        <v>39269090</v>
      </c>
      <c r="E1012" s="28" t="s">
        <v>316</v>
      </c>
      <c r="F1012" s="29" t="s">
        <v>317</v>
      </c>
      <c r="G1012" s="30">
        <v>3</v>
      </c>
      <c r="H1012" s="27" t="s">
        <v>137</v>
      </c>
      <c r="I1012" s="26" t="s">
        <v>318</v>
      </c>
      <c r="J1012" s="31">
        <v>0.04</v>
      </c>
      <c r="K1012" s="32">
        <f t="shared" si="45"/>
        <v>0.12</v>
      </c>
      <c r="L1012" s="29" t="s">
        <v>317</v>
      </c>
      <c r="M1012" s="27">
        <f>IFERROR(VLOOKUP(C1012,Custo_MI_Device!$B$2:$E$102,3,FALSE),0)</f>
        <v>0</v>
      </c>
      <c r="N1012" s="27">
        <f t="shared" si="46"/>
        <v>0</v>
      </c>
      <c r="O1012" s="178">
        <f t="shared" si="47"/>
        <v>0</v>
      </c>
    </row>
    <row r="1013" spans="1:15" ht="12.75" hidden="1">
      <c r="A1013" s="25">
        <v>5091</v>
      </c>
      <c r="B1013" s="25" t="s">
        <v>40</v>
      </c>
      <c r="C1013" s="26" t="s">
        <v>61</v>
      </c>
      <c r="D1013" s="27">
        <v>73181500</v>
      </c>
      <c r="E1013" s="28" t="s">
        <v>323</v>
      </c>
      <c r="F1013" s="29" t="s">
        <v>324</v>
      </c>
      <c r="G1013" s="30">
        <v>24</v>
      </c>
      <c r="H1013" s="27" t="s">
        <v>137</v>
      </c>
      <c r="I1013" s="26" t="s">
        <v>256</v>
      </c>
      <c r="J1013" s="31">
        <v>0.04</v>
      </c>
      <c r="K1013" s="32">
        <f t="shared" si="45"/>
        <v>0.96</v>
      </c>
      <c r="L1013" s="29" t="s">
        <v>324</v>
      </c>
      <c r="M1013" s="27">
        <f>IFERROR(VLOOKUP(C1013,Custo_MI_Device!$B$2:$E$102,3,FALSE),0)</f>
        <v>0</v>
      </c>
      <c r="N1013" s="27">
        <f t="shared" si="46"/>
        <v>0</v>
      </c>
      <c r="O1013" s="178">
        <f t="shared" si="47"/>
        <v>0</v>
      </c>
    </row>
    <row r="1014" spans="1:15" ht="12.75" hidden="1">
      <c r="A1014" s="25">
        <v>5091</v>
      </c>
      <c r="B1014" s="25" t="s">
        <v>40</v>
      </c>
      <c r="C1014" s="26" t="s">
        <v>61</v>
      </c>
      <c r="D1014" s="27">
        <v>73181500</v>
      </c>
      <c r="E1014" s="28" t="s">
        <v>323</v>
      </c>
      <c r="F1014" s="29" t="s">
        <v>324</v>
      </c>
      <c r="G1014" s="30">
        <v>48</v>
      </c>
      <c r="H1014" s="27" t="s">
        <v>137</v>
      </c>
      <c r="I1014" s="26" t="s">
        <v>256</v>
      </c>
      <c r="J1014" s="31">
        <v>0.04</v>
      </c>
      <c r="K1014" s="32">
        <f t="shared" si="45"/>
        <v>1.92</v>
      </c>
      <c r="L1014" s="29" t="s">
        <v>324</v>
      </c>
      <c r="M1014" s="27">
        <f>IFERROR(VLOOKUP(C1014,Custo_MI_Device!$B$2:$E$102,3,FALSE),0)</f>
        <v>0</v>
      </c>
      <c r="N1014" s="27">
        <f t="shared" si="46"/>
        <v>0</v>
      </c>
      <c r="O1014" s="178">
        <f t="shared" si="47"/>
        <v>0</v>
      </c>
    </row>
    <row r="1015" spans="1:15" ht="12.75" hidden="1">
      <c r="A1015" s="25">
        <v>1117</v>
      </c>
      <c r="B1015" s="25" t="s">
        <v>40</v>
      </c>
      <c r="C1015" s="26" t="s">
        <v>61</v>
      </c>
      <c r="D1015" s="27"/>
      <c r="E1015" s="28" t="s">
        <v>145</v>
      </c>
      <c r="F1015" s="29" t="s">
        <v>146</v>
      </c>
      <c r="G1015" s="30">
        <v>1</v>
      </c>
      <c r="H1015" s="27" t="s">
        <v>137</v>
      </c>
      <c r="I1015" s="26" t="s">
        <v>138</v>
      </c>
      <c r="J1015" s="31">
        <v>1.95</v>
      </c>
      <c r="K1015" s="32">
        <f t="shared" si="45"/>
        <v>1.95</v>
      </c>
      <c r="L1015" s="29" t="s">
        <v>146</v>
      </c>
      <c r="M1015" s="27">
        <f>IFERROR(VLOOKUP(C1015,Custo_MI_Device!$B$2:$E$102,3,FALSE),0)</f>
        <v>0</v>
      </c>
      <c r="N1015" s="27">
        <f t="shared" si="46"/>
        <v>0</v>
      </c>
      <c r="O1015" s="178">
        <f t="shared" si="47"/>
        <v>0</v>
      </c>
    </row>
    <row r="1016" spans="1:15" ht="12.75" hidden="1">
      <c r="A1016" s="25">
        <v>3080</v>
      </c>
      <c r="B1016" s="25" t="s">
        <v>40</v>
      </c>
      <c r="C1016" s="26" t="s">
        <v>61</v>
      </c>
      <c r="D1016" s="27">
        <v>74122000</v>
      </c>
      <c r="E1016" s="28" t="s">
        <v>153</v>
      </c>
      <c r="F1016" s="29" t="s">
        <v>154</v>
      </c>
      <c r="G1016" s="30">
        <v>1</v>
      </c>
      <c r="H1016" s="27" t="s">
        <v>137</v>
      </c>
      <c r="I1016" s="26" t="s">
        <v>155</v>
      </c>
      <c r="J1016" s="31">
        <v>3.3</v>
      </c>
      <c r="K1016" s="32">
        <f t="shared" si="45"/>
        <v>3.3</v>
      </c>
      <c r="L1016" s="29" t="s">
        <v>154</v>
      </c>
      <c r="M1016" s="27">
        <f>IFERROR(VLOOKUP(C1016,Custo_MI_Device!$B$2:$E$102,3,FALSE),0)</f>
        <v>0</v>
      </c>
      <c r="N1016" s="27">
        <f t="shared" si="46"/>
        <v>0</v>
      </c>
      <c r="O1016" s="178">
        <f t="shared" si="47"/>
        <v>0</v>
      </c>
    </row>
    <row r="1017" spans="1:15" ht="38.25" hidden="1">
      <c r="A1017" s="25">
        <v>3585</v>
      </c>
      <c r="B1017" s="25" t="s">
        <v>40</v>
      </c>
      <c r="C1017" s="26" t="s">
        <v>61</v>
      </c>
      <c r="D1017" s="27">
        <v>85444900</v>
      </c>
      <c r="E1017" s="28" t="s">
        <v>328</v>
      </c>
      <c r="F1017" s="29">
        <v>900400</v>
      </c>
      <c r="G1017" s="30">
        <v>50</v>
      </c>
      <c r="H1017" s="27" t="s">
        <v>158</v>
      </c>
      <c r="I1017" s="26" t="s">
        <v>164</v>
      </c>
      <c r="J1017" s="31">
        <v>1.7</v>
      </c>
      <c r="K1017" s="32">
        <f t="shared" si="45"/>
        <v>85</v>
      </c>
      <c r="L1017" s="29">
        <v>900400</v>
      </c>
      <c r="M1017" s="27">
        <f>IFERROR(VLOOKUP(C1017,Custo_MI_Device!$B$2:$E$102,3,FALSE),0)</f>
        <v>0</v>
      </c>
      <c r="N1017" s="27">
        <f t="shared" si="46"/>
        <v>0</v>
      </c>
      <c r="O1017" s="178">
        <f t="shared" si="47"/>
        <v>0</v>
      </c>
    </row>
    <row r="1018" spans="1:15" ht="12.75" hidden="1">
      <c r="A1018" s="25">
        <v>2805</v>
      </c>
      <c r="B1018" s="25" t="s">
        <v>40</v>
      </c>
      <c r="C1018" s="26" t="s">
        <v>61</v>
      </c>
      <c r="D1018" s="27">
        <v>72162100</v>
      </c>
      <c r="E1018" s="28" t="s">
        <v>174</v>
      </c>
      <c r="F1018" s="29">
        <v>0</v>
      </c>
      <c r="G1018" s="30">
        <v>2.9</v>
      </c>
      <c r="H1018" s="27" t="s">
        <v>175</v>
      </c>
      <c r="I1018" s="26" t="s">
        <v>176</v>
      </c>
      <c r="J1018" s="31">
        <v>4.22</v>
      </c>
      <c r="K1018" s="32">
        <f t="shared" si="45"/>
        <v>12.238</v>
      </c>
      <c r="L1018" s="29" t="s">
        <v>177</v>
      </c>
      <c r="M1018" s="27">
        <f>IFERROR(VLOOKUP(C1018,Custo_MI_Device!$B$2:$E$102,3,FALSE),0)</f>
        <v>0</v>
      </c>
      <c r="N1018" s="27">
        <f t="shared" si="46"/>
        <v>0</v>
      </c>
      <c r="O1018" s="178">
        <f t="shared" si="47"/>
        <v>0</v>
      </c>
    </row>
    <row r="1019" spans="1:15" ht="12.75" hidden="1">
      <c r="A1019" s="25">
        <v>2904</v>
      </c>
      <c r="B1019" s="25" t="s">
        <v>40</v>
      </c>
      <c r="C1019" s="26" t="s">
        <v>61</v>
      </c>
      <c r="D1019" s="27">
        <v>76090000</v>
      </c>
      <c r="E1019" s="28" t="s">
        <v>195</v>
      </c>
      <c r="F1019" s="29" t="s">
        <v>196</v>
      </c>
      <c r="G1019" s="30">
        <v>0.75</v>
      </c>
      <c r="H1019" s="27" t="s">
        <v>137</v>
      </c>
      <c r="I1019" s="26" t="s">
        <v>138</v>
      </c>
      <c r="J1019" s="31">
        <v>6.7</v>
      </c>
      <c r="K1019" s="32">
        <f t="shared" si="45"/>
        <v>5.0250000000000004</v>
      </c>
      <c r="L1019" s="29" t="s">
        <v>196</v>
      </c>
      <c r="M1019" s="27">
        <f>IFERROR(VLOOKUP(C1019,Custo_MI_Device!$B$2:$E$102,3,FALSE),0)</f>
        <v>0</v>
      </c>
      <c r="N1019" s="27">
        <f t="shared" si="46"/>
        <v>0</v>
      </c>
      <c r="O1019" s="178">
        <f t="shared" si="47"/>
        <v>0</v>
      </c>
    </row>
    <row r="1020" spans="1:15" ht="12.75" hidden="1">
      <c r="A1020" s="25">
        <v>2911</v>
      </c>
      <c r="B1020" s="25" t="s">
        <v>40</v>
      </c>
      <c r="C1020" s="26" t="s">
        <v>61</v>
      </c>
      <c r="D1020" s="27">
        <v>76090000</v>
      </c>
      <c r="E1020" s="28" t="s">
        <v>197</v>
      </c>
      <c r="F1020" s="29" t="s">
        <v>198</v>
      </c>
      <c r="G1020" s="30">
        <v>0.75</v>
      </c>
      <c r="H1020" s="27" t="s">
        <v>137</v>
      </c>
      <c r="I1020" s="26" t="s">
        <v>138</v>
      </c>
      <c r="J1020" s="31">
        <v>6.7</v>
      </c>
      <c r="K1020" s="32">
        <f t="shared" si="45"/>
        <v>5.0250000000000004</v>
      </c>
      <c r="L1020" s="29" t="s">
        <v>198</v>
      </c>
      <c r="M1020" s="27">
        <f>IFERROR(VLOOKUP(C1020,Custo_MI_Device!$B$2:$E$102,3,FALSE),0)</f>
        <v>0</v>
      </c>
      <c r="N1020" s="27">
        <f t="shared" si="46"/>
        <v>0</v>
      </c>
      <c r="O1020" s="178">
        <f t="shared" si="47"/>
        <v>0</v>
      </c>
    </row>
    <row r="1021" spans="1:15" ht="12.75" hidden="1">
      <c r="A1021" s="25">
        <v>4823</v>
      </c>
      <c r="B1021" s="25" t="s">
        <v>40</v>
      </c>
      <c r="C1021" s="26" t="s">
        <v>61</v>
      </c>
      <c r="D1021" s="27">
        <v>76090000</v>
      </c>
      <c r="E1021" s="28" t="s">
        <v>199</v>
      </c>
      <c r="F1021" s="29" t="s">
        <v>200</v>
      </c>
      <c r="G1021" s="30">
        <v>0.75</v>
      </c>
      <c r="H1021" s="27" t="s">
        <v>137</v>
      </c>
      <c r="I1021" s="26" t="s">
        <v>138</v>
      </c>
      <c r="J1021" s="31">
        <v>6.7</v>
      </c>
      <c r="K1021" s="32">
        <f t="shared" si="45"/>
        <v>5.0250000000000004</v>
      </c>
      <c r="L1021" s="29" t="s">
        <v>200</v>
      </c>
      <c r="M1021" s="27">
        <f>IFERROR(VLOOKUP(C1021,Custo_MI_Device!$B$2:$E$102,3,FALSE),0)</f>
        <v>0</v>
      </c>
      <c r="N1021" s="27">
        <f t="shared" si="46"/>
        <v>0</v>
      </c>
      <c r="O1021" s="178">
        <f t="shared" si="47"/>
        <v>0</v>
      </c>
    </row>
    <row r="1022" spans="1:15" ht="25.5" hidden="1">
      <c r="A1022" s="25">
        <v>2909</v>
      </c>
      <c r="B1022" s="25" t="s">
        <v>40</v>
      </c>
      <c r="C1022" s="26" t="s">
        <v>61</v>
      </c>
      <c r="D1022" s="27">
        <v>73072200</v>
      </c>
      <c r="E1022" s="28" t="s">
        <v>216</v>
      </c>
      <c r="F1022" s="29" t="s">
        <v>217</v>
      </c>
      <c r="G1022" s="30">
        <v>3</v>
      </c>
      <c r="H1022" s="27" t="s">
        <v>137</v>
      </c>
      <c r="I1022" s="26" t="s">
        <v>218</v>
      </c>
      <c r="J1022" s="31">
        <v>27.7</v>
      </c>
      <c r="K1022" s="32">
        <f t="shared" si="45"/>
        <v>83.1</v>
      </c>
      <c r="L1022" s="29" t="s">
        <v>217</v>
      </c>
      <c r="M1022" s="27">
        <f>IFERROR(VLOOKUP(C1022,Custo_MI_Device!$B$2:$E$102,3,FALSE),0)</f>
        <v>0</v>
      </c>
      <c r="N1022" s="27">
        <f t="shared" si="46"/>
        <v>0</v>
      </c>
      <c r="O1022" s="178">
        <f t="shared" si="47"/>
        <v>0</v>
      </c>
    </row>
    <row r="1023" spans="1:15" ht="25.5" hidden="1">
      <c r="A1023" s="25">
        <v>1535</v>
      </c>
      <c r="B1023" s="25" t="s">
        <v>40</v>
      </c>
      <c r="C1023" s="26" t="s">
        <v>61</v>
      </c>
      <c r="D1023" s="27">
        <v>73072200</v>
      </c>
      <c r="E1023" s="28" t="s">
        <v>219</v>
      </c>
      <c r="F1023" s="29">
        <v>0</v>
      </c>
      <c r="G1023" s="30">
        <v>1</v>
      </c>
      <c r="H1023" s="27" t="s">
        <v>137</v>
      </c>
      <c r="I1023" s="26" t="s">
        <v>220</v>
      </c>
      <c r="J1023" s="31">
        <v>35</v>
      </c>
      <c r="K1023" s="32">
        <f t="shared" si="45"/>
        <v>35</v>
      </c>
      <c r="L1023" s="29" t="s">
        <v>221</v>
      </c>
      <c r="M1023" s="27">
        <f>IFERROR(VLOOKUP(C1023,Custo_MI_Device!$B$2:$E$102,3,FALSE),0)</f>
        <v>0</v>
      </c>
      <c r="N1023" s="27">
        <f t="shared" si="46"/>
        <v>0</v>
      </c>
      <c r="O1023" s="178">
        <f t="shared" si="47"/>
        <v>0</v>
      </c>
    </row>
    <row r="1024" spans="1:15" ht="25.5" hidden="1">
      <c r="A1024" s="25">
        <v>2300</v>
      </c>
      <c r="B1024" s="25" t="s">
        <v>40</v>
      </c>
      <c r="C1024" s="26" t="s">
        <v>61</v>
      </c>
      <c r="D1024" s="27">
        <v>73072200</v>
      </c>
      <c r="E1024" s="28" t="s">
        <v>222</v>
      </c>
      <c r="F1024" s="29" t="s">
        <v>223</v>
      </c>
      <c r="G1024" s="30">
        <v>2</v>
      </c>
      <c r="H1024" s="27" t="s">
        <v>137</v>
      </c>
      <c r="I1024" s="26" t="s">
        <v>218</v>
      </c>
      <c r="J1024" s="31">
        <v>41</v>
      </c>
      <c r="K1024" s="32">
        <f t="shared" si="45"/>
        <v>82</v>
      </c>
      <c r="L1024" s="29" t="s">
        <v>223</v>
      </c>
      <c r="M1024" s="27">
        <f>IFERROR(VLOOKUP(C1024,Custo_MI_Device!$B$2:$E$102,3,FALSE),0)</f>
        <v>0</v>
      </c>
      <c r="N1024" s="27">
        <f t="shared" si="46"/>
        <v>0</v>
      </c>
      <c r="O1024" s="178">
        <f t="shared" si="47"/>
        <v>0</v>
      </c>
    </row>
    <row r="1025" spans="1:15" ht="25.5" hidden="1">
      <c r="A1025" s="25">
        <v>7163</v>
      </c>
      <c r="B1025" s="25" t="s">
        <v>40</v>
      </c>
      <c r="C1025" s="26" t="s">
        <v>61</v>
      </c>
      <c r="D1025" s="27">
        <v>73072200</v>
      </c>
      <c r="E1025" s="28" t="s">
        <v>224</v>
      </c>
      <c r="F1025" s="29">
        <v>0</v>
      </c>
      <c r="G1025" s="30">
        <v>2</v>
      </c>
      <c r="H1025" s="27" t="s">
        <v>137</v>
      </c>
      <c r="I1025" s="26" t="s">
        <v>220</v>
      </c>
      <c r="J1025" s="31">
        <v>58</v>
      </c>
      <c r="K1025" s="32">
        <f t="shared" si="45"/>
        <v>116</v>
      </c>
      <c r="L1025" s="29" t="s">
        <v>225</v>
      </c>
      <c r="M1025" s="27">
        <f>IFERROR(VLOOKUP(C1025,Custo_MI_Device!$B$2:$E$102,3,FALSE),0)</f>
        <v>0</v>
      </c>
      <c r="N1025" s="27">
        <f t="shared" si="46"/>
        <v>0</v>
      </c>
      <c r="O1025" s="178">
        <f t="shared" si="47"/>
        <v>0</v>
      </c>
    </row>
    <row r="1026" spans="1:15" ht="25.5" hidden="1">
      <c r="A1026" s="25">
        <v>4306</v>
      </c>
      <c r="B1026" s="25" t="s">
        <v>40</v>
      </c>
      <c r="C1026" s="26" t="s">
        <v>61</v>
      </c>
      <c r="D1026" s="27">
        <v>73063000</v>
      </c>
      <c r="E1026" s="28" t="s">
        <v>239</v>
      </c>
      <c r="F1026" s="29">
        <v>0</v>
      </c>
      <c r="G1026" s="30">
        <v>2</v>
      </c>
      <c r="H1026" s="27" t="s">
        <v>232</v>
      </c>
      <c r="I1026" s="26" t="s">
        <v>233</v>
      </c>
      <c r="J1026" s="31">
        <v>32</v>
      </c>
      <c r="K1026" s="32">
        <f t="shared" si="45"/>
        <v>64</v>
      </c>
      <c r="L1026" s="29" t="s">
        <v>240</v>
      </c>
      <c r="M1026" s="27">
        <f>IFERROR(VLOOKUP(C1026,Custo_MI_Device!$B$2:$E$102,3,FALSE),0)</f>
        <v>0</v>
      </c>
      <c r="N1026" s="27">
        <f t="shared" si="46"/>
        <v>0</v>
      </c>
      <c r="O1026" s="178">
        <f t="shared" si="47"/>
        <v>0</v>
      </c>
    </row>
    <row r="1027" spans="1:15" ht="12.75" hidden="1">
      <c r="A1027" s="25">
        <v>3274</v>
      </c>
      <c r="B1027" s="25" t="s">
        <v>40</v>
      </c>
      <c r="C1027" s="26" t="s">
        <v>61</v>
      </c>
      <c r="D1027" s="27">
        <v>73181500</v>
      </c>
      <c r="E1027" s="28" t="s">
        <v>265</v>
      </c>
      <c r="F1027" s="29" t="s">
        <v>266</v>
      </c>
      <c r="G1027" s="30">
        <v>24</v>
      </c>
      <c r="H1027" s="27" t="s">
        <v>137</v>
      </c>
      <c r="I1027" s="26" t="s">
        <v>256</v>
      </c>
      <c r="J1027" s="31">
        <v>0.06</v>
      </c>
      <c r="K1027" s="32">
        <f t="shared" ref="K1027:K1090" si="48">G1027*J1027</f>
        <v>1.44</v>
      </c>
      <c r="L1027" s="29" t="s">
        <v>266</v>
      </c>
      <c r="M1027" s="27">
        <f>IFERROR(VLOOKUP(C1027,Custo_MI_Device!$B$2:$E$102,3,FALSE),0)</f>
        <v>0</v>
      </c>
      <c r="N1027" s="27">
        <f t="shared" ref="N1027:N1090" si="49">ROUNDUP(M1027*G1027,0)</f>
        <v>0</v>
      </c>
      <c r="O1027" s="178">
        <f t="shared" ref="O1027:O1090" si="50">N1027*J1027</f>
        <v>0</v>
      </c>
    </row>
    <row r="1028" spans="1:15" ht="12.75" hidden="1">
      <c r="A1028" s="25">
        <v>3274</v>
      </c>
      <c r="B1028" s="25" t="s">
        <v>40</v>
      </c>
      <c r="C1028" s="26" t="s">
        <v>61</v>
      </c>
      <c r="D1028" s="27">
        <v>73181500</v>
      </c>
      <c r="E1028" s="28" t="s">
        <v>265</v>
      </c>
      <c r="F1028" s="29" t="s">
        <v>266</v>
      </c>
      <c r="G1028" s="30">
        <v>48</v>
      </c>
      <c r="H1028" s="27" t="s">
        <v>137</v>
      </c>
      <c r="I1028" s="26" t="s">
        <v>256</v>
      </c>
      <c r="J1028" s="31">
        <v>0.06</v>
      </c>
      <c r="K1028" s="32">
        <f t="shared" si="48"/>
        <v>2.88</v>
      </c>
      <c r="L1028" s="29" t="s">
        <v>266</v>
      </c>
      <c r="M1028" s="27">
        <f>IFERROR(VLOOKUP(C1028,Custo_MI_Device!$B$2:$E$102,3,FALSE),0)</f>
        <v>0</v>
      </c>
      <c r="N1028" s="27">
        <f t="shared" si="49"/>
        <v>0</v>
      </c>
      <c r="O1028" s="178">
        <f t="shared" si="50"/>
        <v>0</v>
      </c>
    </row>
    <row r="1029" spans="1:15" ht="25.5" hidden="1">
      <c r="A1029" s="25">
        <v>6767</v>
      </c>
      <c r="B1029" s="25" t="s">
        <v>40</v>
      </c>
      <c r="C1029" s="26" t="s">
        <v>61</v>
      </c>
      <c r="D1029" s="27">
        <v>90262090</v>
      </c>
      <c r="E1029" s="28" t="s">
        <v>273</v>
      </c>
      <c r="F1029" s="29">
        <v>0</v>
      </c>
      <c r="G1029" s="33">
        <v>0</v>
      </c>
      <c r="H1029" s="27" t="s">
        <v>137</v>
      </c>
      <c r="I1029" s="26" t="s">
        <v>220</v>
      </c>
      <c r="J1029" s="31">
        <v>2150</v>
      </c>
      <c r="K1029" s="32">
        <f t="shared" si="48"/>
        <v>0</v>
      </c>
      <c r="L1029" s="29" t="s">
        <v>274</v>
      </c>
      <c r="M1029" s="27">
        <f>IFERROR(VLOOKUP(C1029,Custo_MI_Device!$B$2:$E$102,3,FALSE),0)</f>
        <v>0</v>
      </c>
      <c r="N1029" s="27">
        <f t="shared" si="49"/>
        <v>0</v>
      </c>
      <c r="O1029" s="178">
        <f t="shared" si="50"/>
        <v>0</v>
      </c>
    </row>
    <row r="1030" spans="1:15" ht="25.5" hidden="1">
      <c r="A1030" s="25">
        <v>1611</v>
      </c>
      <c r="B1030" s="25" t="s">
        <v>40</v>
      </c>
      <c r="C1030" s="26" t="s">
        <v>61</v>
      </c>
      <c r="D1030" s="27">
        <v>39174090</v>
      </c>
      <c r="E1030" s="28" t="s">
        <v>275</v>
      </c>
      <c r="F1030" s="29" t="s">
        <v>276</v>
      </c>
      <c r="G1030" s="30">
        <v>2</v>
      </c>
      <c r="H1030" s="27" t="s">
        <v>137</v>
      </c>
      <c r="I1030" s="26" t="s">
        <v>277</v>
      </c>
      <c r="J1030" s="31">
        <v>7.8</v>
      </c>
      <c r="K1030" s="32">
        <f t="shared" si="48"/>
        <v>15.6</v>
      </c>
      <c r="L1030" s="29" t="s">
        <v>276</v>
      </c>
      <c r="M1030" s="27">
        <f>IFERROR(VLOOKUP(C1030,Custo_MI_Device!$B$2:$E$102,3,FALSE),0)</f>
        <v>0</v>
      </c>
      <c r="N1030" s="27">
        <f t="shared" si="49"/>
        <v>0</v>
      </c>
      <c r="O1030" s="178">
        <f t="shared" si="50"/>
        <v>0</v>
      </c>
    </row>
    <row r="1031" spans="1:15" ht="12.75" hidden="1">
      <c r="A1031" s="25">
        <v>5081</v>
      </c>
      <c r="B1031" s="25" t="s">
        <v>40</v>
      </c>
      <c r="C1031" s="26" t="s">
        <v>61</v>
      </c>
      <c r="D1031" s="27">
        <v>73145000</v>
      </c>
      <c r="E1031" s="28" t="s">
        <v>278</v>
      </c>
      <c r="F1031" s="29">
        <v>0</v>
      </c>
      <c r="G1031" s="30">
        <v>1</v>
      </c>
      <c r="H1031" s="27" t="s">
        <v>137</v>
      </c>
      <c r="I1031" s="26" t="s">
        <v>279</v>
      </c>
      <c r="J1031" s="31">
        <v>23</v>
      </c>
      <c r="K1031" s="32">
        <f t="shared" si="48"/>
        <v>23</v>
      </c>
      <c r="L1031" s="29" t="s">
        <v>280</v>
      </c>
      <c r="M1031" s="27">
        <f>IFERROR(VLOOKUP(C1031,Custo_MI_Device!$B$2:$E$102,3,FALSE),0)</f>
        <v>0</v>
      </c>
      <c r="N1031" s="27">
        <f t="shared" si="49"/>
        <v>0</v>
      </c>
      <c r="O1031" s="178">
        <f t="shared" si="50"/>
        <v>0</v>
      </c>
    </row>
    <row r="1032" spans="1:15" ht="25.5" hidden="1">
      <c r="A1032" s="25">
        <v>2973</v>
      </c>
      <c r="B1032" s="25" t="s">
        <v>40</v>
      </c>
      <c r="C1032" s="26" t="s">
        <v>61</v>
      </c>
      <c r="D1032" s="27">
        <v>73072200</v>
      </c>
      <c r="E1032" s="28" t="s">
        <v>281</v>
      </c>
      <c r="F1032" s="29" t="s">
        <v>282</v>
      </c>
      <c r="G1032" s="30">
        <v>2</v>
      </c>
      <c r="H1032" s="27" t="s">
        <v>137</v>
      </c>
      <c r="I1032" s="26" t="s">
        <v>218</v>
      </c>
      <c r="J1032" s="31">
        <v>29</v>
      </c>
      <c r="K1032" s="32">
        <f t="shared" si="48"/>
        <v>58</v>
      </c>
      <c r="L1032" s="29" t="s">
        <v>282</v>
      </c>
      <c r="M1032" s="27">
        <f>IFERROR(VLOOKUP(C1032,Custo_MI_Device!$B$2:$E$102,3,FALSE),0)</f>
        <v>0</v>
      </c>
      <c r="N1032" s="27">
        <f t="shared" si="49"/>
        <v>0</v>
      </c>
      <c r="O1032" s="178">
        <f t="shared" si="50"/>
        <v>0</v>
      </c>
    </row>
    <row r="1033" spans="1:15" ht="25.5" hidden="1">
      <c r="A1033" s="25">
        <v>5194</v>
      </c>
      <c r="B1033" s="25" t="s">
        <v>40</v>
      </c>
      <c r="C1033" s="26" t="s">
        <v>61</v>
      </c>
      <c r="D1033" s="27">
        <v>73041010</v>
      </c>
      <c r="E1033" s="28" t="s">
        <v>289</v>
      </c>
      <c r="F1033" s="29" t="s">
        <v>290</v>
      </c>
      <c r="G1033" s="30">
        <v>3</v>
      </c>
      <c r="H1033" s="27" t="s">
        <v>232</v>
      </c>
      <c r="I1033" s="26" t="s">
        <v>218</v>
      </c>
      <c r="J1033" s="31">
        <f>21.5*6</f>
        <v>129</v>
      </c>
      <c r="K1033" s="32">
        <f t="shared" si="48"/>
        <v>387</v>
      </c>
      <c r="L1033" s="29" t="s">
        <v>290</v>
      </c>
      <c r="M1033" s="27">
        <f>IFERROR(VLOOKUP(C1033,Custo_MI_Device!$B$2:$E$102,3,FALSE),0)</f>
        <v>0</v>
      </c>
      <c r="N1033" s="27">
        <f t="shared" si="49"/>
        <v>0</v>
      </c>
      <c r="O1033" s="178">
        <f t="shared" si="50"/>
        <v>0</v>
      </c>
    </row>
    <row r="1034" spans="1:15" ht="25.5" hidden="1">
      <c r="A1034" s="25">
        <v>2125</v>
      </c>
      <c r="B1034" s="25" t="s">
        <v>40</v>
      </c>
      <c r="C1034" s="26" t="s">
        <v>61</v>
      </c>
      <c r="D1034" s="27">
        <v>84818039</v>
      </c>
      <c r="E1034" s="28" t="s">
        <v>301</v>
      </c>
      <c r="F1034" s="29">
        <v>0</v>
      </c>
      <c r="G1034" s="30">
        <v>2</v>
      </c>
      <c r="H1034" s="27" t="s">
        <v>137</v>
      </c>
      <c r="I1034" s="26" t="s">
        <v>220</v>
      </c>
      <c r="J1034" s="31">
        <v>175</v>
      </c>
      <c r="K1034" s="32">
        <f t="shared" si="48"/>
        <v>350</v>
      </c>
      <c r="L1034" s="29" t="s">
        <v>302</v>
      </c>
      <c r="M1034" s="27">
        <f>IFERROR(VLOOKUP(C1034,Custo_MI_Device!$B$2:$E$102,3,FALSE),0)</f>
        <v>0</v>
      </c>
      <c r="N1034" s="27">
        <f t="shared" si="49"/>
        <v>0</v>
      </c>
      <c r="O1034" s="178">
        <f t="shared" si="50"/>
        <v>0</v>
      </c>
    </row>
    <row r="1035" spans="1:15" ht="12.75" hidden="1">
      <c r="A1035" s="25">
        <v>3778</v>
      </c>
      <c r="B1035" s="25" t="s">
        <v>40</v>
      </c>
      <c r="C1035" s="26" t="s">
        <v>62</v>
      </c>
      <c r="D1035" s="27">
        <v>73072900</v>
      </c>
      <c r="E1035" s="28" t="s">
        <v>310</v>
      </c>
      <c r="F1035" s="29" t="s">
        <v>311</v>
      </c>
      <c r="G1035" s="30">
        <v>24</v>
      </c>
      <c r="H1035" s="27" t="s">
        <v>137</v>
      </c>
      <c r="I1035" s="26" t="s">
        <v>256</v>
      </c>
      <c r="J1035" s="31">
        <v>0.65</v>
      </c>
      <c r="K1035" s="32">
        <f t="shared" si="48"/>
        <v>15.600000000000001</v>
      </c>
      <c r="L1035" s="29" t="s">
        <v>311</v>
      </c>
      <c r="M1035" s="27">
        <f>IFERROR(VLOOKUP(C1035,Custo_MI_Device!$B$2:$E$102,3,FALSE),0)</f>
        <v>0</v>
      </c>
      <c r="N1035" s="27">
        <f t="shared" si="49"/>
        <v>0</v>
      </c>
      <c r="O1035" s="178">
        <f t="shared" si="50"/>
        <v>0</v>
      </c>
    </row>
    <row r="1036" spans="1:15" ht="12.75" hidden="1">
      <c r="A1036" s="25">
        <v>2534</v>
      </c>
      <c r="B1036" s="25" t="s">
        <v>40</v>
      </c>
      <c r="C1036" s="26" t="s">
        <v>62</v>
      </c>
      <c r="D1036" s="27">
        <v>73072900</v>
      </c>
      <c r="E1036" s="28" t="s">
        <v>314</v>
      </c>
      <c r="F1036" s="29" t="s">
        <v>315</v>
      </c>
      <c r="G1036" s="30">
        <v>12</v>
      </c>
      <c r="H1036" s="27" t="s">
        <v>137</v>
      </c>
      <c r="I1036" s="26" t="s">
        <v>256</v>
      </c>
      <c r="J1036" s="31">
        <v>1.2</v>
      </c>
      <c r="K1036" s="32">
        <f t="shared" si="48"/>
        <v>14.399999999999999</v>
      </c>
      <c r="L1036" s="29" t="s">
        <v>315</v>
      </c>
      <c r="M1036" s="27">
        <f>IFERROR(VLOOKUP(C1036,Custo_MI_Device!$B$2:$E$102,3,FALSE),0)</f>
        <v>0</v>
      </c>
      <c r="N1036" s="27">
        <f t="shared" si="49"/>
        <v>0</v>
      </c>
      <c r="O1036" s="178">
        <f t="shared" si="50"/>
        <v>0</v>
      </c>
    </row>
    <row r="1037" spans="1:15" ht="12.75" hidden="1">
      <c r="A1037" s="25">
        <v>1669</v>
      </c>
      <c r="B1037" s="25" t="s">
        <v>40</v>
      </c>
      <c r="C1037" s="26" t="s">
        <v>62</v>
      </c>
      <c r="D1037" s="27">
        <v>39269090</v>
      </c>
      <c r="E1037" s="28" t="s">
        <v>316</v>
      </c>
      <c r="F1037" s="29" t="s">
        <v>317</v>
      </c>
      <c r="G1037" s="30">
        <v>3</v>
      </c>
      <c r="H1037" s="27" t="s">
        <v>137</v>
      </c>
      <c r="I1037" s="26" t="s">
        <v>318</v>
      </c>
      <c r="J1037" s="31">
        <v>0.04</v>
      </c>
      <c r="K1037" s="32">
        <f t="shared" si="48"/>
        <v>0.12</v>
      </c>
      <c r="L1037" s="29" t="s">
        <v>317</v>
      </c>
      <c r="M1037" s="27">
        <f>IFERROR(VLOOKUP(C1037,Custo_MI_Device!$B$2:$E$102,3,FALSE),0)</f>
        <v>0</v>
      </c>
      <c r="N1037" s="27">
        <f t="shared" si="49"/>
        <v>0</v>
      </c>
      <c r="O1037" s="178">
        <f t="shared" si="50"/>
        <v>0</v>
      </c>
    </row>
    <row r="1038" spans="1:15" ht="12.75" hidden="1">
      <c r="A1038" s="25">
        <v>5091</v>
      </c>
      <c r="B1038" s="25" t="s">
        <v>40</v>
      </c>
      <c r="C1038" s="26" t="s">
        <v>62</v>
      </c>
      <c r="D1038" s="27">
        <v>73181500</v>
      </c>
      <c r="E1038" s="28" t="s">
        <v>323</v>
      </c>
      <c r="F1038" s="29" t="s">
        <v>324</v>
      </c>
      <c r="G1038" s="30">
        <v>24</v>
      </c>
      <c r="H1038" s="27" t="s">
        <v>137</v>
      </c>
      <c r="I1038" s="26" t="s">
        <v>256</v>
      </c>
      <c r="J1038" s="31">
        <v>0.04</v>
      </c>
      <c r="K1038" s="32">
        <f t="shared" si="48"/>
        <v>0.96</v>
      </c>
      <c r="L1038" s="29" t="s">
        <v>324</v>
      </c>
      <c r="M1038" s="27">
        <f>IFERROR(VLOOKUP(C1038,Custo_MI_Device!$B$2:$E$102,3,FALSE),0)</f>
        <v>0</v>
      </c>
      <c r="N1038" s="27">
        <f t="shared" si="49"/>
        <v>0</v>
      </c>
      <c r="O1038" s="178">
        <f t="shared" si="50"/>
        <v>0</v>
      </c>
    </row>
    <row r="1039" spans="1:15" ht="12.75" hidden="1">
      <c r="A1039" s="25">
        <v>5091</v>
      </c>
      <c r="B1039" s="25" t="s">
        <v>40</v>
      </c>
      <c r="C1039" s="26" t="s">
        <v>62</v>
      </c>
      <c r="D1039" s="27">
        <v>73181500</v>
      </c>
      <c r="E1039" s="28" t="s">
        <v>323</v>
      </c>
      <c r="F1039" s="29" t="s">
        <v>324</v>
      </c>
      <c r="G1039" s="30">
        <v>48</v>
      </c>
      <c r="H1039" s="27" t="s">
        <v>137</v>
      </c>
      <c r="I1039" s="26" t="s">
        <v>256</v>
      </c>
      <c r="J1039" s="31">
        <v>0.04</v>
      </c>
      <c r="K1039" s="32">
        <f t="shared" si="48"/>
        <v>1.92</v>
      </c>
      <c r="L1039" s="29" t="s">
        <v>324</v>
      </c>
      <c r="M1039" s="27">
        <f>IFERROR(VLOOKUP(C1039,Custo_MI_Device!$B$2:$E$102,3,FALSE),0)</f>
        <v>0</v>
      </c>
      <c r="N1039" s="27">
        <f t="shared" si="49"/>
        <v>0</v>
      </c>
      <c r="O1039" s="178">
        <f t="shared" si="50"/>
        <v>0</v>
      </c>
    </row>
    <row r="1040" spans="1:15" ht="12.75" hidden="1">
      <c r="A1040" s="25">
        <v>1117</v>
      </c>
      <c r="B1040" s="25" t="s">
        <v>40</v>
      </c>
      <c r="C1040" s="26" t="s">
        <v>62</v>
      </c>
      <c r="D1040" s="27"/>
      <c r="E1040" s="28" t="s">
        <v>145</v>
      </c>
      <c r="F1040" s="29" t="s">
        <v>146</v>
      </c>
      <c r="G1040" s="30">
        <v>1</v>
      </c>
      <c r="H1040" s="27" t="s">
        <v>137</v>
      </c>
      <c r="I1040" s="26" t="s">
        <v>138</v>
      </c>
      <c r="J1040" s="31">
        <v>1.95</v>
      </c>
      <c r="K1040" s="32">
        <f t="shared" si="48"/>
        <v>1.95</v>
      </c>
      <c r="L1040" s="29" t="s">
        <v>146</v>
      </c>
      <c r="M1040" s="27">
        <f>IFERROR(VLOOKUP(C1040,Custo_MI_Device!$B$2:$E$102,3,FALSE),0)</f>
        <v>0</v>
      </c>
      <c r="N1040" s="27">
        <f t="shared" si="49"/>
        <v>0</v>
      </c>
      <c r="O1040" s="178">
        <f t="shared" si="50"/>
        <v>0</v>
      </c>
    </row>
    <row r="1041" spans="1:15" ht="12.75" hidden="1">
      <c r="A1041" s="25">
        <v>3080</v>
      </c>
      <c r="B1041" s="25" t="s">
        <v>40</v>
      </c>
      <c r="C1041" s="26" t="s">
        <v>62</v>
      </c>
      <c r="D1041" s="27">
        <v>74122000</v>
      </c>
      <c r="E1041" s="28" t="s">
        <v>153</v>
      </c>
      <c r="F1041" s="29" t="s">
        <v>154</v>
      </c>
      <c r="G1041" s="30">
        <v>1</v>
      </c>
      <c r="H1041" s="27" t="s">
        <v>137</v>
      </c>
      <c r="I1041" s="26" t="s">
        <v>155</v>
      </c>
      <c r="J1041" s="31">
        <v>3.3</v>
      </c>
      <c r="K1041" s="32">
        <f t="shared" si="48"/>
        <v>3.3</v>
      </c>
      <c r="L1041" s="29" t="s">
        <v>154</v>
      </c>
      <c r="M1041" s="27">
        <f>IFERROR(VLOOKUP(C1041,Custo_MI_Device!$B$2:$E$102,3,FALSE),0)</f>
        <v>0</v>
      </c>
      <c r="N1041" s="27">
        <f t="shared" si="49"/>
        <v>0</v>
      </c>
      <c r="O1041" s="178">
        <f t="shared" si="50"/>
        <v>0</v>
      </c>
    </row>
    <row r="1042" spans="1:15" ht="25.5" hidden="1">
      <c r="A1042" s="25">
        <v>5139</v>
      </c>
      <c r="B1042" s="25" t="s">
        <v>40</v>
      </c>
      <c r="C1042" s="26" t="s">
        <v>62</v>
      </c>
      <c r="D1042" s="27">
        <v>85444900</v>
      </c>
      <c r="E1042" s="28" t="s">
        <v>170</v>
      </c>
      <c r="F1042" s="29" t="s">
        <v>171</v>
      </c>
      <c r="G1042" s="30">
        <v>15</v>
      </c>
      <c r="H1042" s="27" t="s">
        <v>158</v>
      </c>
      <c r="I1042" s="26" t="s">
        <v>172</v>
      </c>
      <c r="J1042" s="31">
        <v>7.5</v>
      </c>
      <c r="K1042" s="32">
        <f t="shared" si="48"/>
        <v>112.5</v>
      </c>
      <c r="L1042" s="29" t="s">
        <v>173</v>
      </c>
      <c r="M1042" s="27">
        <f>IFERROR(VLOOKUP(C1042,Custo_MI_Device!$B$2:$E$102,3,FALSE),0)</f>
        <v>0</v>
      </c>
      <c r="N1042" s="27">
        <f t="shared" si="49"/>
        <v>0</v>
      </c>
      <c r="O1042" s="178">
        <f t="shared" si="50"/>
        <v>0</v>
      </c>
    </row>
    <row r="1043" spans="1:15" ht="12.75" hidden="1">
      <c r="A1043" s="25">
        <v>2805</v>
      </c>
      <c r="B1043" s="25" t="s">
        <v>40</v>
      </c>
      <c r="C1043" s="26" t="s">
        <v>62</v>
      </c>
      <c r="D1043" s="27">
        <v>72162100</v>
      </c>
      <c r="E1043" s="28" t="s">
        <v>174</v>
      </c>
      <c r="F1043" s="29">
        <v>0</v>
      </c>
      <c r="G1043" s="30">
        <v>2.9</v>
      </c>
      <c r="H1043" s="27" t="s">
        <v>175</v>
      </c>
      <c r="I1043" s="26" t="s">
        <v>176</v>
      </c>
      <c r="J1043" s="31">
        <v>4.22</v>
      </c>
      <c r="K1043" s="32">
        <f t="shared" si="48"/>
        <v>12.238</v>
      </c>
      <c r="L1043" s="29" t="s">
        <v>177</v>
      </c>
      <c r="M1043" s="27">
        <f>IFERROR(VLOOKUP(C1043,Custo_MI_Device!$B$2:$E$102,3,FALSE),0)</f>
        <v>0</v>
      </c>
      <c r="N1043" s="27">
        <f t="shared" si="49"/>
        <v>0</v>
      </c>
      <c r="O1043" s="178">
        <f t="shared" si="50"/>
        <v>0</v>
      </c>
    </row>
    <row r="1044" spans="1:15" ht="12.75" hidden="1">
      <c r="A1044" s="25">
        <v>2904</v>
      </c>
      <c r="B1044" s="25" t="s">
        <v>40</v>
      </c>
      <c r="C1044" s="26" t="s">
        <v>62</v>
      </c>
      <c r="D1044" s="27">
        <v>76090000</v>
      </c>
      <c r="E1044" s="28" t="s">
        <v>195</v>
      </c>
      <c r="F1044" s="29" t="s">
        <v>196</v>
      </c>
      <c r="G1044" s="30">
        <v>0.75</v>
      </c>
      <c r="H1044" s="27" t="s">
        <v>137</v>
      </c>
      <c r="I1044" s="26" t="s">
        <v>138</v>
      </c>
      <c r="J1044" s="31">
        <v>6.7</v>
      </c>
      <c r="K1044" s="32">
        <f t="shared" si="48"/>
        <v>5.0250000000000004</v>
      </c>
      <c r="L1044" s="29" t="s">
        <v>196</v>
      </c>
      <c r="M1044" s="27">
        <f>IFERROR(VLOOKUP(C1044,Custo_MI_Device!$B$2:$E$102,3,FALSE),0)</f>
        <v>0</v>
      </c>
      <c r="N1044" s="27">
        <f t="shared" si="49"/>
        <v>0</v>
      </c>
      <c r="O1044" s="178">
        <f t="shared" si="50"/>
        <v>0</v>
      </c>
    </row>
    <row r="1045" spans="1:15" ht="12.75" hidden="1">
      <c r="A1045" s="25">
        <v>2911</v>
      </c>
      <c r="B1045" s="25" t="s">
        <v>40</v>
      </c>
      <c r="C1045" s="26" t="s">
        <v>62</v>
      </c>
      <c r="D1045" s="27">
        <v>76090000</v>
      </c>
      <c r="E1045" s="28" t="s">
        <v>197</v>
      </c>
      <c r="F1045" s="29" t="s">
        <v>198</v>
      </c>
      <c r="G1045" s="30">
        <v>0.75</v>
      </c>
      <c r="H1045" s="27" t="s">
        <v>137</v>
      </c>
      <c r="I1045" s="26" t="s">
        <v>138</v>
      </c>
      <c r="J1045" s="31">
        <v>6.7</v>
      </c>
      <c r="K1045" s="32">
        <f t="shared" si="48"/>
        <v>5.0250000000000004</v>
      </c>
      <c r="L1045" s="29" t="s">
        <v>198</v>
      </c>
      <c r="M1045" s="27">
        <f>IFERROR(VLOOKUP(C1045,Custo_MI_Device!$B$2:$E$102,3,FALSE),0)</f>
        <v>0</v>
      </c>
      <c r="N1045" s="27">
        <f t="shared" si="49"/>
        <v>0</v>
      </c>
      <c r="O1045" s="178">
        <f t="shared" si="50"/>
        <v>0</v>
      </c>
    </row>
    <row r="1046" spans="1:15" ht="12.75" hidden="1">
      <c r="A1046" s="25">
        <v>4823</v>
      </c>
      <c r="B1046" s="25" t="s">
        <v>40</v>
      </c>
      <c r="C1046" s="26" t="s">
        <v>62</v>
      </c>
      <c r="D1046" s="27">
        <v>76090000</v>
      </c>
      <c r="E1046" s="28" t="s">
        <v>199</v>
      </c>
      <c r="F1046" s="29" t="s">
        <v>200</v>
      </c>
      <c r="G1046" s="30">
        <v>0.75</v>
      </c>
      <c r="H1046" s="27" t="s">
        <v>137</v>
      </c>
      <c r="I1046" s="26" t="s">
        <v>138</v>
      </c>
      <c r="J1046" s="31">
        <v>6.7</v>
      </c>
      <c r="K1046" s="32">
        <f t="shared" si="48"/>
        <v>5.0250000000000004</v>
      </c>
      <c r="L1046" s="29" t="s">
        <v>200</v>
      </c>
      <c r="M1046" s="27">
        <f>IFERROR(VLOOKUP(C1046,Custo_MI_Device!$B$2:$E$102,3,FALSE),0)</f>
        <v>0</v>
      </c>
      <c r="N1046" s="27">
        <f t="shared" si="49"/>
        <v>0</v>
      </c>
      <c r="O1046" s="178">
        <f t="shared" si="50"/>
        <v>0</v>
      </c>
    </row>
    <row r="1047" spans="1:15" ht="25.5" hidden="1">
      <c r="A1047" s="25">
        <v>2909</v>
      </c>
      <c r="B1047" s="25" t="s">
        <v>40</v>
      </c>
      <c r="C1047" s="26" t="s">
        <v>62</v>
      </c>
      <c r="D1047" s="27">
        <v>73072200</v>
      </c>
      <c r="E1047" s="28" t="s">
        <v>216</v>
      </c>
      <c r="F1047" s="29" t="s">
        <v>217</v>
      </c>
      <c r="G1047" s="30">
        <v>3</v>
      </c>
      <c r="H1047" s="27" t="s">
        <v>137</v>
      </c>
      <c r="I1047" s="26" t="s">
        <v>218</v>
      </c>
      <c r="J1047" s="31">
        <v>27.7</v>
      </c>
      <c r="K1047" s="32">
        <f t="shared" si="48"/>
        <v>83.1</v>
      </c>
      <c r="L1047" s="29" t="s">
        <v>217</v>
      </c>
      <c r="M1047" s="27">
        <f>IFERROR(VLOOKUP(C1047,Custo_MI_Device!$B$2:$E$102,3,FALSE),0)</f>
        <v>0</v>
      </c>
      <c r="N1047" s="27">
        <f t="shared" si="49"/>
        <v>0</v>
      </c>
      <c r="O1047" s="178">
        <f t="shared" si="50"/>
        <v>0</v>
      </c>
    </row>
    <row r="1048" spans="1:15" ht="25.5" hidden="1">
      <c r="A1048" s="25">
        <v>1535</v>
      </c>
      <c r="B1048" s="25" t="s">
        <v>40</v>
      </c>
      <c r="C1048" s="26" t="s">
        <v>62</v>
      </c>
      <c r="D1048" s="27">
        <v>73072200</v>
      </c>
      <c r="E1048" s="28" t="s">
        <v>219</v>
      </c>
      <c r="F1048" s="29">
        <v>0</v>
      </c>
      <c r="G1048" s="30">
        <v>1</v>
      </c>
      <c r="H1048" s="27" t="s">
        <v>137</v>
      </c>
      <c r="I1048" s="26" t="s">
        <v>220</v>
      </c>
      <c r="J1048" s="31">
        <v>35</v>
      </c>
      <c r="K1048" s="32">
        <f t="shared" si="48"/>
        <v>35</v>
      </c>
      <c r="L1048" s="29" t="s">
        <v>221</v>
      </c>
      <c r="M1048" s="27">
        <f>IFERROR(VLOOKUP(C1048,Custo_MI_Device!$B$2:$E$102,3,FALSE),0)</f>
        <v>0</v>
      </c>
      <c r="N1048" s="27">
        <f t="shared" si="49"/>
        <v>0</v>
      </c>
      <c r="O1048" s="178">
        <f t="shared" si="50"/>
        <v>0</v>
      </c>
    </row>
    <row r="1049" spans="1:15" ht="25.5" hidden="1">
      <c r="A1049" s="25">
        <v>2300</v>
      </c>
      <c r="B1049" s="25" t="s">
        <v>40</v>
      </c>
      <c r="C1049" s="26" t="s">
        <v>62</v>
      </c>
      <c r="D1049" s="27">
        <v>73072200</v>
      </c>
      <c r="E1049" s="28" t="s">
        <v>222</v>
      </c>
      <c r="F1049" s="29" t="s">
        <v>223</v>
      </c>
      <c r="G1049" s="30">
        <v>2</v>
      </c>
      <c r="H1049" s="27" t="s">
        <v>137</v>
      </c>
      <c r="I1049" s="26" t="s">
        <v>218</v>
      </c>
      <c r="J1049" s="31">
        <v>41</v>
      </c>
      <c r="K1049" s="32">
        <f t="shared" si="48"/>
        <v>82</v>
      </c>
      <c r="L1049" s="29" t="s">
        <v>223</v>
      </c>
      <c r="M1049" s="27">
        <f>IFERROR(VLOOKUP(C1049,Custo_MI_Device!$B$2:$E$102,3,FALSE),0)</f>
        <v>0</v>
      </c>
      <c r="N1049" s="27">
        <f t="shared" si="49"/>
        <v>0</v>
      </c>
      <c r="O1049" s="178">
        <f t="shared" si="50"/>
        <v>0</v>
      </c>
    </row>
    <row r="1050" spans="1:15" ht="25.5" hidden="1">
      <c r="A1050" s="25">
        <v>7163</v>
      </c>
      <c r="B1050" s="25" t="s">
        <v>40</v>
      </c>
      <c r="C1050" s="26" t="s">
        <v>62</v>
      </c>
      <c r="D1050" s="27">
        <v>73072200</v>
      </c>
      <c r="E1050" s="28" t="s">
        <v>224</v>
      </c>
      <c r="F1050" s="29">
        <v>0</v>
      </c>
      <c r="G1050" s="30">
        <v>2</v>
      </c>
      <c r="H1050" s="27" t="s">
        <v>137</v>
      </c>
      <c r="I1050" s="26" t="s">
        <v>220</v>
      </c>
      <c r="J1050" s="31">
        <v>58</v>
      </c>
      <c r="K1050" s="32">
        <f t="shared" si="48"/>
        <v>116</v>
      </c>
      <c r="L1050" s="29" t="s">
        <v>225</v>
      </c>
      <c r="M1050" s="27">
        <f>IFERROR(VLOOKUP(C1050,Custo_MI_Device!$B$2:$E$102,3,FALSE),0)</f>
        <v>0</v>
      </c>
      <c r="N1050" s="27">
        <f t="shared" si="49"/>
        <v>0</v>
      </c>
      <c r="O1050" s="178">
        <f t="shared" si="50"/>
        <v>0</v>
      </c>
    </row>
    <row r="1051" spans="1:15" ht="25.5" hidden="1">
      <c r="A1051" s="25">
        <v>4306</v>
      </c>
      <c r="B1051" s="25" t="s">
        <v>40</v>
      </c>
      <c r="C1051" s="26" t="s">
        <v>62</v>
      </c>
      <c r="D1051" s="27">
        <v>73063000</v>
      </c>
      <c r="E1051" s="28" t="s">
        <v>239</v>
      </c>
      <c r="F1051" s="29">
        <v>0</v>
      </c>
      <c r="G1051" s="30">
        <v>2</v>
      </c>
      <c r="H1051" s="27" t="s">
        <v>232</v>
      </c>
      <c r="I1051" s="26" t="s">
        <v>233</v>
      </c>
      <c r="J1051" s="31">
        <v>32</v>
      </c>
      <c r="K1051" s="32">
        <f t="shared" si="48"/>
        <v>64</v>
      </c>
      <c r="L1051" s="29" t="s">
        <v>240</v>
      </c>
      <c r="M1051" s="27">
        <f>IFERROR(VLOOKUP(C1051,Custo_MI_Device!$B$2:$E$102,3,FALSE),0)</f>
        <v>0</v>
      </c>
      <c r="N1051" s="27">
        <f t="shared" si="49"/>
        <v>0</v>
      </c>
      <c r="O1051" s="178">
        <f t="shared" si="50"/>
        <v>0</v>
      </c>
    </row>
    <row r="1052" spans="1:15" ht="12.75" hidden="1">
      <c r="A1052" s="25">
        <v>3274</v>
      </c>
      <c r="B1052" s="25" t="s">
        <v>40</v>
      </c>
      <c r="C1052" s="26" t="s">
        <v>62</v>
      </c>
      <c r="D1052" s="27">
        <v>73181500</v>
      </c>
      <c r="E1052" s="28" t="s">
        <v>265</v>
      </c>
      <c r="F1052" s="29" t="s">
        <v>266</v>
      </c>
      <c r="G1052" s="30">
        <v>24</v>
      </c>
      <c r="H1052" s="27" t="s">
        <v>137</v>
      </c>
      <c r="I1052" s="26" t="s">
        <v>256</v>
      </c>
      <c r="J1052" s="31">
        <v>0.06</v>
      </c>
      <c r="K1052" s="32">
        <f t="shared" si="48"/>
        <v>1.44</v>
      </c>
      <c r="L1052" s="29" t="s">
        <v>266</v>
      </c>
      <c r="M1052" s="27">
        <f>IFERROR(VLOOKUP(C1052,Custo_MI_Device!$B$2:$E$102,3,FALSE),0)</f>
        <v>0</v>
      </c>
      <c r="N1052" s="27">
        <f t="shared" si="49"/>
        <v>0</v>
      </c>
      <c r="O1052" s="178">
        <f t="shared" si="50"/>
        <v>0</v>
      </c>
    </row>
    <row r="1053" spans="1:15" ht="12.75" hidden="1">
      <c r="A1053" s="25">
        <v>3274</v>
      </c>
      <c r="B1053" s="25" t="s">
        <v>40</v>
      </c>
      <c r="C1053" s="26" t="s">
        <v>62</v>
      </c>
      <c r="D1053" s="27">
        <v>73181500</v>
      </c>
      <c r="E1053" s="28" t="s">
        <v>265</v>
      </c>
      <c r="F1053" s="29" t="s">
        <v>266</v>
      </c>
      <c r="G1053" s="30">
        <v>48</v>
      </c>
      <c r="H1053" s="27" t="s">
        <v>137</v>
      </c>
      <c r="I1053" s="26" t="s">
        <v>256</v>
      </c>
      <c r="J1053" s="31">
        <v>0.06</v>
      </c>
      <c r="K1053" s="32">
        <f t="shared" si="48"/>
        <v>2.88</v>
      </c>
      <c r="L1053" s="29" t="s">
        <v>266</v>
      </c>
      <c r="M1053" s="27">
        <f>IFERROR(VLOOKUP(C1053,Custo_MI_Device!$B$2:$E$102,3,FALSE),0)</f>
        <v>0</v>
      </c>
      <c r="N1053" s="27">
        <f t="shared" si="49"/>
        <v>0</v>
      </c>
      <c r="O1053" s="178">
        <f t="shared" si="50"/>
        <v>0</v>
      </c>
    </row>
    <row r="1054" spans="1:15" ht="25.5" hidden="1">
      <c r="A1054" s="25">
        <v>6767</v>
      </c>
      <c r="B1054" s="25" t="s">
        <v>40</v>
      </c>
      <c r="C1054" s="26" t="s">
        <v>62</v>
      </c>
      <c r="D1054" s="27">
        <v>90262090</v>
      </c>
      <c r="E1054" s="28" t="s">
        <v>273</v>
      </c>
      <c r="F1054" s="29">
        <v>0</v>
      </c>
      <c r="G1054" s="33">
        <v>0</v>
      </c>
      <c r="H1054" s="27" t="s">
        <v>137</v>
      </c>
      <c r="I1054" s="26" t="s">
        <v>220</v>
      </c>
      <c r="J1054" s="31">
        <v>2150</v>
      </c>
      <c r="K1054" s="32">
        <f t="shared" si="48"/>
        <v>0</v>
      </c>
      <c r="L1054" s="29" t="s">
        <v>274</v>
      </c>
      <c r="M1054" s="27">
        <f>IFERROR(VLOOKUP(C1054,Custo_MI_Device!$B$2:$E$102,3,FALSE),0)</f>
        <v>0</v>
      </c>
      <c r="N1054" s="27">
        <f t="shared" si="49"/>
        <v>0</v>
      </c>
      <c r="O1054" s="178">
        <f t="shared" si="50"/>
        <v>0</v>
      </c>
    </row>
    <row r="1055" spans="1:15" ht="25.5" hidden="1">
      <c r="A1055" s="25">
        <v>1611</v>
      </c>
      <c r="B1055" s="25" t="s">
        <v>40</v>
      </c>
      <c r="C1055" s="26" t="s">
        <v>62</v>
      </c>
      <c r="D1055" s="27">
        <v>39174090</v>
      </c>
      <c r="E1055" s="28" t="s">
        <v>275</v>
      </c>
      <c r="F1055" s="29" t="s">
        <v>276</v>
      </c>
      <c r="G1055" s="30">
        <v>2</v>
      </c>
      <c r="H1055" s="27" t="s">
        <v>137</v>
      </c>
      <c r="I1055" s="26" t="s">
        <v>277</v>
      </c>
      <c r="J1055" s="31">
        <v>7.8</v>
      </c>
      <c r="K1055" s="32">
        <f t="shared" si="48"/>
        <v>15.6</v>
      </c>
      <c r="L1055" s="29" t="s">
        <v>276</v>
      </c>
      <c r="M1055" s="27">
        <f>IFERROR(VLOOKUP(C1055,Custo_MI_Device!$B$2:$E$102,3,FALSE),0)</f>
        <v>0</v>
      </c>
      <c r="N1055" s="27">
        <f t="shared" si="49"/>
        <v>0</v>
      </c>
      <c r="O1055" s="178">
        <f t="shared" si="50"/>
        <v>0</v>
      </c>
    </row>
    <row r="1056" spans="1:15" ht="12.75" hidden="1">
      <c r="A1056" s="25">
        <v>5081</v>
      </c>
      <c r="B1056" s="25" t="s">
        <v>40</v>
      </c>
      <c r="C1056" s="26" t="s">
        <v>62</v>
      </c>
      <c r="D1056" s="27">
        <v>73145000</v>
      </c>
      <c r="E1056" s="28" t="s">
        <v>278</v>
      </c>
      <c r="F1056" s="29">
        <v>0</v>
      </c>
      <c r="G1056" s="30">
        <v>1</v>
      </c>
      <c r="H1056" s="27" t="s">
        <v>137</v>
      </c>
      <c r="I1056" s="26" t="s">
        <v>279</v>
      </c>
      <c r="J1056" s="31">
        <v>23</v>
      </c>
      <c r="K1056" s="32">
        <f t="shared" si="48"/>
        <v>23</v>
      </c>
      <c r="L1056" s="29" t="s">
        <v>280</v>
      </c>
      <c r="M1056" s="27">
        <f>IFERROR(VLOOKUP(C1056,Custo_MI_Device!$B$2:$E$102,3,FALSE),0)</f>
        <v>0</v>
      </c>
      <c r="N1056" s="27">
        <f t="shared" si="49"/>
        <v>0</v>
      </c>
      <c r="O1056" s="178">
        <f t="shared" si="50"/>
        <v>0</v>
      </c>
    </row>
    <row r="1057" spans="1:15" ht="25.5" hidden="1">
      <c r="A1057" s="25">
        <v>2973</v>
      </c>
      <c r="B1057" s="25" t="s">
        <v>40</v>
      </c>
      <c r="C1057" s="26" t="s">
        <v>62</v>
      </c>
      <c r="D1057" s="27">
        <v>73072200</v>
      </c>
      <c r="E1057" s="28" t="s">
        <v>281</v>
      </c>
      <c r="F1057" s="29" t="s">
        <v>282</v>
      </c>
      <c r="G1057" s="30">
        <v>2</v>
      </c>
      <c r="H1057" s="27" t="s">
        <v>137</v>
      </c>
      <c r="I1057" s="26" t="s">
        <v>218</v>
      </c>
      <c r="J1057" s="31">
        <v>29</v>
      </c>
      <c r="K1057" s="32">
        <f t="shared" si="48"/>
        <v>58</v>
      </c>
      <c r="L1057" s="29" t="s">
        <v>282</v>
      </c>
      <c r="M1057" s="27">
        <f>IFERROR(VLOOKUP(C1057,Custo_MI_Device!$B$2:$E$102,3,FALSE),0)</f>
        <v>0</v>
      </c>
      <c r="N1057" s="27">
        <f t="shared" si="49"/>
        <v>0</v>
      </c>
      <c r="O1057" s="178">
        <f t="shared" si="50"/>
        <v>0</v>
      </c>
    </row>
    <row r="1058" spans="1:15" ht="25.5" hidden="1">
      <c r="A1058" s="25">
        <v>5194</v>
      </c>
      <c r="B1058" s="25" t="s">
        <v>40</v>
      </c>
      <c r="C1058" s="26" t="s">
        <v>62</v>
      </c>
      <c r="D1058" s="27">
        <v>73041010</v>
      </c>
      <c r="E1058" s="28" t="s">
        <v>289</v>
      </c>
      <c r="F1058" s="29" t="s">
        <v>290</v>
      </c>
      <c r="G1058" s="30">
        <v>3</v>
      </c>
      <c r="H1058" s="27" t="s">
        <v>232</v>
      </c>
      <c r="I1058" s="26" t="s">
        <v>218</v>
      </c>
      <c r="J1058" s="31">
        <f>21.5*6</f>
        <v>129</v>
      </c>
      <c r="K1058" s="32">
        <f t="shared" si="48"/>
        <v>387</v>
      </c>
      <c r="L1058" s="29" t="s">
        <v>290</v>
      </c>
      <c r="M1058" s="27">
        <f>IFERROR(VLOOKUP(C1058,Custo_MI_Device!$B$2:$E$102,3,FALSE),0)</f>
        <v>0</v>
      </c>
      <c r="N1058" s="27">
        <f t="shared" si="49"/>
        <v>0</v>
      </c>
      <c r="O1058" s="178">
        <f t="shared" si="50"/>
        <v>0</v>
      </c>
    </row>
    <row r="1059" spans="1:15" ht="25.5" hidden="1">
      <c r="A1059" s="25">
        <v>2125</v>
      </c>
      <c r="B1059" s="25" t="s">
        <v>40</v>
      </c>
      <c r="C1059" s="26" t="s">
        <v>62</v>
      </c>
      <c r="D1059" s="27">
        <v>84818039</v>
      </c>
      <c r="E1059" s="28" t="s">
        <v>301</v>
      </c>
      <c r="F1059" s="29">
        <v>0</v>
      </c>
      <c r="G1059" s="30">
        <v>2</v>
      </c>
      <c r="H1059" s="27" t="s">
        <v>137</v>
      </c>
      <c r="I1059" s="26" t="s">
        <v>220</v>
      </c>
      <c r="J1059" s="31">
        <v>175</v>
      </c>
      <c r="K1059" s="32">
        <f t="shared" si="48"/>
        <v>350</v>
      </c>
      <c r="L1059" s="29" t="s">
        <v>302</v>
      </c>
      <c r="M1059" s="27">
        <f>IFERROR(VLOOKUP(C1059,Custo_MI_Device!$B$2:$E$102,3,FALSE),0)</f>
        <v>0</v>
      </c>
      <c r="N1059" s="27">
        <f t="shared" si="49"/>
        <v>0</v>
      </c>
      <c r="O1059" s="178">
        <f t="shared" si="50"/>
        <v>0</v>
      </c>
    </row>
    <row r="1060" spans="1:15" ht="12.75" hidden="1">
      <c r="A1060" s="25">
        <v>2534</v>
      </c>
      <c r="B1060" s="25" t="s">
        <v>40</v>
      </c>
      <c r="C1060" s="26" t="s">
        <v>63</v>
      </c>
      <c r="D1060" s="27">
        <v>73072900</v>
      </c>
      <c r="E1060" s="28" t="s">
        <v>314</v>
      </c>
      <c r="F1060" s="29" t="s">
        <v>315</v>
      </c>
      <c r="G1060" s="30">
        <v>12</v>
      </c>
      <c r="H1060" s="27" t="s">
        <v>137</v>
      </c>
      <c r="I1060" s="26" t="s">
        <v>256</v>
      </c>
      <c r="J1060" s="31">
        <v>2.1</v>
      </c>
      <c r="K1060" s="32">
        <f t="shared" si="48"/>
        <v>25.200000000000003</v>
      </c>
      <c r="L1060" s="29" t="s">
        <v>315</v>
      </c>
      <c r="M1060" s="27">
        <f>IFERROR(VLOOKUP(C1060,Custo_MI_Device!$B$2:$E$102,3,FALSE),0)</f>
        <v>0</v>
      </c>
      <c r="N1060" s="27">
        <f t="shared" si="49"/>
        <v>0</v>
      </c>
      <c r="O1060" s="178">
        <f t="shared" si="50"/>
        <v>0</v>
      </c>
    </row>
    <row r="1061" spans="1:15" ht="12.75" hidden="1">
      <c r="A1061" s="25">
        <v>1669</v>
      </c>
      <c r="B1061" s="25" t="s">
        <v>40</v>
      </c>
      <c r="C1061" s="26" t="s">
        <v>63</v>
      </c>
      <c r="D1061" s="27">
        <v>39269090</v>
      </c>
      <c r="E1061" s="28" t="s">
        <v>316</v>
      </c>
      <c r="F1061" s="29" t="s">
        <v>317</v>
      </c>
      <c r="G1061" s="30">
        <v>3</v>
      </c>
      <c r="H1061" s="27" t="s">
        <v>137</v>
      </c>
      <c r="I1061" s="26" t="s">
        <v>318</v>
      </c>
      <c r="J1061" s="31">
        <v>0.04</v>
      </c>
      <c r="K1061" s="32">
        <f t="shared" si="48"/>
        <v>0.12</v>
      </c>
      <c r="L1061" s="29" t="s">
        <v>317</v>
      </c>
      <c r="M1061" s="27">
        <f>IFERROR(VLOOKUP(C1061,Custo_MI_Device!$B$2:$E$102,3,FALSE),0)</f>
        <v>0</v>
      </c>
      <c r="N1061" s="27">
        <f t="shared" si="49"/>
        <v>0</v>
      </c>
      <c r="O1061" s="178">
        <f t="shared" si="50"/>
        <v>0</v>
      </c>
    </row>
    <row r="1062" spans="1:15" ht="12.75" hidden="1">
      <c r="A1062" s="25">
        <v>5091</v>
      </c>
      <c r="B1062" s="25" t="s">
        <v>40</v>
      </c>
      <c r="C1062" s="26" t="s">
        <v>63</v>
      </c>
      <c r="D1062" s="27">
        <v>73181500</v>
      </c>
      <c r="E1062" s="28" t="s">
        <v>323</v>
      </c>
      <c r="F1062" s="29" t="s">
        <v>324</v>
      </c>
      <c r="G1062" s="30">
        <v>24</v>
      </c>
      <c r="H1062" s="27" t="s">
        <v>137</v>
      </c>
      <c r="I1062" s="26" t="s">
        <v>256</v>
      </c>
      <c r="J1062" s="31">
        <v>0.04</v>
      </c>
      <c r="K1062" s="32">
        <f t="shared" si="48"/>
        <v>0.96</v>
      </c>
      <c r="L1062" s="29" t="s">
        <v>324</v>
      </c>
      <c r="M1062" s="27">
        <f>IFERROR(VLOOKUP(C1062,Custo_MI_Device!$B$2:$E$102,3,FALSE),0)</f>
        <v>0</v>
      </c>
      <c r="N1062" s="27">
        <f t="shared" si="49"/>
        <v>0</v>
      </c>
      <c r="O1062" s="178">
        <f t="shared" si="50"/>
        <v>0</v>
      </c>
    </row>
    <row r="1063" spans="1:15" ht="12.75" hidden="1">
      <c r="A1063" s="25">
        <v>1117</v>
      </c>
      <c r="B1063" s="25" t="s">
        <v>40</v>
      </c>
      <c r="C1063" s="26" t="s">
        <v>63</v>
      </c>
      <c r="D1063" s="27"/>
      <c r="E1063" s="28" t="s">
        <v>145</v>
      </c>
      <c r="F1063" s="29" t="s">
        <v>146</v>
      </c>
      <c r="G1063" s="30">
        <v>1</v>
      </c>
      <c r="H1063" s="27" t="s">
        <v>137</v>
      </c>
      <c r="I1063" s="26" t="s">
        <v>138</v>
      </c>
      <c r="J1063" s="31">
        <v>1.95</v>
      </c>
      <c r="K1063" s="32">
        <f t="shared" si="48"/>
        <v>1.95</v>
      </c>
      <c r="L1063" s="29" t="s">
        <v>146</v>
      </c>
      <c r="M1063" s="27">
        <f>IFERROR(VLOOKUP(C1063,Custo_MI_Device!$B$2:$E$102,3,FALSE),0)</f>
        <v>0</v>
      </c>
      <c r="N1063" s="27">
        <f t="shared" si="49"/>
        <v>0</v>
      </c>
      <c r="O1063" s="178">
        <f t="shared" si="50"/>
        <v>0</v>
      </c>
    </row>
    <row r="1064" spans="1:15" ht="38.25" hidden="1">
      <c r="A1064" s="25">
        <v>3585</v>
      </c>
      <c r="B1064" s="25" t="s">
        <v>40</v>
      </c>
      <c r="C1064" s="26" t="s">
        <v>63</v>
      </c>
      <c r="D1064" s="27">
        <v>85444900</v>
      </c>
      <c r="E1064" s="28" t="s">
        <v>328</v>
      </c>
      <c r="F1064" s="29">
        <v>900400</v>
      </c>
      <c r="G1064" s="33">
        <v>60</v>
      </c>
      <c r="H1064" s="27" t="s">
        <v>158</v>
      </c>
      <c r="I1064" s="26" t="s">
        <v>164</v>
      </c>
      <c r="J1064" s="31">
        <v>3.7</v>
      </c>
      <c r="K1064" s="32">
        <f t="shared" si="48"/>
        <v>222</v>
      </c>
      <c r="L1064" s="29">
        <v>900400</v>
      </c>
      <c r="M1064" s="27">
        <f>IFERROR(VLOOKUP(C1064,Custo_MI_Device!$B$2:$E$102,3,FALSE),0)</f>
        <v>0</v>
      </c>
      <c r="N1064" s="27">
        <f t="shared" si="49"/>
        <v>0</v>
      </c>
      <c r="O1064" s="178">
        <f t="shared" si="50"/>
        <v>0</v>
      </c>
    </row>
    <row r="1065" spans="1:15" ht="12.75" hidden="1">
      <c r="A1065" s="25">
        <v>2805</v>
      </c>
      <c r="B1065" s="25" t="s">
        <v>40</v>
      </c>
      <c r="C1065" s="26" t="s">
        <v>63</v>
      </c>
      <c r="D1065" s="27">
        <v>72162100</v>
      </c>
      <c r="E1065" s="28" t="s">
        <v>174</v>
      </c>
      <c r="F1065" s="29">
        <v>0</v>
      </c>
      <c r="G1065" s="30">
        <v>2.9</v>
      </c>
      <c r="H1065" s="27" t="s">
        <v>175</v>
      </c>
      <c r="I1065" s="26" t="s">
        <v>176</v>
      </c>
      <c r="J1065" s="31">
        <v>11</v>
      </c>
      <c r="K1065" s="32">
        <f t="shared" si="48"/>
        <v>31.9</v>
      </c>
      <c r="L1065" s="29" t="s">
        <v>177</v>
      </c>
      <c r="M1065" s="27">
        <f>IFERROR(VLOOKUP(C1065,Custo_MI_Device!$B$2:$E$102,3,FALSE),0)</f>
        <v>0</v>
      </c>
      <c r="N1065" s="27">
        <f t="shared" si="49"/>
        <v>0</v>
      </c>
      <c r="O1065" s="178">
        <f t="shared" si="50"/>
        <v>0</v>
      </c>
    </row>
    <row r="1066" spans="1:15" ht="12.75" hidden="1">
      <c r="A1066" s="25">
        <v>2904</v>
      </c>
      <c r="B1066" s="25" t="s">
        <v>40</v>
      </c>
      <c r="C1066" s="26" t="s">
        <v>63</v>
      </c>
      <c r="D1066" s="27">
        <v>76090000</v>
      </c>
      <c r="E1066" s="28" t="s">
        <v>195</v>
      </c>
      <c r="F1066" s="29" t="s">
        <v>196</v>
      </c>
      <c r="G1066" s="30">
        <v>0.75</v>
      </c>
      <c r="H1066" s="27" t="s">
        <v>137</v>
      </c>
      <c r="I1066" s="26" t="s">
        <v>138</v>
      </c>
      <c r="J1066" s="31">
        <v>12</v>
      </c>
      <c r="K1066" s="32">
        <f t="shared" si="48"/>
        <v>9</v>
      </c>
      <c r="L1066" s="29" t="s">
        <v>196</v>
      </c>
      <c r="M1066" s="27">
        <f>IFERROR(VLOOKUP(C1066,Custo_MI_Device!$B$2:$E$102,3,FALSE),0)</f>
        <v>0</v>
      </c>
      <c r="N1066" s="27">
        <f t="shared" si="49"/>
        <v>0</v>
      </c>
      <c r="O1066" s="178">
        <f t="shared" si="50"/>
        <v>0</v>
      </c>
    </row>
    <row r="1067" spans="1:15" ht="12.75" hidden="1">
      <c r="A1067" s="25">
        <v>2911</v>
      </c>
      <c r="B1067" s="25" t="s">
        <v>40</v>
      </c>
      <c r="C1067" s="26" t="s">
        <v>63</v>
      </c>
      <c r="D1067" s="27">
        <v>76090000</v>
      </c>
      <c r="E1067" s="28" t="s">
        <v>197</v>
      </c>
      <c r="F1067" s="29" t="s">
        <v>198</v>
      </c>
      <c r="G1067" s="30">
        <v>0.75</v>
      </c>
      <c r="H1067" s="27" t="s">
        <v>137</v>
      </c>
      <c r="I1067" s="26" t="s">
        <v>138</v>
      </c>
      <c r="J1067" s="31">
        <v>12</v>
      </c>
      <c r="K1067" s="32">
        <f t="shared" si="48"/>
        <v>9</v>
      </c>
      <c r="L1067" s="29" t="s">
        <v>198</v>
      </c>
      <c r="M1067" s="27">
        <f>IFERROR(VLOOKUP(C1067,Custo_MI_Device!$B$2:$E$102,3,FALSE),0)</f>
        <v>0</v>
      </c>
      <c r="N1067" s="27">
        <f t="shared" si="49"/>
        <v>0</v>
      </c>
      <c r="O1067" s="178">
        <f t="shared" si="50"/>
        <v>0</v>
      </c>
    </row>
    <row r="1068" spans="1:15" ht="12.75" hidden="1">
      <c r="A1068" s="25">
        <v>4823</v>
      </c>
      <c r="B1068" s="25" t="s">
        <v>40</v>
      </c>
      <c r="C1068" s="26" t="s">
        <v>63</v>
      </c>
      <c r="D1068" s="27">
        <v>76090000</v>
      </c>
      <c r="E1068" s="28" t="s">
        <v>199</v>
      </c>
      <c r="F1068" s="29" t="s">
        <v>200</v>
      </c>
      <c r="G1068" s="30">
        <v>0.75</v>
      </c>
      <c r="H1068" s="27" t="s">
        <v>137</v>
      </c>
      <c r="I1068" s="26" t="s">
        <v>138</v>
      </c>
      <c r="J1068" s="31">
        <v>12</v>
      </c>
      <c r="K1068" s="32">
        <f t="shared" si="48"/>
        <v>9</v>
      </c>
      <c r="L1068" s="29" t="s">
        <v>200</v>
      </c>
      <c r="M1068" s="27">
        <f>IFERROR(VLOOKUP(C1068,Custo_MI_Device!$B$2:$E$102,3,FALSE),0)</f>
        <v>0</v>
      </c>
      <c r="N1068" s="27">
        <f t="shared" si="49"/>
        <v>0</v>
      </c>
      <c r="O1068" s="178">
        <f t="shared" si="50"/>
        <v>0</v>
      </c>
    </row>
    <row r="1069" spans="1:15" ht="25.5" hidden="1">
      <c r="A1069" s="25">
        <v>4306</v>
      </c>
      <c r="B1069" s="25" t="s">
        <v>40</v>
      </c>
      <c r="C1069" s="26" t="s">
        <v>63</v>
      </c>
      <c r="D1069" s="27">
        <v>73063000</v>
      </c>
      <c r="E1069" s="28" t="s">
        <v>239</v>
      </c>
      <c r="F1069" s="29">
        <v>0</v>
      </c>
      <c r="G1069" s="30">
        <v>2</v>
      </c>
      <c r="H1069" s="27" t="s">
        <v>232</v>
      </c>
      <c r="I1069" s="26" t="s">
        <v>233</v>
      </c>
      <c r="J1069" s="31">
        <v>54</v>
      </c>
      <c r="K1069" s="32">
        <f t="shared" si="48"/>
        <v>108</v>
      </c>
      <c r="L1069" s="29" t="s">
        <v>240</v>
      </c>
      <c r="M1069" s="27">
        <f>IFERROR(VLOOKUP(C1069,Custo_MI_Device!$B$2:$E$102,3,FALSE),0)</f>
        <v>0</v>
      </c>
      <c r="N1069" s="27">
        <f t="shared" si="49"/>
        <v>0</v>
      </c>
      <c r="O1069" s="178">
        <f t="shared" si="50"/>
        <v>0</v>
      </c>
    </row>
    <row r="1070" spans="1:15" ht="12.75" hidden="1">
      <c r="A1070" s="25">
        <v>3274</v>
      </c>
      <c r="B1070" s="25" t="s">
        <v>40</v>
      </c>
      <c r="C1070" s="26" t="s">
        <v>63</v>
      </c>
      <c r="D1070" s="27">
        <v>73181500</v>
      </c>
      <c r="E1070" s="28" t="s">
        <v>265</v>
      </c>
      <c r="F1070" s="29" t="s">
        <v>266</v>
      </c>
      <c r="G1070" s="30">
        <v>24</v>
      </c>
      <c r="H1070" s="27" t="s">
        <v>137</v>
      </c>
      <c r="I1070" s="26" t="s">
        <v>256</v>
      </c>
      <c r="J1070" s="31">
        <v>0.06</v>
      </c>
      <c r="K1070" s="32">
        <f t="shared" si="48"/>
        <v>1.44</v>
      </c>
      <c r="L1070" s="29" t="s">
        <v>266</v>
      </c>
      <c r="M1070" s="27">
        <f>IFERROR(VLOOKUP(C1070,Custo_MI_Device!$B$2:$E$102,3,FALSE),0)</f>
        <v>0</v>
      </c>
      <c r="N1070" s="27">
        <f t="shared" si="49"/>
        <v>0</v>
      </c>
      <c r="O1070" s="178">
        <f t="shared" si="50"/>
        <v>0</v>
      </c>
    </row>
    <row r="1071" spans="1:15" ht="25.5" hidden="1">
      <c r="A1071" s="25">
        <v>1611</v>
      </c>
      <c r="B1071" s="25" t="s">
        <v>40</v>
      </c>
      <c r="C1071" s="26" t="s">
        <v>63</v>
      </c>
      <c r="D1071" s="27">
        <v>39174090</v>
      </c>
      <c r="E1071" s="28" t="s">
        <v>275</v>
      </c>
      <c r="F1071" s="29" t="s">
        <v>276</v>
      </c>
      <c r="G1071" s="30">
        <v>2</v>
      </c>
      <c r="H1071" s="27" t="s">
        <v>137</v>
      </c>
      <c r="I1071" s="26" t="s">
        <v>277</v>
      </c>
      <c r="J1071" s="31">
        <v>7.8</v>
      </c>
      <c r="K1071" s="32">
        <f t="shared" si="48"/>
        <v>15.6</v>
      </c>
      <c r="L1071" s="29" t="s">
        <v>276</v>
      </c>
      <c r="M1071" s="27">
        <f>IFERROR(VLOOKUP(C1071,Custo_MI_Device!$B$2:$E$102,3,FALSE),0)</f>
        <v>0</v>
      </c>
      <c r="N1071" s="27">
        <f t="shared" si="49"/>
        <v>0</v>
      </c>
      <c r="O1071" s="178">
        <f t="shared" si="50"/>
        <v>0</v>
      </c>
    </row>
    <row r="1072" spans="1:15" ht="12.75" hidden="1">
      <c r="A1072" s="25">
        <v>2534</v>
      </c>
      <c r="B1072" s="25" t="s">
        <v>40</v>
      </c>
      <c r="C1072" s="26" t="s">
        <v>64</v>
      </c>
      <c r="D1072" s="27">
        <v>73072900</v>
      </c>
      <c r="E1072" s="28" t="s">
        <v>314</v>
      </c>
      <c r="F1072" s="29" t="s">
        <v>315</v>
      </c>
      <c r="G1072" s="30">
        <v>12</v>
      </c>
      <c r="H1072" s="27" t="s">
        <v>137</v>
      </c>
      <c r="I1072" s="26" t="s">
        <v>256</v>
      </c>
      <c r="J1072" s="31">
        <v>1.2</v>
      </c>
      <c r="K1072" s="32">
        <f t="shared" si="48"/>
        <v>14.399999999999999</v>
      </c>
      <c r="L1072" s="29" t="s">
        <v>315</v>
      </c>
      <c r="M1072" s="27">
        <f>IFERROR(VLOOKUP(C1072,Custo_MI_Device!$B$2:$E$102,3,FALSE),0)</f>
        <v>0</v>
      </c>
      <c r="N1072" s="27">
        <f t="shared" si="49"/>
        <v>0</v>
      </c>
      <c r="O1072" s="178">
        <f t="shared" si="50"/>
        <v>0</v>
      </c>
    </row>
    <row r="1073" spans="1:15" ht="12.75" hidden="1">
      <c r="A1073" s="25">
        <v>1669</v>
      </c>
      <c r="B1073" s="25" t="s">
        <v>40</v>
      </c>
      <c r="C1073" s="26" t="s">
        <v>64</v>
      </c>
      <c r="D1073" s="27">
        <v>39269090</v>
      </c>
      <c r="E1073" s="28" t="s">
        <v>316</v>
      </c>
      <c r="F1073" s="29" t="s">
        <v>317</v>
      </c>
      <c r="G1073" s="30">
        <v>3</v>
      </c>
      <c r="H1073" s="27" t="s">
        <v>137</v>
      </c>
      <c r="I1073" s="26" t="s">
        <v>318</v>
      </c>
      <c r="J1073" s="31">
        <v>0.04</v>
      </c>
      <c r="K1073" s="32">
        <f t="shared" si="48"/>
        <v>0.12</v>
      </c>
      <c r="L1073" s="29" t="s">
        <v>317</v>
      </c>
      <c r="M1073" s="27">
        <f>IFERROR(VLOOKUP(C1073,Custo_MI_Device!$B$2:$E$102,3,FALSE),0)</f>
        <v>0</v>
      </c>
      <c r="N1073" s="27">
        <f t="shared" si="49"/>
        <v>0</v>
      </c>
      <c r="O1073" s="178">
        <f t="shared" si="50"/>
        <v>0</v>
      </c>
    </row>
    <row r="1074" spans="1:15" ht="12.75" hidden="1">
      <c r="A1074" s="25">
        <v>5091</v>
      </c>
      <c r="B1074" s="25" t="s">
        <v>40</v>
      </c>
      <c r="C1074" s="26" t="s">
        <v>64</v>
      </c>
      <c r="D1074" s="27">
        <v>73181500</v>
      </c>
      <c r="E1074" s="28" t="s">
        <v>323</v>
      </c>
      <c r="F1074" s="29" t="s">
        <v>324</v>
      </c>
      <c r="G1074" s="30">
        <v>24</v>
      </c>
      <c r="H1074" s="27" t="s">
        <v>137</v>
      </c>
      <c r="I1074" s="26" t="s">
        <v>256</v>
      </c>
      <c r="J1074" s="31">
        <v>0.04</v>
      </c>
      <c r="K1074" s="32">
        <f t="shared" si="48"/>
        <v>0.96</v>
      </c>
      <c r="L1074" s="29" t="s">
        <v>324</v>
      </c>
      <c r="M1074" s="27">
        <f>IFERROR(VLOOKUP(C1074,Custo_MI_Device!$B$2:$E$102,3,FALSE),0)</f>
        <v>0</v>
      </c>
      <c r="N1074" s="27">
        <f t="shared" si="49"/>
        <v>0</v>
      </c>
      <c r="O1074" s="178">
        <f t="shared" si="50"/>
        <v>0</v>
      </c>
    </row>
    <row r="1075" spans="1:15" ht="12.75" hidden="1">
      <c r="A1075" s="25">
        <v>1117</v>
      </c>
      <c r="B1075" s="25" t="s">
        <v>40</v>
      </c>
      <c r="C1075" s="26" t="s">
        <v>64</v>
      </c>
      <c r="D1075" s="27"/>
      <c r="E1075" s="28" t="s">
        <v>145</v>
      </c>
      <c r="F1075" s="29" t="s">
        <v>146</v>
      </c>
      <c r="G1075" s="30">
        <v>1</v>
      </c>
      <c r="H1075" s="27" t="s">
        <v>137</v>
      </c>
      <c r="I1075" s="26" t="s">
        <v>138</v>
      </c>
      <c r="J1075" s="31">
        <v>1.95</v>
      </c>
      <c r="K1075" s="32">
        <f t="shared" si="48"/>
        <v>1.95</v>
      </c>
      <c r="L1075" s="29" t="s">
        <v>146</v>
      </c>
      <c r="M1075" s="27">
        <f>IFERROR(VLOOKUP(C1075,Custo_MI_Device!$B$2:$E$102,3,FALSE),0)</f>
        <v>0</v>
      </c>
      <c r="N1075" s="27">
        <f t="shared" si="49"/>
        <v>0</v>
      </c>
      <c r="O1075" s="178">
        <f t="shared" si="50"/>
        <v>0</v>
      </c>
    </row>
    <row r="1076" spans="1:15" ht="25.5" hidden="1">
      <c r="A1076" s="25">
        <v>5139</v>
      </c>
      <c r="B1076" s="25" t="s">
        <v>40</v>
      </c>
      <c r="C1076" s="26" t="s">
        <v>64</v>
      </c>
      <c r="D1076" s="27">
        <v>85444900</v>
      </c>
      <c r="E1076" s="28" t="s">
        <v>170</v>
      </c>
      <c r="F1076" s="29" t="s">
        <v>171</v>
      </c>
      <c r="G1076" s="30">
        <v>15</v>
      </c>
      <c r="H1076" s="27" t="s">
        <v>158</v>
      </c>
      <c r="I1076" s="26" t="s">
        <v>172</v>
      </c>
      <c r="J1076" s="31">
        <v>7.5</v>
      </c>
      <c r="K1076" s="32">
        <f t="shared" si="48"/>
        <v>112.5</v>
      </c>
      <c r="L1076" s="29" t="s">
        <v>173</v>
      </c>
      <c r="M1076" s="27">
        <f>IFERROR(VLOOKUP(C1076,Custo_MI_Device!$B$2:$E$102,3,FALSE),0)</f>
        <v>0</v>
      </c>
      <c r="N1076" s="27">
        <f t="shared" si="49"/>
        <v>0</v>
      </c>
      <c r="O1076" s="178">
        <f t="shared" si="50"/>
        <v>0</v>
      </c>
    </row>
    <row r="1077" spans="1:15" ht="12.75" hidden="1">
      <c r="A1077" s="25">
        <v>2805</v>
      </c>
      <c r="B1077" s="25" t="s">
        <v>40</v>
      </c>
      <c r="C1077" s="26" t="s">
        <v>64</v>
      </c>
      <c r="D1077" s="27">
        <v>72162100</v>
      </c>
      <c r="E1077" s="28" t="s">
        <v>174</v>
      </c>
      <c r="F1077" s="29">
        <v>0</v>
      </c>
      <c r="G1077" s="30">
        <v>2.9</v>
      </c>
      <c r="H1077" s="27" t="s">
        <v>175</v>
      </c>
      <c r="I1077" s="26" t="s">
        <v>176</v>
      </c>
      <c r="J1077" s="31">
        <v>4.22</v>
      </c>
      <c r="K1077" s="32">
        <f t="shared" si="48"/>
        <v>12.238</v>
      </c>
      <c r="L1077" s="29" t="s">
        <v>177</v>
      </c>
      <c r="M1077" s="27">
        <f>IFERROR(VLOOKUP(C1077,Custo_MI_Device!$B$2:$E$102,3,FALSE),0)</f>
        <v>0</v>
      </c>
      <c r="N1077" s="27">
        <f t="shared" si="49"/>
        <v>0</v>
      </c>
      <c r="O1077" s="178">
        <f t="shared" si="50"/>
        <v>0</v>
      </c>
    </row>
    <row r="1078" spans="1:15" ht="12.75" hidden="1">
      <c r="A1078" s="25">
        <v>2904</v>
      </c>
      <c r="B1078" s="25" t="s">
        <v>40</v>
      </c>
      <c r="C1078" s="26" t="s">
        <v>64</v>
      </c>
      <c r="D1078" s="27">
        <v>76090000</v>
      </c>
      <c r="E1078" s="28" t="s">
        <v>195</v>
      </c>
      <c r="F1078" s="29" t="s">
        <v>196</v>
      </c>
      <c r="G1078" s="30">
        <v>0.75</v>
      </c>
      <c r="H1078" s="27" t="s">
        <v>137</v>
      </c>
      <c r="I1078" s="26" t="s">
        <v>138</v>
      </c>
      <c r="J1078" s="31">
        <v>6.7</v>
      </c>
      <c r="K1078" s="32">
        <f t="shared" si="48"/>
        <v>5.0250000000000004</v>
      </c>
      <c r="L1078" s="29" t="s">
        <v>196</v>
      </c>
      <c r="M1078" s="27">
        <f>IFERROR(VLOOKUP(C1078,Custo_MI_Device!$B$2:$E$102,3,FALSE),0)</f>
        <v>0</v>
      </c>
      <c r="N1078" s="27">
        <f t="shared" si="49"/>
        <v>0</v>
      </c>
      <c r="O1078" s="178">
        <f t="shared" si="50"/>
        <v>0</v>
      </c>
    </row>
    <row r="1079" spans="1:15" ht="12.75" hidden="1">
      <c r="A1079" s="25">
        <v>2911</v>
      </c>
      <c r="B1079" s="25" t="s">
        <v>40</v>
      </c>
      <c r="C1079" s="26" t="s">
        <v>64</v>
      </c>
      <c r="D1079" s="27">
        <v>76090000</v>
      </c>
      <c r="E1079" s="28" t="s">
        <v>197</v>
      </c>
      <c r="F1079" s="29" t="s">
        <v>198</v>
      </c>
      <c r="G1079" s="30">
        <v>0.75</v>
      </c>
      <c r="H1079" s="27" t="s">
        <v>137</v>
      </c>
      <c r="I1079" s="26" t="s">
        <v>138</v>
      </c>
      <c r="J1079" s="31">
        <v>6.7</v>
      </c>
      <c r="K1079" s="32">
        <f t="shared" si="48"/>
        <v>5.0250000000000004</v>
      </c>
      <c r="L1079" s="29" t="s">
        <v>198</v>
      </c>
      <c r="M1079" s="27">
        <f>IFERROR(VLOOKUP(C1079,Custo_MI_Device!$B$2:$E$102,3,FALSE),0)</f>
        <v>0</v>
      </c>
      <c r="N1079" s="27">
        <f t="shared" si="49"/>
        <v>0</v>
      </c>
      <c r="O1079" s="178">
        <f t="shared" si="50"/>
        <v>0</v>
      </c>
    </row>
    <row r="1080" spans="1:15" ht="12.75" hidden="1">
      <c r="A1080" s="25">
        <v>4823</v>
      </c>
      <c r="B1080" s="25" t="s">
        <v>40</v>
      </c>
      <c r="C1080" s="26" t="s">
        <v>64</v>
      </c>
      <c r="D1080" s="27">
        <v>76090000</v>
      </c>
      <c r="E1080" s="28" t="s">
        <v>199</v>
      </c>
      <c r="F1080" s="29" t="s">
        <v>200</v>
      </c>
      <c r="G1080" s="30">
        <v>0.75</v>
      </c>
      <c r="H1080" s="27" t="s">
        <v>137</v>
      </c>
      <c r="I1080" s="26" t="s">
        <v>138</v>
      </c>
      <c r="J1080" s="31">
        <v>6.7</v>
      </c>
      <c r="K1080" s="32">
        <f t="shared" si="48"/>
        <v>5.0250000000000004</v>
      </c>
      <c r="L1080" s="29" t="s">
        <v>200</v>
      </c>
      <c r="M1080" s="27">
        <f>IFERROR(VLOOKUP(C1080,Custo_MI_Device!$B$2:$E$102,3,FALSE),0)</f>
        <v>0</v>
      </c>
      <c r="N1080" s="27">
        <f t="shared" si="49"/>
        <v>0</v>
      </c>
      <c r="O1080" s="178">
        <f t="shared" si="50"/>
        <v>0</v>
      </c>
    </row>
    <row r="1081" spans="1:15" ht="25.5" hidden="1">
      <c r="A1081" s="25">
        <v>4306</v>
      </c>
      <c r="B1081" s="25" t="s">
        <v>40</v>
      </c>
      <c r="C1081" s="26" t="s">
        <v>64</v>
      </c>
      <c r="D1081" s="27">
        <v>73063000</v>
      </c>
      <c r="E1081" s="28" t="s">
        <v>239</v>
      </c>
      <c r="F1081" s="29">
        <v>0</v>
      </c>
      <c r="G1081" s="30">
        <v>2</v>
      </c>
      <c r="H1081" s="27" t="s">
        <v>232</v>
      </c>
      <c r="I1081" s="26" t="s">
        <v>233</v>
      </c>
      <c r="J1081" s="31">
        <v>32</v>
      </c>
      <c r="K1081" s="32">
        <f t="shared" si="48"/>
        <v>64</v>
      </c>
      <c r="L1081" s="29" t="s">
        <v>240</v>
      </c>
      <c r="M1081" s="27">
        <f>IFERROR(VLOOKUP(C1081,Custo_MI_Device!$B$2:$E$102,3,FALSE),0)</f>
        <v>0</v>
      </c>
      <c r="N1081" s="27">
        <f t="shared" si="49"/>
        <v>0</v>
      </c>
      <c r="O1081" s="178">
        <f t="shared" si="50"/>
        <v>0</v>
      </c>
    </row>
    <row r="1082" spans="1:15" ht="12.75" hidden="1">
      <c r="A1082" s="25">
        <v>3274</v>
      </c>
      <c r="B1082" s="25" t="s">
        <v>40</v>
      </c>
      <c r="C1082" s="26" t="s">
        <v>64</v>
      </c>
      <c r="D1082" s="27">
        <v>73181500</v>
      </c>
      <c r="E1082" s="28" t="s">
        <v>265</v>
      </c>
      <c r="F1082" s="29" t="s">
        <v>266</v>
      </c>
      <c r="G1082" s="30">
        <v>24</v>
      </c>
      <c r="H1082" s="27" t="s">
        <v>137</v>
      </c>
      <c r="I1082" s="26" t="s">
        <v>256</v>
      </c>
      <c r="J1082" s="31">
        <v>0.06</v>
      </c>
      <c r="K1082" s="32">
        <f t="shared" si="48"/>
        <v>1.44</v>
      </c>
      <c r="L1082" s="29" t="s">
        <v>266</v>
      </c>
      <c r="M1082" s="27">
        <f>IFERROR(VLOOKUP(C1082,Custo_MI_Device!$B$2:$E$102,3,FALSE),0)</f>
        <v>0</v>
      </c>
      <c r="N1082" s="27">
        <f t="shared" si="49"/>
        <v>0</v>
      </c>
      <c r="O1082" s="178">
        <f t="shared" si="50"/>
        <v>0</v>
      </c>
    </row>
    <row r="1083" spans="1:15" ht="25.5" hidden="1">
      <c r="A1083" s="25">
        <v>1611</v>
      </c>
      <c r="B1083" s="25" t="s">
        <v>40</v>
      </c>
      <c r="C1083" s="26" t="s">
        <v>64</v>
      </c>
      <c r="D1083" s="27">
        <v>39174090</v>
      </c>
      <c r="E1083" s="28" t="s">
        <v>275</v>
      </c>
      <c r="F1083" s="29" t="s">
        <v>276</v>
      </c>
      <c r="G1083" s="30">
        <v>2</v>
      </c>
      <c r="H1083" s="27" t="s">
        <v>137</v>
      </c>
      <c r="I1083" s="26" t="s">
        <v>277</v>
      </c>
      <c r="J1083" s="31">
        <v>7.8</v>
      </c>
      <c r="K1083" s="32">
        <f t="shared" si="48"/>
        <v>15.6</v>
      </c>
      <c r="L1083" s="29" t="s">
        <v>276</v>
      </c>
      <c r="M1083" s="27">
        <f>IFERROR(VLOOKUP(C1083,Custo_MI_Device!$B$2:$E$102,3,FALSE),0)</f>
        <v>0</v>
      </c>
      <c r="N1083" s="27">
        <f t="shared" si="49"/>
        <v>0</v>
      </c>
      <c r="O1083" s="178">
        <f t="shared" si="50"/>
        <v>0</v>
      </c>
    </row>
    <row r="1084" spans="1:15" ht="12.75" hidden="1">
      <c r="A1084" s="25">
        <v>2534</v>
      </c>
      <c r="B1084" s="25" t="s">
        <v>40</v>
      </c>
      <c r="C1084" s="26" t="s">
        <v>65</v>
      </c>
      <c r="D1084" s="27">
        <v>73072900</v>
      </c>
      <c r="E1084" s="28" t="s">
        <v>314</v>
      </c>
      <c r="F1084" s="29" t="s">
        <v>315</v>
      </c>
      <c r="G1084" s="30">
        <v>12</v>
      </c>
      <c r="H1084" s="27" t="s">
        <v>137</v>
      </c>
      <c r="I1084" s="26" t="s">
        <v>256</v>
      </c>
      <c r="J1084" s="31">
        <v>1.2</v>
      </c>
      <c r="K1084" s="32">
        <f t="shared" si="48"/>
        <v>14.399999999999999</v>
      </c>
      <c r="L1084" s="29" t="s">
        <v>315</v>
      </c>
      <c r="M1084" s="27">
        <f>IFERROR(VLOOKUP(C1084,Custo_MI_Device!$B$2:$E$102,3,FALSE),0)</f>
        <v>0</v>
      </c>
      <c r="N1084" s="27">
        <f t="shared" si="49"/>
        <v>0</v>
      </c>
      <c r="O1084" s="178">
        <f t="shared" si="50"/>
        <v>0</v>
      </c>
    </row>
    <row r="1085" spans="1:15" ht="12.75" hidden="1">
      <c r="A1085" s="25">
        <v>1669</v>
      </c>
      <c r="B1085" s="25" t="s">
        <v>40</v>
      </c>
      <c r="C1085" s="26" t="s">
        <v>65</v>
      </c>
      <c r="D1085" s="27">
        <v>39269090</v>
      </c>
      <c r="E1085" s="28" t="s">
        <v>316</v>
      </c>
      <c r="F1085" s="29" t="s">
        <v>317</v>
      </c>
      <c r="G1085" s="30">
        <v>3</v>
      </c>
      <c r="H1085" s="27" t="s">
        <v>137</v>
      </c>
      <c r="I1085" s="26" t="s">
        <v>318</v>
      </c>
      <c r="J1085" s="31">
        <v>0.04</v>
      </c>
      <c r="K1085" s="32">
        <f t="shared" si="48"/>
        <v>0.12</v>
      </c>
      <c r="L1085" s="29" t="s">
        <v>317</v>
      </c>
      <c r="M1085" s="27">
        <f>IFERROR(VLOOKUP(C1085,Custo_MI_Device!$B$2:$E$102,3,FALSE),0)</f>
        <v>0</v>
      </c>
      <c r="N1085" s="27">
        <f t="shared" si="49"/>
        <v>0</v>
      </c>
      <c r="O1085" s="178">
        <f t="shared" si="50"/>
        <v>0</v>
      </c>
    </row>
    <row r="1086" spans="1:15" ht="12.75" hidden="1">
      <c r="A1086" s="25">
        <v>5091</v>
      </c>
      <c r="B1086" s="25" t="s">
        <v>40</v>
      </c>
      <c r="C1086" s="26" t="s">
        <v>65</v>
      </c>
      <c r="D1086" s="27">
        <v>73181500</v>
      </c>
      <c r="E1086" s="28" t="s">
        <v>323</v>
      </c>
      <c r="F1086" s="29" t="s">
        <v>324</v>
      </c>
      <c r="G1086" s="30">
        <v>24</v>
      </c>
      <c r="H1086" s="27" t="s">
        <v>137</v>
      </c>
      <c r="I1086" s="26" t="s">
        <v>256</v>
      </c>
      <c r="J1086" s="31">
        <v>0.04</v>
      </c>
      <c r="K1086" s="32">
        <f t="shared" si="48"/>
        <v>0.96</v>
      </c>
      <c r="L1086" s="29" t="s">
        <v>324</v>
      </c>
      <c r="M1086" s="27">
        <f>IFERROR(VLOOKUP(C1086,Custo_MI_Device!$B$2:$E$102,3,FALSE),0)</f>
        <v>0</v>
      </c>
      <c r="N1086" s="27">
        <f t="shared" si="49"/>
        <v>0</v>
      </c>
      <c r="O1086" s="178">
        <f t="shared" si="50"/>
        <v>0</v>
      </c>
    </row>
    <row r="1087" spans="1:15" ht="12.75" hidden="1">
      <c r="A1087" s="25">
        <v>83</v>
      </c>
      <c r="B1087" s="25" t="s">
        <v>40</v>
      </c>
      <c r="C1087" s="26" t="s">
        <v>65</v>
      </c>
      <c r="D1087" s="27"/>
      <c r="E1087" s="28" t="s">
        <v>150</v>
      </c>
      <c r="F1087" s="29" t="s">
        <v>148</v>
      </c>
      <c r="G1087" s="30">
        <v>1</v>
      </c>
      <c r="H1087" s="27" t="s">
        <v>137</v>
      </c>
      <c r="I1087" s="26" t="s">
        <v>149</v>
      </c>
      <c r="J1087" s="31">
        <v>4.8</v>
      </c>
      <c r="K1087" s="32">
        <f t="shared" si="48"/>
        <v>4.8</v>
      </c>
      <c r="L1087" s="29" t="s">
        <v>148</v>
      </c>
      <c r="M1087" s="27">
        <f>IFERROR(VLOOKUP(C1087,Custo_MI_Device!$B$2:$E$102,3,FALSE),0)</f>
        <v>0</v>
      </c>
      <c r="N1087" s="27">
        <f t="shared" si="49"/>
        <v>0</v>
      </c>
      <c r="O1087" s="178">
        <f t="shared" si="50"/>
        <v>0</v>
      </c>
    </row>
    <row r="1088" spans="1:15" ht="38.25" hidden="1">
      <c r="A1088" s="25">
        <v>3585</v>
      </c>
      <c r="B1088" s="25" t="s">
        <v>40</v>
      </c>
      <c r="C1088" s="26" t="s">
        <v>65</v>
      </c>
      <c r="D1088" s="27">
        <v>85444900</v>
      </c>
      <c r="E1088" s="28" t="s">
        <v>328</v>
      </c>
      <c r="F1088" s="29">
        <v>900400</v>
      </c>
      <c r="G1088" s="33">
        <v>0</v>
      </c>
      <c r="H1088" s="27" t="s">
        <v>158</v>
      </c>
      <c r="I1088" s="26" t="s">
        <v>164</v>
      </c>
      <c r="J1088" s="31">
        <v>1.7</v>
      </c>
      <c r="K1088" s="32">
        <f t="shared" si="48"/>
        <v>0</v>
      </c>
      <c r="L1088" s="29">
        <v>900400</v>
      </c>
      <c r="M1088" s="27">
        <f>IFERROR(VLOOKUP(C1088,Custo_MI_Device!$B$2:$E$102,3,FALSE),0)</f>
        <v>0</v>
      </c>
      <c r="N1088" s="27">
        <f t="shared" si="49"/>
        <v>0</v>
      </c>
      <c r="O1088" s="178">
        <f t="shared" si="50"/>
        <v>0</v>
      </c>
    </row>
    <row r="1089" spans="1:15" ht="12.75" hidden="1">
      <c r="A1089" s="25">
        <v>2805</v>
      </c>
      <c r="B1089" s="25" t="s">
        <v>40</v>
      </c>
      <c r="C1089" s="26" t="s">
        <v>65</v>
      </c>
      <c r="D1089" s="27">
        <v>72162100</v>
      </c>
      <c r="E1089" s="28" t="s">
        <v>174</v>
      </c>
      <c r="F1089" s="29">
        <v>0</v>
      </c>
      <c r="G1089" s="30">
        <v>2.9</v>
      </c>
      <c r="H1089" s="27" t="s">
        <v>175</v>
      </c>
      <c r="I1089" s="26" t="s">
        <v>176</v>
      </c>
      <c r="J1089" s="31">
        <v>4.22</v>
      </c>
      <c r="K1089" s="32">
        <f t="shared" si="48"/>
        <v>12.238</v>
      </c>
      <c r="L1089" s="29" t="s">
        <v>177</v>
      </c>
      <c r="M1089" s="27">
        <f>IFERROR(VLOOKUP(C1089,Custo_MI_Device!$B$2:$E$102,3,FALSE),0)</f>
        <v>0</v>
      </c>
      <c r="N1089" s="27">
        <f t="shared" si="49"/>
        <v>0</v>
      </c>
      <c r="O1089" s="178">
        <f t="shared" si="50"/>
        <v>0</v>
      </c>
    </row>
    <row r="1090" spans="1:15" ht="25.5" hidden="1">
      <c r="A1090" s="25">
        <v>3738</v>
      </c>
      <c r="B1090" s="25" t="s">
        <v>40</v>
      </c>
      <c r="C1090" s="26" t="s">
        <v>65</v>
      </c>
      <c r="D1090" s="27">
        <v>73071100</v>
      </c>
      <c r="E1090" s="28" t="s">
        <v>205</v>
      </c>
      <c r="F1090" s="29" t="s">
        <v>206</v>
      </c>
      <c r="G1090" s="30">
        <v>0.75</v>
      </c>
      <c r="H1090" s="27" t="s">
        <v>137</v>
      </c>
      <c r="I1090" s="26" t="s">
        <v>149</v>
      </c>
      <c r="J1090" s="31">
        <v>27</v>
      </c>
      <c r="K1090" s="32">
        <f t="shared" si="48"/>
        <v>20.25</v>
      </c>
      <c r="L1090" s="29" t="s">
        <v>206</v>
      </c>
      <c r="M1090" s="27">
        <f>IFERROR(VLOOKUP(C1090,Custo_MI_Device!$B$2:$E$102,3,FALSE),0)</f>
        <v>0</v>
      </c>
      <c r="N1090" s="27">
        <f t="shared" si="49"/>
        <v>0</v>
      </c>
      <c r="O1090" s="178">
        <f t="shared" si="50"/>
        <v>0</v>
      </c>
    </row>
    <row r="1091" spans="1:15" ht="25.5" hidden="1">
      <c r="A1091" s="25">
        <v>1710</v>
      </c>
      <c r="B1091" s="25" t="s">
        <v>40</v>
      </c>
      <c r="C1091" s="26" t="s">
        <v>65</v>
      </c>
      <c r="D1091" s="27">
        <v>73071100</v>
      </c>
      <c r="E1091" s="28" t="s">
        <v>207</v>
      </c>
      <c r="F1091" s="29" t="s">
        <v>208</v>
      </c>
      <c r="G1091" s="30">
        <v>0.75</v>
      </c>
      <c r="H1091" s="27" t="s">
        <v>137</v>
      </c>
      <c r="I1091" s="26" t="s">
        <v>149</v>
      </c>
      <c r="J1091" s="31">
        <v>27</v>
      </c>
      <c r="K1091" s="32">
        <f t="shared" ref="K1091:K1154" si="51">G1091*J1091</f>
        <v>20.25</v>
      </c>
      <c r="L1091" s="29" t="s">
        <v>208</v>
      </c>
      <c r="M1091" s="27">
        <f>IFERROR(VLOOKUP(C1091,Custo_MI_Device!$B$2:$E$102,3,FALSE),0)</f>
        <v>0</v>
      </c>
      <c r="N1091" s="27">
        <f t="shared" ref="N1091:N1154" si="52">ROUNDUP(M1091*G1091,0)</f>
        <v>0</v>
      </c>
      <c r="O1091" s="178">
        <f t="shared" ref="O1091:O1154" si="53">N1091*J1091</f>
        <v>0</v>
      </c>
    </row>
    <row r="1092" spans="1:15" ht="25.5" hidden="1">
      <c r="A1092" s="25">
        <v>1715</v>
      </c>
      <c r="B1092" s="25" t="s">
        <v>40</v>
      </c>
      <c r="C1092" s="26" t="s">
        <v>65</v>
      </c>
      <c r="D1092" s="27">
        <v>73071100</v>
      </c>
      <c r="E1092" s="28" t="s">
        <v>209</v>
      </c>
      <c r="F1092" s="29" t="s">
        <v>210</v>
      </c>
      <c r="G1092" s="30">
        <v>0.75</v>
      </c>
      <c r="H1092" s="27" t="s">
        <v>137</v>
      </c>
      <c r="I1092" s="26" t="s">
        <v>149</v>
      </c>
      <c r="J1092" s="31">
        <v>27</v>
      </c>
      <c r="K1092" s="32">
        <f t="shared" si="51"/>
        <v>20.25</v>
      </c>
      <c r="L1092" s="29" t="s">
        <v>210</v>
      </c>
      <c r="M1092" s="27">
        <f>IFERROR(VLOOKUP(C1092,Custo_MI_Device!$B$2:$E$102,3,FALSE),0)</f>
        <v>0</v>
      </c>
      <c r="N1092" s="27">
        <f t="shared" si="52"/>
        <v>0</v>
      </c>
      <c r="O1092" s="178">
        <f t="shared" si="53"/>
        <v>0</v>
      </c>
    </row>
    <row r="1093" spans="1:15" ht="25.5" hidden="1">
      <c r="A1093" s="25">
        <v>3417</v>
      </c>
      <c r="B1093" s="25" t="s">
        <v>40</v>
      </c>
      <c r="C1093" s="26" t="s">
        <v>65</v>
      </c>
      <c r="D1093" s="27">
        <v>73063000</v>
      </c>
      <c r="E1093" s="28" t="s">
        <v>231</v>
      </c>
      <c r="F1093" s="29">
        <v>0</v>
      </c>
      <c r="G1093" s="30">
        <v>2</v>
      </c>
      <c r="H1093" s="27" t="s">
        <v>232</v>
      </c>
      <c r="I1093" s="26" t="s">
        <v>233</v>
      </c>
      <c r="J1093" s="31">
        <v>33.47</v>
      </c>
      <c r="K1093" s="32">
        <f t="shared" si="51"/>
        <v>66.94</v>
      </c>
      <c r="L1093" s="29" t="s">
        <v>234</v>
      </c>
      <c r="M1093" s="27">
        <f>IFERROR(VLOOKUP(C1093,Custo_MI_Device!$B$2:$E$102,3,FALSE),0)</f>
        <v>0</v>
      </c>
      <c r="N1093" s="27">
        <f t="shared" si="52"/>
        <v>0</v>
      </c>
      <c r="O1093" s="178">
        <f t="shared" si="53"/>
        <v>0</v>
      </c>
    </row>
    <row r="1094" spans="1:15" ht="12.75" hidden="1">
      <c r="A1094" s="25">
        <v>1965</v>
      </c>
      <c r="B1094" s="25" t="s">
        <v>40</v>
      </c>
      <c r="C1094" s="26" t="s">
        <v>65</v>
      </c>
      <c r="D1094" s="27">
        <v>73071100</v>
      </c>
      <c r="E1094" s="28" t="s">
        <v>251</v>
      </c>
      <c r="F1094" s="29" t="s">
        <v>252</v>
      </c>
      <c r="G1094" s="30">
        <v>1</v>
      </c>
      <c r="H1094" s="27" t="s">
        <v>137</v>
      </c>
      <c r="I1094" s="26" t="s">
        <v>253</v>
      </c>
      <c r="J1094" s="31">
        <v>5.5</v>
      </c>
      <c r="K1094" s="32">
        <f t="shared" si="51"/>
        <v>5.5</v>
      </c>
      <c r="L1094" s="29" t="s">
        <v>252</v>
      </c>
      <c r="M1094" s="27">
        <f>IFERROR(VLOOKUP(C1094,Custo_MI_Device!$B$2:$E$102,3,FALSE),0)</f>
        <v>0</v>
      </c>
      <c r="N1094" s="27">
        <f t="shared" si="52"/>
        <v>0</v>
      </c>
      <c r="O1094" s="178">
        <f t="shared" si="53"/>
        <v>0</v>
      </c>
    </row>
    <row r="1095" spans="1:15" ht="12.75" hidden="1">
      <c r="A1095" s="25">
        <v>3274</v>
      </c>
      <c r="B1095" s="25" t="s">
        <v>40</v>
      </c>
      <c r="C1095" s="26" t="s">
        <v>65</v>
      </c>
      <c r="D1095" s="27">
        <v>73181500</v>
      </c>
      <c r="E1095" s="28" t="s">
        <v>265</v>
      </c>
      <c r="F1095" s="29" t="s">
        <v>266</v>
      </c>
      <c r="G1095" s="30">
        <v>24</v>
      </c>
      <c r="H1095" s="27" t="s">
        <v>137</v>
      </c>
      <c r="I1095" s="26" t="s">
        <v>256</v>
      </c>
      <c r="J1095" s="31">
        <v>0.06</v>
      </c>
      <c r="K1095" s="32">
        <f t="shared" si="51"/>
        <v>1.44</v>
      </c>
      <c r="L1095" s="29" t="s">
        <v>266</v>
      </c>
      <c r="M1095" s="27">
        <f>IFERROR(VLOOKUP(C1095,Custo_MI_Device!$B$2:$E$102,3,FALSE),0)</f>
        <v>0</v>
      </c>
      <c r="N1095" s="27">
        <f t="shared" si="52"/>
        <v>0</v>
      </c>
      <c r="O1095" s="178">
        <f t="shared" si="53"/>
        <v>0</v>
      </c>
    </row>
    <row r="1096" spans="1:15" ht="12.75" hidden="1">
      <c r="A1096" s="25">
        <v>5081</v>
      </c>
      <c r="B1096" s="25" t="s">
        <v>40</v>
      </c>
      <c r="C1096" s="26" t="s">
        <v>65</v>
      </c>
      <c r="D1096" s="27">
        <v>73145000</v>
      </c>
      <c r="E1096" s="28" t="s">
        <v>278</v>
      </c>
      <c r="F1096" s="29">
        <v>0</v>
      </c>
      <c r="G1096" s="30">
        <v>1</v>
      </c>
      <c r="H1096" s="27" t="s">
        <v>137</v>
      </c>
      <c r="I1096" s="26" t="s">
        <v>279</v>
      </c>
      <c r="J1096" s="31">
        <v>23</v>
      </c>
      <c r="K1096" s="32">
        <f t="shared" si="51"/>
        <v>23</v>
      </c>
      <c r="L1096" s="29" t="s">
        <v>280</v>
      </c>
      <c r="M1096" s="27">
        <f>IFERROR(VLOOKUP(C1096,Custo_MI_Device!$B$2:$E$102,3,FALSE),0)</f>
        <v>0</v>
      </c>
      <c r="N1096" s="27">
        <f t="shared" si="52"/>
        <v>0</v>
      </c>
      <c r="O1096" s="178">
        <f t="shared" si="53"/>
        <v>0</v>
      </c>
    </row>
    <row r="1097" spans="1:15" ht="25.5" hidden="1">
      <c r="A1097" s="25">
        <v>5147</v>
      </c>
      <c r="B1097" s="25" t="s">
        <v>40</v>
      </c>
      <c r="C1097" s="26" t="s">
        <v>65</v>
      </c>
      <c r="D1097" s="27">
        <v>83079000</v>
      </c>
      <c r="E1097" s="28" t="s">
        <v>293</v>
      </c>
      <c r="F1097" s="29" t="s">
        <v>294</v>
      </c>
      <c r="G1097" s="30">
        <v>1</v>
      </c>
      <c r="H1097" s="27" t="s">
        <v>137</v>
      </c>
      <c r="I1097" s="26" t="s">
        <v>180</v>
      </c>
      <c r="J1097" s="31">
        <v>155</v>
      </c>
      <c r="K1097" s="32">
        <f t="shared" si="51"/>
        <v>155</v>
      </c>
      <c r="L1097" s="29" t="s">
        <v>294</v>
      </c>
      <c r="M1097" s="27">
        <f>IFERROR(VLOOKUP(C1097,Custo_MI_Device!$B$2:$E$102,3,FALSE),0)</f>
        <v>0</v>
      </c>
      <c r="N1097" s="27">
        <f t="shared" si="52"/>
        <v>0</v>
      </c>
      <c r="O1097" s="178">
        <f t="shared" si="53"/>
        <v>0</v>
      </c>
    </row>
    <row r="1098" spans="1:15" ht="25.5" hidden="1">
      <c r="A1098" s="25">
        <v>4834</v>
      </c>
      <c r="B1098" s="25" t="s">
        <v>40</v>
      </c>
      <c r="C1098" s="26" t="s">
        <v>65</v>
      </c>
      <c r="D1098" s="27">
        <v>73071100</v>
      </c>
      <c r="E1098" s="28" t="s">
        <v>299</v>
      </c>
      <c r="F1098" s="29" t="s">
        <v>300</v>
      </c>
      <c r="G1098" s="30">
        <v>1</v>
      </c>
      <c r="H1098" s="27" t="s">
        <v>137</v>
      </c>
      <c r="I1098" s="26" t="s">
        <v>149</v>
      </c>
      <c r="J1098" s="31">
        <v>28</v>
      </c>
      <c r="K1098" s="32">
        <f t="shared" si="51"/>
        <v>28</v>
      </c>
      <c r="L1098" s="29" t="s">
        <v>300</v>
      </c>
      <c r="M1098" s="27">
        <f>IFERROR(VLOOKUP(C1098,Custo_MI_Device!$B$2:$E$102,3,FALSE),0)</f>
        <v>0</v>
      </c>
      <c r="N1098" s="27">
        <f t="shared" si="52"/>
        <v>0</v>
      </c>
      <c r="O1098" s="178">
        <f t="shared" si="53"/>
        <v>0</v>
      </c>
    </row>
    <row r="1099" spans="1:15" ht="12.75" hidden="1">
      <c r="A1099" s="25">
        <v>2534</v>
      </c>
      <c r="B1099" s="25" t="s">
        <v>40</v>
      </c>
      <c r="C1099" s="26" t="s">
        <v>66</v>
      </c>
      <c r="D1099" s="27">
        <v>73072900</v>
      </c>
      <c r="E1099" s="28" t="s">
        <v>314</v>
      </c>
      <c r="F1099" s="29" t="s">
        <v>315</v>
      </c>
      <c r="G1099" s="30">
        <v>12</v>
      </c>
      <c r="H1099" s="27" t="s">
        <v>137</v>
      </c>
      <c r="I1099" s="26" t="s">
        <v>256</v>
      </c>
      <c r="J1099" s="31">
        <v>1.2</v>
      </c>
      <c r="K1099" s="32">
        <f t="shared" si="51"/>
        <v>14.399999999999999</v>
      </c>
      <c r="L1099" s="29" t="s">
        <v>315</v>
      </c>
      <c r="M1099" s="27">
        <f>IFERROR(VLOOKUP(C1099,Custo_MI_Device!$B$2:$E$102,3,FALSE),0)</f>
        <v>0</v>
      </c>
      <c r="N1099" s="27">
        <f t="shared" si="52"/>
        <v>0</v>
      </c>
      <c r="O1099" s="178">
        <f t="shared" si="53"/>
        <v>0</v>
      </c>
    </row>
    <row r="1100" spans="1:15" ht="12.75" hidden="1">
      <c r="A1100" s="25">
        <v>1669</v>
      </c>
      <c r="B1100" s="25" t="s">
        <v>40</v>
      </c>
      <c r="C1100" s="26" t="s">
        <v>66</v>
      </c>
      <c r="D1100" s="27">
        <v>39269090</v>
      </c>
      <c r="E1100" s="28" t="s">
        <v>316</v>
      </c>
      <c r="F1100" s="29" t="s">
        <v>317</v>
      </c>
      <c r="G1100" s="30">
        <v>3</v>
      </c>
      <c r="H1100" s="27" t="s">
        <v>137</v>
      </c>
      <c r="I1100" s="26" t="s">
        <v>318</v>
      </c>
      <c r="J1100" s="31">
        <v>0.04</v>
      </c>
      <c r="K1100" s="32">
        <f t="shared" si="51"/>
        <v>0.12</v>
      </c>
      <c r="L1100" s="29" t="s">
        <v>317</v>
      </c>
      <c r="M1100" s="27">
        <f>IFERROR(VLOOKUP(C1100,Custo_MI_Device!$B$2:$E$102,3,FALSE),0)</f>
        <v>0</v>
      </c>
      <c r="N1100" s="27">
        <f t="shared" si="52"/>
        <v>0</v>
      </c>
      <c r="O1100" s="178">
        <f t="shared" si="53"/>
        <v>0</v>
      </c>
    </row>
    <row r="1101" spans="1:15" ht="12.75" hidden="1">
      <c r="A1101" s="25">
        <v>5091</v>
      </c>
      <c r="B1101" s="25" t="s">
        <v>40</v>
      </c>
      <c r="C1101" s="26" t="s">
        <v>66</v>
      </c>
      <c r="D1101" s="27">
        <v>73181500</v>
      </c>
      <c r="E1101" s="28" t="s">
        <v>323</v>
      </c>
      <c r="F1101" s="29" t="s">
        <v>324</v>
      </c>
      <c r="G1101" s="30">
        <v>24</v>
      </c>
      <c r="H1101" s="27" t="s">
        <v>137</v>
      </c>
      <c r="I1101" s="26" t="s">
        <v>256</v>
      </c>
      <c r="J1101" s="31">
        <v>0.04</v>
      </c>
      <c r="K1101" s="32">
        <f t="shared" si="51"/>
        <v>0.96</v>
      </c>
      <c r="L1101" s="29" t="s">
        <v>324</v>
      </c>
      <c r="M1101" s="27">
        <f>IFERROR(VLOOKUP(C1101,Custo_MI_Device!$B$2:$E$102,3,FALSE),0)</f>
        <v>0</v>
      </c>
      <c r="N1101" s="27">
        <f t="shared" si="52"/>
        <v>0</v>
      </c>
      <c r="O1101" s="178">
        <f t="shared" si="53"/>
        <v>0</v>
      </c>
    </row>
    <row r="1102" spans="1:15" ht="12.75" hidden="1">
      <c r="A1102" s="25">
        <v>83</v>
      </c>
      <c r="B1102" s="25" t="s">
        <v>40</v>
      </c>
      <c r="C1102" s="26" t="s">
        <v>66</v>
      </c>
      <c r="D1102" s="27"/>
      <c r="E1102" s="28" t="s">
        <v>150</v>
      </c>
      <c r="F1102" s="29" t="s">
        <v>148</v>
      </c>
      <c r="G1102" s="30">
        <v>1</v>
      </c>
      <c r="H1102" s="27" t="s">
        <v>137</v>
      </c>
      <c r="I1102" s="26" t="s">
        <v>149</v>
      </c>
      <c r="J1102" s="31">
        <v>4.8</v>
      </c>
      <c r="K1102" s="32">
        <f t="shared" si="51"/>
        <v>4.8</v>
      </c>
      <c r="L1102" s="29" t="s">
        <v>148</v>
      </c>
      <c r="M1102" s="27">
        <f>IFERROR(VLOOKUP(C1102,Custo_MI_Device!$B$2:$E$102,3,FALSE),0)</f>
        <v>0</v>
      </c>
      <c r="N1102" s="27">
        <f t="shared" si="52"/>
        <v>0</v>
      </c>
      <c r="O1102" s="178">
        <f t="shared" si="53"/>
        <v>0</v>
      </c>
    </row>
    <row r="1103" spans="1:15" ht="38.25" hidden="1">
      <c r="A1103" s="25">
        <v>3585</v>
      </c>
      <c r="B1103" s="25" t="s">
        <v>40</v>
      </c>
      <c r="C1103" s="26" t="s">
        <v>66</v>
      </c>
      <c r="D1103" s="27">
        <v>85444900</v>
      </c>
      <c r="E1103" s="28" t="s">
        <v>328</v>
      </c>
      <c r="F1103" s="29">
        <v>900400</v>
      </c>
      <c r="G1103" s="33">
        <v>0</v>
      </c>
      <c r="H1103" s="27" t="s">
        <v>158</v>
      </c>
      <c r="I1103" s="26" t="s">
        <v>164</v>
      </c>
      <c r="J1103" s="31">
        <v>1.7</v>
      </c>
      <c r="K1103" s="32">
        <f t="shared" si="51"/>
        <v>0</v>
      </c>
      <c r="L1103" s="29">
        <v>900400</v>
      </c>
      <c r="M1103" s="27">
        <f>IFERROR(VLOOKUP(C1103,Custo_MI_Device!$B$2:$E$102,3,FALSE),0)</f>
        <v>0</v>
      </c>
      <c r="N1103" s="27">
        <f t="shared" si="52"/>
        <v>0</v>
      </c>
      <c r="O1103" s="178">
        <f t="shared" si="53"/>
        <v>0</v>
      </c>
    </row>
    <row r="1104" spans="1:15" ht="12.75" hidden="1">
      <c r="A1104" s="25">
        <v>2805</v>
      </c>
      <c r="B1104" s="25" t="s">
        <v>40</v>
      </c>
      <c r="C1104" s="26" t="s">
        <v>66</v>
      </c>
      <c r="D1104" s="27">
        <v>72162100</v>
      </c>
      <c r="E1104" s="28" t="s">
        <v>174</v>
      </c>
      <c r="F1104" s="29">
        <v>0</v>
      </c>
      <c r="G1104" s="30">
        <v>2.9</v>
      </c>
      <c r="H1104" s="27" t="s">
        <v>175</v>
      </c>
      <c r="I1104" s="26" t="s">
        <v>176</v>
      </c>
      <c r="J1104" s="31">
        <v>4.22</v>
      </c>
      <c r="K1104" s="32">
        <f t="shared" si="51"/>
        <v>12.238</v>
      </c>
      <c r="L1104" s="29" t="s">
        <v>177</v>
      </c>
      <c r="M1104" s="27">
        <f>IFERROR(VLOOKUP(C1104,Custo_MI_Device!$B$2:$E$102,3,FALSE),0)</f>
        <v>0</v>
      </c>
      <c r="N1104" s="27">
        <f t="shared" si="52"/>
        <v>0</v>
      </c>
      <c r="O1104" s="178">
        <f t="shared" si="53"/>
        <v>0</v>
      </c>
    </row>
    <row r="1105" spans="1:15" ht="25.5" hidden="1">
      <c r="A1105" s="25">
        <v>3738</v>
      </c>
      <c r="B1105" s="25" t="s">
        <v>40</v>
      </c>
      <c r="C1105" s="26" t="s">
        <v>66</v>
      </c>
      <c r="D1105" s="27">
        <v>73071100</v>
      </c>
      <c r="E1105" s="28" t="s">
        <v>205</v>
      </c>
      <c r="F1105" s="29" t="s">
        <v>206</v>
      </c>
      <c r="G1105" s="30">
        <v>0.75</v>
      </c>
      <c r="H1105" s="27" t="s">
        <v>137</v>
      </c>
      <c r="I1105" s="26" t="s">
        <v>149</v>
      </c>
      <c r="J1105" s="31">
        <v>27</v>
      </c>
      <c r="K1105" s="32">
        <f t="shared" si="51"/>
        <v>20.25</v>
      </c>
      <c r="L1105" s="29" t="s">
        <v>206</v>
      </c>
      <c r="M1105" s="27">
        <f>IFERROR(VLOOKUP(C1105,Custo_MI_Device!$B$2:$E$102,3,FALSE),0)</f>
        <v>0</v>
      </c>
      <c r="N1105" s="27">
        <f t="shared" si="52"/>
        <v>0</v>
      </c>
      <c r="O1105" s="178">
        <f t="shared" si="53"/>
        <v>0</v>
      </c>
    </row>
    <row r="1106" spans="1:15" ht="25.5" hidden="1">
      <c r="A1106" s="25">
        <v>1710</v>
      </c>
      <c r="B1106" s="25" t="s">
        <v>40</v>
      </c>
      <c r="C1106" s="26" t="s">
        <v>66</v>
      </c>
      <c r="D1106" s="27">
        <v>73071100</v>
      </c>
      <c r="E1106" s="28" t="s">
        <v>207</v>
      </c>
      <c r="F1106" s="29" t="s">
        <v>208</v>
      </c>
      <c r="G1106" s="30">
        <v>0.75</v>
      </c>
      <c r="H1106" s="27" t="s">
        <v>137</v>
      </c>
      <c r="I1106" s="26" t="s">
        <v>149</v>
      </c>
      <c r="J1106" s="31">
        <v>27</v>
      </c>
      <c r="K1106" s="32">
        <f t="shared" si="51"/>
        <v>20.25</v>
      </c>
      <c r="L1106" s="29" t="s">
        <v>208</v>
      </c>
      <c r="M1106" s="27">
        <f>IFERROR(VLOOKUP(C1106,Custo_MI_Device!$B$2:$E$102,3,FALSE),0)</f>
        <v>0</v>
      </c>
      <c r="N1106" s="27">
        <f t="shared" si="52"/>
        <v>0</v>
      </c>
      <c r="O1106" s="178">
        <f t="shared" si="53"/>
        <v>0</v>
      </c>
    </row>
    <row r="1107" spans="1:15" ht="25.5" hidden="1">
      <c r="A1107" s="25">
        <v>1715</v>
      </c>
      <c r="B1107" s="25" t="s">
        <v>40</v>
      </c>
      <c r="C1107" s="26" t="s">
        <v>66</v>
      </c>
      <c r="D1107" s="27">
        <v>73071100</v>
      </c>
      <c r="E1107" s="28" t="s">
        <v>209</v>
      </c>
      <c r="F1107" s="29" t="s">
        <v>210</v>
      </c>
      <c r="G1107" s="30">
        <v>0.75</v>
      </c>
      <c r="H1107" s="27" t="s">
        <v>137</v>
      </c>
      <c r="I1107" s="26" t="s">
        <v>149</v>
      </c>
      <c r="J1107" s="31">
        <v>27</v>
      </c>
      <c r="K1107" s="32">
        <f t="shared" si="51"/>
        <v>20.25</v>
      </c>
      <c r="L1107" s="29" t="s">
        <v>210</v>
      </c>
      <c r="M1107" s="27">
        <f>IFERROR(VLOOKUP(C1107,Custo_MI_Device!$B$2:$E$102,3,FALSE),0)</f>
        <v>0</v>
      </c>
      <c r="N1107" s="27">
        <f t="shared" si="52"/>
        <v>0</v>
      </c>
      <c r="O1107" s="178">
        <f t="shared" si="53"/>
        <v>0</v>
      </c>
    </row>
    <row r="1108" spans="1:15" ht="25.5" hidden="1">
      <c r="A1108" s="25">
        <v>3417</v>
      </c>
      <c r="B1108" s="25" t="s">
        <v>40</v>
      </c>
      <c r="C1108" s="26" t="s">
        <v>66</v>
      </c>
      <c r="D1108" s="27">
        <v>73063000</v>
      </c>
      <c r="E1108" s="28" t="s">
        <v>231</v>
      </c>
      <c r="F1108" s="29">
        <v>0</v>
      </c>
      <c r="G1108" s="30">
        <v>2</v>
      </c>
      <c r="H1108" s="27" t="s">
        <v>232</v>
      </c>
      <c r="I1108" s="26" t="s">
        <v>233</v>
      </c>
      <c r="J1108" s="31">
        <v>33.47</v>
      </c>
      <c r="K1108" s="32">
        <f t="shared" si="51"/>
        <v>66.94</v>
      </c>
      <c r="L1108" s="29" t="s">
        <v>234</v>
      </c>
      <c r="M1108" s="27">
        <f>IFERROR(VLOOKUP(C1108,Custo_MI_Device!$B$2:$E$102,3,FALSE),0)</f>
        <v>0</v>
      </c>
      <c r="N1108" s="27">
        <f t="shared" si="52"/>
        <v>0</v>
      </c>
      <c r="O1108" s="178">
        <f t="shared" si="53"/>
        <v>0</v>
      </c>
    </row>
    <row r="1109" spans="1:15" ht="12.75" hidden="1">
      <c r="A1109" s="25">
        <v>1965</v>
      </c>
      <c r="B1109" s="25" t="s">
        <v>40</v>
      </c>
      <c r="C1109" s="26" t="s">
        <v>66</v>
      </c>
      <c r="D1109" s="27">
        <v>73071100</v>
      </c>
      <c r="E1109" s="28" t="s">
        <v>251</v>
      </c>
      <c r="F1109" s="29" t="s">
        <v>252</v>
      </c>
      <c r="G1109" s="30">
        <v>1</v>
      </c>
      <c r="H1109" s="27" t="s">
        <v>137</v>
      </c>
      <c r="I1109" s="26" t="s">
        <v>253</v>
      </c>
      <c r="J1109" s="31">
        <v>5.5</v>
      </c>
      <c r="K1109" s="32">
        <f t="shared" si="51"/>
        <v>5.5</v>
      </c>
      <c r="L1109" s="29" t="s">
        <v>252</v>
      </c>
      <c r="M1109" s="27">
        <f>IFERROR(VLOOKUP(C1109,Custo_MI_Device!$B$2:$E$102,3,FALSE),0)</f>
        <v>0</v>
      </c>
      <c r="N1109" s="27">
        <f t="shared" si="52"/>
        <v>0</v>
      </c>
      <c r="O1109" s="178">
        <f t="shared" si="53"/>
        <v>0</v>
      </c>
    </row>
    <row r="1110" spans="1:15" ht="12.75" hidden="1">
      <c r="A1110" s="25">
        <v>3274</v>
      </c>
      <c r="B1110" s="25" t="s">
        <v>40</v>
      </c>
      <c r="C1110" s="26" t="s">
        <v>66</v>
      </c>
      <c r="D1110" s="27">
        <v>73181500</v>
      </c>
      <c r="E1110" s="28" t="s">
        <v>265</v>
      </c>
      <c r="F1110" s="29" t="s">
        <v>266</v>
      </c>
      <c r="G1110" s="30">
        <v>24</v>
      </c>
      <c r="H1110" s="27" t="s">
        <v>137</v>
      </c>
      <c r="I1110" s="26" t="s">
        <v>256</v>
      </c>
      <c r="J1110" s="31">
        <v>0.06</v>
      </c>
      <c r="K1110" s="32">
        <f t="shared" si="51"/>
        <v>1.44</v>
      </c>
      <c r="L1110" s="29" t="s">
        <v>266</v>
      </c>
      <c r="M1110" s="27">
        <f>IFERROR(VLOOKUP(C1110,Custo_MI_Device!$B$2:$E$102,3,FALSE),0)</f>
        <v>0</v>
      </c>
      <c r="N1110" s="27">
        <f t="shared" si="52"/>
        <v>0</v>
      </c>
      <c r="O1110" s="178">
        <f t="shared" si="53"/>
        <v>0</v>
      </c>
    </row>
    <row r="1111" spans="1:15" ht="12.75" hidden="1">
      <c r="A1111" s="25">
        <v>5081</v>
      </c>
      <c r="B1111" s="25" t="s">
        <v>40</v>
      </c>
      <c r="C1111" s="26" t="s">
        <v>66</v>
      </c>
      <c r="D1111" s="27">
        <v>73145000</v>
      </c>
      <c r="E1111" s="28" t="s">
        <v>278</v>
      </c>
      <c r="F1111" s="29">
        <v>0</v>
      </c>
      <c r="G1111" s="30">
        <v>1</v>
      </c>
      <c r="H1111" s="27" t="s">
        <v>137</v>
      </c>
      <c r="I1111" s="26" t="s">
        <v>279</v>
      </c>
      <c r="J1111" s="31">
        <v>23</v>
      </c>
      <c r="K1111" s="32">
        <f t="shared" si="51"/>
        <v>23</v>
      </c>
      <c r="L1111" s="29" t="s">
        <v>280</v>
      </c>
      <c r="M1111" s="27">
        <f>IFERROR(VLOOKUP(C1111,Custo_MI_Device!$B$2:$E$102,3,FALSE),0)</f>
        <v>0</v>
      </c>
      <c r="N1111" s="27">
        <f t="shared" si="52"/>
        <v>0</v>
      </c>
      <c r="O1111" s="178">
        <f t="shared" si="53"/>
        <v>0</v>
      </c>
    </row>
    <row r="1112" spans="1:15" ht="25.5" hidden="1">
      <c r="A1112" s="25">
        <v>5147</v>
      </c>
      <c r="B1112" s="25" t="s">
        <v>40</v>
      </c>
      <c r="C1112" s="26" t="s">
        <v>66</v>
      </c>
      <c r="D1112" s="27">
        <v>83079000</v>
      </c>
      <c r="E1112" s="28" t="s">
        <v>293</v>
      </c>
      <c r="F1112" s="29" t="s">
        <v>294</v>
      </c>
      <c r="G1112" s="30">
        <v>1</v>
      </c>
      <c r="H1112" s="27" t="s">
        <v>137</v>
      </c>
      <c r="I1112" s="26" t="s">
        <v>180</v>
      </c>
      <c r="J1112" s="31">
        <v>155</v>
      </c>
      <c r="K1112" s="32">
        <f t="shared" si="51"/>
        <v>155</v>
      </c>
      <c r="L1112" s="29" t="s">
        <v>294</v>
      </c>
      <c r="M1112" s="27">
        <f>IFERROR(VLOOKUP(C1112,Custo_MI_Device!$B$2:$E$102,3,FALSE),0)</f>
        <v>0</v>
      </c>
      <c r="N1112" s="27">
        <f t="shared" si="52"/>
        <v>0</v>
      </c>
      <c r="O1112" s="178">
        <f t="shared" si="53"/>
        <v>0</v>
      </c>
    </row>
    <row r="1113" spans="1:15" ht="25.5" hidden="1">
      <c r="A1113" s="25">
        <v>4834</v>
      </c>
      <c r="B1113" s="25" t="s">
        <v>40</v>
      </c>
      <c r="C1113" s="26" t="s">
        <v>66</v>
      </c>
      <c r="D1113" s="27">
        <v>73071100</v>
      </c>
      <c r="E1113" s="28" t="s">
        <v>299</v>
      </c>
      <c r="F1113" s="29" t="s">
        <v>300</v>
      </c>
      <c r="G1113" s="30">
        <v>1</v>
      </c>
      <c r="H1113" s="27" t="s">
        <v>137</v>
      </c>
      <c r="I1113" s="26" t="s">
        <v>149</v>
      </c>
      <c r="J1113" s="31">
        <v>28</v>
      </c>
      <c r="K1113" s="32">
        <f t="shared" si="51"/>
        <v>28</v>
      </c>
      <c r="L1113" s="29" t="s">
        <v>300</v>
      </c>
      <c r="M1113" s="27">
        <f>IFERROR(VLOOKUP(C1113,Custo_MI_Device!$B$2:$E$102,3,FALSE),0)</f>
        <v>0</v>
      </c>
      <c r="N1113" s="27">
        <f t="shared" si="52"/>
        <v>0</v>
      </c>
      <c r="O1113" s="178">
        <f t="shared" si="53"/>
        <v>0</v>
      </c>
    </row>
    <row r="1114" spans="1:15" ht="12.75" hidden="1">
      <c r="A1114" s="25">
        <v>2534</v>
      </c>
      <c r="B1114" s="25" t="s">
        <v>15</v>
      </c>
      <c r="C1114" s="26" t="s">
        <v>16</v>
      </c>
      <c r="D1114" s="27">
        <v>73072900</v>
      </c>
      <c r="E1114" s="28" t="s">
        <v>314</v>
      </c>
      <c r="F1114" s="29" t="s">
        <v>315</v>
      </c>
      <c r="G1114" s="30">
        <v>24</v>
      </c>
      <c r="H1114" s="27" t="s">
        <v>137</v>
      </c>
      <c r="I1114" s="26" t="s">
        <v>256</v>
      </c>
      <c r="J1114" s="31">
        <v>1.2</v>
      </c>
      <c r="K1114" s="32">
        <f t="shared" si="51"/>
        <v>28.799999999999997</v>
      </c>
      <c r="L1114" s="29" t="s">
        <v>315</v>
      </c>
      <c r="M1114" s="27">
        <f>IFERROR(VLOOKUP(C1114,Custo_MI_Device!$B$2:$E$102,3,FALSE),0)</f>
        <v>0</v>
      </c>
      <c r="N1114" s="27">
        <f t="shared" si="52"/>
        <v>0</v>
      </c>
      <c r="O1114" s="178">
        <f t="shared" si="53"/>
        <v>0</v>
      </c>
    </row>
    <row r="1115" spans="1:15" ht="12.75" hidden="1">
      <c r="A1115" s="25">
        <v>1669</v>
      </c>
      <c r="B1115" s="25" t="s">
        <v>15</v>
      </c>
      <c r="C1115" s="26" t="s">
        <v>16</v>
      </c>
      <c r="D1115" s="27">
        <v>39269090</v>
      </c>
      <c r="E1115" s="28" t="s">
        <v>316</v>
      </c>
      <c r="F1115" s="29" t="s">
        <v>317</v>
      </c>
      <c r="G1115" s="30">
        <v>3</v>
      </c>
      <c r="H1115" s="27" t="s">
        <v>137</v>
      </c>
      <c r="I1115" s="26" t="s">
        <v>318</v>
      </c>
      <c r="J1115" s="31">
        <v>0.04</v>
      </c>
      <c r="K1115" s="32">
        <f t="shared" si="51"/>
        <v>0.12</v>
      </c>
      <c r="L1115" s="29" t="s">
        <v>317</v>
      </c>
      <c r="M1115" s="27">
        <f>IFERROR(VLOOKUP(C1115,Custo_MI_Device!$B$2:$E$102,3,FALSE),0)</f>
        <v>0</v>
      </c>
      <c r="N1115" s="27">
        <f t="shared" si="52"/>
        <v>0</v>
      </c>
      <c r="O1115" s="178">
        <f t="shared" si="53"/>
        <v>0</v>
      </c>
    </row>
    <row r="1116" spans="1:15" ht="12.75" hidden="1">
      <c r="A1116" s="25">
        <v>5091</v>
      </c>
      <c r="B1116" s="25" t="s">
        <v>15</v>
      </c>
      <c r="C1116" s="26" t="s">
        <v>16</v>
      </c>
      <c r="D1116" s="27">
        <v>73181500</v>
      </c>
      <c r="E1116" s="28" t="s">
        <v>323</v>
      </c>
      <c r="F1116" s="29" t="s">
        <v>324</v>
      </c>
      <c r="G1116" s="30">
        <v>48</v>
      </c>
      <c r="H1116" s="27" t="s">
        <v>137</v>
      </c>
      <c r="I1116" s="26" t="s">
        <v>256</v>
      </c>
      <c r="J1116" s="31">
        <v>0.04</v>
      </c>
      <c r="K1116" s="32">
        <f t="shared" si="51"/>
        <v>1.92</v>
      </c>
      <c r="L1116" s="29" t="s">
        <v>324</v>
      </c>
      <c r="M1116" s="27">
        <f>IFERROR(VLOOKUP(C1116,Custo_MI_Device!$B$2:$E$102,3,FALSE),0)</f>
        <v>0</v>
      </c>
      <c r="N1116" s="27">
        <f t="shared" si="52"/>
        <v>0</v>
      </c>
      <c r="O1116" s="178">
        <f t="shared" si="53"/>
        <v>0</v>
      </c>
    </row>
    <row r="1117" spans="1:15" ht="12.75" hidden="1">
      <c r="A1117" s="25">
        <v>2607</v>
      </c>
      <c r="B1117" s="25" t="s">
        <v>15</v>
      </c>
      <c r="C1117" s="26" t="s">
        <v>16</v>
      </c>
      <c r="D1117" s="27">
        <v>73071100</v>
      </c>
      <c r="E1117" s="28" t="s">
        <v>139</v>
      </c>
      <c r="F1117" s="29" t="s">
        <v>140</v>
      </c>
      <c r="G1117" s="30">
        <v>2</v>
      </c>
      <c r="H1117" s="27" t="s">
        <v>137</v>
      </c>
      <c r="I1117" s="26" t="s">
        <v>138</v>
      </c>
      <c r="J1117" s="31">
        <v>0.6</v>
      </c>
      <c r="K1117" s="32">
        <f t="shared" si="51"/>
        <v>1.2</v>
      </c>
      <c r="L1117" s="29" t="s">
        <v>140</v>
      </c>
      <c r="M1117" s="27">
        <f>IFERROR(VLOOKUP(C1117,Custo_MI_Device!$B$2:$E$102,3,FALSE),0)</f>
        <v>0</v>
      </c>
      <c r="N1117" s="27">
        <f t="shared" si="52"/>
        <v>0</v>
      </c>
      <c r="O1117" s="178">
        <f t="shared" si="53"/>
        <v>0</v>
      </c>
    </row>
    <row r="1118" spans="1:15" ht="12.75" hidden="1">
      <c r="A1118" s="25">
        <v>1117</v>
      </c>
      <c r="B1118" s="25" t="s">
        <v>15</v>
      </c>
      <c r="C1118" s="26" t="s">
        <v>16</v>
      </c>
      <c r="D1118" s="27"/>
      <c r="E1118" s="28" t="s">
        <v>145</v>
      </c>
      <c r="F1118" s="29" t="s">
        <v>146</v>
      </c>
      <c r="G1118" s="30">
        <v>3</v>
      </c>
      <c r="H1118" s="27" t="s">
        <v>137</v>
      </c>
      <c r="I1118" s="26" t="s">
        <v>138</v>
      </c>
      <c r="J1118" s="31">
        <v>1.95</v>
      </c>
      <c r="K1118" s="32">
        <f t="shared" si="51"/>
        <v>5.85</v>
      </c>
      <c r="L1118" s="29" t="s">
        <v>146</v>
      </c>
      <c r="M1118" s="27">
        <f>IFERROR(VLOOKUP(C1118,Custo_MI_Device!$B$2:$E$102,3,FALSE),0)</f>
        <v>0</v>
      </c>
      <c r="N1118" s="27">
        <f t="shared" si="52"/>
        <v>0</v>
      </c>
      <c r="O1118" s="178">
        <f t="shared" si="53"/>
        <v>0</v>
      </c>
    </row>
    <row r="1119" spans="1:15" ht="38.25" hidden="1">
      <c r="A1119" s="25">
        <v>3585</v>
      </c>
      <c r="B1119" s="25" t="s">
        <v>15</v>
      </c>
      <c r="C1119" s="26" t="s">
        <v>16</v>
      </c>
      <c r="D1119" s="27">
        <v>85444900</v>
      </c>
      <c r="E1119" s="28" t="s">
        <v>328</v>
      </c>
      <c r="F1119" s="29">
        <v>900400</v>
      </c>
      <c r="G1119" s="30">
        <v>50</v>
      </c>
      <c r="H1119" s="27" t="s">
        <v>158</v>
      </c>
      <c r="I1119" s="26" t="s">
        <v>164</v>
      </c>
      <c r="J1119" s="31">
        <v>1.7</v>
      </c>
      <c r="K1119" s="32">
        <f t="shared" si="51"/>
        <v>85</v>
      </c>
      <c r="L1119" s="29">
        <v>900400</v>
      </c>
      <c r="M1119" s="27">
        <f>IFERROR(VLOOKUP(C1119,Custo_MI_Device!$B$2:$E$102,3,FALSE),0)</f>
        <v>0</v>
      </c>
      <c r="N1119" s="27">
        <f t="shared" si="52"/>
        <v>0</v>
      </c>
      <c r="O1119" s="178">
        <f t="shared" si="53"/>
        <v>0</v>
      </c>
    </row>
    <row r="1120" spans="1:15" ht="12.75" hidden="1">
      <c r="A1120" s="25">
        <v>2805</v>
      </c>
      <c r="B1120" s="25" t="s">
        <v>15</v>
      </c>
      <c r="C1120" s="26" t="s">
        <v>16</v>
      </c>
      <c r="D1120" s="27">
        <v>72162100</v>
      </c>
      <c r="E1120" s="28" t="s">
        <v>174</v>
      </c>
      <c r="F1120" s="29">
        <v>0</v>
      </c>
      <c r="G1120" s="30">
        <v>2.9</v>
      </c>
      <c r="H1120" s="27" t="s">
        <v>175</v>
      </c>
      <c r="I1120" s="26" t="s">
        <v>176</v>
      </c>
      <c r="J1120" s="31">
        <v>4.22</v>
      </c>
      <c r="K1120" s="32">
        <f t="shared" si="51"/>
        <v>12.238</v>
      </c>
      <c r="L1120" s="29" t="s">
        <v>177</v>
      </c>
      <c r="M1120" s="27">
        <f>IFERROR(VLOOKUP(C1120,Custo_MI_Device!$B$2:$E$102,3,FALSE),0)</f>
        <v>0</v>
      </c>
      <c r="N1120" s="27">
        <f t="shared" si="52"/>
        <v>0</v>
      </c>
      <c r="O1120" s="178">
        <f t="shared" si="53"/>
        <v>0</v>
      </c>
    </row>
    <row r="1121" spans="1:15" ht="12.75" hidden="1">
      <c r="A1121" s="25">
        <v>2904</v>
      </c>
      <c r="B1121" s="25" t="s">
        <v>15</v>
      </c>
      <c r="C1121" s="26" t="s">
        <v>16</v>
      </c>
      <c r="D1121" s="27">
        <v>76090000</v>
      </c>
      <c r="E1121" s="28" t="s">
        <v>195</v>
      </c>
      <c r="F1121" s="29" t="s">
        <v>196</v>
      </c>
      <c r="G1121" s="30">
        <v>0.75</v>
      </c>
      <c r="H1121" s="27" t="s">
        <v>137</v>
      </c>
      <c r="I1121" s="26" t="s">
        <v>138</v>
      </c>
      <c r="J1121" s="31">
        <v>6.7</v>
      </c>
      <c r="K1121" s="32">
        <f t="shared" si="51"/>
        <v>5.0250000000000004</v>
      </c>
      <c r="L1121" s="29" t="s">
        <v>196</v>
      </c>
      <c r="M1121" s="27">
        <f>IFERROR(VLOOKUP(C1121,Custo_MI_Device!$B$2:$E$102,3,FALSE),0)</f>
        <v>0</v>
      </c>
      <c r="N1121" s="27">
        <f t="shared" si="52"/>
        <v>0</v>
      </c>
      <c r="O1121" s="178">
        <f t="shared" si="53"/>
        <v>0</v>
      </c>
    </row>
    <row r="1122" spans="1:15" ht="12.75" hidden="1">
      <c r="A1122" s="25">
        <v>2911</v>
      </c>
      <c r="B1122" s="25" t="s">
        <v>15</v>
      </c>
      <c r="C1122" s="26" t="s">
        <v>16</v>
      </c>
      <c r="D1122" s="27">
        <v>76090000</v>
      </c>
      <c r="E1122" s="28" t="s">
        <v>197</v>
      </c>
      <c r="F1122" s="29" t="s">
        <v>198</v>
      </c>
      <c r="G1122" s="30">
        <v>0.75</v>
      </c>
      <c r="H1122" s="27" t="s">
        <v>137</v>
      </c>
      <c r="I1122" s="26" t="s">
        <v>138</v>
      </c>
      <c r="J1122" s="31">
        <v>6.7</v>
      </c>
      <c r="K1122" s="32">
        <f t="shared" si="51"/>
        <v>5.0250000000000004</v>
      </c>
      <c r="L1122" s="29" t="s">
        <v>198</v>
      </c>
      <c r="M1122" s="27">
        <f>IFERROR(VLOOKUP(C1122,Custo_MI_Device!$B$2:$E$102,3,FALSE),0)</f>
        <v>0</v>
      </c>
      <c r="N1122" s="27">
        <f t="shared" si="52"/>
        <v>0</v>
      </c>
      <c r="O1122" s="178">
        <f t="shared" si="53"/>
        <v>0</v>
      </c>
    </row>
    <row r="1123" spans="1:15" ht="12.75" hidden="1">
      <c r="A1123" s="25">
        <v>4823</v>
      </c>
      <c r="B1123" s="25" t="s">
        <v>15</v>
      </c>
      <c r="C1123" s="26" t="s">
        <v>16</v>
      </c>
      <c r="D1123" s="27">
        <v>76090000</v>
      </c>
      <c r="E1123" s="28" t="s">
        <v>199</v>
      </c>
      <c r="F1123" s="29" t="s">
        <v>200</v>
      </c>
      <c r="G1123" s="30">
        <v>0.75</v>
      </c>
      <c r="H1123" s="27" t="s">
        <v>137</v>
      </c>
      <c r="I1123" s="26" t="s">
        <v>138</v>
      </c>
      <c r="J1123" s="31">
        <v>6.7</v>
      </c>
      <c r="K1123" s="32">
        <f t="shared" si="51"/>
        <v>5.0250000000000004</v>
      </c>
      <c r="L1123" s="29" t="s">
        <v>200</v>
      </c>
      <c r="M1123" s="27">
        <f>IFERROR(VLOOKUP(C1123,Custo_MI_Device!$B$2:$E$102,3,FALSE),0)</f>
        <v>0</v>
      </c>
      <c r="N1123" s="27">
        <f t="shared" si="52"/>
        <v>0</v>
      </c>
      <c r="O1123" s="178">
        <f t="shared" si="53"/>
        <v>0</v>
      </c>
    </row>
    <row r="1124" spans="1:15" ht="12.75" hidden="1">
      <c r="A1124" s="25">
        <v>2912</v>
      </c>
      <c r="B1124" s="25" t="s">
        <v>15</v>
      </c>
      <c r="C1124" s="26" t="s">
        <v>16</v>
      </c>
      <c r="D1124" s="27">
        <v>76090000</v>
      </c>
      <c r="E1124" s="28" t="s">
        <v>201</v>
      </c>
      <c r="F1124" s="29" t="s">
        <v>202</v>
      </c>
      <c r="G1124" s="30">
        <v>1</v>
      </c>
      <c r="H1124" s="27" t="s">
        <v>137</v>
      </c>
      <c r="I1124" s="26" t="s">
        <v>138</v>
      </c>
      <c r="J1124" s="31">
        <v>7.5</v>
      </c>
      <c r="K1124" s="32">
        <f t="shared" si="51"/>
        <v>7.5</v>
      </c>
      <c r="L1124" s="29" t="s">
        <v>202</v>
      </c>
      <c r="M1124" s="27">
        <f>IFERROR(VLOOKUP(C1124,Custo_MI_Device!$B$2:$E$102,3,FALSE),0)</f>
        <v>0</v>
      </c>
      <c r="N1124" s="27">
        <f t="shared" si="52"/>
        <v>0</v>
      </c>
      <c r="O1124" s="178">
        <f t="shared" si="53"/>
        <v>0</v>
      </c>
    </row>
    <row r="1125" spans="1:15" ht="12.75" hidden="1">
      <c r="A1125" s="25">
        <v>2906</v>
      </c>
      <c r="B1125" s="25" t="s">
        <v>15</v>
      </c>
      <c r="C1125" s="26" t="s">
        <v>16</v>
      </c>
      <c r="D1125" s="27">
        <v>76090000</v>
      </c>
      <c r="E1125" s="28" t="s">
        <v>203</v>
      </c>
      <c r="F1125" s="29" t="s">
        <v>204</v>
      </c>
      <c r="G1125" s="30">
        <v>1</v>
      </c>
      <c r="H1125" s="27" t="s">
        <v>137</v>
      </c>
      <c r="I1125" s="26" t="s">
        <v>138</v>
      </c>
      <c r="J1125" s="31">
        <v>8.15</v>
      </c>
      <c r="K1125" s="32">
        <f t="shared" si="51"/>
        <v>8.15</v>
      </c>
      <c r="L1125" s="29" t="s">
        <v>204</v>
      </c>
      <c r="M1125" s="27">
        <f>IFERROR(VLOOKUP(C1125,Custo_MI_Device!$B$2:$E$102,3,FALSE),0)</f>
        <v>0</v>
      </c>
      <c r="N1125" s="27">
        <f t="shared" si="52"/>
        <v>0</v>
      </c>
      <c r="O1125" s="178">
        <f t="shared" si="53"/>
        <v>0</v>
      </c>
    </row>
    <row r="1126" spans="1:15" ht="25.5" hidden="1">
      <c r="A1126" s="25">
        <v>4306</v>
      </c>
      <c r="B1126" s="25" t="s">
        <v>15</v>
      </c>
      <c r="C1126" s="26" t="s">
        <v>16</v>
      </c>
      <c r="D1126" s="27">
        <v>73063000</v>
      </c>
      <c r="E1126" s="28" t="s">
        <v>239</v>
      </c>
      <c r="F1126" s="29">
        <v>0</v>
      </c>
      <c r="G1126" s="30">
        <v>3</v>
      </c>
      <c r="H1126" s="27" t="s">
        <v>232</v>
      </c>
      <c r="I1126" s="26" t="s">
        <v>233</v>
      </c>
      <c r="J1126" s="31">
        <v>32</v>
      </c>
      <c r="K1126" s="32">
        <f t="shared" si="51"/>
        <v>96</v>
      </c>
      <c r="L1126" s="29" t="s">
        <v>240</v>
      </c>
      <c r="M1126" s="27">
        <f>IFERROR(VLOOKUP(C1126,Custo_MI_Device!$B$2:$E$102,3,FALSE),0)</f>
        <v>0</v>
      </c>
      <c r="N1126" s="27">
        <f t="shared" si="52"/>
        <v>0</v>
      </c>
      <c r="O1126" s="178">
        <f t="shared" si="53"/>
        <v>0</v>
      </c>
    </row>
    <row r="1127" spans="1:15" ht="12.75" hidden="1">
      <c r="A1127" s="25">
        <v>2609</v>
      </c>
      <c r="B1127" s="25" t="s">
        <v>15</v>
      </c>
      <c r="C1127" s="26" t="s">
        <v>16</v>
      </c>
      <c r="D1127" s="27">
        <v>73071910</v>
      </c>
      <c r="E1127" s="28" t="s">
        <v>263</v>
      </c>
      <c r="F1127" s="29" t="s">
        <v>264</v>
      </c>
      <c r="G1127" s="30">
        <v>2</v>
      </c>
      <c r="H1127" s="27" t="s">
        <v>137</v>
      </c>
      <c r="I1127" s="26" t="s">
        <v>138</v>
      </c>
      <c r="J1127" s="31">
        <v>0.6</v>
      </c>
      <c r="K1127" s="32">
        <f t="shared" si="51"/>
        <v>1.2</v>
      </c>
      <c r="L1127" s="29" t="s">
        <v>264</v>
      </c>
      <c r="M1127" s="27">
        <f>IFERROR(VLOOKUP(C1127,Custo_MI_Device!$B$2:$E$102,3,FALSE),0)</f>
        <v>0</v>
      </c>
      <c r="N1127" s="27">
        <f t="shared" si="52"/>
        <v>0</v>
      </c>
      <c r="O1127" s="178">
        <f t="shared" si="53"/>
        <v>0</v>
      </c>
    </row>
    <row r="1128" spans="1:15" ht="12.75" hidden="1">
      <c r="A1128" s="25">
        <v>3274</v>
      </c>
      <c r="B1128" s="25" t="s">
        <v>15</v>
      </c>
      <c r="C1128" s="26" t="s">
        <v>16</v>
      </c>
      <c r="D1128" s="27">
        <v>73181500</v>
      </c>
      <c r="E1128" s="28" t="s">
        <v>265</v>
      </c>
      <c r="F1128" s="29" t="s">
        <v>266</v>
      </c>
      <c r="G1128" s="30">
        <v>48</v>
      </c>
      <c r="H1128" s="27" t="s">
        <v>137</v>
      </c>
      <c r="I1128" s="26" t="s">
        <v>256</v>
      </c>
      <c r="J1128" s="31">
        <v>0.06</v>
      </c>
      <c r="K1128" s="32">
        <f t="shared" si="51"/>
        <v>2.88</v>
      </c>
      <c r="L1128" s="29" t="s">
        <v>266</v>
      </c>
      <c r="M1128" s="27">
        <f>IFERROR(VLOOKUP(C1128,Custo_MI_Device!$B$2:$E$102,3,FALSE),0)</f>
        <v>0</v>
      </c>
      <c r="N1128" s="27">
        <f t="shared" si="52"/>
        <v>0</v>
      </c>
      <c r="O1128" s="178">
        <f t="shared" si="53"/>
        <v>0</v>
      </c>
    </row>
    <row r="1129" spans="1:15" ht="25.5" hidden="1">
      <c r="A1129" s="25">
        <v>1611</v>
      </c>
      <c r="B1129" s="25" t="s">
        <v>15</v>
      </c>
      <c r="C1129" s="26" t="s">
        <v>16</v>
      </c>
      <c r="D1129" s="27">
        <v>39174090</v>
      </c>
      <c r="E1129" s="28" t="s">
        <v>275</v>
      </c>
      <c r="F1129" s="29" t="s">
        <v>276</v>
      </c>
      <c r="G1129" s="30">
        <v>3</v>
      </c>
      <c r="H1129" s="27" t="s">
        <v>137</v>
      </c>
      <c r="I1129" s="26" t="s">
        <v>277</v>
      </c>
      <c r="J1129" s="31">
        <v>7.8</v>
      </c>
      <c r="K1129" s="32">
        <f t="shared" si="51"/>
        <v>23.4</v>
      </c>
      <c r="L1129" s="29" t="s">
        <v>276</v>
      </c>
      <c r="M1129" s="27">
        <f>IFERROR(VLOOKUP(C1129,Custo_MI_Device!$B$2:$E$102,3,FALSE),0)</f>
        <v>0</v>
      </c>
      <c r="N1129" s="27">
        <f t="shared" si="52"/>
        <v>0</v>
      </c>
      <c r="O1129" s="178">
        <f t="shared" si="53"/>
        <v>0</v>
      </c>
    </row>
    <row r="1130" spans="1:15" ht="12.75" hidden="1">
      <c r="A1130" s="25">
        <v>5081</v>
      </c>
      <c r="B1130" s="25" t="s">
        <v>15</v>
      </c>
      <c r="C1130" s="26" t="s">
        <v>16</v>
      </c>
      <c r="D1130" s="27">
        <v>73145000</v>
      </c>
      <c r="E1130" s="28" t="s">
        <v>278</v>
      </c>
      <c r="F1130" s="29">
        <v>0</v>
      </c>
      <c r="G1130" s="30">
        <v>3</v>
      </c>
      <c r="H1130" s="27" t="s">
        <v>137</v>
      </c>
      <c r="I1130" s="26" t="s">
        <v>279</v>
      </c>
      <c r="J1130" s="31">
        <v>23</v>
      </c>
      <c r="K1130" s="32">
        <f t="shared" si="51"/>
        <v>69</v>
      </c>
      <c r="L1130" s="29" t="s">
        <v>280</v>
      </c>
      <c r="M1130" s="27">
        <f>IFERROR(VLOOKUP(C1130,Custo_MI_Device!$B$2:$E$102,3,FALSE),0)</f>
        <v>0</v>
      </c>
      <c r="N1130" s="27">
        <f t="shared" si="52"/>
        <v>0</v>
      </c>
      <c r="O1130" s="178">
        <f t="shared" si="53"/>
        <v>0</v>
      </c>
    </row>
    <row r="1131" spans="1:15" ht="38.25" hidden="1">
      <c r="A1131" s="25">
        <v>3585</v>
      </c>
      <c r="B1131" s="25" t="s">
        <v>92</v>
      </c>
      <c r="C1131" s="26" t="s">
        <v>93</v>
      </c>
      <c r="D1131" s="27">
        <v>85444900</v>
      </c>
      <c r="E1131" s="28" t="s">
        <v>328</v>
      </c>
      <c r="F1131" s="29">
        <v>900400</v>
      </c>
      <c r="G1131" s="30">
        <v>10</v>
      </c>
      <c r="H1131" s="27" t="s">
        <v>158</v>
      </c>
      <c r="I1131" s="26" t="s">
        <v>164</v>
      </c>
      <c r="J1131" s="31">
        <v>1.7</v>
      </c>
      <c r="K1131" s="32">
        <f t="shared" si="51"/>
        <v>17</v>
      </c>
      <c r="L1131" s="29">
        <v>900400</v>
      </c>
      <c r="M1131" s="27">
        <f>IFERROR(VLOOKUP(C1131,Custo_MI_Device!$B$2:$E$102,3,FALSE),0)</f>
        <v>0</v>
      </c>
      <c r="N1131" s="27">
        <f t="shared" si="52"/>
        <v>0</v>
      </c>
      <c r="O1131" s="178">
        <f t="shared" si="53"/>
        <v>0</v>
      </c>
    </row>
    <row r="1132" spans="1:15" ht="12.75" hidden="1">
      <c r="A1132" s="25">
        <v>2534</v>
      </c>
      <c r="B1132" s="25" t="s">
        <v>114</v>
      </c>
      <c r="C1132" s="26" t="s">
        <v>115</v>
      </c>
      <c r="D1132" s="27">
        <v>73072900</v>
      </c>
      <c r="E1132" s="28" t="s">
        <v>314</v>
      </c>
      <c r="F1132" s="29" t="s">
        <v>315</v>
      </c>
      <c r="G1132" s="30">
        <v>12</v>
      </c>
      <c r="H1132" s="27" t="s">
        <v>137</v>
      </c>
      <c r="I1132" s="26" t="s">
        <v>256</v>
      </c>
      <c r="J1132" s="31">
        <v>2.1</v>
      </c>
      <c r="K1132" s="32">
        <f t="shared" si="51"/>
        <v>25.200000000000003</v>
      </c>
      <c r="L1132" s="29" t="s">
        <v>315</v>
      </c>
      <c r="M1132" s="27">
        <f>IFERROR(VLOOKUP(C1132,Custo_MI_Device!$B$2:$E$102,3,FALSE),0)</f>
        <v>0</v>
      </c>
      <c r="N1132" s="27">
        <f t="shared" si="52"/>
        <v>0</v>
      </c>
      <c r="O1132" s="178">
        <f t="shared" si="53"/>
        <v>0</v>
      </c>
    </row>
    <row r="1133" spans="1:15" ht="12.75" hidden="1">
      <c r="A1133" s="25">
        <v>5091</v>
      </c>
      <c r="B1133" s="25" t="s">
        <v>114</v>
      </c>
      <c r="C1133" s="26" t="s">
        <v>115</v>
      </c>
      <c r="D1133" s="27">
        <v>73181500</v>
      </c>
      <c r="E1133" s="28" t="s">
        <v>323</v>
      </c>
      <c r="F1133" s="29" t="s">
        <v>324</v>
      </c>
      <c r="G1133" s="30">
        <v>24</v>
      </c>
      <c r="H1133" s="27" t="s">
        <v>137</v>
      </c>
      <c r="I1133" s="26" t="s">
        <v>256</v>
      </c>
      <c r="J1133" s="31">
        <v>0.04</v>
      </c>
      <c r="K1133" s="32">
        <f t="shared" si="51"/>
        <v>0.96</v>
      </c>
      <c r="L1133" s="29" t="s">
        <v>324</v>
      </c>
      <c r="M1133" s="27">
        <f>IFERROR(VLOOKUP(C1133,Custo_MI_Device!$B$2:$E$102,3,FALSE),0)</f>
        <v>0</v>
      </c>
      <c r="N1133" s="27">
        <f t="shared" si="52"/>
        <v>0</v>
      </c>
      <c r="O1133" s="178">
        <f t="shared" si="53"/>
        <v>0</v>
      </c>
    </row>
    <row r="1134" spans="1:15" ht="12.75" hidden="1">
      <c r="A1134" s="25">
        <v>1117</v>
      </c>
      <c r="B1134" s="25" t="s">
        <v>114</v>
      </c>
      <c r="C1134" s="26" t="s">
        <v>115</v>
      </c>
      <c r="D1134" s="27"/>
      <c r="E1134" s="28" t="s">
        <v>145</v>
      </c>
      <c r="F1134" s="29" t="s">
        <v>146</v>
      </c>
      <c r="G1134" s="30">
        <v>1</v>
      </c>
      <c r="H1134" s="27" t="s">
        <v>137</v>
      </c>
      <c r="I1134" s="26" t="s">
        <v>138</v>
      </c>
      <c r="J1134" s="31">
        <v>1.95</v>
      </c>
      <c r="K1134" s="32">
        <f t="shared" si="51"/>
        <v>1.95</v>
      </c>
      <c r="L1134" s="29" t="s">
        <v>146</v>
      </c>
      <c r="M1134" s="27">
        <f>IFERROR(VLOOKUP(C1134,Custo_MI_Device!$B$2:$E$102,3,FALSE),0)</f>
        <v>0</v>
      </c>
      <c r="N1134" s="27">
        <f t="shared" si="52"/>
        <v>0</v>
      </c>
      <c r="O1134" s="178">
        <f t="shared" si="53"/>
        <v>0</v>
      </c>
    </row>
    <row r="1135" spans="1:15" ht="12.75" hidden="1">
      <c r="A1135" s="25">
        <v>2961</v>
      </c>
      <c r="B1135" s="25" t="s">
        <v>114</v>
      </c>
      <c r="C1135" s="26" t="s">
        <v>115</v>
      </c>
      <c r="D1135" s="27">
        <v>85444900</v>
      </c>
      <c r="E1135" s="28" t="s">
        <v>627</v>
      </c>
      <c r="F1135" s="29">
        <v>900407</v>
      </c>
      <c r="G1135" s="30">
        <v>60</v>
      </c>
      <c r="H1135" s="27" t="s">
        <v>158</v>
      </c>
      <c r="I1135" s="26" t="s">
        <v>164</v>
      </c>
      <c r="J1135" s="31">
        <v>10.9</v>
      </c>
      <c r="K1135" s="32">
        <f t="shared" si="51"/>
        <v>654</v>
      </c>
      <c r="L1135" s="29">
        <v>900407</v>
      </c>
      <c r="M1135" s="27">
        <f>IFERROR(VLOOKUP(C1135,Custo_MI_Device!$B$2:$E$102,3,FALSE),0)</f>
        <v>0</v>
      </c>
      <c r="N1135" s="27">
        <f t="shared" si="52"/>
        <v>0</v>
      </c>
      <c r="O1135" s="178">
        <f t="shared" si="53"/>
        <v>0</v>
      </c>
    </row>
    <row r="1136" spans="1:15" ht="12.75" hidden="1">
      <c r="A1136" s="25">
        <v>3585</v>
      </c>
      <c r="B1136" s="25" t="s">
        <v>114</v>
      </c>
      <c r="C1136" s="26" t="s">
        <v>115</v>
      </c>
      <c r="D1136" s="27">
        <v>85444900</v>
      </c>
      <c r="E1136" s="28" t="s">
        <v>626</v>
      </c>
      <c r="F1136" s="29">
        <v>900400</v>
      </c>
      <c r="G1136" s="33">
        <v>60</v>
      </c>
      <c r="H1136" s="27" t="s">
        <v>158</v>
      </c>
      <c r="I1136" s="26" t="s">
        <v>164</v>
      </c>
      <c r="J1136" s="31">
        <v>9.8000000000000007</v>
      </c>
      <c r="K1136" s="32">
        <f t="shared" si="51"/>
        <v>588</v>
      </c>
      <c r="L1136" s="29">
        <v>900400</v>
      </c>
      <c r="M1136" s="27">
        <f>IFERROR(VLOOKUP(C1136,Custo_MI_Device!$B$2:$E$102,3,FALSE),0)</f>
        <v>0</v>
      </c>
      <c r="N1136" s="27">
        <f t="shared" si="52"/>
        <v>0</v>
      </c>
      <c r="O1136" s="178">
        <f t="shared" si="53"/>
        <v>0</v>
      </c>
    </row>
    <row r="1137" spans="1:15" ht="25.5" hidden="1">
      <c r="A1137" s="25">
        <v>1783</v>
      </c>
      <c r="B1137" s="25" t="s">
        <v>114</v>
      </c>
      <c r="C1137" s="26" t="s">
        <v>115</v>
      </c>
      <c r="D1137" s="27">
        <v>83071090</v>
      </c>
      <c r="E1137" s="28" t="s">
        <v>178</v>
      </c>
      <c r="F1137" s="29" t="s">
        <v>179</v>
      </c>
      <c r="G1137" s="30">
        <v>2</v>
      </c>
      <c r="H1137" s="27" t="s">
        <v>158</v>
      </c>
      <c r="I1137" s="26" t="s">
        <v>180</v>
      </c>
      <c r="J1137" s="31">
        <v>3.3</v>
      </c>
      <c r="K1137" s="32">
        <f t="shared" si="51"/>
        <v>6.6</v>
      </c>
      <c r="L1137" s="29" t="s">
        <v>179</v>
      </c>
      <c r="M1137" s="27">
        <f>IFERROR(VLOOKUP(C1137,Custo_MI_Device!$B$2:$E$102,3,FALSE),0)</f>
        <v>0</v>
      </c>
      <c r="N1137" s="27">
        <f t="shared" si="52"/>
        <v>0</v>
      </c>
      <c r="O1137" s="178">
        <f t="shared" si="53"/>
        <v>0</v>
      </c>
    </row>
    <row r="1138" spans="1:15" ht="12.75" hidden="1">
      <c r="A1138" s="25">
        <v>4823</v>
      </c>
      <c r="B1138" s="25" t="s">
        <v>114</v>
      </c>
      <c r="C1138" s="26" t="s">
        <v>115</v>
      </c>
      <c r="D1138" s="27">
        <v>76090000</v>
      </c>
      <c r="E1138" s="28" t="s">
        <v>199</v>
      </c>
      <c r="F1138" s="29" t="s">
        <v>200</v>
      </c>
      <c r="G1138" s="30">
        <v>0.75</v>
      </c>
      <c r="H1138" s="27" t="s">
        <v>137</v>
      </c>
      <c r="I1138" s="26" t="s">
        <v>138</v>
      </c>
      <c r="J1138" s="31">
        <v>6.7</v>
      </c>
      <c r="K1138" s="32">
        <f t="shared" si="51"/>
        <v>5.0250000000000004</v>
      </c>
      <c r="L1138" s="29" t="s">
        <v>200</v>
      </c>
      <c r="M1138" s="27">
        <f>IFERROR(VLOOKUP(C1138,Custo_MI_Device!$B$2:$E$102,3,FALSE),0)</f>
        <v>0</v>
      </c>
      <c r="N1138" s="27">
        <f t="shared" si="52"/>
        <v>0</v>
      </c>
      <c r="O1138" s="178">
        <f t="shared" si="53"/>
        <v>0</v>
      </c>
    </row>
    <row r="1139" spans="1:15" ht="12.75" hidden="1">
      <c r="A1139" s="25">
        <v>2912</v>
      </c>
      <c r="B1139" s="25" t="s">
        <v>114</v>
      </c>
      <c r="C1139" s="26" t="s">
        <v>115</v>
      </c>
      <c r="D1139" s="27">
        <v>76090000</v>
      </c>
      <c r="E1139" s="28" t="s">
        <v>201</v>
      </c>
      <c r="F1139" s="29" t="s">
        <v>202</v>
      </c>
      <c r="G1139" s="30">
        <v>0.5</v>
      </c>
      <c r="H1139" s="27" t="s">
        <v>137</v>
      </c>
      <c r="I1139" s="26" t="s">
        <v>138</v>
      </c>
      <c r="J1139" s="31">
        <v>7.5</v>
      </c>
      <c r="K1139" s="32">
        <f t="shared" si="51"/>
        <v>3.75</v>
      </c>
      <c r="L1139" s="29" t="s">
        <v>202</v>
      </c>
      <c r="M1139" s="27">
        <f>IFERROR(VLOOKUP(C1139,Custo_MI_Device!$B$2:$E$102,3,FALSE),0)</f>
        <v>0</v>
      </c>
      <c r="N1139" s="27">
        <f t="shared" si="52"/>
        <v>0</v>
      </c>
      <c r="O1139" s="178">
        <f t="shared" si="53"/>
        <v>0</v>
      </c>
    </row>
    <row r="1140" spans="1:15" ht="25.5" hidden="1">
      <c r="A1140" s="25">
        <v>3436</v>
      </c>
      <c r="B1140" s="25" t="s">
        <v>114</v>
      </c>
      <c r="C1140" s="26" t="s">
        <v>115</v>
      </c>
      <c r="D1140" s="27">
        <v>76090000</v>
      </c>
      <c r="E1140" s="28" t="s">
        <v>193</v>
      </c>
      <c r="F1140" s="29" t="s">
        <v>194</v>
      </c>
      <c r="G1140" s="30">
        <v>4</v>
      </c>
      <c r="H1140" s="27" t="s">
        <v>137</v>
      </c>
      <c r="I1140" s="26" t="s">
        <v>138</v>
      </c>
      <c r="J1140" s="31">
        <v>9.6999999999999993</v>
      </c>
      <c r="K1140" s="32">
        <f t="shared" si="51"/>
        <v>38.799999999999997</v>
      </c>
      <c r="L1140" s="29" t="s">
        <v>194</v>
      </c>
      <c r="M1140" s="27">
        <f>IFERROR(VLOOKUP(C1140,Custo_MI_Device!$B$2:$E$102,3,FALSE),0)</f>
        <v>0</v>
      </c>
      <c r="N1140" s="27">
        <f t="shared" si="52"/>
        <v>0</v>
      </c>
      <c r="O1140" s="178">
        <f t="shared" si="53"/>
        <v>0</v>
      </c>
    </row>
    <row r="1141" spans="1:15" ht="12.75" hidden="1">
      <c r="A1141" s="25">
        <v>158</v>
      </c>
      <c r="B1141" s="25" t="s">
        <v>114</v>
      </c>
      <c r="C1141" s="26" t="s">
        <v>115</v>
      </c>
      <c r="D1141" s="27">
        <v>76090000</v>
      </c>
      <c r="E1141" s="28" t="s">
        <v>214</v>
      </c>
      <c r="F1141" s="29" t="s">
        <v>215</v>
      </c>
      <c r="G1141" s="30">
        <v>2</v>
      </c>
      <c r="H1141" s="27" t="s">
        <v>137</v>
      </c>
      <c r="I1141" s="26" t="s">
        <v>180</v>
      </c>
      <c r="J1141" s="31">
        <v>3.15</v>
      </c>
      <c r="K1141" s="32">
        <f t="shared" si="51"/>
        <v>6.3</v>
      </c>
      <c r="L1141" s="29" t="s">
        <v>215</v>
      </c>
      <c r="M1141" s="27">
        <f>IFERROR(VLOOKUP(C1141,Custo_MI_Device!$B$2:$E$102,3,FALSE),0)</f>
        <v>0</v>
      </c>
      <c r="N1141" s="27">
        <f t="shared" si="52"/>
        <v>0</v>
      </c>
      <c r="O1141" s="178">
        <f t="shared" si="53"/>
        <v>0</v>
      </c>
    </row>
    <row r="1142" spans="1:15" ht="25.5" hidden="1">
      <c r="A1142" s="25">
        <v>4306</v>
      </c>
      <c r="B1142" s="25" t="s">
        <v>114</v>
      </c>
      <c r="C1142" s="26" t="s">
        <v>115</v>
      </c>
      <c r="D1142" s="27">
        <v>73063000</v>
      </c>
      <c r="E1142" s="28" t="s">
        <v>239</v>
      </c>
      <c r="F1142" s="29">
        <v>0</v>
      </c>
      <c r="G1142" s="30">
        <v>4</v>
      </c>
      <c r="H1142" s="27" t="s">
        <v>232</v>
      </c>
      <c r="I1142" s="26" t="s">
        <v>233</v>
      </c>
      <c r="J1142" s="31">
        <v>54</v>
      </c>
      <c r="K1142" s="32">
        <f t="shared" si="51"/>
        <v>216</v>
      </c>
      <c r="L1142" s="29" t="s">
        <v>240</v>
      </c>
      <c r="M1142" s="27">
        <f>IFERROR(VLOOKUP(C1142,Custo_MI_Device!$B$2:$E$102,3,FALSE),0)</f>
        <v>0</v>
      </c>
      <c r="N1142" s="27">
        <f t="shared" si="52"/>
        <v>0</v>
      </c>
      <c r="O1142" s="178">
        <f t="shared" si="53"/>
        <v>0</v>
      </c>
    </row>
    <row r="1143" spans="1:15" ht="12.75" hidden="1">
      <c r="A1143" s="25">
        <v>3274</v>
      </c>
      <c r="B1143" s="25" t="s">
        <v>114</v>
      </c>
      <c r="C1143" s="26" t="s">
        <v>115</v>
      </c>
      <c r="D1143" s="27">
        <v>73181500</v>
      </c>
      <c r="E1143" s="28" t="s">
        <v>265</v>
      </c>
      <c r="F1143" s="29" t="s">
        <v>266</v>
      </c>
      <c r="G1143" s="30">
        <v>24</v>
      </c>
      <c r="H1143" s="27" t="s">
        <v>137</v>
      </c>
      <c r="I1143" s="26" t="s">
        <v>256</v>
      </c>
      <c r="J1143" s="31">
        <v>0.06</v>
      </c>
      <c r="K1143" s="32">
        <f t="shared" si="51"/>
        <v>1.44</v>
      </c>
      <c r="L1143" s="29" t="s">
        <v>266</v>
      </c>
      <c r="M1143" s="27">
        <f>IFERROR(VLOOKUP(C1143,Custo_MI_Device!$B$2:$E$102,3,FALSE),0)</f>
        <v>0</v>
      </c>
      <c r="N1143" s="27">
        <f t="shared" si="52"/>
        <v>0</v>
      </c>
      <c r="O1143" s="178">
        <f t="shared" si="53"/>
        <v>0</v>
      </c>
    </row>
    <row r="1144" spans="1:15" ht="12.75" hidden="1">
      <c r="A1144" s="25">
        <v>2534</v>
      </c>
      <c r="B1144" s="25" t="s">
        <v>114</v>
      </c>
      <c r="C1144" s="26" t="s">
        <v>116</v>
      </c>
      <c r="D1144" s="27">
        <v>73072900</v>
      </c>
      <c r="E1144" s="28" t="s">
        <v>314</v>
      </c>
      <c r="F1144" s="29" t="s">
        <v>315</v>
      </c>
      <c r="G1144" s="30">
        <v>12</v>
      </c>
      <c r="H1144" s="27" t="s">
        <v>137</v>
      </c>
      <c r="I1144" s="26" t="s">
        <v>256</v>
      </c>
      <c r="J1144" s="31">
        <v>1.2</v>
      </c>
      <c r="K1144" s="32">
        <f t="shared" si="51"/>
        <v>14.399999999999999</v>
      </c>
      <c r="L1144" s="29" t="s">
        <v>315</v>
      </c>
      <c r="M1144" s="27">
        <f>IFERROR(VLOOKUP(C1144,Custo_MI_Device!$B$2:$E$102,3,FALSE),0)</f>
        <v>0</v>
      </c>
      <c r="N1144" s="27">
        <f t="shared" si="52"/>
        <v>0</v>
      </c>
      <c r="O1144" s="178">
        <f t="shared" si="53"/>
        <v>0</v>
      </c>
    </row>
    <row r="1145" spans="1:15" ht="12.75" hidden="1">
      <c r="A1145" s="25">
        <v>5091</v>
      </c>
      <c r="B1145" s="25" t="s">
        <v>114</v>
      </c>
      <c r="C1145" s="26" t="s">
        <v>116</v>
      </c>
      <c r="D1145" s="27">
        <v>73181500</v>
      </c>
      <c r="E1145" s="28" t="s">
        <v>323</v>
      </c>
      <c r="F1145" s="29" t="s">
        <v>324</v>
      </c>
      <c r="G1145" s="30">
        <v>24</v>
      </c>
      <c r="H1145" s="27" t="s">
        <v>137</v>
      </c>
      <c r="I1145" s="26" t="s">
        <v>256</v>
      </c>
      <c r="J1145" s="31">
        <v>0.04</v>
      </c>
      <c r="K1145" s="32">
        <f t="shared" si="51"/>
        <v>0.96</v>
      </c>
      <c r="L1145" s="29" t="s">
        <v>324</v>
      </c>
      <c r="M1145" s="27">
        <f>IFERROR(VLOOKUP(C1145,Custo_MI_Device!$B$2:$E$102,3,FALSE),0)</f>
        <v>0</v>
      </c>
      <c r="N1145" s="27">
        <f t="shared" si="52"/>
        <v>0</v>
      </c>
      <c r="O1145" s="178">
        <f t="shared" si="53"/>
        <v>0</v>
      </c>
    </row>
    <row r="1146" spans="1:15" ht="12.75" hidden="1">
      <c r="A1146" s="25">
        <v>1117</v>
      </c>
      <c r="B1146" s="25" t="s">
        <v>114</v>
      </c>
      <c r="C1146" s="26" t="s">
        <v>116</v>
      </c>
      <c r="D1146" s="27"/>
      <c r="E1146" s="28" t="s">
        <v>145</v>
      </c>
      <c r="F1146" s="29" t="s">
        <v>146</v>
      </c>
      <c r="G1146" s="30">
        <v>1</v>
      </c>
      <c r="H1146" s="27" t="s">
        <v>137</v>
      </c>
      <c r="I1146" s="26" t="s">
        <v>138</v>
      </c>
      <c r="J1146" s="31">
        <v>1.95</v>
      </c>
      <c r="K1146" s="32">
        <f t="shared" si="51"/>
        <v>1.95</v>
      </c>
      <c r="L1146" s="29" t="s">
        <v>146</v>
      </c>
      <c r="M1146" s="27">
        <f>IFERROR(VLOOKUP(C1146,Custo_MI_Device!$B$2:$E$102,3,FALSE),0)</f>
        <v>0</v>
      </c>
      <c r="N1146" s="27">
        <f t="shared" si="52"/>
        <v>0</v>
      </c>
      <c r="O1146" s="178">
        <f t="shared" si="53"/>
        <v>0</v>
      </c>
    </row>
    <row r="1147" spans="1:15" ht="25.5" hidden="1">
      <c r="A1147" s="25">
        <v>2023</v>
      </c>
      <c r="B1147" s="25" t="s">
        <v>114</v>
      </c>
      <c r="C1147" s="26" t="s">
        <v>116</v>
      </c>
      <c r="D1147" s="27">
        <v>85444900</v>
      </c>
      <c r="E1147" s="28" t="s">
        <v>330</v>
      </c>
      <c r="F1147" s="29" t="s">
        <v>331</v>
      </c>
      <c r="G1147" s="30">
        <v>50</v>
      </c>
      <c r="H1147" s="27" t="s">
        <v>158</v>
      </c>
      <c r="I1147" s="26" t="s">
        <v>172</v>
      </c>
      <c r="J1147" s="31">
        <v>7.5</v>
      </c>
      <c r="K1147" s="32">
        <f t="shared" si="51"/>
        <v>375</v>
      </c>
      <c r="L1147" s="29" t="s">
        <v>331</v>
      </c>
      <c r="M1147" s="27">
        <f>IFERROR(VLOOKUP(C1147,Custo_MI_Device!$B$2:$E$102,3,FALSE),0)</f>
        <v>0</v>
      </c>
      <c r="N1147" s="27">
        <f t="shared" si="52"/>
        <v>0</v>
      </c>
      <c r="O1147" s="178">
        <f t="shared" si="53"/>
        <v>0</v>
      </c>
    </row>
    <row r="1148" spans="1:15" ht="25.5" hidden="1">
      <c r="A1148" s="25">
        <v>1783</v>
      </c>
      <c r="B1148" s="25" t="s">
        <v>114</v>
      </c>
      <c r="C1148" s="26" t="s">
        <v>116</v>
      </c>
      <c r="D1148" s="27">
        <v>83071090</v>
      </c>
      <c r="E1148" s="28" t="s">
        <v>178</v>
      </c>
      <c r="F1148" s="29" t="s">
        <v>179</v>
      </c>
      <c r="G1148" s="30">
        <v>2</v>
      </c>
      <c r="H1148" s="27" t="s">
        <v>158</v>
      </c>
      <c r="I1148" s="26" t="s">
        <v>180</v>
      </c>
      <c r="J1148" s="31">
        <v>3.3</v>
      </c>
      <c r="K1148" s="32">
        <f t="shared" si="51"/>
        <v>6.6</v>
      </c>
      <c r="L1148" s="29" t="s">
        <v>179</v>
      </c>
      <c r="M1148" s="27">
        <f>IFERROR(VLOOKUP(C1148,Custo_MI_Device!$B$2:$E$102,3,FALSE),0)</f>
        <v>0</v>
      </c>
      <c r="N1148" s="27">
        <f t="shared" si="52"/>
        <v>0</v>
      </c>
      <c r="O1148" s="178">
        <f t="shared" si="53"/>
        <v>0</v>
      </c>
    </row>
    <row r="1149" spans="1:15" ht="12.75" hidden="1">
      <c r="A1149" s="25">
        <v>4823</v>
      </c>
      <c r="B1149" s="25" t="s">
        <v>114</v>
      </c>
      <c r="C1149" s="26" t="s">
        <v>116</v>
      </c>
      <c r="D1149" s="27">
        <v>76090000</v>
      </c>
      <c r="E1149" s="28" t="s">
        <v>199</v>
      </c>
      <c r="F1149" s="29" t="s">
        <v>200</v>
      </c>
      <c r="G1149" s="30">
        <v>0.75</v>
      </c>
      <c r="H1149" s="27" t="s">
        <v>137</v>
      </c>
      <c r="I1149" s="26" t="s">
        <v>138</v>
      </c>
      <c r="J1149" s="31">
        <v>6.7</v>
      </c>
      <c r="K1149" s="32">
        <f t="shared" si="51"/>
        <v>5.0250000000000004</v>
      </c>
      <c r="L1149" s="29" t="s">
        <v>200</v>
      </c>
      <c r="M1149" s="27">
        <f>IFERROR(VLOOKUP(C1149,Custo_MI_Device!$B$2:$E$102,3,FALSE),0)</f>
        <v>0</v>
      </c>
      <c r="N1149" s="27">
        <f t="shared" si="52"/>
        <v>0</v>
      </c>
      <c r="O1149" s="178">
        <f t="shared" si="53"/>
        <v>0</v>
      </c>
    </row>
    <row r="1150" spans="1:15" ht="12.75" hidden="1">
      <c r="A1150" s="25">
        <v>2912</v>
      </c>
      <c r="B1150" s="25" t="s">
        <v>114</v>
      </c>
      <c r="C1150" s="26" t="s">
        <v>116</v>
      </c>
      <c r="D1150" s="27">
        <v>76090000</v>
      </c>
      <c r="E1150" s="28" t="s">
        <v>201</v>
      </c>
      <c r="F1150" s="29" t="s">
        <v>202</v>
      </c>
      <c r="G1150" s="30">
        <v>0.5</v>
      </c>
      <c r="H1150" s="27" t="s">
        <v>137</v>
      </c>
      <c r="I1150" s="26" t="s">
        <v>138</v>
      </c>
      <c r="J1150" s="31">
        <v>7.5</v>
      </c>
      <c r="K1150" s="32">
        <f t="shared" si="51"/>
        <v>3.75</v>
      </c>
      <c r="L1150" s="29" t="s">
        <v>202</v>
      </c>
      <c r="M1150" s="27">
        <f>IFERROR(VLOOKUP(C1150,Custo_MI_Device!$B$2:$E$102,3,FALSE),0)</f>
        <v>0</v>
      </c>
      <c r="N1150" s="27">
        <f t="shared" si="52"/>
        <v>0</v>
      </c>
      <c r="O1150" s="178">
        <f t="shared" si="53"/>
        <v>0</v>
      </c>
    </row>
    <row r="1151" spans="1:15" ht="25.5" hidden="1">
      <c r="A1151" s="25">
        <v>3436</v>
      </c>
      <c r="B1151" s="25" t="s">
        <v>114</v>
      </c>
      <c r="C1151" s="26" t="s">
        <v>116</v>
      </c>
      <c r="D1151" s="27">
        <v>76090000</v>
      </c>
      <c r="E1151" s="28" t="s">
        <v>193</v>
      </c>
      <c r="F1151" s="29" t="s">
        <v>194</v>
      </c>
      <c r="G1151" s="30">
        <v>1</v>
      </c>
      <c r="H1151" s="27" t="s">
        <v>137</v>
      </c>
      <c r="I1151" s="26" t="s">
        <v>138</v>
      </c>
      <c r="J1151" s="31">
        <v>6.7</v>
      </c>
      <c r="K1151" s="32">
        <f t="shared" si="51"/>
        <v>6.7</v>
      </c>
      <c r="L1151" s="29" t="s">
        <v>194</v>
      </c>
      <c r="M1151" s="27">
        <f>IFERROR(VLOOKUP(C1151,Custo_MI_Device!$B$2:$E$102,3,FALSE),0)</f>
        <v>0</v>
      </c>
      <c r="N1151" s="27">
        <f t="shared" si="52"/>
        <v>0</v>
      </c>
      <c r="O1151" s="178">
        <f t="shared" si="53"/>
        <v>0</v>
      </c>
    </row>
    <row r="1152" spans="1:15" ht="12.75" hidden="1">
      <c r="A1152" s="25">
        <v>158</v>
      </c>
      <c r="B1152" s="25" t="s">
        <v>114</v>
      </c>
      <c r="C1152" s="26" t="s">
        <v>116</v>
      </c>
      <c r="D1152" s="27">
        <v>76090000</v>
      </c>
      <c r="E1152" s="28" t="s">
        <v>214</v>
      </c>
      <c r="F1152" s="29" t="s">
        <v>215</v>
      </c>
      <c r="G1152" s="30">
        <v>2</v>
      </c>
      <c r="H1152" s="27" t="s">
        <v>137</v>
      </c>
      <c r="I1152" s="26" t="s">
        <v>180</v>
      </c>
      <c r="J1152" s="31">
        <v>3.15</v>
      </c>
      <c r="K1152" s="32">
        <f t="shared" si="51"/>
        <v>6.3</v>
      </c>
      <c r="L1152" s="29" t="s">
        <v>215</v>
      </c>
      <c r="M1152" s="27">
        <f>IFERROR(VLOOKUP(C1152,Custo_MI_Device!$B$2:$E$102,3,FALSE),0)</f>
        <v>0</v>
      </c>
      <c r="N1152" s="27">
        <f t="shared" si="52"/>
        <v>0</v>
      </c>
      <c r="O1152" s="178">
        <f t="shared" si="53"/>
        <v>0</v>
      </c>
    </row>
    <row r="1153" spans="1:15" ht="25.5" hidden="1">
      <c r="A1153" s="25">
        <v>4306</v>
      </c>
      <c r="B1153" s="25" t="s">
        <v>114</v>
      </c>
      <c r="C1153" s="26" t="s">
        <v>116</v>
      </c>
      <c r="D1153" s="27">
        <v>73063000</v>
      </c>
      <c r="E1153" s="28" t="s">
        <v>239</v>
      </c>
      <c r="F1153" s="29">
        <v>0</v>
      </c>
      <c r="G1153" s="30">
        <v>2</v>
      </c>
      <c r="H1153" s="27" t="s">
        <v>232</v>
      </c>
      <c r="I1153" s="26" t="s">
        <v>233</v>
      </c>
      <c r="J1153" s="31">
        <v>32</v>
      </c>
      <c r="K1153" s="32">
        <f t="shared" si="51"/>
        <v>64</v>
      </c>
      <c r="L1153" s="29" t="s">
        <v>240</v>
      </c>
      <c r="M1153" s="27">
        <f>IFERROR(VLOOKUP(C1153,Custo_MI_Device!$B$2:$E$102,3,FALSE),0)</f>
        <v>0</v>
      </c>
      <c r="N1153" s="27">
        <f t="shared" si="52"/>
        <v>0</v>
      </c>
      <c r="O1153" s="178">
        <f t="shared" si="53"/>
        <v>0</v>
      </c>
    </row>
    <row r="1154" spans="1:15" ht="12.75" hidden="1">
      <c r="A1154" s="25">
        <v>3274</v>
      </c>
      <c r="B1154" s="25" t="s">
        <v>114</v>
      </c>
      <c r="C1154" s="26" t="s">
        <v>116</v>
      </c>
      <c r="D1154" s="27">
        <v>73181500</v>
      </c>
      <c r="E1154" s="28" t="s">
        <v>265</v>
      </c>
      <c r="F1154" s="29" t="s">
        <v>266</v>
      </c>
      <c r="G1154" s="30">
        <v>24</v>
      </c>
      <c r="H1154" s="27" t="s">
        <v>137</v>
      </c>
      <c r="I1154" s="26" t="s">
        <v>256</v>
      </c>
      <c r="J1154" s="31">
        <v>0.06</v>
      </c>
      <c r="K1154" s="32">
        <f t="shared" si="51"/>
        <v>1.44</v>
      </c>
      <c r="L1154" s="29" t="s">
        <v>266</v>
      </c>
      <c r="M1154" s="27">
        <f>IFERROR(VLOOKUP(C1154,Custo_MI_Device!$B$2:$E$102,3,FALSE),0)</f>
        <v>0</v>
      </c>
      <c r="N1154" s="27">
        <f t="shared" si="52"/>
        <v>0</v>
      </c>
      <c r="O1154" s="178">
        <f t="shared" si="53"/>
        <v>0</v>
      </c>
    </row>
    <row r="1155" spans="1:15" ht="12.75" hidden="1">
      <c r="A1155" s="25">
        <v>3778</v>
      </c>
      <c r="B1155" s="25" t="s">
        <v>67</v>
      </c>
      <c r="C1155" s="26" t="s">
        <v>68</v>
      </c>
      <c r="D1155" s="27">
        <v>73072900</v>
      </c>
      <c r="E1155" s="28" t="s">
        <v>310</v>
      </c>
      <c r="F1155" s="29" t="s">
        <v>311</v>
      </c>
      <c r="G1155" s="30">
        <v>12</v>
      </c>
      <c r="H1155" s="27" t="s">
        <v>137</v>
      </c>
      <c r="I1155" s="26" t="s">
        <v>256</v>
      </c>
      <c r="J1155" s="31">
        <v>0.65</v>
      </c>
      <c r="K1155" s="32">
        <f t="shared" ref="K1155:K1218" si="54">G1155*J1155</f>
        <v>7.8000000000000007</v>
      </c>
      <c r="L1155" s="29" t="s">
        <v>311</v>
      </c>
      <c r="M1155" s="27">
        <f>IFERROR(VLOOKUP(C1155,Custo_MI_Device!$B$2:$E$102,3,FALSE),0)</f>
        <v>0</v>
      </c>
      <c r="N1155" s="27">
        <f t="shared" ref="N1155:N1218" si="55">ROUNDUP(M1155*G1155,0)</f>
        <v>0</v>
      </c>
      <c r="O1155" s="178">
        <f t="shared" ref="O1155:O1218" si="56">N1155*J1155</f>
        <v>0</v>
      </c>
    </row>
    <row r="1156" spans="1:15" ht="12.75" hidden="1">
      <c r="A1156" s="25">
        <v>5091</v>
      </c>
      <c r="B1156" s="25" t="s">
        <v>67</v>
      </c>
      <c r="C1156" s="26" t="s">
        <v>68</v>
      </c>
      <c r="D1156" s="27">
        <v>73181500</v>
      </c>
      <c r="E1156" s="28" t="s">
        <v>323</v>
      </c>
      <c r="F1156" s="29" t="s">
        <v>324</v>
      </c>
      <c r="G1156" s="30">
        <v>24</v>
      </c>
      <c r="H1156" s="27" t="s">
        <v>137</v>
      </c>
      <c r="I1156" s="26" t="s">
        <v>256</v>
      </c>
      <c r="J1156" s="31">
        <v>0.04</v>
      </c>
      <c r="K1156" s="32">
        <f t="shared" si="54"/>
        <v>0.96</v>
      </c>
      <c r="L1156" s="29" t="s">
        <v>324</v>
      </c>
      <c r="M1156" s="27">
        <f>IFERROR(VLOOKUP(C1156,Custo_MI_Device!$B$2:$E$102,3,FALSE),0)</f>
        <v>0</v>
      </c>
      <c r="N1156" s="27">
        <f t="shared" si="55"/>
        <v>0</v>
      </c>
      <c r="O1156" s="178">
        <f t="shared" si="56"/>
        <v>0</v>
      </c>
    </row>
    <row r="1157" spans="1:15" ht="12.75" hidden="1">
      <c r="A1157" s="25">
        <v>4533</v>
      </c>
      <c r="B1157" s="25" t="s">
        <v>67</v>
      </c>
      <c r="C1157" s="26" t="s">
        <v>68</v>
      </c>
      <c r="D1157" s="27">
        <v>73181500</v>
      </c>
      <c r="E1157" s="28" t="s">
        <v>325</v>
      </c>
      <c r="F1157" s="29" t="s">
        <v>324</v>
      </c>
      <c r="G1157" s="30">
        <v>3</v>
      </c>
      <c r="H1157" s="27" t="s">
        <v>137</v>
      </c>
      <c r="I1157" s="26" t="s">
        <v>256</v>
      </c>
      <c r="J1157" s="31">
        <v>0.03</v>
      </c>
      <c r="K1157" s="32">
        <f t="shared" si="54"/>
        <v>0.09</v>
      </c>
      <c r="L1157" s="29" t="s">
        <v>324</v>
      </c>
      <c r="M1157" s="27">
        <f>IFERROR(VLOOKUP(C1157,Custo_MI_Device!$B$2:$E$102,3,FALSE),0)</f>
        <v>0</v>
      </c>
      <c r="N1157" s="27">
        <f t="shared" si="55"/>
        <v>0</v>
      </c>
      <c r="O1157" s="178">
        <f t="shared" si="56"/>
        <v>0</v>
      </c>
    </row>
    <row r="1158" spans="1:15" ht="12.75" hidden="1">
      <c r="A1158" s="25">
        <v>1117</v>
      </c>
      <c r="B1158" s="25" t="s">
        <v>67</v>
      </c>
      <c r="C1158" s="26" t="s">
        <v>68</v>
      </c>
      <c r="D1158" s="27"/>
      <c r="E1158" s="28" t="s">
        <v>145</v>
      </c>
      <c r="F1158" s="29" t="s">
        <v>146</v>
      </c>
      <c r="G1158" s="30">
        <v>1</v>
      </c>
      <c r="H1158" s="27" t="s">
        <v>137</v>
      </c>
      <c r="I1158" s="26" t="s">
        <v>138</v>
      </c>
      <c r="J1158" s="31">
        <v>1.95</v>
      </c>
      <c r="K1158" s="32">
        <f t="shared" si="54"/>
        <v>1.95</v>
      </c>
      <c r="L1158" s="29" t="s">
        <v>146</v>
      </c>
      <c r="M1158" s="27">
        <f>IFERROR(VLOOKUP(C1158,Custo_MI_Device!$B$2:$E$102,3,FALSE),0)</f>
        <v>0</v>
      </c>
      <c r="N1158" s="27">
        <f t="shared" si="55"/>
        <v>0</v>
      </c>
      <c r="O1158" s="178">
        <f t="shared" si="56"/>
        <v>0</v>
      </c>
    </row>
    <row r="1159" spans="1:15" ht="12.75" hidden="1">
      <c r="A1159" s="25">
        <v>2805</v>
      </c>
      <c r="B1159" s="25" t="s">
        <v>67</v>
      </c>
      <c r="C1159" s="26" t="s">
        <v>68</v>
      </c>
      <c r="D1159" s="27">
        <v>72162100</v>
      </c>
      <c r="E1159" s="28" t="s">
        <v>174</v>
      </c>
      <c r="F1159" s="29">
        <v>0</v>
      </c>
      <c r="G1159" s="30">
        <v>2.9</v>
      </c>
      <c r="H1159" s="27" t="s">
        <v>175</v>
      </c>
      <c r="I1159" s="26" t="s">
        <v>176</v>
      </c>
      <c r="J1159" s="31">
        <v>4.22</v>
      </c>
      <c r="K1159" s="32">
        <f t="shared" si="54"/>
        <v>12.238</v>
      </c>
      <c r="L1159" s="29" t="s">
        <v>177</v>
      </c>
      <c r="M1159" s="27">
        <f>IFERROR(VLOOKUP(C1159,Custo_MI_Device!$B$2:$E$102,3,FALSE),0)</f>
        <v>0</v>
      </c>
      <c r="N1159" s="27">
        <f t="shared" si="55"/>
        <v>0</v>
      </c>
      <c r="O1159" s="178">
        <f t="shared" si="56"/>
        <v>0</v>
      </c>
    </row>
    <row r="1160" spans="1:15" ht="25.5" hidden="1">
      <c r="A1160" s="25">
        <v>2909</v>
      </c>
      <c r="B1160" s="25" t="s">
        <v>67</v>
      </c>
      <c r="C1160" s="26" t="s">
        <v>68</v>
      </c>
      <c r="D1160" s="27">
        <v>73072200</v>
      </c>
      <c r="E1160" s="28" t="s">
        <v>216</v>
      </c>
      <c r="F1160" s="29" t="s">
        <v>217</v>
      </c>
      <c r="G1160" s="30">
        <v>2</v>
      </c>
      <c r="H1160" s="27" t="s">
        <v>137</v>
      </c>
      <c r="I1160" s="26" t="s">
        <v>218</v>
      </c>
      <c r="J1160" s="31">
        <v>27.7</v>
      </c>
      <c r="K1160" s="32">
        <f t="shared" si="54"/>
        <v>55.4</v>
      </c>
      <c r="L1160" s="29" t="s">
        <v>217</v>
      </c>
      <c r="M1160" s="27">
        <f>IFERROR(VLOOKUP(C1160,Custo_MI_Device!$B$2:$E$102,3,FALSE),0)</f>
        <v>0</v>
      </c>
      <c r="N1160" s="27">
        <f t="shared" si="55"/>
        <v>0</v>
      </c>
      <c r="O1160" s="178">
        <f t="shared" si="56"/>
        <v>0</v>
      </c>
    </row>
    <row r="1161" spans="1:15" ht="25.5" hidden="1">
      <c r="A1161" s="25">
        <v>2300</v>
      </c>
      <c r="B1161" s="25" t="s">
        <v>67</v>
      </c>
      <c r="C1161" s="26" t="s">
        <v>68</v>
      </c>
      <c r="D1161" s="27">
        <v>73072200</v>
      </c>
      <c r="E1161" s="28" t="s">
        <v>222</v>
      </c>
      <c r="F1161" s="29" t="s">
        <v>223</v>
      </c>
      <c r="G1161" s="30">
        <v>1</v>
      </c>
      <c r="H1161" s="27" t="s">
        <v>137</v>
      </c>
      <c r="I1161" s="26" t="s">
        <v>218</v>
      </c>
      <c r="J1161" s="31">
        <v>41</v>
      </c>
      <c r="K1161" s="32">
        <f t="shared" si="54"/>
        <v>41</v>
      </c>
      <c r="L1161" s="29" t="s">
        <v>223</v>
      </c>
      <c r="M1161" s="27">
        <f>IFERROR(VLOOKUP(C1161,Custo_MI_Device!$B$2:$E$102,3,FALSE),0)</f>
        <v>0</v>
      </c>
      <c r="N1161" s="27">
        <f t="shared" si="55"/>
        <v>0</v>
      </c>
      <c r="O1161" s="178">
        <f t="shared" si="56"/>
        <v>0</v>
      </c>
    </row>
    <row r="1162" spans="1:15" ht="12.75" hidden="1">
      <c r="A1162" s="25">
        <v>2618</v>
      </c>
      <c r="B1162" s="25" t="s">
        <v>67</v>
      </c>
      <c r="C1162" s="26" t="s">
        <v>68</v>
      </c>
      <c r="D1162" s="27">
        <v>73181500</v>
      </c>
      <c r="E1162" s="28" t="s">
        <v>254</v>
      </c>
      <c r="F1162" s="29" t="s">
        <v>255</v>
      </c>
      <c r="G1162" s="30">
        <v>3</v>
      </c>
      <c r="H1162" s="27" t="s">
        <v>137</v>
      </c>
      <c r="I1162" s="26" t="s">
        <v>256</v>
      </c>
      <c r="J1162" s="31">
        <v>0.09</v>
      </c>
      <c r="K1162" s="32">
        <f t="shared" si="54"/>
        <v>0.27</v>
      </c>
      <c r="L1162" s="29" t="s">
        <v>255</v>
      </c>
      <c r="M1162" s="27">
        <f>IFERROR(VLOOKUP(C1162,Custo_MI_Device!$B$2:$E$102,3,FALSE),0)</f>
        <v>0</v>
      </c>
      <c r="N1162" s="27">
        <f t="shared" si="55"/>
        <v>0</v>
      </c>
      <c r="O1162" s="178">
        <f t="shared" si="56"/>
        <v>0</v>
      </c>
    </row>
    <row r="1163" spans="1:15" ht="12.75" hidden="1">
      <c r="A1163" s="25">
        <v>3274</v>
      </c>
      <c r="B1163" s="25" t="s">
        <v>67</v>
      </c>
      <c r="C1163" s="26" t="s">
        <v>68</v>
      </c>
      <c r="D1163" s="27">
        <v>73181500</v>
      </c>
      <c r="E1163" s="28" t="s">
        <v>265</v>
      </c>
      <c r="F1163" s="29" t="s">
        <v>266</v>
      </c>
      <c r="G1163" s="30">
        <v>24</v>
      </c>
      <c r="H1163" s="27" t="s">
        <v>137</v>
      </c>
      <c r="I1163" s="26" t="s">
        <v>256</v>
      </c>
      <c r="J1163" s="31">
        <v>0.06</v>
      </c>
      <c r="K1163" s="32">
        <f t="shared" si="54"/>
        <v>1.44</v>
      </c>
      <c r="L1163" s="29" t="s">
        <v>266</v>
      </c>
      <c r="M1163" s="27">
        <f>IFERROR(VLOOKUP(C1163,Custo_MI_Device!$B$2:$E$102,3,FALSE),0)</f>
        <v>0</v>
      </c>
      <c r="N1163" s="27">
        <f t="shared" si="55"/>
        <v>0</v>
      </c>
      <c r="O1163" s="178">
        <f t="shared" si="56"/>
        <v>0</v>
      </c>
    </row>
    <row r="1164" spans="1:15" ht="12.75" hidden="1">
      <c r="A1164" s="25">
        <v>2818</v>
      </c>
      <c r="B1164" s="25" t="s">
        <v>67</v>
      </c>
      <c r="C1164" s="26" t="s">
        <v>68</v>
      </c>
      <c r="D1164" s="27">
        <v>73181500</v>
      </c>
      <c r="E1164" s="28" t="s">
        <v>267</v>
      </c>
      <c r="F1164" s="29" t="s">
        <v>266</v>
      </c>
      <c r="G1164" s="30">
        <v>3</v>
      </c>
      <c r="H1164" s="27" t="s">
        <v>137</v>
      </c>
      <c r="I1164" s="26" t="s">
        <v>256</v>
      </c>
      <c r="J1164" s="31">
        <v>0.04</v>
      </c>
      <c r="K1164" s="32">
        <f t="shared" si="54"/>
        <v>0.12</v>
      </c>
      <c r="L1164" s="29" t="s">
        <v>266</v>
      </c>
      <c r="M1164" s="27">
        <f>IFERROR(VLOOKUP(C1164,Custo_MI_Device!$B$2:$E$102,3,FALSE),0)</f>
        <v>0</v>
      </c>
      <c r="N1164" s="27">
        <f t="shared" si="55"/>
        <v>0</v>
      </c>
      <c r="O1164" s="178">
        <f t="shared" si="56"/>
        <v>0</v>
      </c>
    </row>
    <row r="1165" spans="1:15" ht="25.5" hidden="1">
      <c r="A1165" s="25">
        <v>5194</v>
      </c>
      <c r="B1165" s="25" t="s">
        <v>67</v>
      </c>
      <c r="C1165" s="26" t="s">
        <v>68</v>
      </c>
      <c r="D1165" s="27">
        <v>73041010</v>
      </c>
      <c r="E1165" s="28" t="s">
        <v>289</v>
      </c>
      <c r="F1165" s="29" t="s">
        <v>290</v>
      </c>
      <c r="G1165" s="30">
        <v>2</v>
      </c>
      <c r="H1165" s="27" t="s">
        <v>232</v>
      </c>
      <c r="I1165" s="26" t="s">
        <v>218</v>
      </c>
      <c r="J1165" s="31">
        <f>21.5*6</f>
        <v>129</v>
      </c>
      <c r="K1165" s="32">
        <f t="shared" si="54"/>
        <v>258</v>
      </c>
      <c r="L1165" s="29" t="s">
        <v>290</v>
      </c>
      <c r="M1165" s="27">
        <f>IFERROR(VLOOKUP(C1165,Custo_MI_Device!$B$2:$E$102,3,FALSE),0)</f>
        <v>0</v>
      </c>
      <c r="N1165" s="27">
        <f t="shared" si="55"/>
        <v>0</v>
      </c>
      <c r="O1165" s="178">
        <f t="shared" si="56"/>
        <v>0</v>
      </c>
    </row>
    <row r="1166" spans="1:15" ht="12.75" hidden="1">
      <c r="A1166" s="25">
        <v>4965</v>
      </c>
      <c r="B1166" s="25" t="s">
        <v>67</v>
      </c>
      <c r="C1166" s="26" t="s">
        <v>68</v>
      </c>
      <c r="D1166" s="27">
        <v>90269020</v>
      </c>
      <c r="E1166" s="28" t="s">
        <v>295</v>
      </c>
      <c r="F1166" s="29">
        <v>0</v>
      </c>
      <c r="G1166" s="30">
        <v>1</v>
      </c>
      <c r="H1166" s="27" t="s">
        <v>232</v>
      </c>
      <c r="I1166" s="26" t="s">
        <v>296</v>
      </c>
      <c r="J1166" s="31">
        <v>98</v>
      </c>
      <c r="K1166" s="32">
        <f t="shared" si="54"/>
        <v>98</v>
      </c>
      <c r="L1166" s="29" t="s">
        <v>297</v>
      </c>
      <c r="M1166" s="27">
        <f>IFERROR(VLOOKUP(C1166,Custo_MI_Device!$B$2:$E$102,3,FALSE),0)</f>
        <v>0</v>
      </c>
      <c r="N1166" s="27">
        <f t="shared" si="55"/>
        <v>0</v>
      </c>
      <c r="O1166" s="178">
        <f t="shared" si="56"/>
        <v>0</v>
      </c>
    </row>
    <row r="1167" spans="1:15" ht="12.75" hidden="1">
      <c r="A1167" s="25">
        <v>3429</v>
      </c>
      <c r="B1167" s="25" t="s">
        <v>67</v>
      </c>
      <c r="C1167" s="26" t="s">
        <v>68</v>
      </c>
      <c r="D1167" s="27">
        <v>84818099</v>
      </c>
      <c r="E1167" s="28" t="s">
        <v>306</v>
      </c>
      <c r="F1167" s="29">
        <v>0</v>
      </c>
      <c r="G1167" s="30">
        <v>1</v>
      </c>
      <c r="H1167" s="27" t="s">
        <v>137</v>
      </c>
      <c r="I1167" s="26" t="s">
        <v>220</v>
      </c>
      <c r="J1167" s="31">
        <v>280</v>
      </c>
      <c r="K1167" s="32">
        <f t="shared" si="54"/>
        <v>280</v>
      </c>
      <c r="L1167" s="29" t="s">
        <v>307</v>
      </c>
      <c r="M1167" s="27">
        <f>IFERROR(VLOOKUP(C1167,Custo_MI_Device!$B$2:$E$102,3,FALSE),0)</f>
        <v>0</v>
      </c>
      <c r="N1167" s="27">
        <f t="shared" si="55"/>
        <v>0</v>
      </c>
      <c r="O1167" s="178">
        <f t="shared" si="56"/>
        <v>0</v>
      </c>
    </row>
    <row r="1168" spans="1:15" ht="12.75" hidden="1">
      <c r="A1168" s="25">
        <v>3778</v>
      </c>
      <c r="B1168" s="25" t="s">
        <v>69</v>
      </c>
      <c r="C1168" s="26" t="s">
        <v>70</v>
      </c>
      <c r="D1168" s="27">
        <v>73072900</v>
      </c>
      <c r="E1168" s="28" t="s">
        <v>310</v>
      </c>
      <c r="F1168" s="29" t="s">
        <v>311</v>
      </c>
      <c r="G1168" s="30">
        <v>12</v>
      </c>
      <c r="H1168" s="27" t="s">
        <v>137</v>
      </c>
      <c r="I1168" s="26" t="s">
        <v>256</v>
      </c>
      <c r="J1168" s="31">
        <v>0.65</v>
      </c>
      <c r="K1168" s="32">
        <f t="shared" si="54"/>
        <v>7.8000000000000007</v>
      </c>
      <c r="L1168" s="29" t="s">
        <v>311</v>
      </c>
      <c r="M1168" s="27">
        <f>IFERROR(VLOOKUP(C1168,Custo_MI_Device!$B$2:$E$102,3,FALSE),0)</f>
        <v>0</v>
      </c>
      <c r="N1168" s="27">
        <f t="shared" si="55"/>
        <v>0</v>
      </c>
      <c r="O1168" s="178">
        <f t="shared" si="56"/>
        <v>0</v>
      </c>
    </row>
    <row r="1169" spans="1:15" ht="12.75" hidden="1">
      <c r="A1169" s="25">
        <v>2534</v>
      </c>
      <c r="B1169" s="25" t="s">
        <v>69</v>
      </c>
      <c r="C1169" s="26" t="s">
        <v>70</v>
      </c>
      <c r="D1169" s="27">
        <v>73072900</v>
      </c>
      <c r="E1169" s="28" t="s">
        <v>314</v>
      </c>
      <c r="F1169" s="29" t="s">
        <v>315</v>
      </c>
      <c r="G1169" s="30">
        <v>12</v>
      </c>
      <c r="H1169" s="27" t="s">
        <v>137</v>
      </c>
      <c r="I1169" s="26" t="s">
        <v>256</v>
      </c>
      <c r="J1169" s="31">
        <v>1.2</v>
      </c>
      <c r="K1169" s="32">
        <f t="shared" si="54"/>
        <v>14.399999999999999</v>
      </c>
      <c r="L1169" s="29" t="s">
        <v>315</v>
      </c>
      <c r="M1169" s="27">
        <f>IFERROR(VLOOKUP(C1169,Custo_MI_Device!$B$2:$E$102,3,FALSE),0)</f>
        <v>0</v>
      </c>
      <c r="N1169" s="27">
        <f t="shared" si="55"/>
        <v>0</v>
      </c>
      <c r="O1169" s="178">
        <f t="shared" si="56"/>
        <v>0</v>
      </c>
    </row>
    <row r="1170" spans="1:15" ht="12.75" hidden="1">
      <c r="A1170" s="25">
        <v>1669</v>
      </c>
      <c r="B1170" s="25" t="s">
        <v>69</v>
      </c>
      <c r="C1170" s="26" t="s">
        <v>70</v>
      </c>
      <c r="D1170" s="27">
        <v>39269090</v>
      </c>
      <c r="E1170" s="28" t="s">
        <v>316</v>
      </c>
      <c r="F1170" s="29" t="s">
        <v>317</v>
      </c>
      <c r="G1170" s="30">
        <v>3</v>
      </c>
      <c r="H1170" s="27" t="s">
        <v>137</v>
      </c>
      <c r="I1170" s="26" t="s">
        <v>318</v>
      </c>
      <c r="J1170" s="31">
        <v>0.04</v>
      </c>
      <c r="K1170" s="32">
        <f t="shared" si="54"/>
        <v>0.12</v>
      </c>
      <c r="L1170" s="29" t="s">
        <v>317</v>
      </c>
      <c r="M1170" s="27">
        <f>IFERROR(VLOOKUP(C1170,Custo_MI_Device!$B$2:$E$102,3,FALSE),0)</f>
        <v>0</v>
      </c>
      <c r="N1170" s="27">
        <f t="shared" si="55"/>
        <v>0</v>
      </c>
      <c r="O1170" s="178">
        <f t="shared" si="56"/>
        <v>0</v>
      </c>
    </row>
    <row r="1171" spans="1:15" ht="12.75" hidden="1">
      <c r="A1171" s="25">
        <v>5091</v>
      </c>
      <c r="B1171" s="25" t="s">
        <v>69</v>
      </c>
      <c r="C1171" s="26" t="s">
        <v>70</v>
      </c>
      <c r="D1171" s="27">
        <v>73181500</v>
      </c>
      <c r="E1171" s="28" t="s">
        <v>323</v>
      </c>
      <c r="F1171" s="29" t="s">
        <v>324</v>
      </c>
      <c r="G1171" s="30">
        <v>24</v>
      </c>
      <c r="H1171" s="27" t="s">
        <v>137</v>
      </c>
      <c r="I1171" s="26" t="s">
        <v>256</v>
      </c>
      <c r="J1171" s="31">
        <v>0.04</v>
      </c>
      <c r="K1171" s="32">
        <f t="shared" si="54"/>
        <v>0.96</v>
      </c>
      <c r="L1171" s="29" t="s">
        <v>324</v>
      </c>
      <c r="M1171" s="27">
        <f>IFERROR(VLOOKUP(C1171,Custo_MI_Device!$B$2:$E$102,3,FALSE),0)</f>
        <v>0</v>
      </c>
      <c r="N1171" s="27">
        <f t="shared" si="55"/>
        <v>0</v>
      </c>
      <c r="O1171" s="178">
        <f t="shared" si="56"/>
        <v>0</v>
      </c>
    </row>
    <row r="1172" spans="1:15" ht="12.75" hidden="1">
      <c r="A1172" s="25">
        <v>1117</v>
      </c>
      <c r="B1172" s="25" t="s">
        <v>69</v>
      </c>
      <c r="C1172" s="26" t="s">
        <v>70</v>
      </c>
      <c r="D1172" s="27"/>
      <c r="E1172" s="28" t="s">
        <v>145</v>
      </c>
      <c r="F1172" s="29" t="s">
        <v>146</v>
      </c>
      <c r="G1172" s="30">
        <v>1</v>
      </c>
      <c r="H1172" s="27" t="s">
        <v>137</v>
      </c>
      <c r="I1172" s="26" t="s">
        <v>138</v>
      </c>
      <c r="J1172" s="31">
        <v>1.95</v>
      </c>
      <c r="K1172" s="32">
        <f t="shared" si="54"/>
        <v>1.95</v>
      </c>
      <c r="L1172" s="29" t="s">
        <v>146</v>
      </c>
      <c r="M1172" s="27">
        <f>IFERROR(VLOOKUP(C1172,Custo_MI_Device!$B$2:$E$102,3,FALSE),0)</f>
        <v>0</v>
      </c>
      <c r="N1172" s="27">
        <f t="shared" si="55"/>
        <v>0</v>
      </c>
      <c r="O1172" s="178">
        <f t="shared" si="56"/>
        <v>0</v>
      </c>
    </row>
    <row r="1173" spans="1:15" ht="12.75" hidden="1">
      <c r="A1173" s="25">
        <v>3080</v>
      </c>
      <c r="B1173" s="25" t="s">
        <v>69</v>
      </c>
      <c r="C1173" s="26" t="s">
        <v>70</v>
      </c>
      <c r="D1173" s="27">
        <v>74122000</v>
      </c>
      <c r="E1173" s="28" t="s">
        <v>153</v>
      </c>
      <c r="F1173" s="29" t="s">
        <v>154</v>
      </c>
      <c r="G1173" s="30">
        <v>1</v>
      </c>
      <c r="H1173" s="27" t="s">
        <v>137</v>
      </c>
      <c r="I1173" s="26" t="s">
        <v>155</v>
      </c>
      <c r="J1173" s="31">
        <v>3.3</v>
      </c>
      <c r="K1173" s="32">
        <f t="shared" si="54"/>
        <v>3.3</v>
      </c>
      <c r="L1173" s="29" t="s">
        <v>154</v>
      </c>
      <c r="M1173" s="27">
        <f>IFERROR(VLOOKUP(C1173,Custo_MI_Device!$B$2:$E$102,3,FALSE),0)</f>
        <v>0</v>
      </c>
      <c r="N1173" s="27">
        <f t="shared" si="55"/>
        <v>0</v>
      </c>
      <c r="O1173" s="178">
        <f t="shared" si="56"/>
        <v>0</v>
      </c>
    </row>
    <row r="1174" spans="1:15" ht="38.25" hidden="1">
      <c r="A1174" s="25">
        <v>3585</v>
      </c>
      <c r="B1174" s="25" t="s">
        <v>69</v>
      </c>
      <c r="C1174" s="26" t="s">
        <v>70</v>
      </c>
      <c r="D1174" s="27">
        <v>85444900</v>
      </c>
      <c r="E1174" s="28" t="s">
        <v>328</v>
      </c>
      <c r="F1174" s="29">
        <v>900400</v>
      </c>
      <c r="G1174" s="30">
        <v>50</v>
      </c>
      <c r="H1174" s="27" t="s">
        <v>158</v>
      </c>
      <c r="I1174" s="26" t="s">
        <v>164</v>
      </c>
      <c r="J1174" s="31">
        <v>1.7</v>
      </c>
      <c r="K1174" s="32">
        <f t="shared" si="54"/>
        <v>85</v>
      </c>
      <c r="L1174" s="29">
        <v>900400</v>
      </c>
      <c r="M1174" s="27">
        <f>IFERROR(VLOOKUP(C1174,Custo_MI_Device!$B$2:$E$102,3,FALSE),0)</f>
        <v>0</v>
      </c>
      <c r="N1174" s="27">
        <f t="shared" si="55"/>
        <v>0</v>
      </c>
      <c r="O1174" s="178">
        <f t="shared" si="56"/>
        <v>0</v>
      </c>
    </row>
    <row r="1175" spans="1:15" ht="12.75" hidden="1">
      <c r="A1175" s="25">
        <v>2805</v>
      </c>
      <c r="B1175" s="25" t="s">
        <v>69</v>
      </c>
      <c r="C1175" s="26" t="s">
        <v>70</v>
      </c>
      <c r="D1175" s="27">
        <v>72162100</v>
      </c>
      <c r="E1175" s="28" t="s">
        <v>174</v>
      </c>
      <c r="F1175" s="29">
        <v>0</v>
      </c>
      <c r="G1175" s="30">
        <v>2.9</v>
      </c>
      <c r="H1175" s="27" t="s">
        <v>175</v>
      </c>
      <c r="I1175" s="26" t="s">
        <v>176</v>
      </c>
      <c r="J1175" s="31">
        <v>4.22</v>
      </c>
      <c r="K1175" s="32">
        <f t="shared" si="54"/>
        <v>12.238</v>
      </c>
      <c r="L1175" s="29" t="s">
        <v>177</v>
      </c>
      <c r="M1175" s="27">
        <f>IFERROR(VLOOKUP(C1175,Custo_MI_Device!$B$2:$E$102,3,FALSE),0)</f>
        <v>0</v>
      </c>
      <c r="N1175" s="27">
        <f t="shared" si="55"/>
        <v>0</v>
      </c>
      <c r="O1175" s="178">
        <f t="shared" si="56"/>
        <v>0</v>
      </c>
    </row>
    <row r="1176" spans="1:15" ht="12.75" hidden="1">
      <c r="A1176" s="25">
        <v>2904</v>
      </c>
      <c r="B1176" s="25" t="s">
        <v>69</v>
      </c>
      <c r="C1176" s="26" t="s">
        <v>70</v>
      </c>
      <c r="D1176" s="27">
        <v>76090000</v>
      </c>
      <c r="E1176" s="28" t="s">
        <v>195</v>
      </c>
      <c r="F1176" s="29" t="s">
        <v>196</v>
      </c>
      <c r="G1176" s="30">
        <v>0.75</v>
      </c>
      <c r="H1176" s="27" t="s">
        <v>137</v>
      </c>
      <c r="I1176" s="26" t="s">
        <v>138</v>
      </c>
      <c r="J1176" s="31">
        <v>6.7</v>
      </c>
      <c r="K1176" s="32">
        <f t="shared" si="54"/>
        <v>5.0250000000000004</v>
      </c>
      <c r="L1176" s="29" t="s">
        <v>196</v>
      </c>
      <c r="M1176" s="27">
        <f>IFERROR(VLOOKUP(C1176,Custo_MI_Device!$B$2:$E$102,3,FALSE),0)</f>
        <v>0</v>
      </c>
      <c r="N1176" s="27">
        <f t="shared" si="55"/>
        <v>0</v>
      </c>
      <c r="O1176" s="178">
        <f t="shared" si="56"/>
        <v>0</v>
      </c>
    </row>
    <row r="1177" spans="1:15" ht="12.75" hidden="1">
      <c r="A1177" s="25">
        <v>2911</v>
      </c>
      <c r="B1177" s="25" t="s">
        <v>69</v>
      </c>
      <c r="C1177" s="26" t="s">
        <v>70</v>
      </c>
      <c r="D1177" s="27">
        <v>76090000</v>
      </c>
      <c r="E1177" s="28" t="s">
        <v>197</v>
      </c>
      <c r="F1177" s="29" t="s">
        <v>198</v>
      </c>
      <c r="G1177" s="30">
        <v>0.75</v>
      </c>
      <c r="H1177" s="27" t="s">
        <v>137</v>
      </c>
      <c r="I1177" s="26" t="s">
        <v>138</v>
      </c>
      <c r="J1177" s="31">
        <v>6.7</v>
      </c>
      <c r="K1177" s="32">
        <f t="shared" si="54"/>
        <v>5.0250000000000004</v>
      </c>
      <c r="L1177" s="29" t="s">
        <v>198</v>
      </c>
      <c r="M1177" s="27">
        <f>IFERROR(VLOOKUP(C1177,Custo_MI_Device!$B$2:$E$102,3,FALSE),0)</f>
        <v>0</v>
      </c>
      <c r="N1177" s="27">
        <f t="shared" si="55"/>
        <v>0</v>
      </c>
      <c r="O1177" s="178">
        <f t="shared" si="56"/>
        <v>0</v>
      </c>
    </row>
    <row r="1178" spans="1:15" ht="12.75" hidden="1">
      <c r="A1178" s="25">
        <v>4823</v>
      </c>
      <c r="B1178" s="25" t="s">
        <v>69</v>
      </c>
      <c r="C1178" s="26" t="s">
        <v>70</v>
      </c>
      <c r="D1178" s="27">
        <v>76090000</v>
      </c>
      <c r="E1178" s="28" t="s">
        <v>199</v>
      </c>
      <c r="F1178" s="29" t="s">
        <v>200</v>
      </c>
      <c r="G1178" s="30">
        <v>0.75</v>
      </c>
      <c r="H1178" s="27" t="s">
        <v>137</v>
      </c>
      <c r="I1178" s="26" t="s">
        <v>138</v>
      </c>
      <c r="J1178" s="31">
        <v>6.7</v>
      </c>
      <c r="K1178" s="32">
        <f t="shared" si="54"/>
        <v>5.0250000000000004</v>
      </c>
      <c r="L1178" s="29" t="s">
        <v>200</v>
      </c>
      <c r="M1178" s="27">
        <f>IFERROR(VLOOKUP(C1178,Custo_MI_Device!$B$2:$E$102,3,FALSE),0)</f>
        <v>0</v>
      </c>
      <c r="N1178" s="27">
        <f t="shared" si="55"/>
        <v>0</v>
      </c>
      <c r="O1178" s="178">
        <f t="shared" si="56"/>
        <v>0</v>
      </c>
    </row>
    <row r="1179" spans="1:15" ht="25.5" hidden="1">
      <c r="A1179" s="25">
        <v>2909</v>
      </c>
      <c r="B1179" s="25" t="s">
        <v>69</v>
      </c>
      <c r="C1179" s="26" t="s">
        <v>70</v>
      </c>
      <c r="D1179" s="27">
        <v>73072200</v>
      </c>
      <c r="E1179" s="28" t="s">
        <v>216</v>
      </c>
      <c r="F1179" s="29" t="s">
        <v>217</v>
      </c>
      <c r="G1179" s="30">
        <v>3</v>
      </c>
      <c r="H1179" s="27" t="s">
        <v>137</v>
      </c>
      <c r="I1179" s="26" t="s">
        <v>218</v>
      </c>
      <c r="J1179" s="31">
        <v>27.7</v>
      </c>
      <c r="K1179" s="32">
        <f t="shared" si="54"/>
        <v>83.1</v>
      </c>
      <c r="L1179" s="29" t="s">
        <v>217</v>
      </c>
      <c r="M1179" s="27">
        <f>IFERROR(VLOOKUP(C1179,Custo_MI_Device!$B$2:$E$102,3,FALSE),0)</f>
        <v>0</v>
      </c>
      <c r="N1179" s="27">
        <f t="shared" si="55"/>
        <v>0</v>
      </c>
      <c r="O1179" s="178">
        <f t="shared" si="56"/>
        <v>0</v>
      </c>
    </row>
    <row r="1180" spans="1:15" ht="25.5" hidden="1">
      <c r="A1180" s="25">
        <v>1535</v>
      </c>
      <c r="B1180" s="25" t="s">
        <v>69</v>
      </c>
      <c r="C1180" s="26" t="s">
        <v>70</v>
      </c>
      <c r="D1180" s="27">
        <v>73072200</v>
      </c>
      <c r="E1180" s="28" t="s">
        <v>219</v>
      </c>
      <c r="F1180" s="29">
        <v>0</v>
      </c>
      <c r="G1180" s="30">
        <v>1</v>
      </c>
      <c r="H1180" s="27" t="s">
        <v>137</v>
      </c>
      <c r="I1180" s="26" t="s">
        <v>220</v>
      </c>
      <c r="J1180" s="31">
        <v>35</v>
      </c>
      <c r="K1180" s="32">
        <f t="shared" si="54"/>
        <v>35</v>
      </c>
      <c r="L1180" s="29" t="s">
        <v>221</v>
      </c>
      <c r="M1180" s="27">
        <f>IFERROR(VLOOKUP(C1180,Custo_MI_Device!$B$2:$E$102,3,FALSE),0)</f>
        <v>0</v>
      </c>
      <c r="N1180" s="27">
        <f t="shared" si="55"/>
        <v>0</v>
      </c>
      <c r="O1180" s="178">
        <f t="shared" si="56"/>
        <v>0</v>
      </c>
    </row>
    <row r="1181" spans="1:15" ht="25.5" hidden="1">
      <c r="A1181" s="25">
        <v>7163</v>
      </c>
      <c r="B1181" s="25" t="s">
        <v>69</v>
      </c>
      <c r="C1181" s="26" t="s">
        <v>70</v>
      </c>
      <c r="D1181" s="27">
        <v>73072200</v>
      </c>
      <c r="E1181" s="28" t="s">
        <v>224</v>
      </c>
      <c r="F1181" s="29">
        <v>0</v>
      </c>
      <c r="G1181" s="30">
        <v>2</v>
      </c>
      <c r="H1181" s="27" t="s">
        <v>137</v>
      </c>
      <c r="I1181" s="26" t="s">
        <v>220</v>
      </c>
      <c r="J1181" s="31">
        <v>58</v>
      </c>
      <c r="K1181" s="32">
        <f t="shared" si="54"/>
        <v>116</v>
      </c>
      <c r="L1181" s="29" t="s">
        <v>225</v>
      </c>
      <c r="M1181" s="27">
        <f>IFERROR(VLOOKUP(C1181,Custo_MI_Device!$B$2:$E$102,3,FALSE),0)</f>
        <v>0</v>
      </c>
      <c r="N1181" s="27">
        <f t="shared" si="55"/>
        <v>0</v>
      </c>
      <c r="O1181" s="178">
        <f t="shared" si="56"/>
        <v>0</v>
      </c>
    </row>
    <row r="1182" spans="1:15" ht="25.5" hidden="1">
      <c r="A1182" s="25">
        <v>4306</v>
      </c>
      <c r="B1182" s="25" t="s">
        <v>69</v>
      </c>
      <c r="C1182" s="26" t="s">
        <v>70</v>
      </c>
      <c r="D1182" s="27">
        <v>73063000</v>
      </c>
      <c r="E1182" s="28" t="s">
        <v>239</v>
      </c>
      <c r="F1182" s="29">
        <v>0</v>
      </c>
      <c r="G1182" s="30">
        <v>2</v>
      </c>
      <c r="H1182" s="27" t="s">
        <v>232</v>
      </c>
      <c r="I1182" s="26" t="s">
        <v>233</v>
      </c>
      <c r="J1182" s="31">
        <v>32</v>
      </c>
      <c r="K1182" s="32">
        <f t="shared" si="54"/>
        <v>64</v>
      </c>
      <c r="L1182" s="29" t="s">
        <v>240</v>
      </c>
      <c r="M1182" s="27">
        <f>IFERROR(VLOOKUP(C1182,Custo_MI_Device!$B$2:$E$102,3,FALSE),0)</f>
        <v>0</v>
      </c>
      <c r="N1182" s="27">
        <f t="shared" si="55"/>
        <v>0</v>
      </c>
      <c r="O1182" s="178">
        <f t="shared" si="56"/>
        <v>0</v>
      </c>
    </row>
    <row r="1183" spans="1:15" ht="12.75" hidden="1">
      <c r="A1183" s="25">
        <v>3316</v>
      </c>
      <c r="B1183" s="25" t="s">
        <v>69</v>
      </c>
      <c r="C1183" s="26" t="s">
        <v>70</v>
      </c>
      <c r="D1183" s="27">
        <v>0</v>
      </c>
      <c r="E1183" s="28" t="s">
        <v>246</v>
      </c>
      <c r="F1183" s="29" t="s">
        <v>247</v>
      </c>
      <c r="G1183" s="30">
        <v>1</v>
      </c>
      <c r="H1183" s="27" t="s">
        <v>137</v>
      </c>
      <c r="I1183" s="26" t="s">
        <v>248</v>
      </c>
      <c r="J1183" s="31">
        <v>5.5</v>
      </c>
      <c r="K1183" s="32">
        <f t="shared" si="54"/>
        <v>5.5</v>
      </c>
      <c r="L1183" s="29" t="s">
        <v>247</v>
      </c>
      <c r="M1183" s="27">
        <f>IFERROR(VLOOKUP(C1183,Custo_MI_Device!$B$2:$E$102,3,FALSE),0)</f>
        <v>0</v>
      </c>
      <c r="N1183" s="27">
        <f t="shared" si="55"/>
        <v>0</v>
      </c>
      <c r="O1183" s="178">
        <f t="shared" si="56"/>
        <v>0</v>
      </c>
    </row>
    <row r="1184" spans="1:15" ht="25.5" hidden="1">
      <c r="A1184" s="25">
        <v>1900</v>
      </c>
      <c r="B1184" s="25" t="s">
        <v>69</v>
      </c>
      <c r="C1184" s="26" t="s">
        <v>70</v>
      </c>
      <c r="D1184" s="27">
        <v>73072200</v>
      </c>
      <c r="E1184" s="28" t="s">
        <v>249</v>
      </c>
      <c r="F1184" s="29" t="s">
        <v>250</v>
      </c>
      <c r="G1184" s="30">
        <v>3</v>
      </c>
      <c r="H1184" s="27" t="s">
        <v>137</v>
      </c>
      <c r="I1184" s="26" t="s">
        <v>218</v>
      </c>
      <c r="J1184" s="31">
        <v>27</v>
      </c>
      <c r="K1184" s="32">
        <f t="shared" si="54"/>
        <v>81</v>
      </c>
      <c r="L1184" s="29" t="s">
        <v>250</v>
      </c>
      <c r="M1184" s="27">
        <f>IFERROR(VLOOKUP(C1184,Custo_MI_Device!$B$2:$E$102,3,FALSE),0)</f>
        <v>0</v>
      </c>
      <c r="N1184" s="27">
        <f t="shared" si="55"/>
        <v>0</v>
      </c>
      <c r="O1184" s="178">
        <f t="shared" si="56"/>
        <v>0</v>
      </c>
    </row>
    <row r="1185" spans="1:15" ht="12.75" hidden="1">
      <c r="A1185" s="25">
        <v>3274</v>
      </c>
      <c r="B1185" s="25" t="s">
        <v>69</v>
      </c>
      <c r="C1185" s="26" t="s">
        <v>70</v>
      </c>
      <c r="D1185" s="27">
        <v>73181500</v>
      </c>
      <c r="E1185" s="28" t="s">
        <v>265</v>
      </c>
      <c r="F1185" s="29" t="s">
        <v>266</v>
      </c>
      <c r="G1185" s="30">
        <v>24</v>
      </c>
      <c r="H1185" s="27" t="s">
        <v>137</v>
      </c>
      <c r="I1185" s="26" t="s">
        <v>256</v>
      </c>
      <c r="J1185" s="31">
        <v>0.06</v>
      </c>
      <c r="K1185" s="32">
        <f t="shared" si="54"/>
        <v>1.44</v>
      </c>
      <c r="L1185" s="29" t="s">
        <v>266</v>
      </c>
      <c r="M1185" s="27">
        <f>IFERROR(VLOOKUP(C1185,Custo_MI_Device!$B$2:$E$102,3,FALSE),0)</f>
        <v>0</v>
      </c>
      <c r="N1185" s="27">
        <f t="shared" si="55"/>
        <v>0</v>
      </c>
      <c r="O1185" s="178">
        <f t="shared" si="56"/>
        <v>0</v>
      </c>
    </row>
    <row r="1186" spans="1:15" ht="25.5" hidden="1">
      <c r="A1186" s="25">
        <v>1611</v>
      </c>
      <c r="B1186" s="25" t="s">
        <v>69</v>
      </c>
      <c r="C1186" s="26" t="s">
        <v>70</v>
      </c>
      <c r="D1186" s="27">
        <v>39174090</v>
      </c>
      <c r="E1186" s="28" t="s">
        <v>275</v>
      </c>
      <c r="F1186" s="29" t="s">
        <v>276</v>
      </c>
      <c r="G1186" s="30">
        <v>2</v>
      </c>
      <c r="H1186" s="27" t="s">
        <v>137</v>
      </c>
      <c r="I1186" s="26" t="s">
        <v>277</v>
      </c>
      <c r="J1186" s="31">
        <v>7.8</v>
      </c>
      <c r="K1186" s="32">
        <f t="shared" si="54"/>
        <v>15.6</v>
      </c>
      <c r="L1186" s="29" t="s">
        <v>276</v>
      </c>
      <c r="M1186" s="27">
        <f>IFERROR(VLOOKUP(C1186,Custo_MI_Device!$B$2:$E$102,3,FALSE),0)</f>
        <v>0</v>
      </c>
      <c r="N1186" s="27">
        <f t="shared" si="55"/>
        <v>0</v>
      </c>
      <c r="O1186" s="178">
        <f t="shared" si="56"/>
        <v>0</v>
      </c>
    </row>
    <row r="1187" spans="1:15" ht="12.75" hidden="1">
      <c r="A1187" s="25">
        <v>5081</v>
      </c>
      <c r="B1187" s="25" t="s">
        <v>69</v>
      </c>
      <c r="C1187" s="26" t="s">
        <v>70</v>
      </c>
      <c r="D1187" s="27">
        <v>73145000</v>
      </c>
      <c r="E1187" s="28" t="s">
        <v>278</v>
      </c>
      <c r="F1187" s="29">
        <v>0</v>
      </c>
      <c r="G1187" s="30">
        <v>1</v>
      </c>
      <c r="H1187" s="27" t="s">
        <v>137</v>
      </c>
      <c r="I1187" s="26" t="s">
        <v>279</v>
      </c>
      <c r="J1187" s="31">
        <v>23</v>
      </c>
      <c r="K1187" s="32">
        <f t="shared" si="54"/>
        <v>23</v>
      </c>
      <c r="L1187" s="29" t="s">
        <v>280</v>
      </c>
      <c r="M1187" s="27">
        <f>IFERROR(VLOOKUP(C1187,Custo_MI_Device!$B$2:$E$102,3,FALSE),0)</f>
        <v>0</v>
      </c>
      <c r="N1187" s="27">
        <f t="shared" si="55"/>
        <v>0</v>
      </c>
      <c r="O1187" s="178">
        <f t="shared" si="56"/>
        <v>0</v>
      </c>
    </row>
    <row r="1188" spans="1:15" ht="25.5" hidden="1">
      <c r="A1188" s="25">
        <v>2973</v>
      </c>
      <c r="B1188" s="25" t="s">
        <v>69</v>
      </c>
      <c r="C1188" s="26" t="s">
        <v>70</v>
      </c>
      <c r="D1188" s="27">
        <v>73072200</v>
      </c>
      <c r="E1188" s="28" t="s">
        <v>281</v>
      </c>
      <c r="F1188" s="29" t="s">
        <v>282</v>
      </c>
      <c r="G1188" s="30">
        <v>2</v>
      </c>
      <c r="H1188" s="27" t="s">
        <v>137</v>
      </c>
      <c r="I1188" s="26" t="s">
        <v>218</v>
      </c>
      <c r="J1188" s="31">
        <v>29</v>
      </c>
      <c r="K1188" s="32">
        <f t="shared" si="54"/>
        <v>58</v>
      </c>
      <c r="L1188" s="29" t="s">
        <v>282</v>
      </c>
      <c r="M1188" s="27">
        <f>IFERROR(VLOOKUP(C1188,Custo_MI_Device!$B$2:$E$102,3,FALSE),0)</f>
        <v>0</v>
      </c>
      <c r="N1188" s="27">
        <f t="shared" si="55"/>
        <v>0</v>
      </c>
      <c r="O1188" s="178">
        <f t="shared" si="56"/>
        <v>0</v>
      </c>
    </row>
    <row r="1189" spans="1:15" ht="25.5" hidden="1">
      <c r="A1189" s="25">
        <v>5194</v>
      </c>
      <c r="B1189" s="25" t="s">
        <v>69</v>
      </c>
      <c r="C1189" s="26" t="s">
        <v>70</v>
      </c>
      <c r="D1189" s="27">
        <v>73041010</v>
      </c>
      <c r="E1189" s="28" t="s">
        <v>289</v>
      </c>
      <c r="F1189" s="29" t="s">
        <v>290</v>
      </c>
      <c r="G1189" s="30">
        <v>2</v>
      </c>
      <c r="H1189" s="27" t="s">
        <v>232</v>
      </c>
      <c r="I1189" s="26" t="s">
        <v>218</v>
      </c>
      <c r="J1189" s="31">
        <f>21.5*6</f>
        <v>129</v>
      </c>
      <c r="K1189" s="32">
        <f t="shared" si="54"/>
        <v>258</v>
      </c>
      <c r="L1189" s="29" t="s">
        <v>290</v>
      </c>
      <c r="M1189" s="27">
        <f>IFERROR(VLOOKUP(C1189,Custo_MI_Device!$B$2:$E$102,3,FALSE),0)</f>
        <v>0</v>
      </c>
      <c r="N1189" s="27">
        <f t="shared" si="55"/>
        <v>0</v>
      </c>
      <c r="O1189" s="178">
        <f t="shared" si="56"/>
        <v>0</v>
      </c>
    </row>
    <row r="1190" spans="1:15" ht="25.5" hidden="1">
      <c r="A1190" s="25">
        <v>2125</v>
      </c>
      <c r="B1190" s="25" t="s">
        <v>69</v>
      </c>
      <c r="C1190" s="26" t="s">
        <v>70</v>
      </c>
      <c r="D1190" s="27">
        <v>84818039</v>
      </c>
      <c r="E1190" s="28" t="s">
        <v>301</v>
      </c>
      <c r="F1190" s="29">
        <v>0</v>
      </c>
      <c r="G1190" s="30">
        <v>1</v>
      </c>
      <c r="H1190" s="27" t="s">
        <v>137</v>
      </c>
      <c r="I1190" s="26" t="s">
        <v>220</v>
      </c>
      <c r="J1190" s="31">
        <v>175</v>
      </c>
      <c r="K1190" s="32">
        <f t="shared" si="54"/>
        <v>175</v>
      </c>
      <c r="L1190" s="29" t="s">
        <v>302</v>
      </c>
      <c r="M1190" s="27">
        <f>IFERROR(VLOOKUP(C1190,Custo_MI_Device!$B$2:$E$102,3,FALSE),0)</f>
        <v>0</v>
      </c>
      <c r="N1190" s="27">
        <f t="shared" si="55"/>
        <v>0</v>
      </c>
      <c r="O1190" s="178">
        <f t="shared" si="56"/>
        <v>0</v>
      </c>
    </row>
    <row r="1191" spans="1:15" ht="12.75" hidden="1">
      <c r="A1191" s="25">
        <v>3778</v>
      </c>
      <c r="B1191" s="25" t="s">
        <v>69</v>
      </c>
      <c r="C1191" s="26" t="s">
        <v>71</v>
      </c>
      <c r="D1191" s="27">
        <v>73072900</v>
      </c>
      <c r="E1191" s="28" t="s">
        <v>310</v>
      </c>
      <c r="F1191" s="29" t="s">
        <v>311</v>
      </c>
      <c r="G1191" s="30">
        <v>12</v>
      </c>
      <c r="H1191" s="27" t="s">
        <v>137</v>
      </c>
      <c r="I1191" s="26" t="s">
        <v>256</v>
      </c>
      <c r="J1191" s="31">
        <v>0.65</v>
      </c>
      <c r="K1191" s="32">
        <f t="shared" si="54"/>
        <v>7.8000000000000007</v>
      </c>
      <c r="L1191" s="29" t="s">
        <v>311</v>
      </c>
      <c r="M1191" s="27">
        <f>IFERROR(VLOOKUP(C1191,Custo_MI_Device!$B$2:$E$102,3,FALSE),0)</f>
        <v>0</v>
      </c>
      <c r="N1191" s="27">
        <f t="shared" si="55"/>
        <v>0</v>
      </c>
      <c r="O1191" s="178">
        <f t="shared" si="56"/>
        <v>0</v>
      </c>
    </row>
    <row r="1192" spans="1:15" ht="12.75" hidden="1">
      <c r="A1192" s="25">
        <v>2534</v>
      </c>
      <c r="B1192" s="25" t="s">
        <v>69</v>
      </c>
      <c r="C1192" s="26" t="s">
        <v>71</v>
      </c>
      <c r="D1192" s="27">
        <v>73072900</v>
      </c>
      <c r="E1192" s="28" t="s">
        <v>314</v>
      </c>
      <c r="F1192" s="29" t="s">
        <v>315</v>
      </c>
      <c r="G1192" s="30">
        <v>12</v>
      </c>
      <c r="H1192" s="27" t="s">
        <v>137</v>
      </c>
      <c r="I1192" s="26" t="s">
        <v>256</v>
      </c>
      <c r="J1192" s="31">
        <v>1.2</v>
      </c>
      <c r="K1192" s="32">
        <f t="shared" si="54"/>
        <v>14.399999999999999</v>
      </c>
      <c r="L1192" s="29" t="s">
        <v>315</v>
      </c>
      <c r="M1192" s="27">
        <f>IFERROR(VLOOKUP(C1192,Custo_MI_Device!$B$2:$E$102,3,FALSE),0)</f>
        <v>0</v>
      </c>
      <c r="N1192" s="27">
        <f t="shared" si="55"/>
        <v>0</v>
      </c>
      <c r="O1192" s="178">
        <f t="shared" si="56"/>
        <v>0</v>
      </c>
    </row>
    <row r="1193" spans="1:15" ht="12.75" hidden="1">
      <c r="A1193" s="25">
        <v>1669</v>
      </c>
      <c r="B1193" s="25" t="s">
        <v>69</v>
      </c>
      <c r="C1193" s="26" t="s">
        <v>71</v>
      </c>
      <c r="D1193" s="27">
        <v>39269090</v>
      </c>
      <c r="E1193" s="28" t="s">
        <v>316</v>
      </c>
      <c r="F1193" s="29" t="s">
        <v>317</v>
      </c>
      <c r="G1193" s="30">
        <v>3</v>
      </c>
      <c r="H1193" s="27" t="s">
        <v>137</v>
      </c>
      <c r="I1193" s="26" t="s">
        <v>318</v>
      </c>
      <c r="J1193" s="31">
        <v>0.04</v>
      </c>
      <c r="K1193" s="32">
        <f t="shared" si="54"/>
        <v>0.12</v>
      </c>
      <c r="L1193" s="29" t="s">
        <v>317</v>
      </c>
      <c r="M1193" s="27">
        <f>IFERROR(VLOOKUP(C1193,Custo_MI_Device!$B$2:$E$102,3,FALSE),0)</f>
        <v>0</v>
      </c>
      <c r="N1193" s="27">
        <f t="shared" si="55"/>
        <v>0</v>
      </c>
      <c r="O1193" s="178">
        <f t="shared" si="56"/>
        <v>0</v>
      </c>
    </row>
    <row r="1194" spans="1:15" ht="12.75" hidden="1">
      <c r="A1194" s="25">
        <v>5091</v>
      </c>
      <c r="B1194" s="25" t="s">
        <v>69</v>
      </c>
      <c r="C1194" s="26" t="s">
        <v>71</v>
      </c>
      <c r="D1194" s="27">
        <v>73181500</v>
      </c>
      <c r="E1194" s="28" t="s">
        <v>323</v>
      </c>
      <c r="F1194" s="29" t="s">
        <v>324</v>
      </c>
      <c r="G1194" s="30">
        <v>24</v>
      </c>
      <c r="H1194" s="27" t="s">
        <v>137</v>
      </c>
      <c r="I1194" s="26" t="s">
        <v>256</v>
      </c>
      <c r="J1194" s="31">
        <v>0.04</v>
      </c>
      <c r="K1194" s="32">
        <f t="shared" si="54"/>
        <v>0.96</v>
      </c>
      <c r="L1194" s="29" t="s">
        <v>324</v>
      </c>
      <c r="M1194" s="27">
        <f>IFERROR(VLOOKUP(C1194,Custo_MI_Device!$B$2:$E$102,3,FALSE),0)</f>
        <v>0</v>
      </c>
      <c r="N1194" s="27">
        <f t="shared" si="55"/>
        <v>0</v>
      </c>
      <c r="O1194" s="178">
        <f t="shared" si="56"/>
        <v>0</v>
      </c>
    </row>
    <row r="1195" spans="1:15" ht="12.75" hidden="1">
      <c r="A1195" s="25">
        <v>1117</v>
      </c>
      <c r="B1195" s="25" t="s">
        <v>69</v>
      </c>
      <c r="C1195" s="26" t="s">
        <v>71</v>
      </c>
      <c r="D1195" s="27"/>
      <c r="E1195" s="28" t="s">
        <v>145</v>
      </c>
      <c r="F1195" s="29" t="s">
        <v>146</v>
      </c>
      <c r="G1195" s="30">
        <v>1</v>
      </c>
      <c r="H1195" s="27" t="s">
        <v>137</v>
      </c>
      <c r="I1195" s="26" t="s">
        <v>138</v>
      </c>
      <c r="J1195" s="31">
        <v>1.95</v>
      </c>
      <c r="K1195" s="32">
        <f t="shared" si="54"/>
        <v>1.95</v>
      </c>
      <c r="L1195" s="29" t="s">
        <v>146</v>
      </c>
      <c r="M1195" s="27">
        <f>IFERROR(VLOOKUP(C1195,Custo_MI_Device!$B$2:$E$102,3,FALSE),0)</f>
        <v>0</v>
      </c>
      <c r="N1195" s="27">
        <f t="shared" si="55"/>
        <v>0</v>
      </c>
      <c r="O1195" s="178">
        <f t="shared" si="56"/>
        <v>0</v>
      </c>
    </row>
    <row r="1196" spans="1:15" ht="12.75" hidden="1">
      <c r="A1196" s="25">
        <v>3080</v>
      </c>
      <c r="B1196" s="25" t="s">
        <v>69</v>
      </c>
      <c r="C1196" s="26" t="s">
        <v>71</v>
      </c>
      <c r="D1196" s="27">
        <v>74122000</v>
      </c>
      <c r="E1196" s="28" t="s">
        <v>153</v>
      </c>
      <c r="F1196" s="29" t="s">
        <v>154</v>
      </c>
      <c r="G1196" s="30">
        <v>1</v>
      </c>
      <c r="H1196" s="27" t="s">
        <v>137</v>
      </c>
      <c r="I1196" s="26" t="s">
        <v>155</v>
      </c>
      <c r="J1196" s="31">
        <v>3.3</v>
      </c>
      <c r="K1196" s="32">
        <f t="shared" si="54"/>
        <v>3.3</v>
      </c>
      <c r="L1196" s="29" t="s">
        <v>154</v>
      </c>
      <c r="M1196" s="27">
        <f>IFERROR(VLOOKUP(C1196,Custo_MI_Device!$B$2:$E$102,3,FALSE),0)</f>
        <v>0</v>
      </c>
      <c r="N1196" s="27">
        <f t="shared" si="55"/>
        <v>0</v>
      </c>
      <c r="O1196" s="178">
        <f t="shared" si="56"/>
        <v>0</v>
      </c>
    </row>
    <row r="1197" spans="1:15" ht="25.5" hidden="1">
      <c r="A1197" s="25">
        <v>5139</v>
      </c>
      <c r="B1197" s="25" t="s">
        <v>69</v>
      </c>
      <c r="C1197" s="26" t="s">
        <v>71</v>
      </c>
      <c r="D1197" s="27">
        <v>85444900</v>
      </c>
      <c r="E1197" s="28" t="s">
        <v>170</v>
      </c>
      <c r="F1197" s="29" t="s">
        <v>171</v>
      </c>
      <c r="G1197" s="30">
        <v>15</v>
      </c>
      <c r="H1197" s="27" t="s">
        <v>158</v>
      </c>
      <c r="I1197" s="26" t="s">
        <v>172</v>
      </c>
      <c r="J1197" s="31">
        <v>7.5</v>
      </c>
      <c r="K1197" s="32">
        <f t="shared" si="54"/>
        <v>112.5</v>
      </c>
      <c r="L1197" s="29" t="s">
        <v>173</v>
      </c>
      <c r="M1197" s="27">
        <f>IFERROR(VLOOKUP(C1197,Custo_MI_Device!$B$2:$E$102,3,FALSE),0)</f>
        <v>0</v>
      </c>
      <c r="N1197" s="27">
        <f t="shared" si="55"/>
        <v>0</v>
      </c>
      <c r="O1197" s="178">
        <f t="shared" si="56"/>
        <v>0</v>
      </c>
    </row>
    <row r="1198" spans="1:15" ht="12.75" hidden="1">
      <c r="A1198" s="25">
        <v>2805</v>
      </c>
      <c r="B1198" s="25" t="s">
        <v>69</v>
      </c>
      <c r="C1198" s="26" t="s">
        <v>71</v>
      </c>
      <c r="D1198" s="27">
        <v>72162100</v>
      </c>
      <c r="E1198" s="28" t="s">
        <v>174</v>
      </c>
      <c r="F1198" s="29">
        <v>0</v>
      </c>
      <c r="G1198" s="30">
        <v>2.9</v>
      </c>
      <c r="H1198" s="27" t="s">
        <v>175</v>
      </c>
      <c r="I1198" s="26" t="s">
        <v>176</v>
      </c>
      <c r="J1198" s="31">
        <v>4.22</v>
      </c>
      <c r="K1198" s="32">
        <f t="shared" si="54"/>
        <v>12.238</v>
      </c>
      <c r="L1198" s="29" t="s">
        <v>177</v>
      </c>
      <c r="M1198" s="27">
        <f>IFERROR(VLOOKUP(C1198,Custo_MI_Device!$B$2:$E$102,3,FALSE),0)</f>
        <v>0</v>
      </c>
      <c r="N1198" s="27">
        <f t="shared" si="55"/>
        <v>0</v>
      </c>
      <c r="O1198" s="178">
        <f t="shared" si="56"/>
        <v>0</v>
      </c>
    </row>
    <row r="1199" spans="1:15" ht="12.75" hidden="1">
      <c r="A1199" s="25">
        <v>2904</v>
      </c>
      <c r="B1199" s="25" t="s">
        <v>69</v>
      </c>
      <c r="C1199" s="26" t="s">
        <v>71</v>
      </c>
      <c r="D1199" s="27">
        <v>76090000</v>
      </c>
      <c r="E1199" s="28" t="s">
        <v>195</v>
      </c>
      <c r="F1199" s="29" t="s">
        <v>196</v>
      </c>
      <c r="G1199" s="30">
        <v>0.75</v>
      </c>
      <c r="H1199" s="27" t="s">
        <v>137</v>
      </c>
      <c r="I1199" s="26" t="s">
        <v>138</v>
      </c>
      <c r="J1199" s="31">
        <v>6.7</v>
      </c>
      <c r="K1199" s="32">
        <f t="shared" si="54"/>
        <v>5.0250000000000004</v>
      </c>
      <c r="L1199" s="29" t="s">
        <v>196</v>
      </c>
      <c r="M1199" s="27">
        <f>IFERROR(VLOOKUP(C1199,Custo_MI_Device!$B$2:$E$102,3,FALSE),0)</f>
        <v>0</v>
      </c>
      <c r="N1199" s="27">
        <f t="shared" si="55"/>
        <v>0</v>
      </c>
      <c r="O1199" s="178">
        <f t="shared" si="56"/>
        <v>0</v>
      </c>
    </row>
    <row r="1200" spans="1:15" ht="12.75" hidden="1">
      <c r="A1200" s="25">
        <v>2911</v>
      </c>
      <c r="B1200" s="25" t="s">
        <v>69</v>
      </c>
      <c r="C1200" s="26" t="s">
        <v>71</v>
      </c>
      <c r="D1200" s="27">
        <v>76090000</v>
      </c>
      <c r="E1200" s="28" t="s">
        <v>197</v>
      </c>
      <c r="F1200" s="29" t="s">
        <v>198</v>
      </c>
      <c r="G1200" s="30">
        <v>0.75</v>
      </c>
      <c r="H1200" s="27" t="s">
        <v>137</v>
      </c>
      <c r="I1200" s="26" t="s">
        <v>138</v>
      </c>
      <c r="J1200" s="31">
        <v>6.7</v>
      </c>
      <c r="K1200" s="32">
        <f t="shared" si="54"/>
        <v>5.0250000000000004</v>
      </c>
      <c r="L1200" s="29" t="s">
        <v>198</v>
      </c>
      <c r="M1200" s="27">
        <f>IFERROR(VLOOKUP(C1200,Custo_MI_Device!$B$2:$E$102,3,FALSE),0)</f>
        <v>0</v>
      </c>
      <c r="N1200" s="27">
        <f t="shared" si="55"/>
        <v>0</v>
      </c>
      <c r="O1200" s="178">
        <f t="shared" si="56"/>
        <v>0</v>
      </c>
    </row>
    <row r="1201" spans="1:15" ht="12.75" hidden="1">
      <c r="A1201" s="25">
        <v>4823</v>
      </c>
      <c r="B1201" s="25" t="s">
        <v>69</v>
      </c>
      <c r="C1201" s="26" t="s">
        <v>71</v>
      </c>
      <c r="D1201" s="27">
        <v>76090000</v>
      </c>
      <c r="E1201" s="28" t="s">
        <v>199</v>
      </c>
      <c r="F1201" s="29" t="s">
        <v>200</v>
      </c>
      <c r="G1201" s="30">
        <v>0.75</v>
      </c>
      <c r="H1201" s="27" t="s">
        <v>137</v>
      </c>
      <c r="I1201" s="26" t="s">
        <v>138</v>
      </c>
      <c r="J1201" s="31">
        <v>6.7</v>
      </c>
      <c r="K1201" s="32">
        <f t="shared" si="54"/>
        <v>5.0250000000000004</v>
      </c>
      <c r="L1201" s="29" t="s">
        <v>200</v>
      </c>
      <c r="M1201" s="27">
        <f>IFERROR(VLOOKUP(C1201,Custo_MI_Device!$B$2:$E$102,3,FALSE),0)</f>
        <v>0</v>
      </c>
      <c r="N1201" s="27">
        <f t="shared" si="55"/>
        <v>0</v>
      </c>
      <c r="O1201" s="178">
        <f t="shared" si="56"/>
        <v>0</v>
      </c>
    </row>
    <row r="1202" spans="1:15" ht="25.5" hidden="1">
      <c r="A1202" s="25">
        <v>2909</v>
      </c>
      <c r="B1202" s="25" t="s">
        <v>69</v>
      </c>
      <c r="C1202" s="26" t="s">
        <v>71</v>
      </c>
      <c r="D1202" s="27">
        <v>73072200</v>
      </c>
      <c r="E1202" s="28" t="s">
        <v>216</v>
      </c>
      <c r="F1202" s="29" t="s">
        <v>217</v>
      </c>
      <c r="G1202" s="30">
        <v>3</v>
      </c>
      <c r="H1202" s="27" t="s">
        <v>137</v>
      </c>
      <c r="I1202" s="26" t="s">
        <v>218</v>
      </c>
      <c r="J1202" s="31">
        <v>27.7</v>
      </c>
      <c r="K1202" s="32">
        <f t="shared" si="54"/>
        <v>83.1</v>
      </c>
      <c r="L1202" s="29" t="s">
        <v>217</v>
      </c>
      <c r="M1202" s="27">
        <f>IFERROR(VLOOKUP(C1202,Custo_MI_Device!$B$2:$E$102,3,FALSE),0)</f>
        <v>0</v>
      </c>
      <c r="N1202" s="27">
        <f t="shared" si="55"/>
        <v>0</v>
      </c>
      <c r="O1202" s="178">
        <f t="shared" si="56"/>
        <v>0</v>
      </c>
    </row>
    <row r="1203" spans="1:15" ht="25.5" hidden="1">
      <c r="A1203" s="25">
        <v>1535</v>
      </c>
      <c r="B1203" s="25" t="s">
        <v>69</v>
      </c>
      <c r="C1203" s="26" t="s">
        <v>71</v>
      </c>
      <c r="D1203" s="27">
        <v>73072200</v>
      </c>
      <c r="E1203" s="28" t="s">
        <v>219</v>
      </c>
      <c r="F1203" s="29">
        <v>0</v>
      </c>
      <c r="G1203" s="30">
        <v>1</v>
      </c>
      <c r="H1203" s="27" t="s">
        <v>137</v>
      </c>
      <c r="I1203" s="26" t="s">
        <v>220</v>
      </c>
      <c r="J1203" s="31">
        <v>35</v>
      </c>
      <c r="K1203" s="32">
        <f t="shared" si="54"/>
        <v>35</v>
      </c>
      <c r="L1203" s="29" t="s">
        <v>221</v>
      </c>
      <c r="M1203" s="27">
        <f>IFERROR(VLOOKUP(C1203,Custo_MI_Device!$B$2:$E$102,3,FALSE),0)</f>
        <v>0</v>
      </c>
      <c r="N1203" s="27">
        <f t="shared" si="55"/>
        <v>0</v>
      </c>
      <c r="O1203" s="178">
        <f t="shared" si="56"/>
        <v>0</v>
      </c>
    </row>
    <row r="1204" spans="1:15" ht="25.5" hidden="1">
      <c r="A1204" s="25">
        <v>7163</v>
      </c>
      <c r="B1204" s="25" t="s">
        <v>69</v>
      </c>
      <c r="C1204" s="26" t="s">
        <v>71</v>
      </c>
      <c r="D1204" s="27">
        <v>73072200</v>
      </c>
      <c r="E1204" s="28" t="s">
        <v>224</v>
      </c>
      <c r="F1204" s="29">
        <v>0</v>
      </c>
      <c r="G1204" s="30">
        <v>2</v>
      </c>
      <c r="H1204" s="27" t="s">
        <v>137</v>
      </c>
      <c r="I1204" s="26" t="s">
        <v>220</v>
      </c>
      <c r="J1204" s="31">
        <v>58</v>
      </c>
      <c r="K1204" s="32">
        <f t="shared" si="54"/>
        <v>116</v>
      </c>
      <c r="L1204" s="29" t="s">
        <v>225</v>
      </c>
      <c r="M1204" s="27">
        <f>IFERROR(VLOOKUP(C1204,Custo_MI_Device!$B$2:$E$102,3,FALSE),0)</f>
        <v>0</v>
      </c>
      <c r="N1204" s="27">
        <f t="shared" si="55"/>
        <v>0</v>
      </c>
      <c r="O1204" s="178">
        <f t="shared" si="56"/>
        <v>0</v>
      </c>
    </row>
    <row r="1205" spans="1:15" ht="25.5" hidden="1">
      <c r="A1205" s="25">
        <v>4306</v>
      </c>
      <c r="B1205" s="25" t="s">
        <v>69</v>
      </c>
      <c r="C1205" s="26" t="s">
        <v>71</v>
      </c>
      <c r="D1205" s="27">
        <v>73063000</v>
      </c>
      <c r="E1205" s="28" t="s">
        <v>239</v>
      </c>
      <c r="F1205" s="29">
        <v>0</v>
      </c>
      <c r="G1205" s="30">
        <v>2</v>
      </c>
      <c r="H1205" s="27" t="s">
        <v>232</v>
      </c>
      <c r="I1205" s="26" t="s">
        <v>233</v>
      </c>
      <c r="J1205" s="31">
        <v>32</v>
      </c>
      <c r="K1205" s="32">
        <f t="shared" si="54"/>
        <v>64</v>
      </c>
      <c r="L1205" s="29" t="s">
        <v>240</v>
      </c>
      <c r="M1205" s="27">
        <f>IFERROR(VLOOKUP(C1205,Custo_MI_Device!$B$2:$E$102,3,FALSE),0)</f>
        <v>0</v>
      </c>
      <c r="N1205" s="27">
        <f t="shared" si="55"/>
        <v>0</v>
      </c>
      <c r="O1205" s="178">
        <f t="shared" si="56"/>
        <v>0</v>
      </c>
    </row>
    <row r="1206" spans="1:15" ht="12.75" hidden="1">
      <c r="A1206" s="25">
        <v>3316</v>
      </c>
      <c r="B1206" s="25" t="s">
        <v>69</v>
      </c>
      <c r="C1206" s="26" t="s">
        <v>71</v>
      </c>
      <c r="D1206" s="27">
        <v>0</v>
      </c>
      <c r="E1206" s="28" t="s">
        <v>246</v>
      </c>
      <c r="F1206" s="29" t="s">
        <v>247</v>
      </c>
      <c r="G1206" s="30">
        <v>1</v>
      </c>
      <c r="H1206" s="27" t="s">
        <v>137</v>
      </c>
      <c r="I1206" s="26" t="s">
        <v>248</v>
      </c>
      <c r="J1206" s="31">
        <v>5.5</v>
      </c>
      <c r="K1206" s="32">
        <f t="shared" si="54"/>
        <v>5.5</v>
      </c>
      <c r="L1206" s="29" t="s">
        <v>247</v>
      </c>
      <c r="M1206" s="27">
        <f>IFERROR(VLOOKUP(C1206,Custo_MI_Device!$B$2:$E$102,3,FALSE),0)</f>
        <v>0</v>
      </c>
      <c r="N1206" s="27">
        <f t="shared" si="55"/>
        <v>0</v>
      </c>
      <c r="O1206" s="178">
        <f t="shared" si="56"/>
        <v>0</v>
      </c>
    </row>
    <row r="1207" spans="1:15" ht="25.5" hidden="1">
      <c r="A1207" s="25">
        <v>1900</v>
      </c>
      <c r="B1207" s="25" t="s">
        <v>69</v>
      </c>
      <c r="C1207" s="26" t="s">
        <v>71</v>
      </c>
      <c r="D1207" s="27">
        <v>73072200</v>
      </c>
      <c r="E1207" s="28" t="s">
        <v>249</v>
      </c>
      <c r="F1207" s="29" t="s">
        <v>250</v>
      </c>
      <c r="G1207" s="30">
        <v>3</v>
      </c>
      <c r="H1207" s="27" t="s">
        <v>137</v>
      </c>
      <c r="I1207" s="26" t="s">
        <v>218</v>
      </c>
      <c r="J1207" s="31">
        <v>27</v>
      </c>
      <c r="K1207" s="32">
        <f t="shared" si="54"/>
        <v>81</v>
      </c>
      <c r="L1207" s="29" t="s">
        <v>250</v>
      </c>
      <c r="M1207" s="27">
        <f>IFERROR(VLOOKUP(C1207,Custo_MI_Device!$B$2:$E$102,3,FALSE),0)</f>
        <v>0</v>
      </c>
      <c r="N1207" s="27">
        <f t="shared" si="55"/>
        <v>0</v>
      </c>
      <c r="O1207" s="178">
        <f t="shared" si="56"/>
        <v>0</v>
      </c>
    </row>
    <row r="1208" spans="1:15" ht="12.75" hidden="1">
      <c r="A1208" s="25">
        <v>3274</v>
      </c>
      <c r="B1208" s="25" t="s">
        <v>69</v>
      </c>
      <c r="C1208" s="26" t="s">
        <v>71</v>
      </c>
      <c r="D1208" s="27">
        <v>73181500</v>
      </c>
      <c r="E1208" s="28" t="s">
        <v>265</v>
      </c>
      <c r="F1208" s="29" t="s">
        <v>266</v>
      </c>
      <c r="G1208" s="30">
        <v>24</v>
      </c>
      <c r="H1208" s="27" t="s">
        <v>137</v>
      </c>
      <c r="I1208" s="26" t="s">
        <v>256</v>
      </c>
      <c r="J1208" s="31">
        <v>0.06</v>
      </c>
      <c r="K1208" s="32">
        <f t="shared" si="54"/>
        <v>1.44</v>
      </c>
      <c r="L1208" s="29" t="s">
        <v>266</v>
      </c>
      <c r="M1208" s="27">
        <f>IFERROR(VLOOKUP(C1208,Custo_MI_Device!$B$2:$E$102,3,FALSE),0)</f>
        <v>0</v>
      </c>
      <c r="N1208" s="27">
        <f t="shared" si="55"/>
        <v>0</v>
      </c>
      <c r="O1208" s="178">
        <f t="shared" si="56"/>
        <v>0</v>
      </c>
    </row>
    <row r="1209" spans="1:15" ht="25.5" hidden="1">
      <c r="A1209" s="25">
        <v>1611</v>
      </c>
      <c r="B1209" s="25" t="s">
        <v>69</v>
      </c>
      <c r="C1209" s="26" t="s">
        <v>71</v>
      </c>
      <c r="D1209" s="27">
        <v>39174090</v>
      </c>
      <c r="E1209" s="28" t="s">
        <v>275</v>
      </c>
      <c r="F1209" s="29" t="s">
        <v>276</v>
      </c>
      <c r="G1209" s="30">
        <v>2</v>
      </c>
      <c r="H1209" s="27" t="s">
        <v>137</v>
      </c>
      <c r="I1209" s="26" t="s">
        <v>277</v>
      </c>
      <c r="J1209" s="31">
        <v>7.8</v>
      </c>
      <c r="K1209" s="32">
        <f t="shared" si="54"/>
        <v>15.6</v>
      </c>
      <c r="L1209" s="29" t="s">
        <v>276</v>
      </c>
      <c r="M1209" s="27">
        <f>IFERROR(VLOOKUP(C1209,Custo_MI_Device!$B$2:$E$102,3,FALSE),0)</f>
        <v>0</v>
      </c>
      <c r="N1209" s="27">
        <f t="shared" si="55"/>
        <v>0</v>
      </c>
      <c r="O1209" s="178">
        <f t="shared" si="56"/>
        <v>0</v>
      </c>
    </row>
    <row r="1210" spans="1:15" ht="12.75" hidden="1">
      <c r="A1210" s="25">
        <v>5081</v>
      </c>
      <c r="B1210" s="25" t="s">
        <v>69</v>
      </c>
      <c r="C1210" s="26" t="s">
        <v>71</v>
      </c>
      <c r="D1210" s="27">
        <v>73145000</v>
      </c>
      <c r="E1210" s="28" t="s">
        <v>278</v>
      </c>
      <c r="F1210" s="29">
        <v>0</v>
      </c>
      <c r="G1210" s="30">
        <v>1</v>
      </c>
      <c r="H1210" s="27" t="s">
        <v>137</v>
      </c>
      <c r="I1210" s="26" t="s">
        <v>279</v>
      </c>
      <c r="J1210" s="31">
        <v>23</v>
      </c>
      <c r="K1210" s="32">
        <f t="shared" si="54"/>
        <v>23</v>
      </c>
      <c r="L1210" s="29" t="s">
        <v>280</v>
      </c>
      <c r="M1210" s="27">
        <f>IFERROR(VLOOKUP(C1210,Custo_MI_Device!$B$2:$E$102,3,FALSE),0)</f>
        <v>0</v>
      </c>
      <c r="N1210" s="27">
        <f t="shared" si="55"/>
        <v>0</v>
      </c>
      <c r="O1210" s="178">
        <f t="shared" si="56"/>
        <v>0</v>
      </c>
    </row>
    <row r="1211" spans="1:15" ht="25.5" hidden="1">
      <c r="A1211" s="25">
        <v>2973</v>
      </c>
      <c r="B1211" s="25" t="s">
        <v>69</v>
      </c>
      <c r="C1211" s="26" t="s">
        <v>71</v>
      </c>
      <c r="D1211" s="27">
        <v>73072200</v>
      </c>
      <c r="E1211" s="28" t="s">
        <v>281</v>
      </c>
      <c r="F1211" s="29" t="s">
        <v>282</v>
      </c>
      <c r="G1211" s="30">
        <v>2</v>
      </c>
      <c r="H1211" s="27" t="s">
        <v>137</v>
      </c>
      <c r="I1211" s="26" t="s">
        <v>218</v>
      </c>
      <c r="J1211" s="31">
        <v>29</v>
      </c>
      <c r="K1211" s="32">
        <f t="shared" si="54"/>
        <v>58</v>
      </c>
      <c r="L1211" s="29" t="s">
        <v>282</v>
      </c>
      <c r="M1211" s="27">
        <f>IFERROR(VLOOKUP(C1211,Custo_MI_Device!$B$2:$E$102,3,FALSE),0)</f>
        <v>0</v>
      </c>
      <c r="N1211" s="27">
        <f t="shared" si="55"/>
        <v>0</v>
      </c>
      <c r="O1211" s="178">
        <f t="shared" si="56"/>
        <v>0</v>
      </c>
    </row>
    <row r="1212" spans="1:15" ht="25.5" hidden="1">
      <c r="A1212" s="25">
        <v>5194</v>
      </c>
      <c r="B1212" s="25" t="s">
        <v>69</v>
      </c>
      <c r="C1212" s="26" t="s">
        <v>71</v>
      </c>
      <c r="D1212" s="27">
        <v>73041010</v>
      </c>
      <c r="E1212" s="28" t="s">
        <v>289</v>
      </c>
      <c r="F1212" s="29" t="s">
        <v>290</v>
      </c>
      <c r="G1212" s="30">
        <v>2</v>
      </c>
      <c r="H1212" s="27" t="s">
        <v>232</v>
      </c>
      <c r="I1212" s="26" t="s">
        <v>218</v>
      </c>
      <c r="J1212" s="31">
        <f>21.5*6</f>
        <v>129</v>
      </c>
      <c r="K1212" s="32">
        <f t="shared" si="54"/>
        <v>258</v>
      </c>
      <c r="L1212" s="29" t="s">
        <v>290</v>
      </c>
      <c r="M1212" s="27">
        <f>IFERROR(VLOOKUP(C1212,Custo_MI_Device!$B$2:$E$102,3,FALSE),0)</f>
        <v>0</v>
      </c>
      <c r="N1212" s="27">
        <f t="shared" si="55"/>
        <v>0</v>
      </c>
      <c r="O1212" s="178">
        <f t="shared" si="56"/>
        <v>0</v>
      </c>
    </row>
    <row r="1213" spans="1:15" ht="25.5" hidden="1">
      <c r="A1213" s="25">
        <v>2125</v>
      </c>
      <c r="B1213" s="25" t="s">
        <v>69</v>
      </c>
      <c r="C1213" s="26" t="s">
        <v>71</v>
      </c>
      <c r="D1213" s="27">
        <v>84818039</v>
      </c>
      <c r="E1213" s="28" t="s">
        <v>301</v>
      </c>
      <c r="F1213" s="29">
        <v>0</v>
      </c>
      <c r="G1213" s="30">
        <v>1</v>
      </c>
      <c r="H1213" s="27" t="s">
        <v>137</v>
      </c>
      <c r="I1213" s="26" t="s">
        <v>220</v>
      </c>
      <c r="J1213" s="31">
        <v>175</v>
      </c>
      <c r="K1213" s="32">
        <f t="shared" si="54"/>
        <v>175</v>
      </c>
      <c r="L1213" s="29" t="s">
        <v>302</v>
      </c>
      <c r="M1213" s="27">
        <f>IFERROR(VLOOKUP(C1213,Custo_MI_Device!$B$2:$E$102,3,FALSE),0)</f>
        <v>0</v>
      </c>
      <c r="N1213" s="27">
        <f t="shared" si="55"/>
        <v>0</v>
      </c>
      <c r="O1213" s="178">
        <f t="shared" si="56"/>
        <v>0</v>
      </c>
    </row>
    <row r="1214" spans="1:15" ht="12.75" hidden="1">
      <c r="A1214" s="25">
        <v>2534</v>
      </c>
      <c r="B1214" s="25" t="s">
        <v>69</v>
      </c>
      <c r="C1214" s="26" t="s">
        <v>72</v>
      </c>
      <c r="D1214" s="27">
        <v>73072900</v>
      </c>
      <c r="E1214" s="28" t="s">
        <v>314</v>
      </c>
      <c r="F1214" s="29" t="s">
        <v>315</v>
      </c>
      <c r="G1214" s="30">
        <v>12</v>
      </c>
      <c r="H1214" s="27" t="s">
        <v>137</v>
      </c>
      <c r="I1214" s="26" t="s">
        <v>256</v>
      </c>
      <c r="J1214" s="31">
        <v>1.2</v>
      </c>
      <c r="K1214" s="32">
        <f t="shared" si="54"/>
        <v>14.399999999999999</v>
      </c>
      <c r="L1214" s="29" t="s">
        <v>315</v>
      </c>
      <c r="M1214" s="27">
        <f>IFERROR(VLOOKUP(C1214,Custo_MI_Device!$B$2:$E$102,3,FALSE),0)</f>
        <v>0</v>
      </c>
      <c r="N1214" s="27">
        <f t="shared" si="55"/>
        <v>0</v>
      </c>
      <c r="O1214" s="178">
        <f t="shared" si="56"/>
        <v>0</v>
      </c>
    </row>
    <row r="1215" spans="1:15" ht="12.75" hidden="1">
      <c r="A1215" s="25">
        <v>1669</v>
      </c>
      <c r="B1215" s="25" t="s">
        <v>69</v>
      </c>
      <c r="C1215" s="26" t="s">
        <v>72</v>
      </c>
      <c r="D1215" s="27">
        <v>39269090</v>
      </c>
      <c r="E1215" s="28" t="s">
        <v>316</v>
      </c>
      <c r="F1215" s="29" t="s">
        <v>317</v>
      </c>
      <c r="G1215" s="30">
        <v>3</v>
      </c>
      <c r="H1215" s="27" t="s">
        <v>137</v>
      </c>
      <c r="I1215" s="26" t="s">
        <v>318</v>
      </c>
      <c r="J1215" s="31">
        <v>0.04</v>
      </c>
      <c r="K1215" s="32">
        <f t="shared" si="54"/>
        <v>0.12</v>
      </c>
      <c r="L1215" s="29" t="s">
        <v>317</v>
      </c>
      <c r="M1215" s="27">
        <f>IFERROR(VLOOKUP(C1215,Custo_MI_Device!$B$2:$E$102,3,FALSE),0)</f>
        <v>0</v>
      </c>
      <c r="N1215" s="27">
        <f t="shared" si="55"/>
        <v>0</v>
      </c>
      <c r="O1215" s="178">
        <f t="shared" si="56"/>
        <v>0</v>
      </c>
    </row>
    <row r="1216" spans="1:15" ht="12.75" hidden="1">
      <c r="A1216" s="25">
        <v>5091</v>
      </c>
      <c r="B1216" s="25" t="s">
        <v>69</v>
      </c>
      <c r="C1216" s="26" t="s">
        <v>72</v>
      </c>
      <c r="D1216" s="27">
        <v>73181500</v>
      </c>
      <c r="E1216" s="28" t="s">
        <v>323</v>
      </c>
      <c r="F1216" s="29" t="s">
        <v>324</v>
      </c>
      <c r="G1216" s="30">
        <v>24</v>
      </c>
      <c r="H1216" s="27" t="s">
        <v>137</v>
      </c>
      <c r="I1216" s="26" t="s">
        <v>256</v>
      </c>
      <c r="J1216" s="31">
        <v>0.04</v>
      </c>
      <c r="K1216" s="32">
        <f t="shared" si="54"/>
        <v>0.96</v>
      </c>
      <c r="L1216" s="29" t="s">
        <v>324</v>
      </c>
      <c r="M1216" s="27">
        <f>IFERROR(VLOOKUP(C1216,Custo_MI_Device!$B$2:$E$102,3,FALSE),0)</f>
        <v>0</v>
      </c>
      <c r="N1216" s="27">
        <f t="shared" si="55"/>
        <v>0</v>
      </c>
      <c r="O1216" s="178">
        <f t="shared" si="56"/>
        <v>0</v>
      </c>
    </row>
    <row r="1217" spans="1:15" ht="12.75" hidden="1">
      <c r="A1217" s="25">
        <v>1303</v>
      </c>
      <c r="B1217" s="25" t="s">
        <v>69</v>
      </c>
      <c r="C1217" s="26" t="s">
        <v>72</v>
      </c>
      <c r="D1217" s="27">
        <v>73071910</v>
      </c>
      <c r="E1217" s="28" t="s">
        <v>151</v>
      </c>
      <c r="F1217" s="29">
        <v>241</v>
      </c>
      <c r="G1217" s="30">
        <v>1</v>
      </c>
      <c r="H1217" s="27" t="s">
        <v>137</v>
      </c>
      <c r="I1217" s="26" t="s">
        <v>152</v>
      </c>
      <c r="J1217" s="31">
        <v>15</v>
      </c>
      <c r="K1217" s="32">
        <f t="shared" si="54"/>
        <v>15</v>
      </c>
      <c r="L1217" s="29">
        <v>241</v>
      </c>
      <c r="M1217" s="27">
        <f>IFERROR(VLOOKUP(C1217,Custo_MI_Device!$B$2:$E$102,3,FALSE),0)</f>
        <v>0</v>
      </c>
      <c r="N1217" s="27">
        <f t="shared" si="55"/>
        <v>0</v>
      </c>
      <c r="O1217" s="178">
        <f t="shared" si="56"/>
        <v>0</v>
      </c>
    </row>
    <row r="1218" spans="1:15" ht="12.75" hidden="1">
      <c r="A1218" s="25">
        <v>1117</v>
      </c>
      <c r="B1218" s="25" t="s">
        <v>69</v>
      </c>
      <c r="C1218" s="26" t="s">
        <v>72</v>
      </c>
      <c r="D1218" s="27"/>
      <c r="E1218" s="28" t="s">
        <v>145</v>
      </c>
      <c r="F1218" s="29" t="s">
        <v>146</v>
      </c>
      <c r="G1218" s="30">
        <v>1</v>
      </c>
      <c r="H1218" s="27" t="s">
        <v>137</v>
      </c>
      <c r="I1218" s="26" t="s">
        <v>138</v>
      </c>
      <c r="J1218" s="31">
        <v>1.95</v>
      </c>
      <c r="K1218" s="32">
        <f t="shared" si="54"/>
        <v>1.95</v>
      </c>
      <c r="L1218" s="29" t="s">
        <v>146</v>
      </c>
      <c r="M1218" s="27">
        <f>IFERROR(VLOOKUP(C1218,Custo_MI_Device!$B$2:$E$102,3,FALSE),0)</f>
        <v>0</v>
      </c>
      <c r="N1218" s="27">
        <f t="shared" si="55"/>
        <v>0</v>
      </c>
      <c r="O1218" s="178">
        <f t="shared" si="56"/>
        <v>0</v>
      </c>
    </row>
    <row r="1219" spans="1:15" ht="12.75" hidden="1">
      <c r="A1219" s="25">
        <v>3080</v>
      </c>
      <c r="B1219" s="25" t="s">
        <v>69</v>
      </c>
      <c r="C1219" s="26" t="s">
        <v>72</v>
      </c>
      <c r="D1219" s="27">
        <v>74122000</v>
      </c>
      <c r="E1219" s="28" t="s">
        <v>153</v>
      </c>
      <c r="F1219" s="29" t="s">
        <v>154</v>
      </c>
      <c r="G1219" s="30">
        <v>1</v>
      </c>
      <c r="H1219" s="27" t="s">
        <v>137</v>
      </c>
      <c r="I1219" s="26" t="s">
        <v>155</v>
      </c>
      <c r="J1219" s="31">
        <v>3.3</v>
      </c>
      <c r="K1219" s="32">
        <f t="shared" ref="K1219:K1282" si="57">G1219*J1219</f>
        <v>3.3</v>
      </c>
      <c r="L1219" s="29" t="s">
        <v>154</v>
      </c>
      <c r="M1219" s="27">
        <f>IFERROR(VLOOKUP(C1219,Custo_MI_Device!$B$2:$E$102,3,FALSE),0)</f>
        <v>0</v>
      </c>
      <c r="N1219" s="27">
        <f t="shared" ref="N1219:N1282" si="58">ROUNDUP(M1219*G1219,0)</f>
        <v>0</v>
      </c>
      <c r="O1219" s="178">
        <f t="shared" ref="O1219:O1282" si="59">N1219*J1219</f>
        <v>0</v>
      </c>
    </row>
    <row r="1220" spans="1:15" ht="12.75" hidden="1">
      <c r="A1220" s="25">
        <v>185</v>
      </c>
      <c r="B1220" s="25" t="s">
        <v>69</v>
      </c>
      <c r="C1220" s="26" t="s">
        <v>72</v>
      </c>
      <c r="D1220" s="27">
        <v>73071910</v>
      </c>
      <c r="E1220" s="28" t="s">
        <v>156</v>
      </c>
      <c r="F1220" s="29">
        <v>290</v>
      </c>
      <c r="G1220" s="30">
        <v>1</v>
      </c>
      <c r="H1220" s="27" t="s">
        <v>137</v>
      </c>
      <c r="I1220" s="26" t="s">
        <v>152</v>
      </c>
      <c r="J1220" s="31">
        <v>1.97</v>
      </c>
      <c r="K1220" s="32">
        <f t="shared" si="57"/>
        <v>1.97</v>
      </c>
      <c r="L1220" s="29">
        <v>290</v>
      </c>
      <c r="M1220" s="27">
        <f>IFERROR(VLOOKUP(C1220,Custo_MI_Device!$B$2:$E$102,3,FALSE),0)</f>
        <v>0</v>
      </c>
      <c r="N1220" s="27">
        <f t="shared" si="58"/>
        <v>0</v>
      </c>
      <c r="O1220" s="178">
        <f t="shared" si="59"/>
        <v>0</v>
      </c>
    </row>
    <row r="1221" spans="1:15" ht="38.25" hidden="1">
      <c r="A1221" s="25">
        <v>3585</v>
      </c>
      <c r="B1221" s="25" t="s">
        <v>69</v>
      </c>
      <c r="C1221" s="26" t="s">
        <v>72</v>
      </c>
      <c r="D1221" s="27">
        <v>85444900</v>
      </c>
      <c r="E1221" s="28" t="s">
        <v>328</v>
      </c>
      <c r="F1221" s="29">
        <v>900400</v>
      </c>
      <c r="G1221" s="30">
        <v>50</v>
      </c>
      <c r="H1221" s="27" t="s">
        <v>158</v>
      </c>
      <c r="I1221" s="26" t="s">
        <v>164</v>
      </c>
      <c r="J1221" s="31">
        <v>1.7</v>
      </c>
      <c r="K1221" s="32">
        <f t="shared" si="57"/>
        <v>85</v>
      </c>
      <c r="L1221" s="29">
        <v>900400</v>
      </c>
      <c r="M1221" s="27">
        <f>IFERROR(VLOOKUP(C1221,Custo_MI_Device!$B$2:$E$102,3,FALSE),0)</f>
        <v>0</v>
      </c>
      <c r="N1221" s="27">
        <f t="shared" si="58"/>
        <v>0</v>
      </c>
      <c r="O1221" s="178">
        <f t="shared" si="59"/>
        <v>0</v>
      </c>
    </row>
    <row r="1222" spans="1:15" ht="12.75" hidden="1">
      <c r="A1222" s="25">
        <v>2805</v>
      </c>
      <c r="B1222" s="25" t="s">
        <v>69</v>
      </c>
      <c r="C1222" s="26" t="s">
        <v>72</v>
      </c>
      <c r="D1222" s="27">
        <v>72162100</v>
      </c>
      <c r="E1222" s="28" t="s">
        <v>174</v>
      </c>
      <c r="F1222" s="29">
        <v>0</v>
      </c>
      <c r="G1222" s="30">
        <v>2.9</v>
      </c>
      <c r="H1222" s="27" t="s">
        <v>175</v>
      </c>
      <c r="I1222" s="26" t="s">
        <v>176</v>
      </c>
      <c r="J1222" s="31">
        <v>4.22</v>
      </c>
      <c r="K1222" s="32">
        <f t="shared" si="57"/>
        <v>12.238</v>
      </c>
      <c r="L1222" s="29" t="s">
        <v>177</v>
      </c>
      <c r="M1222" s="27">
        <f>IFERROR(VLOOKUP(C1222,Custo_MI_Device!$B$2:$E$102,3,FALSE),0)</f>
        <v>0</v>
      </c>
      <c r="N1222" s="27">
        <f t="shared" si="58"/>
        <v>0</v>
      </c>
      <c r="O1222" s="178">
        <f t="shared" si="59"/>
        <v>0</v>
      </c>
    </row>
    <row r="1223" spans="1:15" ht="12.75" hidden="1">
      <c r="A1223" s="25">
        <v>2904</v>
      </c>
      <c r="B1223" s="25" t="s">
        <v>69</v>
      </c>
      <c r="C1223" s="26" t="s">
        <v>72</v>
      </c>
      <c r="D1223" s="27">
        <v>76090000</v>
      </c>
      <c r="E1223" s="28" t="s">
        <v>195</v>
      </c>
      <c r="F1223" s="29" t="s">
        <v>196</v>
      </c>
      <c r="G1223" s="30">
        <v>0.75</v>
      </c>
      <c r="H1223" s="27" t="s">
        <v>137</v>
      </c>
      <c r="I1223" s="26" t="s">
        <v>138</v>
      </c>
      <c r="J1223" s="31">
        <v>6.7</v>
      </c>
      <c r="K1223" s="32">
        <f t="shared" si="57"/>
        <v>5.0250000000000004</v>
      </c>
      <c r="L1223" s="29" t="s">
        <v>196</v>
      </c>
      <c r="M1223" s="27">
        <f>IFERROR(VLOOKUP(C1223,Custo_MI_Device!$B$2:$E$102,3,FALSE),0)</f>
        <v>0</v>
      </c>
      <c r="N1223" s="27">
        <f t="shared" si="58"/>
        <v>0</v>
      </c>
      <c r="O1223" s="178">
        <f t="shared" si="59"/>
        <v>0</v>
      </c>
    </row>
    <row r="1224" spans="1:15" ht="12.75" hidden="1">
      <c r="A1224" s="25">
        <v>2911</v>
      </c>
      <c r="B1224" s="25" t="s">
        <v>69</v>
      </c>
      <c r="C1224" s="26" t="s">
        <v>72</v>
      </c>
      <c r="D1224" s="27">
        <v>76090000</v>
      </c>
      <c r="E1224" s="28" t="s">
        <v>197</v>
      </c>
      <c r="F1224" s="29" t="s">
        <v>198</v>
      </c>
      <c r="G1224" s="30">
        <v>0.75</v>
      </c>
      <c r="H1224" s="27" t="s">
        <v>137</v>
      </c>
      <c r="I1224" s="26" t="s">
        <v>138</v>
      </c>
      <c r="J1224" s="31">
        <v>6.7</v>
      </c>
      <c r="K1224" s="32">
        <f t="shared" si="57"/>
        <v>5.0250000000000004</v>
      </c>
      <c r="L1224" s="29" t="s">
        <v>198</v>
      </c>
      <c r="M1224" s="27">
        <f>IFERROR(VLOOKUP(C1224,Custo_MI_Device!$B$2:$E$102,3,FALSE),0)</f>
        <v>0</v>
      </c>
      <c r="N1224" s="27">
        <f t="shared" si="58"/>
        <v>0</v>
      </c>
      <c r="O1224" s="178">
        <f t="shared" si="59"/>
        <v>0</v>
      </c>
    </row>
    <row r="1225" spans="1:15" ht="12.75" hidden="1">
      <c r="A1225" s="25">
        <v>4823</v>
      </c>
      <c r="B1225" s="25" t="s">
        <v>69</v>
      </c>
      <c r="C1225" s="26" t="s">
        <v>72</v>
      </c>
      <c r="D1225" s="27">
        <v>76090000</v>
      </c>
      <c r="E1225" s="28" t="s">
        <v>199</v>
      </c>
      <c r="F1225" s="29" t="s">
        <v>200</v>
      </c>
      <c r="G1225" s="30">
        <v>0.75</v>
      </c>
      <c r="H1225" s="27" t="s">
        <v>137</v>
      </c>
      <c r="I1225" s="26" t="s">
        <v>138</v>
      </c>
      <c r="J1225" s="31">
        <v>6.7</v>
      </c>
      <c r="K1225" s="32">
        <f t="shared" si="57"/>
        <v>5.0250000000000004</v>
      </c>
      <c r="L1225" s="29" t="s">
        <v>200</v>
      </c>
      <c r="M1225" s="27">
        <f>IFERROR(VLOOKUP(C1225,Custo_MI_Device!$B$2:$E$102,3,FALSE),0)</f>
        <v>0</v>
      </c>
      <c r="N1225" s="27">
        <f t="shared" si="58"/>
        <v>0</v>
      </c>
      <c r="O1225" s="178">
        <f t="shared" si="59"/>
        <v>0</v>
      </c>
    </row>
    <row r="1226" spans="1:15" ht="25.5" hidden="1">
      <c r="A1226" s="25">
        <v>2909</v>
      </c>
      <c r="B1226" s="25" t="s">
        <v>69</v>
      </c>
      <c r="C1226" s="26" t="s">
        <v>72</v>
      </c>
      <c r="D1226" s="27">
        <v>73072200</v>
      </c>
      <c r="E1226" s="28" t="s">
        <v>216</v>
      </c>
      <c r="F1226" s="29" t="s">
        <v>217</v>
      </c>
      <c r="G1226" s="30">
        <v>3</v>
      </c>
      <c r="H1226" s="27" t="s">
        <v>137</v>
      </c>
      <c r="I1226" s="26" t="s">
        <v>218</v>
      </c>
      <c r="J1226" s="31">
        <v>27.7</v>
      </c>
      <c r="K1226" s="32">
        <f t="shared" si="57"/>
        <v>83.1</v>
      </c>
      <c r="L1226" s="29" t="s">
        <v>217</v>
      </c>
      <c r="M1226" s="27">
        <f>IFERROR(VLOOKUP(C1226,Custo_MI_Device!$B$2:$E$102,3,FALSE),0)</f>
        <v>0</v>
      </c>
      <c r="N1226" s="27">
        <f t="shared" si="58"/>
        <v>0</v>
      </c>
      <c r="O1226" s="178">
        <f t="shared" si="59"/>
        <v>0</v>
      </c>
    </row>
    <row r="1227" spans="1:15" ht="25.5" hidden="1">
      <c r="A1227" s="25">
        <v>2300</v>
      </c>
      <c r="B1227" s="25" t="s">
        <v>69</v>
      </c>
      <c r="C1227" s="26" t="s">
        <v>72</v>
      </c>
      <c r="D1227" s="27">
        <v>73072200</v>
      </c>
      <c r="E1227" s="28" t="s">
        <v>222</v>
      </c>
      <c r="F1227" s="29" t="s">
        <v>223</v>
      </c>
      <c r="G1227" s="30">
        <v>2</v>
      </c>
      <c r="H1227" s="27" t="s">
        <v>137</v>
      </c>
      <c r="I1227" s="26" t="s">
        <v>218</v>
      </c>
      <c r="J1227" s="31">
        <v>41</v>
      </c>
      <c r="K1227" s="32">
        <f t="shared" si="57"/>
        <v>82</v>
      </c>
      <c r="L1227" s="29" t="s">
        <v>223</v>
      </c>
      <c r="M1227" s="27">
        <f>IFERROR(VLOOKUP(C1227,Custo_MI_Device!$B$2:$E$102,3,FALSE),0)</f>
        <v>0</v>
      </c>
      <c r="N1227" s="27">
        <f t="shared" si="58"/>
        <v>0</v>
      </c>
      <c r="O1227" s="178">
        <f t="shared" si="59"/>
        <v>0</v>
      </c>
    </row>
    <row r="1228" spans="1:15" ht="25.5" hidden="1">
      <c r="A1228" s="25">
        <v>7163</v>
      </c>
      <c r="B1228" s="25" t="s">
        <v>69</v>
      </c>
      <c r="C1228" s="26" t="s">
        <v>72</v>
      </c>
      <c r="D1228" s="27">
        <v>73072200</v>
      </c>
      <c r="E1228" s="28" t="s">
        <v>224</v>
      </c>
      <c r="F1228" s="29">
        <v>0</v>
      </c>
      <c r="G1228" s="30">
        <v>2</v>
      </c>
      <c r="H1228" s="27" t="s">
        <v>137</v>
      </c>
      <c r="I1228" s="26" t="s">
        <v>220</v>
      </c>
      <c r="J1228" s="31">
        <v>58</v>
      </c>
      <c r="K1228" s="32">
        <f t="shared" si="57"/>
        <v>116</v>
      </c>
      <c r="L1228" s="29" t="s">
        <v>225</v>
      </c>
      <c r="M1228" s="27">
        <f>IFERROR(VLOOKUP(C1228,Custo_MI_Device!$B$2:$E$102,3,FALSE),0)</f>
        <v>0</v>
      </c>
      <c r="N1228" s="27">
        <f t="shared" si="58"/>
        <v>0</v>
      </c>
      <c r="O1228" s="178">
        <f t="shared" si="59"/>
        <v>0</v>
      </c>
    </row>
    <row r="1229" spans="1:15" ht="25.5" hidden="1">
      <c r="A1229" s="25">
        <v>4306</v>
      </c>
      <c r="B1229" s="25" t="s">
        <v>69</v>
      </c>
      <c r="C1229" s="26" t="s">
        <v>72</v>
      </c>
      <c r="D1229" s="27">
        <v>73063000</v>
      </c>
      <c r="E1229" s="28" t="s">
        <v>239</v>
      </c>
      <c r="F1229" s="29">
        <v>0</v>
      </c>
      <c r="G1229" s="30">
        <v>2</v>
      </c>
      <c r="H1229" s="27" t="s">
        <v>232</v>
      </c>
      <c r="I1229" s="26" t="s">
        <v>233</v>
      </c>
      <c r="J1229" s="31">
        <v>32</v>
      </c>
      <c r="K1229" s="32">
        <f t="shared" si="57"/>
        <v>64</v>
      </c>
      <c r="L1229" s="29" t="s">
        <v>240</v>
      </c>
      <c r="M1229" s="27">
        <f>IFERROR(VLOOKUP(C1229,Custo_MI_Device!$B$2:$E$102,3,FALSE),0)</f>
        <v>0</v>
      </c>
      <c r="N1229" s="27">
        <f t="shared" si="58"/>
        <v>0</v>
      </c>
      <c r="O1229" s="178">
        <f t="shared" si="59"/>
        <v>0</v>
      </c>
    </row>
    <row r="1230" spans="1:15" ht="12.75" hidden="1">
      <c r="A1230" s="25">
        <v>3274</v>
      </c>
      <c r="B1230" s="25" t="s">
        <v>69</v>
      </c>
      <c r="C1230" s="26" t="s">
        <v>72</v>
      </c>
      <c r="D1230" s="27">
        <v>73181500</v>
      </c>
      <c r="E1230" s="28" t="s">
        <v>265</v>
      </c>
      <c r="F1230" s="29" t="s">
        <v>266</v>
      </c>
      <c r="G1230" s="30">
        <v>24</v>
      </c>
      <c r="H1230" s="27" t="s">
        <v>137</v>
      </c>
      <c r="I1230" s="26" t="s">
        <v>256</v>
      </c>
      <c r="J1230" s="31">
        <v>0.06</v>
      </c>
      <c r="K1230" s="32">
        <f t="shared" si="57"/>
        <v>1.44</v>
      </c>
      <c r="L1230" s="29" t="s">
        <v>266</v>
      </c>
      <c r="M1230" s="27">
        <f>IFERROR(VLOOKUP(C1230,Custo_MI_Device!$B$2:$E$102,3,FALSE),0)</f>
        <v>0</v>
      </c>
      <c r="N1230" s="27">
        <f t="shared" si="58"/>
        <v>0</v>
      </c>
      <c r="O1230" s="178">
        <f t="shared" si="59"/>
        <v>0</v>
      </c>
    </row>
    <row r="1231" spans="1:15" ht="25.5" hidden="1">
      <c r="A1231" s="25">
        <v>1611</v>
      </c>
      <c r="B1231" s="25" t="s">
        <v>69</v>
      </c>
      <c r="C1231" s="26" t="s">
        <v>72</v>
      </c>
      <c r="D1231" s="27">
        <v>39174090</v>
      </c>
      <c r="E1231" s="28" t="s">
        <v>275</v>
      </c>
      <c r="F1231" s="29" t="s">
        <v>276</v>
      </c>
      <c r="G1231" s="30">
        <v>2</v>
      </c>
      <c r="H1231" s="27" t="s">
        <v>137</v>
      </c>
      <c r="I1231" s="26" t="s">
        <v>277</v>
      </c>
      <c r="J1231" s="31">
        <v>7.8</v>
      </c>
      <c r="K1231" s="32">
        <f t="shared" si="57"/>
        <v>15.6</v>
      </c>
      <c r="L1231" s="29" t="s">
        <v>276</v>
      </c>
      <c r="M1231" s="27">
        <f>IFERROR(VLOOKUP(C1231,Custo_MI_Device!$B$2:$E$102,3,FALSE),0)</f>
        <v>0</v>
      </c>
      <c r="N1231" s="27">
        <f t="shared" si="58"/>
        <v>0</v>
      </c>
      <c r="O1231" s="178">
        <f t="shared" si="59"/>
        <v>0</v>
      </c>
    </row>
    <row r="1232" spans="1:15" ht="12.75" hidden="1">
      <c r="A1232" s="25">
        <v>5081</v>
      </c>
      <c r="B1232" s="25" t="s">
        <v>69</v>
      </c>
      <c r="C1232" s="26" t="s">
        <v>72</v>
      </c>
      <c r="D1232" s="27">
        <v>73145000</v>
      </c>
      <c r="E1232" s="28" t="s">
        <v>278</v>
      </c>
      <c r="F1232" s="29">
        <v>0</v>
      </c>
      <c r="G1232" s="30">
        <v>1</v>
      </c>
      <c r="H1232" s="27" t="s">
        <v>137</v>
      </c>
      <c r="I1232" s="26" t="s">
        <v>279</v>
      </c>
      <c r="J1232" s="31">
        <v>23</v>
      </c>
      <c r="K1232" s="32">
        <f t="shared" si="57"/>
        <v>23</v>
      </c>
      <c r="L1232" s="29" t="s">
        <v>280</v>
      </c>
      <c r="M1232" s="27">
        <f>IFERROR(VLOOKUP(C1232,Custo_MI_Device!$B$2:$E$102,3,FALSE),0)</f>
        <v>0</v>
      </c>
      <c r="N1232" s="27">
        <f t="shared" si="58"/>
        <v>0</v>
      </c>
      <c r="O1232" s="178">
        <f t="shared" si="59"/>
        <v>0</v>
      </c>
    </row>
    <row r="1233" spans="1:15" ht="25.5" hidden="1">
      <c r="A1233" s="25">
        <v>2973</v>
      </c>
      <c r="B1233" s="25" t="s">
        <v>69</v>
      </c>
      <c r="C1233" s="26" t="s">
        <v>72</v>
      </c>
      <c r="D1233" s="27">
        <v>73072200</v>
      </c>
      <c r="E1233" s="28" t="s">
        <v>281</v>
      </c>
      <c r="F1233" s="29" t="s">
        <v>282</v>
      </c>
      <c r="G1233" s="30">
        <v>1</v>
      </c>
      <c r="H1233" s="27" t="s">
        <v>137</v>
      </c>
      <c r="I1233" s="26" t="s">
        <v>218</v>
      </c>
      <c r="J1233" s="31">
        <v>29</v>
      </c>
      <c r="K1233" s="32">
        <f t="shared" si="57"/>
        <v>29</v>
      </c>
      <c r="L1233" s="29" t="s">
        <v>282</v>
      </c>
      <c r="M1233" s="27">
        <f>IFERROR(VLOOKUP(C1233,Custo_MI_Device!$B$2:$E$102,3,FALSE),0)</f>
        <v>0</v>
      </c>
      <c r="N1233" s="27">
        <f t="shared" si="58"/>
        <v>0</v>
      </c>
      <c r="O1233" s="178">
        <f t="shared" si="59"/>
        <v>0</v>
      </c>
    </row>
    <row r="1234" spans="1:15" ht="12.75" hidden="1">
      <c r="A1234" s="25">
        <v>5044</v>
      </c>
      <c r="B1234" s="25" t="s">
        <v>69</v>
      </c>
      <c r="C1234" s="26" t="s">
        <v>72</v>
      </c>
      <c r="D1234" s="27">
        <v>73071100</v>
      </c>
      <c r="E1234" s="28" t="s">
        <v>283</v>
      </c>
      <c r="F1234" s="29">
        <v>300</v>
      </c>
      <c r="G1234" s="30">
        <v>1</v>
      </c>
      <c r="H1234" s="27"/>
      <c r="I1234" s="26" t="s">
        <v>152</v>
      </c>
      <c r="J1234" s="31">
        <v>7</v>
      </c>
      <c r="K1234" s="32">
        <f t="shared" si="57"/>
        <v>7</v>
      </c>
      <c r="L1234" s="29">
        <v>300</v>
      </c>
      <c r="M1234" s="27">
        <f>IFERROR(VLOOKUP(C1234,Custo_MI_Device!$B$2:$E$102,3,FALSE),0)</f>
        <v>0</v>
      </c>
      <c r="N1234" s="27">
        <f t="shared" si="58"/>
        <v>0</v>
      </c>
      <c r="O1234" s="178">
        <f t="shared" si="59"/>
        <v>0</v>
      </c>
    </row>
    <row r="1235" spans="1:15" ht="12.75" hidden="1">
      <c r="A1235" s="25">
        <v>3345</v>
      </c>
      <c r="B1235" s="25" t="s">
        <v>69</v>
      </c>
      <c r="C1235" s="26" t="s">
        <v>72</v>
      </c>
      <c r="D1235" s="27">
        <v>73071100</v>
      </c>
      <c r="E1235" s="28" t="s">
        <v>285</v>
      </c>
      <c r="F1235" s="29" t="s">
        <v>286</v>
      </c>
      <c r="G1235" s="30">
        <v>1</v>
      </c>
      <c r="H1235" s="27" t="s">
        <v>137</v>
      </c>
      <c r="I1235" s="26" t="s">
        <v>152</v>
      </c>
      <c r="J1235" s="31">
        <v>35</v>
      </c>
      <c r="K1235" s="32">
        <f t="shared" si="57"/>
        <v>35</v>
      </c>
      <c r="L1235" s="29" t="s">
        <v>286</v>
      </c>
      <c r="M1235" s="27">
        <f>IFERROR(VLOOKUP(C1235,Custo_MI_Device!$B$2:$E$102,3,FALSE),0)</f>
        <v>0</v>
      </c>
      <c r="N1235" s="27">
        <f t="shared" si="58"/>
        <v>0</v>
      </c>
      <c r="O1235" s="178">
        <f t="shared" si="59"/>
        <v>0</v>
      </c>
    </row>
    <row r="1236" spans="1:15" ht="25.5" hidden="1">
      <c r="A1236" s="25">
        <v>5194</v>
      </c>
      <c r="B1236" s="25" t="s">
        <v>69</v>
      </c>
      <c r="C1236" s="26" t="s">
        <v>72</v>
      </c>
      <c r="D1236" s="27">
        <v>73041010</v>
      </c>
      <c r="E1236" s="28" t="s">
        <v>289</v>
      </c>
      <c r="F1236" s="29" t="s">
        <v>290</v>
      </c>
      <c r="G1236" s="30">
        <v>2</v>
      </c>
      <c r="H1236" s="27" t="s">
        <v>232</v>
      </c>
      <c r="I1236" s="26" t="s">
        <v>218</v>
      </c>
      <c r="J1236" s="31">
        <f>21.5*6</f>
        <v>129</v>
      </c>
      <c r="K1236" s="32">
        <f t="shared" si="57"/>
        <v>258</v>
      </c>
      <c r="L1236" s="29" t="s">
        <v>290</v>
      </c>
      <c r="M1236" s="27">
        <f>IFERROR(VLOOKUP(C1236,Custo_MI_Device!$B$2:$E$102,3,FALSE),0)</f>
        <v>0</v>
      </c>
      <c r="N1236" s="27">
        <f t="shared" si="58"/>
        <v>0</v>
      </c>
      <c r="O1236" s="178">
        <f t="shared" si="59"/>
        <v>0</v>
      </c>
    </row>
    <row r="1237" spans="1:15" ht="25.5" hidden="1">
      <c r="A1237" s="25">
        <v>2567</v>
      </c>
      <c r="B1237" s="25" t="s">
        <v>69</v>
      </c>
      <c r="C1237" s="26" t="s">
        <v>72</v>
      </c>
      <c r="D1237" s="27">
        <v>84818095</v>
      </c>
      <c r="E1237" s="28" t="s">
        <v>303</v>
      </c>
      <c r="F1237" s="29">
        <v>0</v>
      </c>
      <c r="G1237" s="30">
        <v>1</v>
      </c>
      <c r="H1237" s="27" t="s">
        <v>137</v>
      </c>
      <c r="I1237" s="26" t="s">
        <v>304</v>
      </c>
      <c r="J1237" s="31">
        <v>27</v>
      </c>
      <c r="K1237" s="32">
        <f t="shared" si="57"/>
        <v>27</v>
      </c>
      <c r="L1237" s="29" t="s">
        <v>305</v>
      </c>
      <c r="M1237" s="27">
        <f>IFERROR(VLOOKUP(C1237,Custo_MI_Device!$B$2:$E$102,3,FALSE),0)</f>
        <v>0</v>
      </c>
      <c r="N1237" s="27">
        <f t="shared" si="58"/>
        <v>0</v>
      </c>
      <c r="O1237" s="178">
        <f t="shared" si="59"/>
        <v>0</v>
      </c>
    </row>
    <row r="1238" spans="1:15" ht="12.75" hidden="1">
      <c r="A1238" s="25">
        <v>2534</v>
      </c>
      <c r="B1238" s="25" t="s">
        <v>69</v>
      </c>
      <c r="C1238" s="26" t="s">
        <v>73</v>
      </c>
      <c r="D1238" s="27">
        <v>73072900</v>
      </c>
      <c r="E1238" s="28" t="s">
        <v>314</v>
      </c>
      <c r="F1238" s="29" t="s">
        <v>315</v>
      </c>
      <c r="G1238" s="30">
        <v>12</v>
      </c>
      <c r="H1238" s="27" t="s">
        <v>137</v>
      </c>
      <c r="I1238" s="26" t="s">
        <v>256</v>
      </c>
      <c r="J1238" s="31">
        <v>1.2</v>
      </c>
      <c r="K1238" s="32">
        <f t="shared" si="57"/>
        <v>14.399999999999999</v>
      </c>
      <c r="L1238" s="29" t="s">
        <v>315</v>
      </c>
      <c r="M1238" s="27">
        <f>IFERROR(VLOOKUP(C1238,Custo_MI_Device!$B$2:$E$102,3,FALSE),0)</f>
        <v>0</v>
      </c>
      <c r="N1238" s="27">
        <f t="shared" si="58"/>
        <v>0</v>
      </c>
      <c r="O1238" s="178">
        <f t="shared" si="59"/>
        <v>0</v>
      </c>
    </row>
    <row r="1239" spans="1:15" ht="12.75" hidden="1">
      <c r="A1239" s="25">
        <v>1669</v>
      </c>
      <c r="B1239" s="25" t="s">
        <v>69</v>
      </c>
      <c r="C1239" s="26" t="s">
        <v>73</v>
      </c>
      <c r="D1239" s="27">
        <v>39269090</v>
      </c>
      <c r="E1239" s="28" t="s">
        <v>316</v>
      </c>
      <c r="F1239" s="29" t="s">
        <v>317</v>
      </c>
      <c r="G1239" s="30">
        <v>3</v>
      </c>
      <c r="H1239" s="27" t="s">
        <v>137</v>
      </c>
      <c r="I1239" s="26" t="s">
        <v>318</v>
      </c>
      <c r="J1239" s="31">
        <v>0.04</v>
      </c>
      <c r="K1239" s="32">
        <f t="shared" si="57"/>
        <v>0.12</v>
      </c>
      <c r="L1239" s="29" t="s">
        <v>317</v>
      </c>
      <c r="M1239" s="27">
        <f>IFERROR(VLOOKUP(C1239,Custo_MI_Device!$B$2:$E$102,3,FALSE),0)</f>
        <v>0</v>
      </c>
      <c r="N1239" s="27">
        <f t="shared" si="58"/>
        <v>0</v>
      </c>
      <c r="O1239" s="178">
        <f t="shared" si="59"/>
        <v>0</v>
      </c>
    </row>
    <row r="1240" spans="1:15" ht="12.75" hidden="1">
      <c r="A1240" s="25">
        <v>5091</v>
      </c>
      <c r="B1240" s="25" t="s">
        <v>69</v>
      </c>
      <c r="C1240" s="26" t="s">
        <v>73</v>
      </c>
      <c r="D1240" s="27">
        <v>73181500</v>
      </c>
      <c r="E1240" s="28" t="s">
        <v>323</v>
      </c>
      <c r="F1240" s="29" t="s">
        <v>324</v>
      </c>
      <c r="G1240" s="30">
        <v>24</v>
      </c>
      <c r="H1240" s="27" t="s">
        <v>137</v>
      </c>
      <c r="I1240" s="26" t="s">
        <v>256</v>
      </c>
      <c r="J1240" s="31">
        <v>0.04</v>
      </c>
      <c r="K1240" s="32">
        <f t="shared" si="57"/>
        <v>0.96</v>
      </c>
      <c r="L1240" s="29" t="s">
        <v>324</v>
      </c>
      <c r="M1240" s="27">
        <f>IFERROR(VLOOKUP(C1240,Custo_MI_Device!$B$2:$E$102,3,FALSE),0)</f>
        <v>0</v>
      </c>
      <c r="N1240" s="27">
        <f t="shared" si="58"/>
        <v>0</v>
      </c>
      <c r="O1240" s="178">
        <f t="shared" si="59"/>
        <v>0</v>
      </c>
    </row>
    <row r="1241" spans="1:15" ht="12.75" hidden="1">
      <c r="A1241" s="25">
        <v>1303</v>
      </c>
      <c r="B1241" s="25" t="s">
        <v>69</v>
      </c>
      <c r="C1241" s="26" t="s">
        <v>73</v>
      </c>
      <c r="D1241" s="27">
        <v>73071910</v>
      </c>
      <c r="E1241" s="28" t="s">
        <v>151</v>
      </c>
      <c r="F1241" s="29">
        <v>241</v>
      </c>
      <c r="G1241" s="30">
        <v>1</v>
      </c>
      <c r="H1241" s="27" t="s">
        <v>137</v>
      </c>
      <c r="I1241" s="26" t="s">
        <v>152</v>
      </c>
      <c r="J1241" s="31">
        <v>15</v>
      </c>
      <c r="K1241" s="32">
        <f t="shared" si="57"/>
        <v>15</v>
      </c>
      <c r="L1241" s="29">
        <v>241</v>
      </c>
      <c r="M1241" s="27">
        <f>IFERROR(VLOOKUP(C1241,Custo_MI_Device!$B$2:$E$102,3,FALSE),0)</f>
        <v>0</v>
      </c>
      <c r="N1241" s="27">
        <f t="shared" si="58"/>
        <v>0</v>
      </c>
      <c r="O1241" s="178">
        <f t="shared" si="59"/>
        <v>0</v>
      </c>
    </row>
    <row r="1242" spans="1:15" ht="12.75" hidden="1">
      <c r="A1242" s="25">
        <v>1117</v>
      </c>
      <c r="B1242" s="25" t="s">
        <v>69</v>
      </c>
      <c r="C1242" s="26" t="s">
        <v>73</v>
      </c>
      <c r="D1242" s="27"/>
      <c r="E1242" s="28" t="s">
        <v>145</v>
      </c>
      <c r="F1242" s="29" t="s">
        <v>146</v>
      </c>
      <c r="G1242" s="30">
        <v>1</v>
      </c>
      <c r="H1242" s="27" t="s">
        <v>137</v>
      </c>
      <c r="I1242" s="26" t="s">
        <v>138</v>
      </c>
      <c r="J1242" s="31">
        <v>1.95</v>
      </c>
      <c r="K1242" s="32">
        <f t="shared" si="57"/>
        <v>1.95</v>
      </c>
      <c r="L1242" s="29" t="s">
        <v>146</v>
      </c>
      <c r="M1242" s="27">
        <f>IFERROR(VLOOKUP(C1242,Custo_MI_Device!$B$2:$E$102,3,FALSE),0)</f>
        <v>0</v>
      </c>
      <c r="N1242" s="27">
        <f t="shared" si="58"/>
        <v>0</v>
      </c>
      <c r="O1242" s="178">
        <f t="shared" si="59"/>
        <v>0</v>
      </c>
    </row>
    <row r="1243" spans="1:15" ht="12.75" hidden="1">
      <c r="A1243" s="25">
        <v>3080</v>
      </c>
      <c r="B1243" s="25" t="s">
        <v>69</v>
      </c>
      <c r="C1243" s="26" t="s">
        <v>73</v>
      </c>
      <c r="D1243" s="27">
        <v>74122000</v>
      </c>
      <c r="E1243" s="28" t="s">
        <v>153</v>
      </c>
      <c r="F1243" s="29" t="s">
        <v>154</v>
      </c>
      <c r="G1243" s="30">
        <v>1</v>
      </c>
      <c r="H1243" s="27" t="s">
        <v>137</v>
      </c>
      <c r="I1243" s="26" t="s">
        <v>155</v>
      </c>
      <c r="J1243" s="31">
        <v>3.3</v>
      </c>
      <c r="K1243" s="32">
        <f t="shared" si="57"/>
        <v>3.3</v>
      </c>
      <c r="L1243" s="29" t="s">
        <v>154</v>
      </c>
      <c r="M1243" s="27">
        <f>IFERROR(VLOOKUP(C1243,Custo_MI_Device!$B$2:$E$102,3,FALSE),0)</f>
        <v>0</v>
      </c>
      <c r="N1243" s="27">
        <f t="shared" si="58"/>
        <v>0</v>
      </c>
      <c r="O1243" s="178">
        <f t="shared" si="59"/>
        <v>0</v>
      </c>
    </row>
    <row r="1244" spans="1:15" ht="12.75" hidden="1">
      <c r="A1244" s="25">
        <v>185</v>
      </c>
      <c r="B1244" s="25" t="s">
        <v>69</v>
      </c>
      <c r="C1244" s="26" t="s">
        <v>73</v>
      </c>
      <c r="D1244" s="27">
        <v>73071910</v>
      </c>
      <c r="E1244" s="28" t="s">
        <v>156</v>
      </c>
      <c r="F1244" s="29">
        <v>290</v>
      </c>
      <c r="G1244" s="30">
        <v>1</v>
      </c>
      <c r="H1244" s="27" t="s">
        <v>137</v>
      </c>
      <c r="I1244" s="26" t="s">
        <v>152</v>
      </c>
      <c r="J1244" s="31">
        <v>1.97</v>
      </c>
      <c r="K1244" s="32">
        <f t="shared" si="57"/>
        <v>1.97</v>
      </c>
      <c r="L1244" s="29">
        <v>290</v>
      </c>
      <c r="M1244" s="27">
        <f>IFERROR(VLOOKUP(C1244,Custo_MI_Device!$B$2:$E$102,3,FALSE),0)</f>
        <v>0</v>
      </c>
      <c r="N1244" s="27">
        <f t="shared" si="58"/>
        <v>0</v>
      </c>
      <c r="O1244" s="178">
        <f t="shared" si="59"/>
        <v>0</v>
      </c>
    </row>
    <row r="1245" spans="1:15" ht="25.5" hidden="1">
      <c r="A1245" s="25">
        <v>5139</v>
      </c>
      <c r="B1245" s="25" t="s">
        <v>69</v>
      </c>
      <c r="C1245" s="26" t="s">
        <v>73</v>
      </c>
      <c r="D1245" s="27">
        <v>85444900</v>
      </c>
      <c r="E1245" s="28" t="s">
        <v>170</v>
      </c>
      <c r="F1245" s="29" t="s">
        <v>171</v>
      </c>
      <c r="G1245" s="30">
        <v>15</v>
      </c>
      <c r="H1245" s="27" t="s">
        <v>158</v>
      </c>
      <c r="I1245" s="26" t="s">
        <v>172</v>
      </c>
      <c r="J1245" s="31">
        <v>7.5</v>
      </c>
      <c r="K1245" s="32">
        <f t="shared" si="57"/>
        <v>112.5</v>
      </c>
      <c r="L1245" s="29" t="s">
        <v>173</v>
      </c>
      <c r="M1245" s="27">
        <f>IFERROR(VLOOKUP(C1245,Custo_MI_Device!$B$2:$E$102,3,FALSE),0)</f>
        <v>0</v>
      </c>
      <c r="N1245" s="27">
        <f t="shared" si="58"/>
        <v>0</v>
      </c>
      <c r="O1245" s="178">
        <f t="shared" si="59"/>
        <v>0</v>
      </c>
    </row>
    <row r="1246" spans="1:15" ht="12.75" hidden="1">
      <c r="A1246" s="25">
        <v>2805</v>
      </c>
      <c r="B1246" s="25" t="s">
        <v>69</v>
      </c>
      <c r="C1246" s="26" t="s">
        <v>73</v>
      </c>
      <c r="D1246" s="27">
        <v>72162100</v>
      </c>
      <c r="E1246" s="28" t="s">
        <v>174</v>
      </c>
      <c r="F1246" s="29">
        <v>0</v>
      </c>
      <c r="G1246" s="30">
        <v>2.9</v>
      </c>
      <c r="H1246" s="27" t="s">
        <v>175</v>
      </c>
      <c r="I1246" s="26" t="s">
        <v>176</v>
      </c>
      <c r="J1246" s="31">
        <v>4.22</v>
      </c>
      <c r="K1246" s="32">
        <f t="shared" si="57"/>
        <v>12.238</v>
      </c>
      <c r="L1246" s="29" t="s">
        <v>177</v>
      </c>
      <c r="M1246" s="27">
        <f>IFERROR(VLOOKUP(C1246,Custo_MI_Device!$B$2:$E$102,3,FALSE),0)</f>
        <v>0</v>
      </c>
      <c r="N1246" s="27">
        <f t="shared" si="58"/>
        <v>0</v>
      </c>
      <c r="O1246" s="178">
        <f t="shared" si="59"/>
        <v>0</v>
      </c>
    </row>
    <row r="1247" spans="1:15" ht="12.75" hidden="1">
      <c r="A1247" s="25">
        <v>2904</v>
      </c>
      <c r="B1247" s="25" t="s">
        <v>69</v>
      </c>
      <c r="C1247" s="26" t="s">
        <v>73</v>
      </c>
      <c r="D1247" s="27">
        <v>76090000</v>
      </c>
      <c r="E1247" s="28" t="s">
        <v>195</v>
      </c>
      <c r="F1247" s="29" t="s">
        <v>196</v>
      </c>
      <c r="G1247" s="30">
        <v>0.75</v>
      </c>
      <c r="H1247" s="27" t="s">
        <v>137</v>
      </c>
      <c r="I1247" s="26" t="s">
        <v>138</v>
      </c>
      <c r="J1247" s="31">
        <v>6.7</v>
      </c>
      <c r="K1247" s="32">
        <f t="shared" si="57"/>
        <v>5.0250000000000004</v>
      </c>
      <c r="L1247" s="29" t="s">
        <v>196</v>
      </c>
      <c r="M1247" s="27">
        <f>IFERROR(VLOOKUP(C1247,Custo_MI_Device!$B$2:$E$102,3,FALSE),0)</f>
        <v>0</v>
      </c>
      <c r="N1247" s="27">
        <f t="shared" si="58"/>
        <v>0</v>
      </c>
      <c r="O1247" s="178">
        <f t="shared" si="59"/>
        <v>0</v>
      </c>
    </row>
    <row r="1248" spans="1:15" ht="12.75" hidden="1">
      <c r="A1248" s="25">
        <v>2911</v>
      </c>
      <c r="B1248" s="25" t="s">
        <v>69</v>
      </c>
      <c r="C1248" s="26" t="s">
        <v>73</v>
      </c>
      <c r="D1248" s="27">
        <v>76090000</v>
      </c>
      <c r="E1248" s="28" t="s">
        <v>197</v>
      </c>
      <c r="F1248" s="29" t="s">
        <v>198</v>
      </c>
      <c r="G1248" s="30">
        <v>0.75</v>
      </c>
      <c r="H1248" s="27" t="s">
        <v>137</v>
      </c>
      <c r="I1248" s="26" t="s">
        <v>138</v>
      </c>
      <c r="J1248" s="31">
        <v>6.7</v>
      </c>
      <c r="K1248" s="32">
        <f t="shared" si="57"/>
        <v>5.0250000000000004</v>
      </c>
      <c r="L1248" s="29" t="s">
        <v>198</v>
      </c>
      <c r="M1248" s="27">
        <f>IFERROR(VLOOKUP(C1248,Custo_MI_Device!$B$2:$E$102,3,FALSE),0)</f>
        <v>0</v>
      </c>
      <c r="N1248" s="27">
        <f t="shared" si="58"/>
        <v>0</v>
      </c>
      <c r="O1248" s="178">
        <f t="shared" si="59"/>
        <v>0</v>
      </c>
    </row>
    <row r="1249" spans="1:15" ht="12.75" hidden="1">
      <c r="A1249" s="25">
        <v>4823</v>
      </c>
      <c r="B1249" s="25" t="s">
        <v>69</v>
      </c>
      <c r="C1249" s="26" t="s">
        <v>73</v>
      </c>
      <c r="D1249" s="27">
        <v>76090000</v>
      </c>
      <c r="E1249" s="28" t="s">
        <v>199</v>
      </c>
      <c r="F1249" s="29" t="s">
        <v>200</v>
      </c>
      <c r="G1249" s="30">
        <v>0.75</v>
      </c>
      <c r="H1249" s="27" t="s">
        <v>137</v>
      </c>
      <c r="I1249" s="26" t="s">
        <v>138</v>
      </c>
      <c r="J1249" s="31">
        <v>6.7</v>
      </c>
      <c r="K1249" s="32">
        <f t="shared" si="57"/>
        <v>5.0250000000000004</v>
      </c>
      <c r="L1249" s="29" t="s">
        <v>200</v>
      </c>
      <c r="M1249" s="27">
        <f>IFERROR(VLOOKUP(C1249,Custo_MI_Device!$B$2:$E$102,3,FALSE),0)</f>
        <v>0</v>
      </c>
      <c r="N1249" s="27">
        <f t="shared" si="58"/>
        <v>0</v>
      </c>
      <c r="O1249" s="178">
        <f t="shared" si="59"/>
        <v>0</v>
      </c>
    </row>
    <row r="1250" spans="1:15" ht="25.5" hidden="1">
      <c r="A1250" s="25">
        <v>2909</v>
      </c>
      <c r="B1250" s="25" t="s">
        <v>69</v>
      </c>
      <c r="C1250" s="26" t="s">
        <v>73</v>
      </c>
      <c r="D1250" s="27">
        <v>73072200</v>
      </c>
      <c r="E1250" s="28" t="s">
        <v>216</v>
      </c>
      <c r="F1250" s="29" t="s">
        <v>217</v>
      </c>
      <c r="G1250" s="30">
        <v>3</v>
      </c>
      <c r="H1250" s="27" t="s">
        <v>137</v>
      </c>
      <c r="I1250" s="26" t="s">
        <v>218</v>
      </c>
      <c r="J1250" s="31">
        <v>27.7</v>
      </c>
      <c r="K1250" s="32">
        <f t="shared" si="57"/>
        <v>83.1</v>
      </c>
      <c r="L1250" s="29" t="s">
        <v>217</v>
      </c>
      <c r="M1250" s="27">
        <f>IFERROR(VLOOKUP(C1250,Custo_MI_Device!$B$2:$E$102,3,FALSE),0)</f>
        <v>0</v>
      </c>
      <c r="N1250" s="27">
        <f t="shared" si="58"/>
        <v>0</v>
      </c>
      <c r="O1250" s="178">
        <f t="shared" si="59"/>
        <v>0</v>
      </c>
    </row>
    <row r="1251" spans="1:15" ht="25.5" hidden="1">
      <c r="A1251" s="25">
        <v>2300</v>
      </c>
      <c r="B1251" s="25" t="s">
        <v>69</v>
      </c>
      <c r="C1251" s="26" t="s">
        <v>73</v>
      </c>
      <c r="D1251" s="27">
        <v>73072200</v>
      </c>
      <c r="E1251" s="28" t="s">
        <v>222</v>
      </c>
      <c r="F1251" s="29" t="s">
        <v>223</v>
      </c>
      <c r="G1251" s="30">
        <v>2</v>
      </c>
      <c r="H1251" s="27" t="s">
        <v>137</v>
      </c>
      <c r="I1251" s="26" t="s">
        <v>218</v>
      </c>
      <c r="J1251" s="31">
        <v>41</v>
      </c>
      <c r="K1251" s="32">
        <f t="shared" si="57"/>
        <v>82</v>
      </c>
      <c r="L1251" s="29" t="s">
        <v>223</v>
      </c>
      <c r="M1251" s="27">
        <f>IFERROR(VLOOKUP(C1251,Custo_MI_Device!$B$2:$E$102,3,FALSE),0)</f>
        <v>0</v>
      </c>
      <c r="N1251" s="27">
        <f t="shared" si="58"/>
        <v>0</v>
      </c>
      <c r="O1251" s="178">
        <f t="shared" si="59"/>
        <v>0</v>
      </c>
    </row>
    <row r="1252" spans="1:15" ht="25.5" hidden="1">
      <c r="A1252" s="25">
        <v>7163</v>
      </c>
      <c r="B1252" s="25" t="s">
        <v>69</v>
      </c>
      <c r="C1252" s="26" t="s">
        <v>73</v>
      </c>
      <c r="D1252" s="27">
        <v>73072200</v>
      </c>
      <c r="E1252" s="28" t="s">
        <v>224</v>
      </c>
      <c r="F1252" s="29">
        <v>0</v>
      </c>
      <c r="G1252" s="30">
        <v>2</v>
      </c>
      <c r="H1252" s="27" t="s">
        <v>137</v>
      </c>
      <c r="I1252" s="26" t="s">
        <v>220</v>
      </c>
      <c r="J1252" s="31">
        <v>58</v>
      </c>
      <c r="K1252" s="32">
        <f t="shared" si="57"/>
        <v>116</v>
      </c>
      <c r="L1252" s="29" t="s">
        <v>225</v>
      </c>
      <c r="M1252" s="27">
        <f>IFERROR(VLOOKUP(C1252,Custo_MI_Device!$B$2:$E$102,3,FALSE),0)</f>
        <v>0</v>
      </c>
      <c r="N1252" s="27">
        <f t="shared" si="58"/>
        <v>0</v>
      </c>
      <c r="O1252" s="178">
        <f t="shared" si="59"/>
        <v>0</v>
      </c>
    </row>
    <row r="1253" spans="1:15" ht="25.5" hidden="1">
      <c r="A1253" s="25">
        <v>4306</v>
      </c>
      <c r="B1253" s="25" t="s">
        <v>69</v>
      </c>
      <c r="C1253" s="26" t="s">
        <v>73</v>
      </c>
      <c r="D1253" s="27">
        <v>73063000</v>
      </c>
      <c r="E1253" s="28" t="s">
        <v>239</v>
      </c>
      <c r="F1253" s="29">
        <v>0</v>
      </c>
      <c r="G1253" s="30">
        <v>2</v>
      </c>
      <c r="H1253" s="27" t="s">
        <v>232</v>
      </c>
      <c r="I1253" s="26" t="s">
        <v>233</v>
      </c>
      <c r="J1253" s="31">
        <v>32</v>
      </c>
      <c r="K1253" s="32">
        <f t="shared" si="57"/>
        <v>64</v>
      </c>
      <c r="L1253" s="29" t="s">
        <v>240</v>
      </c>
      <c r="M1253" s="27">
        <f>IFERROR(VLOOKUP(C1253,Custo_MI_Device!$B$2:$E$102,3,FALSE),0)</f>
        <v>0</v>
      </c>
      <c r="N1253" s="27">
        <f t="shared" si="58"/>
        <v>0</v>
      </c>
      <c r="O1253" s="178">
        <f t="shared" si="59"/>
        <v>0</v>
      </c>
    </row>
    <row r="1254" spans="1:15" ht="12.75" hidden="1">
      <c r="A1254" s="25">
        <v>3274</v>
      </c>
      <c r="B1254" s="25" t="s">
        <v>69</v>
      </c>
      <c r="C1254" s="26" t="s">
        <v>73</v>
      </c>
      <c r="D1254" s="27">
        <v>73181500</v>
      </c>
      <c r="E1254" s="28" t="s">
        <v>265</v>
      </c>
      <c r="F1254" s="29" t="s">
        <v>266</v>
      </c>
      <c r="G1254" s="30">
        <v>24</v>
      </c>
      <c r="H1254" s="27" t="s">
        <v>137</v>
      </c>
      <c r="I1254" s="26" t="s">
        <v>256</v>
      </c>
      <c r="J1254" s="31">
        <v>0.06</v>
      </c>
      <c r="K1254" s="32">
        <f t="shared" si="57"/>
        <v>1.44</v>
      </c>
      <c r="L1254" s="29" t="s">
        <v>266</v>
      </c>
      <c r="M1254" s="27">
        <f>IFERROR(VLOOKUP(C1254,Custo_MI_Device!$B$2:$E$102,3,FALSE),0)</f>
        <v>0</v>
      </c>
      <c r="N1254" s="27">
        <f t="shared" si="58"/>
        <v>0</v>
      </c>
      <c r="O1254" s="178">
        <f t="shared" si="59"/>
        <v>0</v>
      </c>
    </row>
    <row r="1255" spans="1:15" ht="25.5" hidden="1">
      <c r="A1255" s="25">
        <v>1611</v>
      </c>
      <c r="B1255" s="25" t="s">
        <v>69</v>
      </c>
      <c r="C1255" s="26" t="s">
        <v>73</v>
      </c>
      <c r="D1255" s="27">
        <v>39174090</v>
      </c>
      <c r="E1255" s="28" t="s">
        <v>275</v>
      </c>
      <c r="F1255" s="29" t="s">
        <v>276</v>
      </c>
      <c r="G1255" s="30">
        <v>2</v>
      </c>
      <c r="H1255" s="27" t="s">
        <v>137</v>
      </c>
      <c r="I1255" s="26" t="s">
        <v>277</v>
      </c>
      <c r="J1255" s="31">
        <v>7.8</v>
      </c>
      <c r="K1255" s="32">
        <f t="shared" si="57"/>
        <v>15.6</v>
      </c>
      <c r="L1255" s="29" t="s">
        <v>276</v>
      </c>
      <c r="M1255" s="27">
        <f>IFERROR(VLOOKUP(C1255,Custo_MI_Device!$B$2:$E$102,3,FALSE),0)</f>
        <v>0</v>
      </c>
      <c r="N1255" s="27">
        <f t="shared" si="58"/>
        <v>0</v>
      </c>
      <c r="O1255" s="178">
        <f t="shared" si="59"/>
        <v>0</v>
      </c>
    </row>
    <row r="1256" spans="1:15" ht="12.75" hidden="1">
      <c r="A1256" s="25">
        <v>5081</v>
      </c>
      <c r="B1256" s="25" t="s">
        <v>69</v>
      </c>
      <c r="C1256" s="26" t="s">
        <v>73</v>
      </c>
      <c r="D1256" s="27">
        <v>73145000</v>
      </c>
      <c r="E1256" s="28" t="s">
        <v>278</v>
      </c>
      <c r="F1256" s="29">
        <v>0</v>
      </c>
      <c r="G1256" s="30">
        <v>1</v>
      </c>
      <c r="H1256" s="27" t="s">
        <v>137</v>
      </c>
      <c r="I1256" s="26" t="s">
        <v>279</v>
      </c>
      <c r="J1256" s="31">
        <v>23</v>
      </c>
      <c r="K1256" s="32">
        <f t="shared" si="57"/>
        <v>23</v>
      </c>
      <c r="L1256" s="29" t="s">
        <v>280</v>
      </c>
      <c r="M1256" s="27">
        <f>IFERROR(VLOOKUP(C1256,Custo_MI_Device!$B$2:$E$102,3,FALSE),0)</f>
        <v>0</v>
      </c>
      <c r="N1256" s="27">
        <f t="shared" si="58"/>
        <v>0</v>
      </c>
      <c r="O1256" s="178">
        <f t="shared" si="59"/>
        <v>0</v>
      </c>
    </row>
    <row r="1257" spans="1:15" ht="25.5" hidden="1">
      <c r="A1257" s="25">
        <v>2973</v>
      </c>
      <c r="B1257" s="25" t="s">
        <v>69</v>
      </c>
      <c r="C1257" s="26" t="s">
        <v>73</v>
      </c>
      <c r="D1257" s="27">
        <v>73072200</v>
      </c>
      <c r="E1257" s="28" t="s">
        <v>281</v>
      </c>
      <c r="F1257" s="29" t="s">
        <v>282</v>
      </c>
      <c r="G1257" s="30">
        <v>1</v>
      </c>
      <c r="H1257" s="27" t="s">
        <v>137</v>
      </c>
      <c r="I1257" s="26" t="s">
        <v>218</v>
      </c>
      <c r="J1257" s="31">
        <v>29</v>
      </c>
      <c r="K1257" s="32">
        <f t="shared" si="57"/>
        <v>29</v>
      </c>
      <c r="L1257" s="29" t="s">
        <v>282</v>
      </c>
      <c r="M1257" s="27">
        <f>IFERROR(VLOOKUP(C1257,Custo_MI_Device!$B$2:$E$102,3,FALSE),0)</f>
        <v>0</v>
      </c>
      <c r="N1257" s="27">
        <f t="shared" si="58"/>
        <v>0</v>
      </c>
      <c r="O1257" s="178">
        <f t="shared" si="59"/>
        <v>0</v>
      </c>
    </row>
    <row r="1258" spans="1:15" ht="12.75" hidden="1">
      <c r="A1258" s="25">
        <v>5044</v>
      </c>
      <c r="B1258" s="25" t="s">
        <v>69</v>
      </c>
      <c r="C1258" s="26" t="s">
        <v>73</v>
      </c>
      <c r="D1258" s="27">
        <v>73071100</v>
      </c>
      <c r="E1258" s="28" t="s">
        <v>283</v>
      </c>
      <c r="F1258" s="29">
        <v>300</v>
      </c>
      <c r="G1258" s="30">
        <v>1</v>
      </c>
      <c r="H1258" s="27"/>
      <c r="I1258" s="26" t="s">
        <v>152</v>
      </c>
      <c r="J1258" s="31">
        <v>7</v>
      </c>
      <c r="K1258" s="32">
        <f t="shared" si="57"/>
        <v>7</v>
      </c>
      <c r="L1258" s="29">
        <v>300</v>
      </c>
      <c r="M1258" s="27">
        <f>IFERROR(VLOOKUP(C1258,Custo_MI_Device!$B$2:$E$102,3,FALSE),0)</f>
        <v>0</v>
      </c>
      <c r="N1258" s="27">
        <f t="shared" si="58"/>
        <v>0</v>
      </c>
      <c r="O1258" s="178">
        <f t="shared" si="59"/>
        <v>0</v>
      </c>
    </row>
    <row r="1259" spans="1:15" ht="12.75" hidden="1">
      <c r="A1259" s="25">
        <v>3345</v>
      </c>
      <c r="B1259" s="25" t="s">
        <v>69</v>
      </c>
      <c r="C1259" s="26" t="s">
        <v>73</v>
      </c>
      <c r="D1259" s="27">
        <v>73071100</v>
      </c>
      <c r="E1259" s="28" t="s">
        <v>285</v>
      </c>
      <c r="F1259" s="29" t="s">
        <v>286</v>
      </c>
      <c r="G1259" s="30">
        <v>1</v>
      </c>
      <c r="H1259" s="27" t="s">
        <v>137</v>
      </c>
      <c r="I1259" s="26" t="s">
        <v>152</v>
      </c>
      <c r="J1259" s="31">
        <v>35</v>
      </c>
      <c r="K1259" s="32">
        <f t="shared" si="57"/>
        <v>35</v>
      </c>
      <c r="L1259" s="29" t="s">
        <v>286</v>
      </c>
      <c r="M1259" s="27">
        <f>IFERROR(VLOOKUP(C1259,Custo_MI_Device!$B$2:$E$102,3,FALSE),0)</f>
        <v>0</v>
      </c>
      <c r="N1259" s="27">
        <f t="shared" si="58"/>
        <v>0</v>
      </c>
      <c r="O1259" s="178">
        <f t="shared" si="59"/>
        <v>0</v>
      </c>
    </row>
    <row r="1260" spans="1:15" ht="25.5" hidden="1">
      <c r="A1260" s="25">
        <v>5194</v>
      </c>
      <c r="B1260" s="25" t="s">
        <v>69</v>
      </c>
      <c r="C1260" s="26" t="s">
        <v>73</v>
      </c>
      <c r="D1260" s="27">
        <v>73041010</v>
      </c>
      <c r="E1260" s="28" t="s">
        <v>289</v>
      </c>
      <c r="F1260" s="29" t="s">
        <v>290</v>
      </c>
      <c r="G1260" s="30">
        <v>2</v>
      </c>
      <c r="H1260" s="27" t="s">
        <v>232</v>
      </c>
      <c r="I1260" s="26" t="s">
        <v>218</v>
      </c>
      <c r="J1260" s="31">
        <f>21.5*6</f>
        <v>129</v>
      </c>
      <c r="K1260" s="32">
        <f t="shared" si="57"/>
        <v>258</v>
      </c>
      <c r="L1260" s="29" t="s">
        <v>290</v>
      </c>
      <c r="M1260" s="27">
        <f>IFERROR(VLOOKUP(C1260,Custo_MI_Device!$B$2:$E$102,3,FALSE),0)</f>
        <v>0</v>
      </c>
      <c r="N1260" s="27">
        <f t="shared" si="58"/>
        <v>0</v>
      </c>
      <c r="O1260" s="178">
        <f t="shared" si="59"/>
        <v>0</v>
      </c>
    </row>
    <row r="1261" spans="1:15" ht="25.5" hidden="1">
      <c r="A1261" s="25">
        <v>2567</v>
      </c>
      <c r="B1261" s="25" t="s">
        <v>69</v>
      </c>
      <c r="C1261" s="26" t="s">
        <v>73</v>
      </c>
      <c r="D1261" s="27">
        <v>84818095</v>
      </c>
      <c r="E1261" s="28" t="s">
        <v>303</v>
      </c>
      <c r="F1261" s="29">
        <v>0</v>
      </c>
      <c r="G1261" s="30">
        <v>1</v>
      </c>
      <c r="H1261" s="27" t="s">
        <v>137</v>
      </c>
      <c r="I1261" s="26" t="s">
        <v>304</v>
      </c>
      <c r="J1261" s="31">
        <v>27</v>
      </c>
      <c r="K1261" s="32">
        <f t="shared" si="57"/>
        <v>27</v>
      </c>
      <c r="L1261" s="29" t="s">
        <v>305</v>
      </c>
      <c r="M1261" s="27">
        <f>IFERROR(VLOOKUP(C1261,Custo_MI_Device!$B$2:$E$102,3,FALSE),0)</f>
        <v>0</v>
      </c>
      <c r="N1261" s="27">
        <f t="shared" si="58"/>
        <v>0</v>
      </c>
      <c r="O1261" s="178">
        <f t="shared" si="59"/>
        <v>0</v>
      </c>
    </row>
    <row r="1262" spans="1:15" ht="12.75" hidden="1">
      <c r="A1262" s="25">
        <v>3778</v>
      </c>
      <c r="B1262" s="25" t="s">
        <v>69</v>
      </c>
      <c r="C1262" s="26" t="s">
        <v>74</v>
      </c>
      <c r="D1262" s="27">
        <v>73072900</v>
      </c>
      <c r="E1262" s="28" t="s">
        <v>310</v>
      </c>
      <c r="F1262" s="29" t="s">
        <v>311</v>
      </c>
      <c r="G1262" s="30">
        <v>12</v>
      </c>
      <c r="H1262" s="27" t="s">
        <v>137</v>
      </c>
      <c r="I1262" s="26" t="s">
        <v>256</v>
      </c>
      <c r="J1262" s="31">
        <v>0.65</v>
      </c>
      <c r="K1262" s="32">
        <f t="shared" si="57"/>
        <v>7.8000000000000007</v>
      </c>
      <c r="L1262" s="29" t="s">
        <v>311</v>
      </c>
      <c r="M1262" s="27">
        <f>IFERROR(VLOOKUP(C1262,Custo_MI_Device!$B$2:$E$102,3,FALSE),0)</f>
        <v>0</v>
      </c>
      <c r="N1262" s="27">
        <f t="shared" si="58"/>
        <v>0</v>
      </c>
      <c r="O1262" s="178">
        <f t="shared" si="59"/>
        <v>0</v>
      </c>
    </row>
    <row r="1263" spans="1:15" ht="12.75" hidden="1">
      <c r="A1263" s="25">
        <v>2534</v>
      </c>
      <c r="B1263" s="25" t="s">
        <v>69</v>
      </c>
      <c r="C1263" s="26" t="s">
        <v>74</v>
      </c>
      <c r="D1263" s="27">
        <v>73072900</v>
      </c>
      <c r="E1263" s="28" t="s">
        <v>314</v>
      </c>
      <c r="F1263" s="29" t="s">
        <v>315</v>
      </c>
      <c r="G1263" s="30">
        <v>12</v>
      </c>
      <c r="H1263" s="27" t="s">
        <v>137</v>
      </c>
      <c r="I1263" s="26" t="s">
        <v>256</v>
      </c>
      <c r="J1263" s="31">
        <v>1.2</v>
      </c>
      <c r="K1263" s="32">
        <f t="shared" si="57"/>
        <v>14.399999999999999</v>
      </c>
      <c r="L1263" s="29" t="s">
        <v>315</v>
      </c>
      <c r="M1263" s="27">
        <f>IFERROR(VLOOKUP(C1263,Custo_MI_Device!$B$2:$E$102,3,FALSE),0)</f>
        <v>0</v>
      </c>
      <c r="N1263" s="27">
        <f t="shared" si="58"/>
        <v>0</v>
      </c>
      <c r="O1263" s="178">
        <f t="shared" si="59"/>
        <v>0</v>
      </c>
    </row>
    <row r="1264" spans="1:15" ht="12.75" hidden="1">
      <c r="A1264" s="25">
        <v>1669</v>
      </c>
      <c r="B1264" s="25" t="s">
        <v>69</v>
      </c>
      <c r="C1264" s="26" t="s">
        <v>74</v>
      </c>
      <c r="D1264" s="27">
        <v>39269090</v>
      </c>
      <c r="E1264" s="28" t="s">
        <v>316</v>
      </c>
      <c r="F1264" s="29" t="s">
        <v>317</v>
      </c>
      <c r="G1264" s="30">
        <v>3</v>
      </c>
      <c r="H1264" s="27" t="s">
        <v>137</v>
      </c>
      <c r="I1264" s="26" t="s">
        <v>318</v>
      </c>
      <c r="J1264" s="31">
        <v>0.04</v>
      </c>
      <c r="K1264" s="32">
        <f t="shared" si="57"/>
        <v>0.12</v>
      </c>
      <c r="L1264" s="29" t="s">
        <v>317</v>
      </c>
      <c r="M1264" s="27">
        <f>IFERROR(VLOOKUP(C1264,Custo_MI_Device!$B$2:$E$102,3,FALSE),0)</f>
        <v>0</v>
      </c>
      <c r="N1264" s="27">
        <f t="shared" si="58"/>
        <v>0</v>
      </c>
      <c r="O1264" s="178">
        <f t="shared" si="59"/>
        <v>0</v>
      </c>
    </row>
    <row r="1265" spans="1:15" ht="12.75" hidden="1">
      <c r="A1265" s="25">
        <v>5091</v>
      </c>
      <c r="B1265" s="25" t="s">
        <v>69</v>
      </c>
      <c r="C1265" s="26" t="s">
        <v>74</v>
      </c>
      <c r="D1265" s="27">
        <v>73181500</v>
      </c>
      <c r="E1265" s="28" t="s">
        <v>323</v>
      </c>
      <c r="F1265" s="29" t="s">
        <v>324</v>
      </c>
      <c r="G1265" s="30">
        <v>24</v>
      </c>
      <c r="H1265" s="27" t="s">
        <v>137</v>
      </c>
      <c r="I1265" s="26" t="s">
        <v>256</v>
      </c>
      <c r="J1265" s="31">
        <v>0.04</v>
      </c>
      <c r="K1265" s="32">
        <f t="shared" si="57"/>
        <v>0.96</v>
      </c>
      <c r="L1265" s="29" t="s">
        <v>324</v>
      </c>
      <c r="M1265" s="27">
        <f>IFERROR(VLOOKUP(C1265,Custo_MI_Device!$B$2:$E$102,3,FALSE),0)</f>
        <v>0</v>
      </c>
      <c r="N1265" s="27">
        <f t="shared" si="58"/>
        <v>0</v>
      </c>
      <c r="O1265" s="178">
        <f t="shared" si="59"/>
        <v>0</v>
      </c>
    </row>
    <row r="1266" spans="1:15" ht="12.75" hidden="1">
      <c r="A1266" s="25">
        <v>1117</v>
      </c>
      <c r="B1266" s="25" t="s">
        <v>69</v>
      </c>
      <c r="C1266" s="26" t="s">
        <v>74</v>
      </c>
      <c r="D1266" s="27"/>
      <c r="E1266" s="28" t="s">
        <v>145</v>
      </c>
      <c r="F1266" s="29" t="s">
        <v>146</v>
      </c>
      <c r="G1266" s="30">
        <v>1</v>
      </c>
      <c r="H1266" s="27" t="s">
        <v>137</v>
      </c>
      <c r="I1266" s="26" t="s">
        <v>138</v>
      </c>
      <c r="J1266" s="31">
        <v>1.95</v>
      </c>
      <c r="K1266" s="32">
        <f t="shared" si="57"/>
        <v>1.95</v>
      </c>
      <c r="L1266" s="29" t="s">
        <v>146</v>
      </c>
      <c r="M1266" s="27">
        <f>IFERROR(VLOOKUP(C1266,Custo_MI_Device!$B$2:$E$102,3,FALSE),0)</f>
        <v>0</v>
      </c>
      <c r="N1266" s="27">
        <f t="shared" si="58"/>
        <v>0</v>
      </c>
      <c r="O1266" s="178">
        <f t="shared" si="59"/>
        <v>0</v>
      </c>
    </row>
    <row r="1267" spans="1:15" ht="12.75" hidden="1">
      <c r="A1267" s="25">
        <v>3080</v>
      </c>
      <c r="B1267" s="25" t="s">
        <v>69</v>
      </c>
      <c r="C1267" s="26" t="s">
        <v>74</v>
      </c>
      <c r="D1267" s="27">
        <v>74122000</v>
      </c>
      <c r="E1267" s="28" t="s">
        <v>153</v>
      </c>
      <c r="F1267" s="29" t="s">
        <v>154</v>
      </c>
      <c r="G1267" s="30">
        <v>1</v>
      </c>
      <c r="H1267" s="27" t="s">
        <v>137</v>
      </c>
      <c r="I1267" s="26" t="s">
        <v>155</v>
      </c>
      <c r="J1267" s="31">
        <v>3.3</v>
      </c>
      <c r="K1267" s="32">
        <f t="shared" si="57"/>
        <v>3.3</v>
      </c>
      <c r="L1267" s="29" t="s">
        <v>154</v>
      </c>
      <c r="M1267" s="27">
        <f>IFERROR(VLOOKUP(C1267,Custo_MI_Device!$B$2:$E$102,3,FALSE),0)</f>
        <v>0</v>
      </c>
      <c r="N1267" s="27">
        <f t="shared" si="58"/>
        <v>0</v>
      </c>
      <c r="O1267" s="178">
        <f t="shared" si="59"/>
        <v>0</v>
      </c>
    </row>
    <row r="1268" spans="1:15" ht="38.25" hidden="1">
      <c r="A1268" s="25">
        <v>3585</v>
      </c>
      <c r="B1268" s="25" t="s">
        <v>69</v>
      </c>
      <c r="C1268" s="26" t="s">
        <v>74</v>
      </c>
      <c r="D1268" s="27">
        <v>85444900</v>
      </c>
      <c r="E1268" s="28" t="s">
        <v>328</v>
      </c>
      <c r="F1268" s="29">
        <v>900400</v>
      </c>
      <c r="G1268" s="33">
        <v>0</v>
      </c>
      <c r="H1268" s="27" t="s">
        <v>158</v>
      </c>
      <c r="I1268" s="26" t="s">
        <v>164</v>
      </c>
      <c r="J1268" s="31">
        <v>1.7</v>
      </c>
      <c r="K1268" s="32">
        <f t="shared" si="57"/>
        <v>0</v>
      </c>
      <c r="L1268" s="29">
        <v>900400</v>
      </c>
      <c r="M1268" s="27">
        <f>IFERROR(VLOOKUP(C1268,Custo_MI_Device!$B$2:$E$102,3,FALSE),0)</f>
        <v>0</v>
      </c>
      <c r="N1268" s="27">
        <f t="shared" si="58"/>
        <v>0</v>
      </c>
      <c r="O1268" s="178">
        <f t="shared" si="59"/>
        <v>0</v>
      </c>
    </row>
    <row r="1269" spans="1:15" ht="12.75" hidden="1">
      <c r="A1269" s="25">
        <v>2805</v>
      </c>
      <c r="B1269" s="25" t="s">
        <v>69</v>
      </c>
      <c r="C1269" s="26" t="s">
        <v>74</v>
      </c>
      <c r="D1269" s="27">
        <v>72162100</v>
      </c>
      <c r="E1269" s="28" t="s">
        <v>174</v>
      </c>
      <c r="F1269" s="29">
        <v>0</v>
      </c>
      <c r="G1269" s="30">
        <v>2.9</v>
      </c>
      <c r="H1269" s="27" t="s">
        <v>175</v>
      </c>
      <c r="I1269" s="26" t="s">
        <v>176</v>
      </c>
      <c r="J1269" s="31">
        <v>4.22</v>
      </c>
      <c r="K1269" s="32">
        <f t="shared" si="57"/>
        <v>12.238</v>
      </c>
      <c r="L1269" s="29" t="s">
        <v>177</v>
      </c>
      <c r="M1269" s="27">
        <f>IFERROR(VLOOKUP(C1269,Custo_MI_Device!$B$2:$E$102,3,FALSE),0)</f>
        <v>0</v>
      </c>
      <c r="N1269" s="27">
        <f t="shared" si="58"/>
        <v>0</v>
      </c>
      <c r="O1269" s="178">
        <f t="shared" si="59"/>
        <v>0</v>
      </c>
    </row>
    <row r="1270" spans="1:15" ht="12.75" hidden="1">
      <c r="A1270" s="25">
        <v>2904</v>
      </c>
      <c r="B1270" s="25" t="s">
        <v>69</v>
      </c>
      <c r="C1270" s="26" t="s">
        <v>74</v>
      </c>
      <c r="D1270" s="27">
        <v>76090000</v>
      </c>
      <c r="E1270" s="28" t="s">
        <v>195</v>
      </c>
      <c r="F1270" s="29" t="s">
        <v>196</v>
      </c>
      <c r="G1270" s="30">
        <v>0.75</v>
      </c>
      <c r="H1270" s="27" t="s">
        <v>137</v>
      </c>
      <c r="I1270" s="26" t="s">
        <v>138</v>
      </c>
      <c r="J1270" s="31">
        <v>6.7</v>
      </c>
      <c r="K1270" s="32">
        <f t="shared" si="57"/>
        <v>5.0250000000000004</v>
      </c>
      <c r="L1270" s="29" t="s">
        <v>196</v>
      </c>
      <c r="M1270" s="27">
        <f>IFERROR(VLOOKUP(C1270,Custo_MI_Device!$B$2:$E$102,3,FALSE),0)</f>
        <v>0</v>
      </c>
      <c r="N1270" s="27">
        <f t="shared" si="58"/>
        <v>0</v>
      </c>
      <c r="O1270" s="178">
        <f t="shared" si="59"/>
        <v>0</v>
      </c>
    </row>
    <row r="1271" spans="1:15" ht="12.75" hidden="1">
      <c r="A1271" s="25">
        <v>2911</v>
      </c>
      <c r="B1271" s="25" t="s">
        <v>69</v>
      </c>
      <c r="C1271" s="26" t="s">
        <v>74</v>
      </c>
      <c r="D1271" s="27">
        <v>76090000</v>
      </c>
      <c r="E1271" s="28" t="s">
        <v>197</v>
      </c>
      <c r="F1271" s="29" t="s">
        <v>198</v>
      </c>
      <c r="G1271" s="30">
        <v>0.75</v>
      </c>
      <c r="H1271" s="27" t="s">
        <v>137</v>
      </c>
      <c r="I1271" s="26" t="s">
        <v>138</v>
      </c>
      <c r="J1271" s="31">
        <v>6.7</v>
      </c>
      <c r="K1271" s="32">
        <f t="shared" si="57"/>
        <v>5.0250000000000004</v>
      </c>
      <c r="L1271" s="29" t="s">
        <v>198</v>
      </c>
      <c r="M1271" s="27">
        <f>IFERROR(VLOOKUP(C1271,Custo_MI_Device!$B$2:$E$102,3,FALSE),0)</f>
        <v>0</v>
      </c>
      <c r="N1271" s="27">
        <f t="shared" si="58"/>
        <v>0</v>
      </c>
      <c r="O1271" s="178">
        <f t="shared" si="59"/>
        <v>0</v>
      </c>
    </row>
    <row r="1272" spans="1:15" ht="12.75" hidden="1">
      <c r="A1272" s="25">
        <v>4823</v>
      </c>
      <c r="B1272" s="25" t="s">
        <v>69</v>
      </c>
      <c r="C1272" s="26" t="s">
        <v>74</v>
      </c>
      <c r="D1272" s="27">
        <v>76090000</v>
      </c>
      <c r="E1272" s="28" t="s">
        <v>199</v>
      </c>
      <c r="F1272" s="29" t="s">
        <v>200</v>
      </c>
      <c r="G1272" s="30">
        <v>0.75</v>
      </c>
      <c r="H1272" s="27" t="s">
        <v>137</v>
      </c>
      <c r="I1272" s="26" t="s">
        <v>138</v>
      </c>
      <c r="J1272" s="31">
        <v>6.7</v>
      </c>
      <c r="K1272" s="32">
        <f t="shared" si="57"/>
        <v>5.0250000000000004</v>
      </c>
      <c r="L1272" s="29" t="s">
        <v>200</v>
      </c>
      <c r="M1272" s="27">
        <f>IFERROR(VLOOKUP(C1272,Custo_MI_Device!$B$2:$E$102,3,FALSE),0)</f>
        <v>0</v>
      </c>
      <c r="N1272" s="27">
        <f t="shared" si="58"/>
        <v>0</v>
      </c>
      <c r="O1272" s="178">
        <f t="shared" si="59"/>
        <v>0</v>
      </c>
    </row>
    <row r="1273" spans="1:15" ht="25.5" hidden="1">
      <c r="A1273" s="25">
        <v>2909</v>
      </c>
      <c r="B1273" s="25" t="s">
        <v>69</v>
      </c>
      <c r="C1273" s="26" t="s">
        <v>74</v>
      </c>
      <c r="D1273" s="27">
        <v>73072200</v>
      </c>
      <c r="E1273" s="28" t="s">
        <v>216</v>
      </c>
      <c r="F1273" s="29" t="s">
        <v>217</v>
      </c>
      <c r="G1273" s="30">
        <v>4</v>
      </c>
      <c r="H1273" s="27" t="s">
        <v>137</v>
      </c>
      <c r="I1273" s="26" t="s">
        <v>218</v>
      </c>
      <c r="J1273" s="31">
        <v>27.7</v>
      </c>
      <c r="K1273" s="32">
        <f t="shared" si="57"/>
        <v>110.8</v>
      </c>
      <c r="L1273" s="29" t="s">
        <v>217</v>
      </c>
      <c r="M1273" s="27">
        <f>IFERROR(VLOOKUP(C1273,Custo_MI_Device!$B$2:$E$102,3,FALSE),0)</f>
        <v>0</v>
      </c>
      <c r="N1273" s="27">
        <f t="shared" si="58"/>
        <v>0</v>
      </c>
      <c r="O1273" s="178">
        <f t="shared" si="59"/>
        <v>0</v>
      </c>
    </row>
    <row r="1274" spans="1:15" ht="25.5" hidden="1">
      <c r="A1274" s="25">
        <v>7163</v>
      </c>
      <c r="B1274" s="25" t="s">
        <v>69</v>
      </c>
      <c r="C1274" s="26" t="s">
        <v>74</v>
      </c>
      <c r="D1274" s="27">
        <v>73072200</v>
      </c>
      <c r="E1274" s="28" t="s">
        <v>224</v>
      </c>
      <c r="F1274" s="29">
        <v>0</v>
      </c>
      <c r="G1274" s="30">
        <v>4</v>
      </c>
      <c r="H1274" s="27" t="s">
        <v>137</v>
      </c>
      <c r="I1274" s="26" t="s">
        <v>220</v>
      </c>
      <c r="J1274" s="31">
        <v>58</v>
      </c>
      <c r="K1274" s="32">
        <f t="shared" si="57"/>
        <v>232</v>
      </c>
      <c r="L1274" s="29" t="s">
        <v>225</v>
      </c>
      <c r="M1274" s="27">
        <f>IFERROR(VLOOKUP(C1274,Custo_MI_Device!$B$2:$E$102,3,FALSE),0)</f>
        <v>0</v>
      </c>
      <c r="N1274" s="27">
        <f t="shared" si="58"/>
        <v>0</v>
      </c>
      <c r="O1274" s="178">
        <f t="shared" si="59"/>
        <v>0</v>
      </c>
    </row>
    <row r="1275" spans="1:15" ht="25.5" hidden="1">
      <c r="A1275" s="25">
        <v>4306</v>
      </c>
      <c r="B1275" s="25" t="s">
        <v>69</v>
      </c>
      <c r="C1275" s="26" t="s">
        <v>74</v>
      </c>
      <c r="D1275" s="27">
        <v>73063000</v>
      </c>
      <c r="E1275" s="28" t="s">
        <v>239</v>
      </c>
      <c r="F1275" s="29">
        <v>0</v>
      </c>
      <c r="G1275" s="30">
        <v>2</v>
      </c>
      <c r="H1275" s="27" t="s">
        <v>232</v>
      </c>
      <c r="I1275" s="26" t="s">
        <v>233</v>
      </c>
      <c r="J1275" s="31">
        <v>32</v>
      </c>
      <c r="K1275" s="32">
        <f t="shared" si="57"/>
        <v>64</v>
      </c>
      <c r="L1275" s="29" t="s">
        <v>240</v>
      </c>
      <c r="M1275" s="27">
        <f>IFERROR(VLOOKUP(C1275,Custo_MI_Device!$B$2:$E$102,3,FALSE),0)</f>
        <v>0</v>
      </c>
      <c r="N1275" s="27">
        <f t="shared" si="58"/>
        <v>0</v>
      </c>
      <c r="O1275" s="178">
        <f t="shared" si="59"/>
        <v>0</v>
      </c>
    </row>
    <row r="1276" spans="1:15" ht="25.5" hidden="1">
      <c r="A1276" s="25">
        <v>1900</v>
      </c>
      <c r="B1276" s="25" t="s">
        <v>69</v>
      </c>
      <c r="C1276" s="26" t="s">
        <v>74</v>
      </c>
      <c r="D1276" s="27">
        <v>73072200</v>
      </c>
      <c r="E1276" s="28" t="s">
        <v>249</v>
      </c>
      <c r="F1276" s="29" t="s">
        <v>250</v>
      </c>
      <c r="G1276" s="30">
        <v>2</v>
      </c>
      <c r="H1276" s="27" t="s">
        <v>137</v>
      </c>
      <c r="I1276" s="26" t="s">
        <v>218</v>
      </c>
      <c r="J1276" s="31">
        <v>27</v>
      </c>
      <c r="K1276" s="32">
        <f t="shared" si="57"/>
        <v>54</v>
      </c>
      <c r="L1276" s="29" t="s">
        <v>250</v>
      </c>
      <c r="M1276" s="27">
        <f>IFERROR(VLOOKUP(C1276,Custo_MI_Device!$B$2:$E$102,3,FALSE),0)</f>
        <v>0</v>
      </c>
      <c r="N1276" s="27">
        <f t="shared" si="58"/>
        <v>0</v>
      </c>
      <c r="O1276" s="178">
        <f t="shared" si="59"/>
        <v>0</v>
      </c>
    </row>
    <row r="1277" spans="1:15" ht="12.75" hidden="1">
      <c r="A1277" s="25">
        <v>3274</v>
      </c>
      <c r="B1277" s="25" t="s">
        <v>69</v>
      </c>
      <c r="C1277" s="26" t="s">
        <v>74</v>
      </c>
      <c r="D1277" s="27">
        <v>73181500</v>
      </c>
      <c r="E1277" s="28" t="s">
        <v>265</v>
      </c>
      <c r="F1277" s="29" t="s">
        <v>266</v>
      </c>
      <c r="G1277" s="30">
        <v>24</v>
      </c>
      <c r="H1277" s="27" t="s">
        <v>137</v>
      </c>
      <c r="I1277" s="26" t="s">
        <v>256</v>
      </c>
      <c r="J1277" s="31">
        <v>0.06</v>
      </c>
      <c r="K1277" s="32">
        <f t="shared" si="57"/>
        <v>1.44</v>
      </c>
      <c r="L1277" s="29" t="s">
        <v>266</v>
      </c>
      <c r="M1277" s="27">
        <f>IFERROR(VLOOKUP(C1277,Custo_MI_Device!$B$2:$E$102,3,FALSE),0)</f>
        <v>0</v>
      </c>
      <c r="N1277" s="27">
        <f t="shared" si="58"/>
        <v>0</v>
      </c>
      <c r="O1277" s="178">
        <f t="shared" si="59"/>
        <v>0</v>
      </c>
    </row>
    <row r="1278" spans="1:15" ht="25.5" hidden="1">
      <c r="A1278" s="25">
        <v>1611</v>
      </c>
      <c r="B1278" s="25" t="s">
        <v>69</v>
      </c>
      <c r="C1278" s="26" t="s">
        <v>74</v>
      </c>
      <c r="D1278" s="27">
        <v>39174090</v>
      </c>
      <c r="E1278" s="28" t="s">
        <v>275</v>
      </c>
      <c r="F1278" s="29" t="s">
        <v>276</v>
      </c>
      <c r="G1278" s="30">
        <v>2</v>
      </c>
      <c r="H1278" s="27" t="s">
        <v>137</v>
      </c>
      <c r="I1278" s="26" t="s">
        <v>277</v>
      </c>
      <c r="J1278" s="31">
        <v>7.8</v>
      </c>
      <c r="K1278" s="32">
        <f t="shared" si="57"/>
        <v>15.6</v>
      </c>
      <c r="L1278" s="29" t="s">
        <v>276</v>
      </c>
      <c r="M1278" s="27">
        <f>IFERROR(VLOOKUP(C1278,Custo_MI_Device!$B$2:$E$102,3,FALSE),0)</f>
        <v>0</v>
      </c>
      <c r="N1278" s="27">
        <f t="shared" si="58"/>
        <v>0</v>
      </c>
      <c r="O1278" s="178">
        <f t="shared" si="59"/>
        <v>0</v>
      </c>
    </row>
    <row r="1279" spans="1:15" ht="12.75" hidden="1">
      <c r="A1279" s="25">
        <v>5081</v>
      </c>
      <c r="B1279" s="25" t="s">
        <v>69</v>
      </c>
      <c r="C1279" s="26" t="s">
        <v>74</v>
      </c>
      <c r="D1279" s="27">
        <v>73145000</v>
      </c>
      <c r="E1279" s="28" t="s">
        <v>278</v>
      </c>
      <c r="F1279" s="29">
        <v>0</v>
      </c>
      <c r="G1279" s="30">
        <v>1</v>
      </c>
      <c r="H1279" s="27" t="s">
        <v>137</v>
      </c>
      <c r="I1279" s="26" t="s">
        <v>279</v>
      </c>
      <c r="J1279" s="31">
        <v>23</v>
      </c>
      <c r="K1279" s="32">
        <f t="shared" si="57"/>
        <v>23</v>
      </c>
      <c r="L1279" s="29" t="s">
        <v>280</v>
      </c>
      <c r="M1279" s="27">
        <f>IFERROR(VLOOKUP(C1279,Custo_MI_Device!$B$2:$E$102,3,FALSE),0)</f>
        <v>0</v>
      </c>
      <c r="N1279" s="27">
        <f t="shared" si="58"/>
        <v>0</v>
      </c>
      <c r="O1279" s="178">
        <f t="shared" si="59"/>
        <v>0</v>
      </c>
    </row>
    <row r="1280" spans="1:15" ht="25.5" hidden="1">
      <c r="A1280" s="25">
        <v>2973</v>
      </c>
      <c r="B1280" s="25" t="s">
        <v>69</v>
      </c>
      <c r="C1280" s="26" t="s">
        <v>74</v>
      </c>
      <c r="D1280" s="27">
        <v>73072200</v>
      </c>
      <c r="E1280" s="28" t="s">
        <v>281</v>
      </c>
      <c r="F1280" s="29" t="s">
        <v>282</v>
      </c>
      <c r="G1280" s="30">
        <v>4</v>
      </c>
      <c r="H1280" s="27" t="s">
        <v>137</v>
      </c>
      <c r="I1280" s="26" t="s">
        <v>218</v>
      </c>
      <c r="J1280" s="31">
        <v>29</v>
      </c>
      <c r="K1280" s="32">
        <f t="shared" si="57"/>
        <v>116</v>
      </c>
      <c r="L1280" s="29" t="s">
        <v>282</v>
      </c>
      <c r="M1280" s="27">
        <f>IFERROR(VLOOKUP(C1280,Custo_MI_Device!$B$2:$E$102,3,FALSE),0)</f>
        <v>0</v>
      </c>
      <c r="N1280" s="27">
        <f t="shared" si="58"/>
        <v>0</v>
      </c>
      <c r="O1280" s="178">
        <f t="shared" si="59"/>
        <v>0</v>
      </c>
    </row>
    <row r="1281" spans="1:15" ht="25.5" hidden="1">
      <c r="A1281" s="25">
        <v>5194</v>
      </c>
      <c r="B1281" s="25" t="s">
        <v>69</v>
      </c>
      <c r="C1281" s="26" t="s">
        <v>74</v>
      </c>
      <c r="D1281" s="27">
        <v>73041010</v>
      </c>
      <c r="E1281" s="28" t="s">
        <v>289</v>
      </c>
      <c r="F1281" s="29" t="s">
        <v>290</v>
      </c>
      <c r="G1281" s="30">
        <v>2</v>
      </c>
      <c r="H1281" s="27" t="s">
        <v>232</v>
      </c>
      <c r="I1281" s="26" t="s">
        <v>218</v>
      </c>
      <c r="J1281" s="31">
        <f>21.5*6</f>
        <v>129</v>
      </c>
      <c r="K1281" s="32">
        <f t="shared" si="57"/>
        <v>258</v>
      </c>
      <c r="L1281" s="29" t="s">
        <v>290</v>
      </c>
      <c r="M1281" s="27">
        <f>IFERROR(VLOOKUP(C1281,Custo_MI_Device!$B$2:$E$102,3,FALSE),0)</f>
        <v>0</v>
      </c>
      <c r="N1281" s="27">
        <f t="shared" si="58"/>
        <v>0</v>
      </c>
      <c r="O1281" s="178">
        <f t="shared" si="59"/>
        <v>0</v>
      </c>
    </row>
    <row r="1282" spans="1:15" ht="25.5" hidden="1">
      <c r="A1282" s="25">
        <v>2125</v>
      </c>
      <c r="B1282" s="25" t="s">
        <v>69</v>
      </c>
      <c r="C1282" s="26" t="s">
        <v>74</v>
      </c>
      <c r="D1282" s="27">
        <v>84818039</v>
      </c>
      <c r="E1282" s="28" t="s">
        <v>301</v>
      </c>
      <c r="F1282" s="29">
        <v>0</v>
      </c>
      <c r="G1282" s="30">
        <v>2</v>
      </c>
      <c r="H1282" s="27" t="s">
        <v>137</v>
      </c>
      <c r="I1282" s="26" t="s">
        <v>220</v>
      </c>
      <c r="J1282" s="31">
        <v>175</v>
      </c>
      <c r="K1282" s="32">
        <f t="shared" si="57"/>
        <v>350</v>
      </c>
      <c r="L1282" s="29" t="s">
        <v>302</v>
      </c>
      <c r="M1282" s="27">
        <f>IFERROR(VLOOKUP(C1282,Custo_MI_Device!$B$2:$E$102,3,FALSE),0)</f>
        <v>0</v>
      </c>
      <c r="N1282" s="27">
        <f t="shared" si="58"/>
        <v>0</v>
      </c>
      <c r="O1282" s="178">
        <f t="shared" si="59"/>
        <v>0</v>
      </c>
    </row>
    <row r="1283" spans="1:15" ht="25.5" hidden="1">
      <c r="A1283" s="25">
        <v>2567</v>
      </c>
      <c r="B1283" s="25" t="s">
        <v>69</v>
      </c>
      <c r="C1283" s="26" t="s">
        <v>74</v>
      </c>
      <c r="D1283" s="27">
        <v>84818095</v>
      </c>
      <c r="E1283" s="28" t="s">
        <v>303</v>
      </c>
      <c r="F1283" s="29">
        <v>0</v>
      </c>
      <c r="G1283" s="30">
        <v>2</v>
      </c>
      <c r="H1283" s="27" t="s">
        <v>137</v>
      </c>
      <c r="I1283" s="26" t="s">
        <v>304</v>
      </c>
      <c r="J1283" s="31">
        <v>27</v>
      </c>
      <c r="K1283" s="32">
        <f t="shared" ref="K1283:K1346" si="60">G1283*J1283</f>
        <v>54</v>
      </c>
      <c r="L1283" s="29" t="s">
        <v>305</v>
      </c>
      <c r="M1283" s="27">
        <f>IFERROR(VLOOKUP(C1283,Custo_MI_Device!$B$2:$E$102,3,FALSE),0)</f>
        <v>0</v>
      </c>
      <c r="N1283" s="27">
        <f t="shared" ref="N1283:N1346" si="61">ROUNDUP(M1283*G1283,0)</f>
        <v>0</v>
      </c>
      <c r="O1283" s="178">
        <f t="shared" ref="O1283:O1346" si="62">N1283*J1283</f>
        <v>0</v>
      </c>
    </row>
    <row r="1284" spans="1:15" ht="12.75" hidden="1">
      <c r="A1284" s="25">
        <v>3778</v>
      </c>
      <c r="B1284" s="25" t="s">
        <v>69</v>
      </c>
      <c r="C1284" s="26" t="s">
        <v>75</v>
      </c>
      <c r="D1284" s="27">
        <v>73072900</v>
      </c>
      <c r="E1284" s="28" t="s">
        <v>310</v>
      </c>
      <c r="F1284" s="29" t="s">
        <v>311</v>
      </c>
      <c r="G1284" s="30">
        <v>12</v>
      </c>
      <c r="H1284" s="27" t="s">
        <v>137</v>
      </c>
      <c r="I1284" s="26" t="s">
        <v>256</v>
      </c>
      <c r="J1284" s="31">
        <v>0.65</v>
      </c>
      <c r="K1284" s="32">
        <f t="shared" si="60"/>
        <v>7.8000000000000007</v>
      </c>
      <c r="L1284" s="29" t="s">
        <v>311</v>
      </c>
      <c r="M1284" s="27">
        <f>IFERROR(VLOOKUP(C1284,Custo_MI_Device!$B$2:$E$102,3,FALSE),0)</f>
        <v>0</v>
      </c>
      <c r="N1284" s="27">
        <f t="shared" si="61"/>
        <v>0</v>
      </c>
      <c r="O1284" s="178">
        <f t="shared" si="62"/>
        <v>0</v>
      </c>
    </row>
    <row r="1285" spans="1:15" ht="12.75" hidden="1">
      <c r="A1285" s="25">
        <v>2534</v>
      </c>
      <c r="B1285" s="25" t="s">
        <v>69</v>
      </c>
      <c r="C1285" s="26" t="s">
        <v>75</v>
      </c>
      <c r="D1285" s="27">
        <v>73072900</v>
      </c>
      <c r="E1285" s="28" t="s">
        <v>314</v>
      </c>
      <c r="F1285" s="29" t="s">
        <v>315</v>
      </c>
      <c r="G1285" s="30">
        <v>12</v>
      </c>
      <c r="H1285" s="27" t="s">
        <v>137</v>
      </c>
      <c r="I1285" s="26" t="s">
        <v>256</v>
      </c>
      <c r="J1285" s="31">
        <v>1.2</v>
      </c>
      <c r="K1285" s="32">
        <f t="shared" si="60"/>
        <v>14.399999999999999</v>
      </c>
      <c r="L1285" s="29" t="s">
        <v>315</v>
      </c>
      <c r="M1285" s="27">
        <f>IFERROR(VLOOKUP(C1285,Custo_MI_Device!$B$2:$E$102,3,FALSE),0)</f>
        <v>0</v>
      </c>
      <c r="N1285" s="27">
        <f t="shared" si="61"/>
        <v>0</v>
      </c>
      <c r="O1285" s="178">
        <f t="shared" si="62"/>
        <v>0</v>
      </c>
    </row>
    <row r="1286" spans="1:15" ht="12.75" hidden="1">
      <c r="A1286" s="25">
        <v>1669</v>
      </c>
      <c r="B1286" s="25" t="s">
        <v>69</v>
      </c>
      <c r="C1286" s="26" t="s">
        <v>75</v>
      </c>
      <c r="D1286" s="27">
        <v>39269090</v>
      </c>
      <c r="E1286" s="28" t="s">
        <v>316</v>
      </c>
      <c r="F1286" s="29" t="s">
        <v>317</v>
      </c>
      <c r="G1286" s="30">
        <v>3</v>
      </c>
      <c r="H1286" s="27" t="s">
        <v>137</v>
      </c>
      <c r="I1286" s="26" t="s">
        <v>318</v>
      </c>
      <c r="J1286" s="31">
        <v>0.04</v>
      </c>
      <c r="K1286" s="32">
        <f t="shared" si="60"/>
        <v>0.12</v>
      </c>
      <c r="L1286" s="29" t="s">
        <v>317</v>
      </c>
      <c r="M1286" s="27">
        <f>IFERROR(VLOOKUP(C1286,Custo_MI_Device!$B$2:$E$102,3,FALSE),0)</f>
        <v>0</v>
      </c>
      <c r="N1286" s="27">
        <f t="shared" si="61"/>
        <v>0</v>
      </c>
      <c r="O1286" s="178">
        <f t="shared" si="62"/>
        <v>0</v>
      </c>
    </row>
    <row r="1287" spans="1:15" ht="12.75" hidden="1">
      <c r="A1287" s="25">
        <v>5091</v>
      </c>
      <c r="B1287" s="25" t="s">
        <v>69</v>
      </c>
      <c r="C1287" s="26" t="s">
        <v>75</v>
      </c>
      <c r="D1287" s="27">
        <v>73181500</v>
      </c>
      <c r="E1287" s="28" t="s">
        <v>323</v>
      </c>
      <c r="F1287" s="29" t="s">
        <v>324</v>
      </c>
      <c r="G1287" s="30">
        <v>24</v>
      </c>
      <c r="H1287" s="27" t="s">
        <v>137</v>
      </c>
      <c r="I1287" s="26" t="s">
        <v>256</v>
      </c>
      <c r="J1287" s="31">
        <v>0.04</v>
      </c>
      <c r="K1287" s="32">
        <f t="shared" si="60"/>
        <v>0.96</v>
      </c>
      <c r="L1287" s="29" t="s">
        <v>324</v>
      </c>
      <c r="M1287" s="27">
        <f>IFERROR(VLOOKUP(C1287,Custo_MI_Device!$B$2:$E$102,3,FALSE),0)</f>
        <v>0</v>
      </c>
      <c r="N1287" s="27">
        <f t="shared" si="61"/>
        <v>0</v>
      </c>
      <c r="O1287" s="178">
        <f t="shared" si="62"/>
        <v>0</v>
      </c>
    </row>
    <row r="1288" spans="1:15" ht="12.75" hidden="1">
      <c r="A1288" s="25">
        <v>1117</v>
      </c>
      <c r="B1288" s="25" t="s">
        <v>69</v>
      </c>
      <c r="C1288" s="26" t="s">
        <v>75</v>
      </c>
      <c r="D1288" s="27"/>
      <c r="E1288" s="28" t="s">
        <v>145</v>
      </c>
      <c r="F1288" s="29" t="s">
        <v>146</v>
      </c>
      <c r="G1288" s="30">
        <v>1</v>
      </c>
      <c r="H1288" s="27" t="s">
        <v>137</v>
      </c>
      <c r="I1288" s="26" t="s">
        <v>138</v>
      </c>
      <c r="J1288" s="31">
        <v>1.95</v>
      </c>
      <c r="K1288" s="32">
        <f t="shared" si="60"/>
        <v>1.95</v>
      </c>
      <c r="L1288" s="29" t="s">
        <v>146</v>
      </c>
      <c r="M1288" s="27">
        <f>IFERROR(VLOOKUP(C1288,Custo_MI_Device!$B$2:$E$102,3,FALSE),0)</f>
        <v>0</v>
      </c>
      <c r="N1288" s="27">
        <f t="shared" si="61"/>
        <v>0</v>
      </c>
      <c r="O1288" s="178">
        <f t="shared" si="62"/>
        <v>0</v>
      </c>
    </row>
    <row r="1289" spans="1:15" ht="12.75" hidden="1">
      <c r="A1289" s="25">
        <v>3080</v>
      </c>
      <c r="B1289" s="25" t="s">
        <v>69</v>
      </c>
      <c r="C1289" s="26" t="s">
        <v>75</v>
      </c>
      <c r="D1289" s="27">
        <v>74122000</v>
      </c>
      <c r="E1289" s="28" t="s">
        <v>153</v>
      </c>
      <c r="F1289" s="29" t="s">
        <v>154</v>
      </c>
      <c r="G1289" s="30">
        <v>1</v>
      </c>
      <c r="H1289" s="27" t="s">
        <v>137</v>
      </c>
      <c r="I1289" s="26" t="s">
        <v>155</v>
      </c>
      <c r="J1289" s="31">
        <v>3.3</v>
      </c>
      <c r="K1289" s="32">
        <f t="shared" si="60"/>
        <v>3.3</v>
      </c>
      <c r="L1289" s="29" t="s">
        <v>154</v>
      </c>
      <c r="M1289" s="27">
        <f>IFERROR(VLOOKUP(C1289,Custo_MI_Device!$B$2:$E$102,3,FALSE),0)</f>
        <v>0</v>
      </c>
      <c r="N1289" s="27">
        <f t="shared" si="61"/>
        <v>0</v>
      </c>
      <c r="O1289" s="178">
        <f t="shared" si="62"/>
        <v>0</v>
      </c>
    </row>
    <row r="1290" spans="1:15" ht="25.5" hidden="1">
      <c r="A1290" s="25">
        <v>5139</v>
      </c>
      <c r="B1290" s="25" t="s">
        <v>69</v>
      </c>
      <c r="C1290" s="26" t="s">
        <v>75</v>
      </c>
      <c r="D1290" s="27">
        <v>85444900</v>
      </c>
      <c r="E1290" s="28" t="s">
        <v>170</v>
      </c>
      <c r="F1290" s="29" t="s">
        <v>171</v>
      </c>
      <c r="G1290" s="30">
        <v>15</v>
      </c>
      <c r="H1290" s="27" t="s">
        <v>158</v>
      </c>
      <c r="I1290" s="26" t="s">
        <v>172</v>
      </c>
      <c r="J1290" s="31">
        <v>7.5</v>
      </c>
      <c r="K1290" s="32">
        <f t="shared" si="60"/>
        <v>112.5</v>
      </c>
      <c r="L1290" s="29" t="s">
        <v>173</v>
      </c>
      <c r="M1290" s="27">
        <f>IFERROR(VLOOKUP(C1290,Custo_MI_Device!$B$2:$E$102,3,FALSE),0)</f>
        <v>0</v>
      </c>
      <c r="N1290" s="27">
        <f t="shared" si="61"/>
        <v>0</v>
      </c>
      <c r="O1290" s="178">
        <f t="shared" si="62"/>
        <v>0</v>
      </c>
    </row>
    <row r="1291" spans="1:15" ht="12.75" hidden="1">
      <c r="A1291" s="25">
        <v>2805</v>
      </c>
      <c r="B1291" s="25" t="s">
        <v>69</v>
      </c>
      <c r="C1291" s="26" t="s">
        <v>75</v>
      </c>
      <c r="D1291" s="27">
        <v>72162100</v>
      </c>
      <c r="E1291" s="28" t="s">
        <v>174</v>
      </c>
      <c r="F1291" s="29">
        <v>0</v>
      </c>
      <c r="G1291" s="30">
        <v>2.9</v>
      </c>
      <c r="H1291" s="27" t="s">
        <v>175</v>
      </c>
      <c r="I1291" s="26" t="s">
        <v>176</v>
      </c>
      <c r="J1291" s="31">
        <v>4.22</v>
      </c>
      <c r="K1291" s="32">
        <f t="shared" si="60"/>
        <v>12.238</v>
      </c>
      <c r="L1291" s="29" t="s">
        <v>177</v>
      </c>
      <c r="M1291" s="27">
        <f>IFERROR(VLOOKUP(C1291,Custo_MI_Device!$B$2:$E$102,3,FALSE),0)</f>
        <v>0</v>
      </c>
      <c r="N1291" s="27">
        <f t="shared" si="61"/>
        <v>0</v>
      </c>
      <c r="O1291" s="178">
        <f t="shared" si="62"/>
        <v>0</v>
      </c>
    </row>
    <row r="1292" spans="1:15" ht="12.75" hidden="1">
      <c r="A1292" s="25">
        <v>2904</v>
      </c>
      <c r="B1292" s="25" t="s">
        <v>69</v>
      </c>
      <c r="C1292" s="26" t="s">
        <v>75</v>
      </c>
      <c r="D1292" s="27">
        <v>76090000</v>
      </c>
      <c r="E1292" s="28" t="s">
        <v>195</v>
      </c>
      <c r="F1292" s="29" t="s">
        <v>196</v>
      </c>
      <c r="G1292" s="30">
        <v>0.75</v>
      </c>
      <c r="H1292" s="27" t="s">
        <v>137</v>
      </c>
      <c r="I1292" s="26" t="s">
        <v>138</v>
      </c>
      <c r="J1292" s="31">
        <v>6.7</v>
      </c>
      <c r="K1292" s="32">
        <f t="shared" si="60"/>
        <v>5.0250000000000004</v>
      </c>
      <c r="L1292" s="29" t="s">
        <v>196</v>
      </c>
      <c r="M1292" s="27">
        <f>IFERROR(VLOOKUP(C1292,Custo_MI_Device!$B$2:$E$102,3,FALSE),0)</f>
        <v>0</v>
      </c>
      <c r="N1292" s="27">
        <f t="shared" si="61"/>
        <v>0</v>
      </c>
      <c r="O1292" s="178">
        <f t="shared" si="62"/>
        <v>0</v>
      </c>
    </row>
    <row r="1293" spans="1:15" ht="12.75" hidden="1">
      <c r="A1293" s="25">
        <v>2911</v>
      </c>
      <c r="B1293" s="25" t="s">
        <v>69</v>
      </c>
      <c r="C1293" s="26" t="s">
        <v>75</v>
      </c>
      <c r="D1293" s="27">
        <v>76090000</v>
      </c>
      <c r="E1293" s="28" t="s">
        <v>197</v>
      </c>
      <c r="F1293" s="29" t="s">
        <v>198</v>
      </c>
      <c r="G1293" s="30">
        <v>0.75</v>
      </c>
      <c r="H1293" s="27" t="s">
        <v>137</v>
      </c>
      <c r="I1293" s="26" t="s">
        <v>138</v>
      </c>
      <c r="J1293" s="31">
        <v>6.7</v>
      </c>
      <c r="K1293" s="32">
        <f t="shared" si="60"/>
        <v>5.0250000000000004</v>
      </c>
      <c r="L1293" s="29" t="s">
        <v>198</v>
      </c>
      <c r="M1293" s="27">
        <f>IFERROR(VLOOKUP(C1293,Custo_MI_Device!$B$2:$E$102,3,FALSE),0)</f>
        <v>0</v>
      </c>
      <c r="N1293" s="27">
        <f t="shared" si="61"/>
        <v>0</v>
      </c>
      <c r="O1293" s="178">
        <f t="shared" si="62"/>
        <v>0</v>
      </c>
    </row>
    <row r="1294" spans="1:15" ht="12.75" hidden="1">
      <c r="A1294" s="25">
        <v>4823</v>
      </c>
      <c r="B1294" s="25" t="s">
        <v>69</v>
      </c>
      <c r="C1294" s="26" t="s">
        <v>75</v>
      </c>
      <c r="D1294" s="27">
        <v>76090000</v>
      </c>
      <c r="E1294" s="28" t="s">
        <v>199</v>
      </c>
      <c r="F1294" s="29" t="s">
        <v>200</v>
      </c>
      <c r="G1294" s="30">
        <v>0.75</v>
      </c>
      <c r="H1294" s="27" t="s">
        <v>137</v>
      </c>
      <c r="I1294" s="26" t="s">
        <v>138</v>
      </c>
      <c r="J1294" s="31">
        <v>6.7</v>
      </c>
      <c r="K1294" s="32">
        <f t="shared" si="60"/>
        <v>5.0250000000000004</v>
      </c>
      <c r="L1294" s="29" t="s">
        <v>200</v>
      </c>
      <c r="M1294" s="27">
        <f>IFERROR(VLOOKUP(C1294,Custo_MI_Device!$B$2:$E$102,3,FALSE),0)</f>
        <v>0</v>
      </c>
      <c r="N1294" s="27">
        <f t="shared" si="61"/>
        <v>0</v>
      </c>
      <c r="O1294" s="178">
        <f t="shared" si="62"/>
        <v>0</v>
      </c>
    </row>
    <row r="1295" spans="1:15" ht="25.5" hidden="1">
      <c r="A1295" s="25">
        <v>2909</v>
      </c>
      <c r="B1295" s="25" t="s">
        <v>69</v>
      </c>
      <c r="C1295" s="26" t="s">
        <v>75</v>
      </c>
      <c r="D1295" s="27">
        <v>73072200</v>
      </c>
      <c r="E1295" s="28" t="s">
        <v>216</v>
      </c>
      <c r="F1295" s="29" t="s">
        <v>217</v>
      </c>
      <c r="G1295" s="30">
        <v>4</v>
      </c>
      <c r="H1295" s="27" t="s">
        <v>137</v>
      </c>
      <c r="I1295" s="26" t="s">
        <v>218</v>
      </c>
      <c r="J1295" s="31">
        <v>27.7</v>
      </c>
      <c r="K1295" s="32">
        <f t="shared" si="60"/>
        <v>110.8</v>
      </c>
      <c r="L1295" s="29" t="s">
        <v>217</v>
      </c>
      <c r="M1295" s="27">
        <f>IFERROR(VLOOKUP(C1295,Custo_MI_Device!$B$2:$E$102,3,FALSE),0)</f>
        <v>0</v>
      </c>
      <c r="N1295" s="27">
        <f t="shared" si="61"/>
        <v>0</v>
      </c>
      <c r="O1295" s="178">
        <f t="shared" si="62"/>
        <v>0</v>
      </c>
    </row>
    <row r="1296" spans="1:15" ht="25.5" hidden="1">
      <c r="A1296" s="25">
        <v>7163</v>
      </c>
      <c r="B1296" s="25" t="s">
        <v>69</v>
      </c>
      <c r="C1296" s="26" t="s">
        <v>75</v>
      </c>
      <c r="D1296" s="27">
        <v>73072200</v>
      </c>
      <c r="E1296" s="28" t="s">
        <v>224</v>
      </c>
      <c r="F1296" s="29">
        <v>0</v>
      </c>
      <c r="G1296" s="30">
        <v>4</v>
      </c>
      <c r="H1296" s="27" t="s">
        <v>137</v>
      </c>
      <c r="I1296" s="26" t="s">
        <v>220</v>
      </c>
      <c r="J1296" s="31">
        <v>58</v>
      </c>
      <c r="K1296" s="32">
        <f t="shared" si="60"/>
        <v>232</v>
      </c>
      <c r="L1296" s="29" t="s">
        <v>225</v>
      </c>
      <c r="M1296" s="27">
        <f>IFERROR(VLOOKUP(C1296,Custo_MI_Device!$B$2:$E$102,3,FALSE),0)</f>
        <v>0</v>
      </c>
      <c r="N1296" s="27">
        <f t="shared" si="61"/>
        <v>0</v>
      </c>
      <c r="O1296" s="178">
        <f t="shared" si="62"/>
        <v>0</v>
      </c>
    </row>
    <row r="1297" spans="1:15" ht="25.5" hidden="1">
      <c r="A1297" s="25">
        <v>4306</v>
      </c>
      <c r="B1297" s="25" t="s">
        <v>69</v>
      </c>
      <c r="C1297" s="26" t="s">
        <v>75</v>
      </c>
      <c r="D1297" s="27">
        <v>73063000</v>
      </c>
      <c r="E1297" s="28" t="s">
        <v>239</v>
      </c>
      <c r="F1297" s="29">
        <v>0</v>
      </c>
      <c r="G1297" s="30">
        <v>2</v>
      </c>
      <c r="H1297" s="27" t="s">
        <v>232</v>
      </c>
      <c r="I1297" s="26" t="s">
        <v>233</v>
      </c>
      <c r="J1297" s="31">
        <v>32</v>
      </c>
      <c r="K1297" s="32">
        <f t="shared" si="60"/>
        <v>64</v>
      </c>
      <c r="L1297" s="29" t="s">
        <v>240</v>
      </c>
      <c r="M1297" s="27">
        <f>IFERROR(VLOOKUP(C1297,Custo_MI_Device!$B$2:$E$102,3,FALSE),0)</f>
        <v>0</v>
      </c>
      <c r="N1297" s="27">
        <f t="shared" si="61"/>
        <v>0</v>
      </c>
      <c r="O1297" s="178">
        <f t="shared" si="62"/>
        <v>0</v>
      </c>
    </row>
    <row r="1298" spans="1:15" ht="25.5" hidden="1">
      <c r="A1298" s="25">
        <v>1900</v>
      </c>
      <c r="B1298" s="25" t="s">
        <v>69</v>
      </c>
      <c r="C1298" s="26" t="s">
        <v>75</v>
      </c>
      <c r="D1298" s="27">
        <v>73072200</v>
      </c>
      <c r="E1298" s="28" t="s">
        <v>249</v>
      </c>
      <c r="F1298" s="29" t="s">
        <v>250</v>
      </c>
      <c r="G1298" s="30">
        <v>2</v>
      </c>
      <c r="H1298" s="27" t="s">
        <v>137</v>
      </c>
      <c r="I1298" s="26" t="s">
        <v>218</v>
      </c>
      <c r="J1298" s="31">
        <v>27</v>
      </c>
      <c r="K1298" s="32">
        <f t="shared" si="60"/>
        <v>54</v>
      </c>
      <c r="L1298" s="29" t="s">
        <v>250</v>
      </c>
      <c r="M1298" s="27">
        <f>IFERROR(VLOOKUP(C1298,Custo_MI_Device!$B$2:$E$102,3,FALSE),0)</f>
        <v>0</v>
      </c>
      <c r="N1298" s="27">
        <f t="shared" si="61"/>
        <v>0</v>
      </c>
      <c r="O1298" s="178">
        <f t="shared" si="62"/>
        <v>0</v>
      </c>
    </row>
    <row r="1299" spans="1:15" ht="12.75" hidden="1">
      <c r="A1299" s="25">
        <v>3274</v>
      </c>
      <c r="B1299" s="25" t="s">
        <v>69</v>
      </c>
      <c r="C1299" s="26" t="s">
        <v>75</v>
      </c>
      <c r="D1299" s="27">
        <v>73181500</v>
      </c>
      <c r="E1299" s="28" t="s">
        <v>265</v>
      </c>
      <c r="F1299" s="29" t="s">
        <v>266</v>
      </c>
      <c r="G1299" s="30">
        <v>24</v>
      </c>
      <c r="H1299" s="27" t="s">
        <v>137</v>
      </c>
      <c r="I1299" s="26" t="s">
        <v>256</v>
      </c>
      <c r="J1299" s="31">
        <v>0.06</v>
      </c>
      <c r="K1299" s="32">
        <f t="shared" si="60"/>
        <v>1.44</v>
      </c>
      <c r="L1299" s="29" t="s">
        <v>266</v>
      </c>
      <c r="M1299" s="27">
        <f>IFERROR(VLOOKUP(C1299,Custo_MI_Device!$B$2:$E$102,3,FALSE),0)</f>
        <v>0</v>
      </c>
      <c r="N1299" s="27">
        <f t="shared" si="61"/>
        <v>0</v>
      </c>
      <c r="O1299" s="178">
        <f t="shared" si="62"/>
        <v>0</v>
      </c>
    </row>
    <row r="1300" spans="1:15" ht="25.5" hidden="1">
      <c r="A1300" s="25">
        <v>1611</v>
      </c>
      <c r="B1300" s="25" t="s">
        <v>69</v>
      </c>
      <c r="C1300" s="26" t="s">
        <v>75</v>
      </c>
      <c r="D1300" s="27">
        <v>39174090</v>
      </c>
      <c r="E1300" s="28" t="s">
        <v>275</v>
      </c>
      <c r="F1300" s="29" t="s">
        <v>276</v>
      </c>
      <c r="G1300" s="30">
        <v>2</v>
      </c>
      <c r="H1300" s="27" t="s">
        <v>137</v>
      </c>
      <c r="I1300" s="26" t="s">
        <v>277</v>
      </c>
      <c r="J1300" s="31">
        <v>7.8</v>
      </c>
      <c r="K1300" s="32">
        <f t="shared" si="60"/>
        <v>15.6</v>
      </c>
      <c r="L1300" s="29" t="s">
        <v>276</v>
      </c>
      <c r="M1300" s="27">
        <f>IFERROR(VLOOKUP(C1300,Custo_MI_Device!$B$2:$E$102,3,FALSE),0)</f>
        <v>0</v>
      </c>
      <c r="N1300" s="27">
        <f t="shared" si="61"/>
        <v>0</v>
      </c>
      <c r="O1300" s="178">
        <f t="shared" si="62"/>
        <v>0</v>
      </c>
    </row>
    <row r="1301" spans="1:15" ht="12.75" hidden="1">
      <c r="A1301" s="25">
        <v>5081</v>
      </c>
      <c r="B1301" s="25" t="s">
        <v>69</v>
      </c>
      <c r="C1301" s="26" t="s">
        <v>75</v>
      </c>
      <c r="D1301" s="27">
        <v>73145000</v>
      </c>
      <c r="E1301" s="28" t="s">
        <v>278</v>
      </c>
      <c r="F1301" s="29">
        <v>0</v>
      </c>
      <c r="G1301" s="30">
        <v>1</v>
      </c>
      <c r="H1301" s="27" t="s">
        <v>137</v>
      </c>
      <c r="I1301" s="26" t="s">
        <v>279</v>
      </c>
      <c r="J1301" s="31">
        <v>23</v>
      </c>
      <c r="K1301" s="32">
        <f t="shared" si="60"/>
        <v>23</v>
      </c>
      <c r="L1301" s="29" t="s">
        <v>280</v>
      </c>
      <c r="M1301" s="27">
        <f>IFERROR(VLOOKUP(C1301,Custo_MI_Device!$B$2:$E$102,3,FALSE),0)</f>
        <v>0</v>
      </c>
      <c r="N1301" s="27">
        <f t="shared" si="61"/>
        <v>0</v>
      </c>
      <c r="O1301" s="178">
        <f t="shared" si="62"/>
        <v>0</v>
      </c>
    </row>
    <row r="1302" spans="1:15" ht="25.5" hidden="1">
      <c r="A1302" s="25">
        <v>2973</v>
      </c>
      <c r="B1302" s="25" t="s">
        <v>69</v>
      </c>
      <c r="C1302" s="26" t="s">
        <v>75</v>
      </c>
      <c r="D1302" s="27">
        <v>73072200</v>
      </c>
      <c r="E1302" s="28" t="s">
        <v>281</v>
      </c>
      <c r="F1302" s="29" t="s">
        <v>282</v>
      </c>
      <c r="G1302" s="30">
        <v>4</v>
      </c>
      <c r="H1302" s="27" t="s">
        <v>137</v>
      </c>
      <c r="I1302" s="26" t="s">
        <v>218</v>
      </c>
      <c r="J1302" s="31">
        <v>29</v>
      </c>
      <c r="K1302" s="32">
        <f t="shared" si="60"/>
        <v>116</v>
      </c>
      <c r="L1302" s="29" t="s">
        <v>282</v>
      </c>
      <c r="M1302" s="27">
        <f>IFERROR(VLOOKUP(C1302,Custo_MI_Device!$B$2:$E$102,3,FALSE),0)</f>
        <v>0</v>
      </c>
      <c r="N1302" s="27">
        <f t="shared" si="61"/>
        <v>0</v>
      </c>
      <c r="O1302" s="178">
        <f t="shared" si="62"/>
        <v>0</v>
      </c>
    </row>
    <row r="1303" spans="1:15" ht="25.5" hidden="1">
      <c r="A1303" s="25">
        <v>5194</v>
      </c>
      <c r="B1303" s="25" t="s">
        <v>69</v>
      </c>
      <c r="C1303" s="26" t="s">
        <v>75</v>
      </c>
      <c r="D1303" s="27">
        <v>73041010</v>
      </c>
      <c r="E1303" s="28" t="s">
        <v>289</v>
      </c>
      <c r="F1303" s="29" t="s">
        <v>290</v>
      </c>
      <c r="G1303" s="30">
        <v>2</v>
      </c>
      <c r="H1303" s="27" t="s">
        <v>232</v>
      </c>
      <c r="I1303" s="26" t="s">
        <v>218</v>
      </c>
      <c r="J1303" s="31">
        <f>21.5*6</f>
        <v>129</v>
      </c>
      <c r="K1303" s="32">
        <f t="shared" si="60"/>
        <v>258</v>
      </c>
      <c r="L1303" s="29" t="s">
        <v>290</v>
      </c>
      <c r="M1303" s="27">
        <f>IFERROR(VLOOKUP(C1303,Custo_MI_Device!$B$2:$E$102,3,FALSE),0)</f>
        <v>0</v>
      </c>
      <c r="N1303" s="27">
        <f t="shared" si="61"/>
        <v>0</v>
      </c>
      <c r="O1303" s="178">
        <f t="shared" si="62"/>
        <v>0</v>
      </c>
    </row>
    <row r="1304" spans="1:15" ht="25.5" hidden="1">
      <c r="A1304" s="25">
        <v>2125</v>
      </c>
      <c r="B1304" s="25" t="s">
        <v>69</v>
      </c>
      <c r="C1304" s="26" t="s">
        <v>75</v>
      </c>
      <c r="D1304" s="27">
        <v>84818039</v>
      </c>
      <c r="E1304" s="28" t="s">
        <v>301</v>
      </c>
      <c r="F1304" s="29">
        <v>0</v>
      </c>
      <c r="G1304" s="30">
        <v>2</v>
      </c>
      <c r="H1304" s="27" t="s">
        <v>137</v>
      </c>
      <c r="I1304" s="26" t="s">
        <v>220</v>
      </c>
      <c r="J1304" s="31">
        <v>175</v>
      </c>
      <c r="K1304" s="32">
        <f t="shared" si="60"/>
        <v>350</v>
      </c>
      <c r="L1304" s="29" t="s">
        <v>302</v>
      </c>
      <c r="M1304" s="27">
        <f>IFERROR(VLOOKUP(C1304,Custo_MI_Device!$B$2:$E$102,3,FALSE),0)</f>
        <v>0</v>
      </c>
      <c r="N1304" s="27">
        <f t="shared" si="61"/>
        <v>0</v>
      </c>
      <c r="O1304" s="178">
        <f t="shared" si="62"/>
        <v>0</v>
      </c>
    </row>
    <row r="1305" spans="1:15" ht="25.5" hidden="1">
      <c r="A1305" s="25">
        <v>2567</v>
      </c>
      <c r="B1305" s="25" t="s">
        <v>69</v>
      </c>
      <c r="C1305" s="26" t="s">
        <v>75</v>
      </c>
      <c r="D1305" s="27">
        <v>84818095</v>
      </c>
      <c r="E1305" s="28" t="s">
        <v>303</v>
      </c>
      <c r="F1305" s="29">
        <v>0</v>
      </c>
      <c r="G1305" s="30">
        <v>2</v>
      </c>
      <c r="H1305" s="27" t="s">
        <v>137</v>
      </c>
      <c r="I1305" s="26" t="s">
        <v>304</v>
      </c>
      <c r="J1305" s="31">
        <v>27</v>
      </c>
      <c r="K1305" s="32">
        <f t="shared" si="60"/>
        <v>54</v>
      </c>
      <c r="L1305" s="29" t="s">
        <v>305</v>
      </c>
      <c r="M1305" s="27">
        <f>IFERROR(VLOOKUP(C1305,Custo_MI_Device!$B$2:$E$102,3,FALSE),0)</f>
        <v>0</v>
      </c>
      <c r="N1305" s="27">
        <f t="shared" si="61"/>
        <v>0</v>
      </c>
      <c r="O1305" s="178">
        <f t="shared" si="62"/>
        <v>0</v>
      </c>
    </row>
    <row r="1306" spans="1:15" ht="12.75" hidden="1">
      <c r="A1306" s="25">
        <v>2534</v>
      </c>
      <c r="B1306" s="25" t="s">
        <v>69</v>
      </c>
      <c r="C1306" s="26" t="s">
        <v>76</v>
      </c>
      <c r="D1306" s="27">
        <v>73072900</v>
      </c>
      <c r="E1306" s="28" t="s">
        <v>314</v>
      </c>
      <c r="F1306" s="29" t="s">
        <v>315</v>
      </c>
      <c r="G1306" s="30">
        <v>12</v>
      </c>
      <c r="H1306" s="27" t="s">
        <v>137</v>
      </c>
      <c r="I1306" s="26" t="s">
        <v>256</v>
      </c>
      <c r="J1306" s="31">
        <v>1.2</v>
      </c>
      <c r="K1306" s="32">
        <f t="shared" si="60"/>
        <v>14.399999999999999</v>
      </c>
      <c r="L1306" s="29" t="s">
        <v>315</v>
      </c>
      <c r="M1306" s="27">
        <f>IFERROR(VLOOKUP(C1306,Custo_MI_Device!$B$2:$E$102,3,FALSE),0)</f>
        <v>0</v>
      </c>
      <c r="N1306" s="27">
        <f t="shared" si="61"/>
        <v>0</v>
      </c>
      <c r="O1306" s="178">
        <f t="shared" si="62"/>
        <v>0</v>
      </c>
    </row>
    <row r="1307" spans="1:15" ht="12.75" hidden="1">
      <c r="A1307" s="25">
        <v>1669</v>
      </c>
      <c r="B1307" s="25" t="s">
        <v>69</v>
      </c>
      <c r="C1307" s="26" t="s">
        <v>76</v>
      </c>
      <c r="D1307" s="27">
        <v>39269090</v>
      </c>
      <c r="E1307" s="28" t="s">
        <v>316</v>
      </c>
      <c r="F1307" s="29" t="s">
        <v>317</v>
      </c>
      <c r="G1307" s="30">
        <v>3</v>
      </c>
      <c r="H1307" s="27" t="s">
        <v>137</v>
      </c>
      <c r="I1307" s="26" t="s">
        <v>318</v>
      </c>
      <c r="J1307" s="31">
        <v>0.04</v>
      </c>
      <c r="K1307" s="32">
        <f t="shared" si="60"/>
        <v>0.12</v>
      </c>
      <c r="L1307" s="29" t="s">
        <v>317</v>
      </c>
      <c r="M1307" s="27">
        <f>IFERROR(VLOOKUP(C1307,Custo_MI_Device!$B$2:$E$102,3,FALSE),0)</f>
        <v>0</v>
      </c>
      <c r="N1307" s="27">
        <f t="shared" si="61"/>
        <v>0</v>
      </c>
      <c r="O1307" s="178">
        <f t="shared" si="62"/>
        <v>0</v>
      </c>
    </row>
    <row r="1308" spans="1:15" ht="12.75" hidden="1">
      <c r="A1308" s="25">
        <v>5091</v>
      </c>
      <c r="B1308" s="25" t="s">
        <v>69</v>
      </c>
      <c r="C1308" s="26" t="s">
        <v>76</v>
      </c>
      <c r="D1308" s="27">
        <v>73181500</v>
      </c>
      <c r="E1308" s="28" t="s">
        <v>323</v>
      </c>
      <c r="F1308" s="29" t="s">
        <v>324</v>
      </c>
      <c r="G1308" s="30">
        <v>24</v>
      </c>
      <c r="H1308" s="27" t="s">
        <v>137</v>
      </c>
      <c r="I1308" s="26" t="s">
        <v>256</v>
      </c>
      <c r="J1308" s="31">
        <v>0.04</v>
      </c>
      <c r="K1308" s="32">
        <f t="shared" si="60"/>
        <v>0.96</v>
      </c>
      <c r="L1308" s="29" t="s">
        <v>324</v>
      </c>
      <c r="M1308" s="27">
        <f>IFERROR(VLOOKUP(C1308,Custo_MI_Device!$B$2:$E$102,3,FALSE),0)</f>
        <v>0</v>
      </c>
      <c r="N1308" s="27">
        <f t="shared" si="61"/>
        <v>0</v>
      </c>
      <c r="O1308" s="178">
        <f t="shared" si="62"/>
        <v>0</v>
      </c>
    </row>
    <row r="1309" spans="1:15" ht="12.75" hidden="1">
      <c r="A1309" s="25">
        <v>83</v>
      </c>
      <c r="B1309" s="25" t="s">
        <v>69</v>
      </c>
      <c r="C1309" s="26" t="s">
        <v>76</v>
      </c>
      <c r="D1309" s="27"/>
      <c r="E1309" s="28" t="s">
        <v>150</v>
      </c>
      <c r="F1309" s="29" t="s">
        <v>148</v>
      </c>
      <c r="G1309" s="30">
        <v>1</v>
      </c>
      <c r="H1309" s="27" t="s">
        <v>137</v>
      </c>
      <c r="I1309" s="26" t="s">
        <v>149</v>
      </c>
      <c r="J1309" s="31">
        <v>4.8</v>
      </c>
      <c r="K1309" s="32">
        <f t="shared" si="60"/>
        <v>4.8</v>
      </c>
      <c r="L1309" s="29" t="s">
        <v>148</v>
      </c>
      <c r="M1309" s="27">
        <f>IFERROR(VLOOKUP(C1309,Custo_MI_Device!$B$2:$E$102,3,FALSE),0)</f>
        <v>0</v>
      </c>
      <c r="N1309" s="27">
        <f t="shared" si="61"/>
        <v>0</v>
      </c>
      <c r="O1309" s="178">
        <f t="shared" si="62"/>
        <v>0</v>
      </c>
    </row>
    <row r="1310" spans="1:15" ht="12.75" hidden="1">
      <c r="A1310" s="25">
        <v>3080</v>
      </c>
      <c r="B1310" s="25" t="s">
        <v>69</v>
      </c>
      <c r="C1310" s="26" t="s">
        <v>76</v>
      </c>
      <c r="D1310" s="27">
        <v>74122000</v>
      </c>
      <c r="E1310" s="28" t="s">
        <v>153</v>
      </c>
      <c r="F1310" s="29" t="s">
        <v>154</v>
      </c>
      <c r="G1310" s="30">
        <v>1</v>
      </c>
      <c r="H1310" s="27" t="s">
        <v>137</v>
      </c>
      <c r="I1310" s="26" t="s">
        <v>155</v>
      </c>
      <c r="J1310" s="31">
        <v>3.3</v>
      </c>
      <c r="K1310" s="32">
        <f t="shared" si="60"/>
        <v>3.3</v>
      </c>
      <c r="L1310" s="29" t="s">
        <v>154</v>
      </c>
      <c r="M1310" s="27">
        <f>IFERROR(VLOOKUP(C1310,Custo_MI_Device!$B$2:$E$102,3,FALSE),0)</f>
        <v>0</v>
      </c>
      <c r="N1310" s="27">
        <f t="shared" si="61"/>
        <v>0</v>
      </c>
      <c r="O1310" s="178">
        <f t="shared" si="62"/>
        <v>0</v>
      </c>
    </row>
    <row r="1311" spans="1:15" ht="38.25" hidden="1">
      <c r="A1311" s="25">
        <v>3585</v>
      </c>
      <c r="B1311" s="25" t="s">
        <v>69</v>
      </c>
      <c r="C1311" s="26" t="s">
        <v>76</v>
      </c>
      <c r="D1311" s="27">
        <v>85444900</v>
      </c>
      <c r="E1311" s="28" t="s">
        <v>328</v>
      </c>
      <c r="F1311" s="29">
        <v>900400</v>
      </c>
      <c r="G1311" s="33">
        <v>0</v>
      </c>
      <c r="H1311" s="27" t="s">
        <v>158</v>
      </c>
      <c r="I1311" s="26" t="s">
        <v>164</v>
      </c>
      <c r="J1311" s="31">
        <v>1.7</v>
      </c>
      <c r="K1311" s="32">
        <f t="shared" si="60"/>
        <v>0</v>
      </c>
      <c r="L1311" s="29">
        <v>900400</v>
      </c>
      <c r="M1311" s="27">
        <f>IFERROR(VLOOKUP(C1311,Custo_MI_Device!$B$2:$E$102,3,FALSE),0)</f>
        <v>0</v>
      </c>
      <c r="N1311" s="27">
        <f t="shared" si="61"/>
        <v>0</v>
      </c>
      <c r="O1311" s="178">
        <f t="shared" si="62"/>
        <v>0</v>
      </c>
    </row>
    <row r="1312" spans="1:15" ht="12.75" hidden="1">
      <c r="A1312" s="25">
        <v>2805</v>
      </c>
      <c r="B1312" s="25" t="s">
        <v>69</v>
      </c>
      <c r="C1312" s="26" t="s">
        <v>76</v>
      </c>
      <c r="D1312" s="27">
        <v>72162100</v>
      </c>
      <c r="E1312" s="28" t="s">
        <v>174</v>
      </c>
      <c r="F1312" s="29">
        <v>0</v>
      </c>
      <c r="G1312" s="30">
        <v>2.9</v>
      </c>
      <c r="H1312" s="27" t="s">
        <v>175</v>
      </c>
      <c r="I1312" s="26" t="s">
        <v>176</v>
      </c>
      <c r="J1312" s="31">
        <v>4.22</v>
      </c>
      <c r="K1312" s="32">
        <f t="shared" si="60"/>
        <v>12.238</v>
      </c>
      <c r="L1312" s="29" t="s">
        <v>177</v>
      </c>
      <c r="M1312" s="27">
        <f>IFERROR(VLOOKUP(C1312,Custo_MI_Device!$B$2:$E$102,3,FALSE),0)</f>
        <v>0</v>
      </c>
      <c r="N1312" s="27">
        <f t="shared" si="61"/>
        <v>0</v>
      </c>
      <c r="O1312" s="178">
        <f t="shared" si="62"/>
        <v>0</v>
      </c>
    </row>
    <row r="1313" spans="1:15" ht="25.5" hidden="1">
      <c r="A1313" s="25">
        <v>3738</v>
      </c>
      <c r="B1313" s="25" t="s">
        <v>69</v>
      </c>
      <c r="C1313" s="26" t="s">
        <v>76</v>
      </c>
      <c r="D1313" s="27">
        <v>73071100</v>
      </c>
      <c r="E1313" s="28" t="s">
        <v>205</v>
      </c>
      <c r="F1313" s="29" t="s">
        <v>206</v>
      </c>
      <c r="G1313" s="30">
        <v>0.75</v>
      </c>
      <c r="H1313" s="27" t="s">
        <v>137</v>
      </c>
      <c r="I1313" s="26" t="s">
        <v>149</v>
      </c>
      <c r="J1313" s="31">
        <v>27</v>
      </c>
      <c r="K1313" s="32">
        <f t="shared" si="60"/>
        <v>20.25</v>
      </c>
      <c r="L1313" s="29" t="s">
        <v>206</v>
      </c>
      <c r="M1313" s="27">
        <f>IFERROR(VLOOKUP(C1313,Custo_MI_Device!$B$2:$E$102,3,FALSE),0)</f>
        <v>0</v>
      </c>
      <c r="N1313" s="27">
        <f t="shared" si="61"/>
        <v>0</v>
      </c>
      <c r="O1313" s="178">
        <f t="shared" si="62"/>
        <v>0</v>
      </c>
    </row>
    <row r="1314" spans="1:15" ht="25.5" hidden="1">
      <c r="A1314" s="25">
        <v>1710</v>
      </c>
      <c r="B1314" s="25" t="s">
        <v>69</v>
      </c>
      <c r="C1314" s="26" t="s">
        <v>76</v>
      </c>
      <c r="D1314" s="27">
        <v>73071100</v>
      </c>
      <c r="E1314" s="28" t="s">
        <v>207</v>
      </c>
      <c r="F1314" s="29" t="s">
        <v>208</v>
      </c>
      <c r="G1314" s="30">
        <v>0.75</v>
      </c>
      <c r="H1314" s="27" t="s">
        <v>137</v>
      </c>
      <c r="I1314" s="26" t="s">
        <v>149</v>
      </c>
      <c r="J1314" s="31">
        <v>27</v>
      </c>
      <c r="K1314" s="32">
        <f t="shared" si="60"/>
        <v>20.25</v>
      </c>
      <c r="L1314" s="29" t="s">
        <v>208</v>
      </c>
      <c r="M1314" s="27">
        <f>IFERROR(VLOOKUP(C1314,Custo_MI_Device!$B$2:$E$102,3,FALSE),0)</f>
        <v>0</v>
      </c>
      <c r="N1314" s="27">
        <f t="shared" si="61"/>
        <v>0</v>
      </c>
      <c r="O1314" s="178">
        <f t="shared" si="62"/>
        <v>0</v>
      </c>
    </row>
    <row r="1315" spans="1:15" ht="25.5" hidden="1">
      <c r="A1315" s="25">
        <v>1715</v>
      </c>
      <c r="B1315" s="25" t="s">
        <v>69</v>
      </c>
      <c r="C1315" s="26" t="s">
        <v>76</v>
      </c>
      <c r="D1315" s="27">
        <v>73071100</v>
      </c>
      <c r="E1315" s="28" t="s">
        <v>209</v>
      </c>
      <c r="F1315" s="29" t="s">
        <v>210</v>
      </c>
      <c r="G1315" s="30">
        <v>0.75</v>
      </c>
      <c r="H1315" s="27" t="s">
        <v>137</v>
      </c>
      <c r="I1315" s="26" t="s">
        <v>149</v>
      </c>
      <c r="J1315" s="31">
        <v>27</v>
      </c>
      <c r="K1315" s="32">
        <f t="shared" si="60"/>
        <v>20.25</v>
      </c>
      <c r="L1315" s="29" t="s">
        <v>210</v>
      </c>
      <c r="M1315" s="27">
        <f>IFERROR(VLOOKUP(C1315,Custo_MI_Device!$B$2:$E$102,3,FALSE),0)</f>
        <v>0</v>
      </c>
      <c r="N1315" s="27">
        <f t="shared" si="61"/>
        <v>0</v>
      </c>
      <c r="O1315" s="178">
        <f t="shared" si="62"/>
        <v>0</v>
      </c>
    </row>
    <row r="1316" spans="1:15" ht="25.5" hidden="1">
      <c r="A1316" s="25">
        <v>2909</v>
      </c>
      <c r="B1316" s="25" t="s">
        <v>69</v>
      </c>
      <c r="C1316" s="26" t="s">
        <v>76</v>
      </c>
      <c r="D1316" s="27">
        <v>73072200</v>
      </c>
      <c r="E1316" s="28" t="s">
        <v>216</v>
      </c>
      <c r="F1316" s="29" t="s">
        <v>217</v>
      </c>
      <c r="G1316" s="30">
        <v>4</v>
      </c>
      <c r="H1316" s="27" t="s">
        <v>137</v>
      </c>
      <c r="I1316" s="26" t="s">
        <v>218</v>
      </c>
      <c r="J1316" s="31">
        <v>27.7</v>
      </c>
      <c r="K1316" s="32">
        <f t="shared" si="60"/>
        <v>110.8</v>
      </c>
      <c r="L1316" s="29" t="s">
        <v>217</v>
      </c>
      <c r="M1316" s="27">
        <f>IFERROR(VLOOKUP(C1316,Custo_MI_Device!$B$2:$E$102,3,FALSE),0)</f>
        <v>0</v>
      </c>
      <c r="N1316" s="27">
        <f t="shared" si="61"/>
        <v>0</v>
      </c>
      <c r="O1316" s="178">
        <f t="shared" si="62"/>
        <v>0</v>
      </c>
    </row>
    <row r="1317" spans="1:15" ht="25.5" hidden="1">
      <c r="A1317" s="25">
        <v>7163</v>
      </c>
      <c r="B1317" s="25" t="s">
        <v>69</v>
      </c>
      <c r="C1317" s="26" t="s">
        <v>76</v>
      </c>
      <c r="D1317" s="27">
        <v>73072200</v>
      </c>
      <c r="E1317" s="28" t="s">
        <v>224</v>
      </c>
      <c r="F1317" s="29">
        <v>0</v>
      </c>
      <c r="G1317" s="30">
        <v>4</v>
      </c>
      <c r="H1317" s="27" t="s">
        <v>137</v>
      </c>
      <c r="I1317" s="26" t="s">
        <v>220</v>
      </c>
      <c r="J1317" s="31">
        <v>58</v>
      </c>
      <c r="K1317" s="32">
        <f t="shared" si="60"/>
        <v>232</v>
      </c>
      <c r="L1317" s="29" t="s">
        <v>225</v>
      </c>
      <c r="M1317" s="27">
        <f>IFERROR(VLOOKUP(C1317,Custo_MI_Device!$B$2:$E$102,3,FALSE),0)</f>
        <v>0</v>
      </c>
      <c r="N1317" s="27">
        <f t="shared" si="61"/>
        <v>0</v>
      </c>
      <c r="O1317" s="178">
        <f t="shared" si="62"/>
        <v>0</v>
      </c>
    </row>
    <row r="1318" spans="1:15" ht="25.5" hidden="1">
      <c r="A1318" s="25">
        <v>3417</v>
      </c>
      <c r="B1318" s="25" t="s">
        <v>69</v>
      </c>
      <c r="C1318" s="26" t="s">
        <v>76</v>
      </c>
      <c r="D1318" s="27">
        <v>73063000</v>
      </c>
      <c r="E1318" s="28" t="s">
        <v>231</v>
      </c>
      <c r="F1318" s="29">
        <v>0</v>
      </c>
      <c r="G1318" s="30">
        <v>2</v>
      </c>
      <c r="H1318" s="27" t="s">
        <v>232</v>
      </c>
      <c r="I1318" s="26" t="s">
        <v>233</v>
      </c>
      <c r="J1318" s="31">
        <v>33.47</v>
      </c>
      <c r="K1318" s="32">
        <f t="shared" si="60"/>
        <v>66.94</v>
      </c>
      <c r="L1318" s="29" t="s">
        <v>234</v>
      </c>
      <c r="M1318" s="27">
        <f>IFERROR(VLOOKUP(C1318,Custo_MI_Device!$B$2:$E$102,3,FALSE),0)</f>
        <v>0</v>
      </c>
      <c r="N1318" s="27">
        <f t="shared" si="61"/>
        <v>0</v>
      </c>
      <c r="O1318" s="178">
        <f t="shared" si="62"/>
        <v>0</v>
      </c>
    </row>
    <row r="1319" spans="1:15" ht="25.5" hidden="1">
      <c r="A1319" s="25">
        <v>1900</v>
      </c>
      <c r="B1319" s="25" t="s">
        <v>69</v>
      </c>
      <c r="C1319" s="26" t="s">
        <v>76</v>
      </c>
      <c r="D1319" s="27">
        <v>73072200</v>
      </c>
      <c r="E1319" s="28" t="s">
        <v>249</v>
      </c>
      <c r="F1319" s="29" t="s">
        <v>250</v>
      </c>
      <c r="G1319" s="30">
        <v>2</v>
      </c>
      <c r="H1319" s="27" t="s">
        <v>137</v>
      </c>
      <c r="I1319" s="26" t="s">
        <v>218</v>
      </c>
      <c r="J1319" s="31">
        <v>27</v>
      </c>
      <c r="K1319" s="32">
        <f t="shared" si="60"/>
        <v>54</v>
      </c>
      <c r="L1319" s="29" t="s">
        <v>250</v>
      </c>
      <c r="M1319" s="27">
        <f>IFERROR(VLOOKUP(C1319,Custo_MI_Device!$B$2:$E$102,3,FALSE),0)</f>
        <v>0</v>
      </c>
      <c r="N1319" s="27">
        <f t="shared" si="61"/>
        <v>0</v>
      </c>
      <c r="O1319" s="178">
        <f t="shared" si="62"/>
        <v>0</v>
      </c>
    </row>
    <row r="1320" spans="1:15" ht="12.75" hidden="1">
      <c r="A1320" s="25">
        <v>1965</v>
      </c>
      <c r="B1320" s="25" t="s">
        <v>69</v>
      </c>
      <c r="C1320" s="26" t="s">
        <v>76</v>
      </c>
      <c r="D1320" s="27">
        <v>73071100</v>
      </c>
      <c r="E1320" s="28" t="s">
        <v>251</v>
      </c>
      <c r="F1320" s="29" t="s">
        <v>252</v>
      </c>
      <c r="G1320" s="30">
        <v>1</v>
      </c>
      <c r="H1320" s="27" t="s">
        <v>137</v>
      </c>
      <c r="I1320" s="26" t="s">
        <v>253</v>
      </c>
      <c r="J1320" s="31">
        <v>5.5</v>
      </c>
      <c r="K1320" s="32">
        <f t="shared" si="60"/>
        <v>5.5</v>
      </c>
      <c r="L1320" s="29" t="s">
        <v>252</v>
      </c>
      <c r="M1320" s="27">
        <f>IFERROR(VLOOKUP(C1320,Custo_MI_Device!$B$2:$E$102,3,FALSE),0)</f>
        <v>0</v>
      </c>
      <c r="N1320" s="27">
        <f t="shared" si="61"/>
        <v>0</v>
      </c>
      <c r="O1320" s="178">
        <f t="shared" si="62"/>
        <v>0</v>
      </c>
    </row>
    <row r="1321" spans="1:15" ht="12.75" hidden="1">
      <c r="A1321" s="25">
        <v>3274</v>
      </c>
      <c r="B1321" s="25" t="s">
        <v>69</v>
      </c>
      <c r="C1321" s="26" t="s">
        <v>76</v>
      </c>
      <c r="D1321" s="27">
        <v>73181500</v>
      </c>
      <c r="E1321" s="28" t="s">
        <v>265</v>
      </c>
      <c r="F1321" s="29" t="s">
        <v>266</v>
      </c>
      <c r="G1321" s="30">
        <v>24</v>
      </c>
      <c r="H1321" s="27" t="s">
        <v>137</v>
      </c>
      <c r="I1321" s="26" t="s">
        <v>256</v>
      </c>
      <c r="J1321" s="31">
        <v>0.06</v>
      </c>
      <c r="K1321" s="32">
        <f t="shared" si="60"/>
        <v>1.44</v>
      </c>
      <c r="L1321" s="29" t="s">
        <v>266</v>
      </c>
      <c r="M1321" s="27">
        <f>IFERROR(VLOOKUP(C1321,Custo_MI_Device!$B$2:$E$102,3,FALSE),0)</f>
        <v>0</v>
      </c>
      <c r="N1321" s="27">
        <f t="shared" si="61"/>
        <v>0</v>
      </c>
      <c r="O1321" s="178">
        <f t="shared" si="62"/>
        <v>0</v>
      </c>
    </row>
    <row r="1322" spans="1:15" ht="12.75" hidden="1">
      <c r="A1322" s="25">
        <v>5081</v>
      </c>
      <c r="B1322" s="25" t="s">
        <v>69</v>
      </c>
      <c r="C1322" s="26" t="s">
        <v>76</v>
      </c>
      <c r="D1322" s="27">
        <v>73145000</v>
      </c>
      <c r="E1322" s="28" t="s">
        <v>278</v>
      </c>
      <c r="F1322" s="29">
        <v>0</v>
      </c>
      <c r="G1322" s="30">
        <v>1</v>
      </c>
      <c r="H1322" s="27" t="s">
        <v>137</v>
      </c>
      <c r="I1322" s="26" t="s">
        <v>279</v>
      </c>
      <c r="J1322" s="31">
        <v>23</v>
      </c>
      <c r="K1322" s="32">
        <f t="shared" si="60"/>
        <v>23</v>
      </c>
      <c r="L1322" s="29" t="s">
        <v>280</v>
      </c>
      <c r="M1322" s="27">
        <f>IFERROR(VLOOKUP(C1322,Custo_MI_Device!$B$2:$E$102,3,FALSE),0)</f>
        <v>0</v>
      </c>
      <c r="N1322" s="27">
        <f t="shared" si="61"/>
        <v>0</v>
      </c>
      <c r="O1322" s="178">
        <f t="shared" si="62"/>
        <v>0</v>
      </c>
    </row>
    <row r="1323" spans="1:15" ht="25.5" hidden="1">
      <c r="A1323" s="25">
        <v>2973</v>
      </c>
      <c r="B1323" s="25" t="s">
        <v>69</v>
      </c>
      <c r="C1323" s="26" t="s">
        <v>76</v>
      </c>
      <c r="D1323" s="27">
        <v>73072200</v>
      </c>
      <c r="E1323" s="28" t="s">
        <v>281</v>
      </c>
      <c r="F1323" s="29" t="s">
        <v>282</v>
      </c>
      <c r="G1323" s="30">
        <v>4</v>
      </c>
      <c r="H1323" s="27" t="s">
        <v>137</v>
      </c>
      <c r="I1323" s="26" t="s">
        <v>218</v>
      </c>
      <c r="J1323" s="31">
        <v>29</v>
      </c>
      <c r="K1323" s="32">
        <f t="shared" si="60"/>
        <v>116</v>
      </c>
      <c r="L1323" s="29" t="s">
        <v>282</v>
      </c>
      <c r="M1323" s="27">
        <f>IFERROR(VLOOKUP(C1323,Custo_MI_Device!$B$2:$E$102,3,FALSE),0)</f>
        <v>0</v>
      </c>
      <c r="N1323" s="27">
        <f t="shared" si="61"/>
        <v>0</v>
      </c>
      <c r="O1323" s="178">
        <f t="shared" si="62"/>
        <v>0</v>
      </c>
    </row>
    <row r="1324" spans="1:15" ht="25.5" hidden="1">
      <c r="A1324" s="25">
        <v>5194</v>
      </c>
      <c r="B1324" s="25" t="s">
        <v>69</v>
      </c>
      <c r="C1324" s="26" t="s">
        <v>76</v>
      </c>
      <c r="D1324" s="27">
        <v>73041010</v>
      </c>
      <c r="E1324" s="28" t="s">
        <v>289</v>
      </c>
      <c r="F1324" s="29" t="s">
        <v>290</v>
      </c>
      <c r="G1324" s="30">
        <v>2</v>
      </c>
      <c r="H1324" s="27" t="s">
        <v>232</v>
      </c>
      <c r="I1324" s="26" t="s">
        <v>218</v>
      </c>
      <c r="J1324" s="31">
        <f>21.5*6</f>
        <v>129</v>
      </c>
      <c r="K1324" s="32">
        <f t="shared" si="60"/>
        <v>258</v>
      </c>
      <c r="L1324" s="29" t="s">
        <v>290</v>
      </c>
      <c r="M1324" s="27">
        <f>IFERROR(VLOOKUP(C1324,Custo_MI_Device!$B$2:$E$102,3,FALSE),0)</f>
        <v>0</v>
      </c>
      <c r="N1324" s="27">
        <f t="shared" si="61"/>
        <v>0</v>
      </c>
      <c r="O1324" s="178">
        <f t="shared" si="62"/>
        <v>0</v>
      </c>
    </row>
    <row r="1325" spans="1:15" ht="25.5" hidden="1">
      <c r="A1325" s="25">
        <v>5147</v>
      </c>
      <c r="B1325" s="25" t="s">
        <v>69</v>
      </c>
      <c r="C1325" s="26" t="s">
        <v>76</v>
      </c>
      <c r="D1325" s="27">
        <v>83079000</v>
      </c>
      <c r="E1325" s="28" t="s">
        <v>293</v>
      </c>
      <c r="F1325" s="29" t="s">
        <v>294</v>
      </c>
      <c r="G1325" s="30">
        <v>1</v>
      </c>
      <c r="H1325" s="27" t="s">
        <v>137</v>
      </c>
      <c r="I1325" s="26" t="s">
        <v>180</v>
      </c>
      <c r="J1325" s="31">
        <v>155</v>
      </c>
      <c r="K1325" s="32">
        <f t="shared" si="60"/>
        <v>155</v>
      </c>
      <c r="L1325" s="29" t="s">
        <v>294</v>
      </c>
      <c r="M1325" s="27">
        <f>IFERROR(VLOOKUP(C1325,Custo_MI_Device!$B$2:$E$102,3,FALSE),0)</f>
        <v>0</v>
      </c>
      <c r="N1325" s="27">
        <f t="shared" si="61"/>
        <v>0</v>
      </c>
      <c r="O1325" s="178">
        <f t="shared" si="62"/>
        <v>0</v>
      </c>
    </row>
    <row r="1326" spans="1:15" ht="25.5" hidden="1">
      <c r="A1326" s="25">
        <v>4834</v>
      </c>
      <c r="B1326" s="25" t="s">
        <v>69</v>
      </c>
      <c r="C1326" s="26" t="s">
        <v>76</v>
      </c>
      <c r="D1326" s="27">
        <v>73071100</v>
      </c>
      <c r="E1326" s="28" t="s">
        <v>299</v>
      </c>
      <c r="F1326" s="29" t="s">
        <v>300</v>
      </c>
      <c r="G1326" s="30">
        <v>1</v>
      </c>
      <c r="H1326" s="27" t="s">
        <v>137</v>
      </c>
      <c r="I1326" s="26" t="s">
        <v>149</v>
      </c>
      <c r="J1326" s="31">
        <v>28</v>
      </c>
      <c r="K1326" s="32">
        <f t="shared" si="60"/>
        <v>28</v>
      </c>
      <c r="L1326" s="29" t="s">
        <v>300</v>
      </c>
      <c r="M1326" s="27">
        <f>IFERROR(VLOOKUP(C1326,Custo_MI_Device!$B$2:$E$102,3,FALSE),0)</f>
        <v>0</v>
      </c>
      <c r="N1326" s="27">
        <f t="shared" si="61"/>
        <v>0</v>
      </c>
      <c r="O1326" s="178">
        <f t="shared" si="62"/>
        <v>0</v>
      </c>
    </row>
    <row r="1327" spans="1:15" ht="25.5" hidden="1">
      <c r="A1327" s="25">
        <v>2125</v>
      </c>
      <c r="B1327" s="25" t="s">
        <v>69</v>
      </c>
      <c r="C1327" s="26" t="s">
        <v>76</v>
      </c>
      <c r="D1327" s="27">
        <v>84818039</v>
      </c>
      <c r="E1327" s="28" t="s">
        <v>301</v>
      </c>
      <c r="F1327" s="29">
        <v>0</v>
      </c>
      <c r="G1327" s="30">
        <v>2</v>
      </c>
      <c r="H1327" s="27" t="s">
        <v>137</v>
      </c>
      <c r="I1327" s="26" t="s">
        <v>220</v>
      </c>
      <c r="J1327" s="31">
        <v>175</v>
      </c>
      <c r="K1327" s="32">
        <f t="shared" si="60"/>
        <v>350</v>
      </c>
      <c r="L1327" s="29" t="s">
        <v>302</v>
      </c>
      <c r="M1327" s="27">
        <f>IFERROR(VLOOKUP(C1327,Custo_MI_Device!$B$2:$E$102,3,FALSE),0)</f>
        <v>0</v>
      </c>
      <c r="N1327" s="27">
        <f t="shared" si="61"/>
        <v>0</v>
      </c>
      <c r="O1327" s="178">
        <f t="shared" si="62"/>
        <v>0</v>
      </c>
    </row>
    <row r="1328" spans="1:15" ht="25.5" hidden="1">
      <c r="A1328" s="25">
        <v>2567</v>
      </c>
      <c r="B1328" s="25" t="s">
        <v>69</v>
      </c>
      <c r="C1328" s="26" t="s">
        <v>76</v>
      </c>
      <c r="D1328" s="27">
        <v>84818095</v>
      </c>
      <c r="E1328" s="28" t="s">
        <v>303</v>
      </c>
      <c r="F1328" s="29">
        <v>0</v>
      </c>
      <c r="G1328" s="30">
        <v>2</v>
      </c>
      <c r="H1328" s="27" t="s">
        <v>137</v>
      </c>
      <c r="I1328" s="26" t="s">
        <v>304</v>
      </c>
      <c r="J1328" s="31">
        <v>27</v>
      </c>
      <c r="K1328" s="32">
        <f t="shared" si="60"/>
        <v>54</v>
      </c>
      <c r="L1328" s="29" t="s">
        <v>305</v>
      </c>
      <c r="M1328" s="27">
        <f>IFERROR(VLOOKUP(C1328,Custo_MI_Device!$B$2:$E$102,3,FALSE),0)</f>
        <v>0</v>
      </c>
      <c r="N1328" s="27">
        <f t="shared" si="61"/>
        <v>0</v>
      </c>
      <c r="O1328" s="178">
        <f t="shared" si="62"/>
        <v>0</v>
      </c>
    </row>
    <row r="1329" spans="1:15" ht="12.75" hidden="1">
      <c r="A1329" s="25">
        <v>2534</v>
      </c>
      <c r="B1329" s="25" t="s">
        <v>69</v>
      </c>
      <c r="C1329" s="26" t="s">
        <v>77</v>
      </c>
      <c r="D1329" s="27">
        <v>73072900</v>
      </c>
      <c r="E1329" s="28" t="s">
        <v>314</v>
      </c>
      <c r="F1329" s="29" t="s">
        <v>315</v>
      </c>
      <c r="G1329" s="30">
        <v>12</v>
      </c>
      <c r="H1329" s="27" t="s">
        <v>137</v>
      </c>
      <c r="I1329" s="26" t="s">
        <v>256</v>
      </c>
      <c r="J1329" s="31">
        <v>1.2</v>
      </c>
      <c r="K1329" s="32">
        <f t="shared" si="60"/>
        <v>14.399999999999999</v>
      </c>
      <c r="L1329" s="29" t="s">
        <v>315</v>
      </c>
      <c r="M1329" s="27">
        <f>IFERROR(VLOOKUP(C1329,Custo_MI_Device!$B$2:$E$102,3,FALSE),0)</f>
        <v>0</v>
      </c>
      <c r="N1329" s="27">
        <f t="shared" si="61"/>
        <v>0</v>
      </c>
      <c r="O1329" s="178">
        <f t="shared" si="62"/>
        <v>0</v>
      </c>
    </row>
    <row r="1330" spans="1:15" ht="12.75" hidden="1">
      <c r="A1330" s="25">
        <v>1669</v>
      </c>
      <c r="B1330" s="25" t="s">
        <v>69</v>
      </c>
      <c r="C1330" s="26" t="s">
        <v>77</v>
      </c>
      <c r="D1330" s="27">
        <v>39269090</v>
      </c>
      <c r="E1330" s="28" t="s">
        <v>316</v>
      </c>
      <c r="F1330" s="29" t="s">
        <v>317</v>
      </c>
      <c r="G1330" s="30">
        <v>3</v>
      </c>
      <c r="H1330" s="27" t="s">
        <v>137</v>
      </c>
      <c r="I1330" s="26" t="s">
        <v>318</v>
      </c>
      <c r="J1330" s="31">
        <v>0.04</v>
      </c>
      <c r="K1330" s="32">
        <f t="shared" si="60"/>
        <v>0.12</v>
      </c>
      <c r="L1330" s="29" t="s">
        <v>317</v>
      </c>
      <c r="M1330" s="27">
        <f>IFERROR(VLOOKUP(C1330,Custo_MI_Device!$B$2:$E$102,3,FALSE),0)</f>
        <v>0</v>
      </c>
      <c r="N1330" s="27">
        <f t="shared" si="61"/>
        <v>0</v>
      </c>
      <c r="O1330" s="178">
        <f t="shared" si="62"/>
        <v>0</v>
      </c>
    </row>
    <row r="1331" spans="1:15" ht="12.75" hidden="1">
      <c r="A1331" s="25">
        <v>5091</v>
      </c>
      <c r="B1331" s="25" t="s">
        <v>69</v>
      </c>
      <c r="C1331" s="26" t="s">
        <v>77</v>
      </c>
      <c r="D1331" s="27">
        <v>73181500</v>
      </c>
      <c r="E1331" s="28" t="s">
        <v>323</v>
      </c>
      <c r="F1331" s="29" t="s">
        <v>324</v>
      </c>
      <c r="G1331" s="30">
        <v>24</v>
      </c>
      <c r="H1331" s="27" t="s">
        <v>137</v>
      </c>
      <c r="I1331" s="26" t="s">
        <v>256</v>
      </c>
      <c r="J1331" s="31">
        <v>0.04</v>
      </c>
      <c r="K1331" s="32">
        <f t="shared" si="60"/>
        <v>0.96</v>
      </c>
      <c r="L1331" s="29" t="s">
        <v>324</v>
      </c>
      <c r="M1331" s="27">
        <f>IFERROR(VLOOKUP(C1331,Custo_MI_Device!$B$2:$E$102,3,FALSE),0)</f>
        <v>0</v>
      </c>
      <c r="N1331" s="27">
        <f t="shared" si="61"/>
        <v>0</v>
      </c>
      <c r="O1331" s="178">
        <f t="shared" si="62"/>
        <v>0</v>
      </c>
    </row>
    <row r="1332" spans="1:15" ht="12.75" hidden="1">
      <c r="A1332" s="25">
        <v>83</v>
      </c>
      <c r="B1332" s="25" t="s">
        <v>69</v>
      </c>
      <c r="C1332" s="26" t="s">
        <v>77</v>
      </c>
      <c r="D1332" s="27"/>
      <c r="E1332" s="28" t="s">
        <v>150</v>
      </c>
      <c r="F1332" s="29" t="s">
        <v>148</v>
      </c>
      <c r="G1332" s="30">
        <v>1</v>
      </c>
      <c r="H1332" s="27" t="s">
        <v>137</v>
      </c>
      <c r="I1332" s="26" t="s">
        <v>149</v>
      </c>
      <c r="J1332" s="31">
        <v>4.8</v>
      </c>
      <c r="K1332" s="32">
        <f t="shared" si="60"/>
        <v>4.8</v>
      </c>
      <c r="L1332" s="29" t="s">
        <v>148</v>
      </c>
      <c r="M1332" s="27">
        <f>IFERROR(VLOOKUP(C1332,Custo_MI_Device!$B$2:$E$102,3,FALSE),0)</f>
        <v>0</v>
      </c>
      <c r="N1332" s="27">
        <f t="shared" si="61"/>
        <v>0</v>
      </c>
      <c r="O1332" s="178">
        <f t="shared" si="62"/>
        <v>0</v>
      </c>
    </row>
    <row r="1333" spans="1:15" ht="12.75" hidden="1">
      <c r="A1333" s="25">
        <v>3080</v>
      </c>
      <c r="B1333" s="25" t="s">
        <v>69</v>
      </c>
      <c r="C1333" s="26" t="s">
        <v>77</v>
      </c>
      <c r="D1333" s="27">
        <v>74122000</v>
      </c>
      <c r="E1333" s="28" t="s">
        <v>153</v>
      </c>
      <c r="F1333" s="29" t="s">
        <v>154</v>
      </c>
      <c r="G1333" s="30">
        <v>1</v>
      </c>
      <c r="H1333" s="27" t="s">
        <v>137</v>
      </c>
      <c r="I1333" s="26" t="s">
        <v>155</v>
      </c>
      <c r="J1333" s="31">
        <v>3.3</v>
      </c>
      <c r="K1333" s="32">
        <f t="shared" si="60"/>
        <v>3.3</v>
      </c>
      <c r="L1333" s="29" t="s">
        <v>154</v>
      </c>
      <c r="M1333" s="27">
        <f>IFERROR(VLOOKUP(C1333,Custo_MI_Device!$B$2:$E$102,3,FALSE),0)</f>
        <v>0</v>
      </c>
      <c r="N1333" s="27">
        <f t="shared" si="61"/>
        <v>0</v>
      </c>
      <c r="O1333" s="178">
        <f t="shared" si="62"/>
        <v>0</v>
      </c>
    </row>
    <row r="1334" spans="1:15" ht="25.5" hidden="1">
      <c r="A1334" s="25">
        <v>5139</v>
      </c>
      <c r="B1334" s="25" t="s">
        <v>69</v>
      </c>
      <c r="C1334" s="26" t="s">
        <v>77</v>
      </c>
      <c r="D1334" s="27">
        <v>85444900</v>
      </c>
      <c r="E1334" s="28" t="s">
        <v>170</v>
      </c>
      <c r="F1334" s="29" t="s">
        <v>171</v>
      </c>
      <c r="G1334" s="30">
        <v>15</v>
      </c>
      <c r="H1334" s="27" t="s">
        <v>158</v>
      </c>
      <c r="I1334" s="26" t="s">
        <v>172</v>
      </c>
      <c r="J1334" s="31">
        <v>7.5</v>
      </c>
      <c r="K1334" s="32">
        <f t="shared" si="60"/>
        <v>112.5</v>
      </c>
      <c r="L1334" s="29" t="s">
        <v>173</v>
      </c>
      <c r="M1334" s="27">
        <f>IFERROR(VLOOKUP(C1334,Custo_MI_Device!$B$2:$E$102,3,FALSE),0)</f>
        <v>0</v>
      </c>
      <c r="N1334" s="27">
        <f t="shared" si="61"/>
        <v>0</v>
      </c>
      <c r="O1334" s="178">
        <f t="shared" si="62"/>
        <v>0</v>
      </c>
    </row>
    <row r="1335" spans="1:15" ht="12.75" hidden="1">
      <c r="A1335" s="25">
        <v>2805</v>
      </c>
      <c r="B1335" s="25" t="s">
        <v>69</v>
      </c>
      <c r="C1335" s="26" t="s">
        <v>77</v>
      </c>
      <c r="D1335" s="27">
        <v>72162100</v>
      </c>
      <c r="E1335" s="28" t="s">
        <v>174</v>
      </c>
      <c r="F1335" s="29">
        <v>0</v>
      </c>
      <c r="G1335" s="30">
        <v>2.9</v>
      </c>
      <c r="H1335" s="27" t="s">
        <v>175</v>
      </c>
      <c r="I1335" s="26" t="s">
        <v>176</v>
      </c>
      <c r="J1335" s="31">
        <v>4.22</v>
      </c>
      <c r="K1335" s="32">
        <f t="shared" si="60"/>
        <v>12.238</v>
      </c>
      <c r="L1335" s="29" t="s">
        <v>177</v>
      </c>
      <c r="M1335" s="27">
        <f>IFERROR(VLOOKUP(C1335,Custo_MI_Device!$B$2:$E$102,3,FALSE),0)</f>
        <v>0</v>
      </c>
      <c r="N1335" s="27">
        <f t="shared" si="61"/>
        <v>0</v>
      </c>
      <c r="O1335" s="178">
        <f t="shared" si="62"/>
        <v>0</v>
      </c>
    </row>
    <row r="1336" spans="1:15" ht="25.5" hidden="1">
      <c r="A1336" s="25">
        <v>3738</v>
      </c>
      <c r="B1336" s="25" t="s">
        <v>69</v>
      </c>
      <c r="C1336" s="26" t="s">
        <v>77</v>
      </c>
      <c r="D1336" s="27">
        <v>73071100</v>
      </c>
      <c r="E1336" s="28" t="s">
        <v>205</v>
      </c>
      <c r="F1336" s="29" t="s">
        <v>206</v>
      </c>
      <c r="G1336" s="30">
        <v>0.75</v>
      </c>
      <c r="H1336" s="27" t="s">
        <v>137</v>
      </c>
      <c r="I1336" s="26" t="s">
        <v>149</v>
      </c>
      <c r="J1336" s="31">
        <v>27</v>
      </c>
      <c r="K1336" s="32">
        <f t="shared" si="60"/>
        <v>20.25</v>
      </c>
      <c r="L1336" s="29" t="s">
        <v>206</v>
      </c>
      <c r="M1336" s="27">
        <f>IFERROR(VLOOKUP(C1336,Custo_MI_Device!$B$2:$E$102,3,FALSE),0)</f>
        <v>0</v>
      </c>
      <c r="N1336" s="27">
        <f t="shared" si="61"/>
        <v>0</v>
      </c>
      <c r="O1336" s="178">
        <f t="shared" si="62"/>
        <v>0</v>
      </c>
    </row>
    <row r="1337" spans="1:15" ht="25.5" hidden="1">
      <c r="A1337" s="25">
        <v>1710</v>
      </c>
      <c r="B1337" s="25" t="s">
        <v>69</v>
      </c>
      <c r="C1337" s="26" t="s">
        <v>77</v>
      </c>
      <c r="D1337" s="27">
        <v>73071100</v>
      </c>
      <c r="E1337" s="28" t="s">
        <v>207</v>
      </c>
      <c r="F1337" s="29" t="s">
        <v>208</v>
      </c>
      <c r="G1337" s="30">
        <v>0.75</v>
      </c>
      <c r="H1337" s="27" t="s">
        <v>137</v>
      </c>
      <c r="I1337" s="26" t="s">
        <v>149</v>
      </c>
      <c r="J1337" s="31">
        <v>27</v>
      </c>
      <c r="K1337" s="32">
        <f t="shared" si="60"/>
        <v>20.25</v>
      </c>
      <c r="L1337" s="29" t="s">
        <v>208</v>
      </c>
      <c r="M1337" s="27">
        <f>IFERROR(VLOOKUP(C1337,Custo_MI_Device!$B$2:$E$102,3,FALSE),0)</f>
        <v>0</v>
      </c>
      <c r="N1337" s="27">
        <f t="shared" si="61"/>
        <v>0</v>
      </c>
      <c r="O1337" s="178">
        <f t="shared" si="62"/>
        <v>0</v>
      </c>
    </row>
    <row r="1338" spans="1:15" ht="25.5" hidden="1">
      <c r="A1338" s="25">
        <v>1715</v>
      </c>
      <c r="B1338" s="25" t="s">
        <v>69</v>
      </c>
      <c r="C1338" s="26" t="s">
        <v>77</v>
      </c>
      <c r="D1338" s="27">
        <v>73071100</v>
      </c>
      <c r="E1338" s="28" t="s">
        <v>209</v>
      </c>
      <c r="F1338" s="29" t="s">
        <v>210</v>
      </c>
      <c r="G1338" s="30">
        <v>0.75</v>
      </c>
      <c r="H1338" s="27" t="s">
        <v>137</v>
      </c>
      <c r="I1338" s="26" t="s">
        <v>149</v>
      </c>
      <c r="J1338" s="31">
        <v>27</v>
      </c>
      <c r="K1338" s="32">
        <f t="shared" si="60"/>
        <v>20.25</v>
      </c>
      <c r="L1338" s="29" t="s">
        <v>210</v>
      </c>
      <c r="M1338" s="27">
        <f>IFERROR(VLOOKUP(C1338,Custo_MI_Device!$B$2:$E$102,3,FALSE),0)</f>
        <v>0</v>
      </c>
      <c r="N1338" s="27">
        <f t="shared" si="61"/>
        <v>0</v>
      </c>
      <c r="O1338" s="178">
        <f t="shared" si="62"/>
        <v>0</v>
      </c>
    </row>
    <row r="1339" spans="1:15" ht="25.5" hidden="1">
      <c r="A1339" s="25">
        <v>2909</v>
      </c>
      <c r="B1339" s="25" t="s">
        <v>69</v>
      </c>
      <c r="C1339" s="26" t="s">
        <v>77</v>
      </c>
      <c r="D1339" s="27">
        <v>73072200</v>
      </c>
      <c r="E1339" s="28" t="s">
        <v>216</v>
      </c>
      <c r="F1339" s="29" t="s">
        <v>217</v>
      </c>
      <c r="G1339" s="30">
        <v>4</v>
      </c>
      <c r="H1339" s="27" t="s">
        <v>137</v>
      </c>
      <c r="I1339" s="26" t="s">
        <v>218</v>
      </c>
      <c r="J1339" s="31">
        <v>27.7</v>
      </c>
      <c r="K1339" s="32">
        <f t="shared" si="60"/>
        <v>110.8</v>
      </c>
      <c r="L1339" s="29" t="s">
        <v>217</v>
      </c>
      <c r="M1339" s="27">
        <f>IFERROR(VLOOKUP(C1339,Custo_MI_Device!$B$2:$E$102,3,FALSE),0)</f>
        <v>0</v>
      </c>
      <c r="N1339" s="27">
        <f t="shared" si="61"/>
        <v>0</v>
      </c>
      <c r="O1339" s="178">
        <f t="shared" si="62"/>
        <v>0</v>
      </c>
    </row>
    <row r="1340" spans="1:15" ht="25.5" hidden="1">
      <c r="A1340" s="25">
        <v>7163</v>
      </c>
      <c r="B1340" s="25" t="s">
        <v>69</v>
      </c>
      <c r="C1340" s="26" t="s">
        <v>77</v>
      </c>
      <c r="D1340" s="27">
        <v>73072200</v>
      </c>
      <c r="E1340" s="28" t="s">
        <v>224</v>
      </c>
      <c r="F1340" s="29">
        <v>0</v>
      </c>
      <c r="G1340" s="30">
        <v>4</v>
      </c>
      <c r="H1340" s="27" t="s">
        <v>137</v>
      </c>
      <c r="I1340" s="26" t="s">
        <v>220</v>
      </c>
      <c r="J1340" s="31">
        <v>58</v>
      </c>
      <c r="K1340" s="32">
        <f t="shared" si="60"/>
        <v>232</v>
      </c>
      <c r="L1340" s="29" t="s">
        <v>225</v>
      </c>
      <c r="M1340" s="27">
        <f>IFERROR(VLOOKUP(C1340,Custo_MI_Device!$B$2:$E$102,3,FALSE),0)</f>
        <v>0</v>
      </c>
      <c r="N1340" s="27">
        <f t="shared" si="61"/>
        <v>0</v>
      </c>
      <c r="O1340" s="178">
        <f t="shared" si="62"/>
        <v>0</v>
      </c>
    </row>
    <row r="1341" spans="1:15" ht="25.5" hidden="1">
      <c r="A1341" s="25">
        <v>3417</v>
      </c>
      <c r="B1341" s="25" t="s">
        <v>69</v>
      </c>
      <c r="C1341" s="26" t="s">
        <v>77</v>
      </c>
      <c r="D1341" s="27">
        <v>73063000</v>
      </c>
      <c r="E1341" s="28" t="s">
        <v>231</v>
      </c>
      <c r="F1341" s="29">
        <v>0</v>
      </c>
      <c r="G1341" s="30">
        <v>2</v>
      </c>
      <c r="H1341" s="27" t="s">
        <v>232</v>
      </c>
      <c r="I1341" s="26" t="s">
        <v>233</v>
      </c>
      <c r="J1341" s="31">
        <v>33.47</v>
      </c>
      <c r="K1341" s="32">
        <f t="shared" si="60"/>
        <v>66.94</v>
      </c>
      <c r="L1341" s="29" t="s">
        <v>234</v>
      </c>
      <c r="M1341" s="27">
        <f>IFERROR(VLOOKUP(C1341,Custo_MI_Device!$B$2:$E$102,3,FALSE),0)</f>
        <v>0</v>
      </c>
      <c r="N1341" s="27">
        <f t="shared" si="61"/>
        <v>0</v>
      </c>
      <c r="O1341" s="178">
        <f t="shared" si="62"/>
        <v>0</v>
      </c>
    </row>
    <row r="1342" spans="1:15" ht="25.5" hidden="1">
      <c r="A1342" s="25">
        <v>1900</v>
      </c>
      <c r="B1342" s="25" t="s">
        <v>69</v>
      </c>
      <c r="C1342" s="26" t="s">
        <v>77</v>
      </c>
      <c r="D1342" s="27">
        <v>73072200</v>
      </c>
      <c r="E1342" s="28" t="s">
        <v>249</v>
      </c>
      <c r="F1342" s="29" t="s">
        <v>250</v>
      </c>
      <c r="G1342" s="30">
        <v>2</v>
      </c>
      <c r="H1342" s="27" t="s">
        <v>137</v>
      </c>
      <c r="I1342" s="26" t="s">
        <v>218</v>
      </c>
      <c r="J1342" s="31">
        <v>27</v>
      </c>
      <c r="K1342" s="32">
        <f t="shared" si="60"/>
        <v>54</v>
      </c>
      <c r="L1342" s="29" t="s">
        <v>250</v>
      </c>
      <c r="M1342" s="27">
        <f>IFERROR(VLOOKUP(C1342,Custo_MI_Device!$B$2:$E$102,3,FALSE),0)</f>
        <v>0</v>
      </c>
      <c r="N1342" s="27">
        <f t="shared" si="61"/>
        <v>0</v>
      </c>
      <c r="O1342" s="178">
        <f t="shared" si="62"/>
        <v>0</v>
      </c>
    </row>
    <row r="1343" spans="1:15" ht="12.75" hidden="1">
      <c r="A1343" s="25">
        <v>1965</v>
      </c>
      <c r="B1343" s="25" t="s">
        <v>69</v>
      </c>
      <c r="C1343" s="26" t="s">
        <v>77</v>
      </c>
      <c r="D1343" s="27">
        <v>73071100</v>
      </c>
      <c r="E1343" s="28" t="s">
        <v>251</v>
      </c>
      <c r="F1343" s="29" t="s">
        <v>252</v>
      </c>
      <c r="G1343" s="30">
        <v>1</v>
      </c>
      <c r="H1343" s="27" t="s">
        <v>137</v>
      </c>
      <c r="I1343" s="26" t="s">
        <v>253</v>
      </c>
      <c r="J1343" s="31">
        <v>5.5</v>
      </c>
      <c r="K1343" s="32">
        <f t="shared" si="60"/>
        <v>5.5</v>
      </c>
      <c r="L1343" s="29" t="s">
        <v>252</v>
      </c>
      <c r="M1343" s="27">
        <f>IFERROR(VLOOKUP(C1343,Custo_MI_Device!$B$2:$E$102,3,FALSE),0)</f>
        <v>0</v>
      </c>
      <c r="N1343" s="27">
        <f t="shared" si="61"/>
        <v>0</v>
      </c>
      <c r="O1343" s="178">
        <f t="shared" si="62"/>
        <v>0</v>
      </c>
    </row>
    <row r="1344" spans="1:15" ht="12.75" hidden="1">
      <c r="A1344" s="25">
        <v>3274</v>
      </c>
      <c r="B1344" s="25" t="s">
        <v>69</v>
      </c>
      <c r="C1344" s="26" t="s">
        <v>77</v>
      </c>
      <c r="D1344" s="27">
        <v>73181500</v>
      </c>
      <c r="E1344" s="28" t="s">
        <v>265</v>
      </c>
      <c r="F1344" s="29" t="s">
        <v>266</v>
      </c>
      <c r="G1344" s="30">
        <v>24</v>
      </c>
      <c r="H1344" s="27" t="s">
        <v>137</v>
      </c>
      <c r="I1344" s="26" t="s">
        <v>256</v>
      </c>
      <c r="J1344" s="31">
        <v>0.06</v>
      </c>
      <c r="K1344" s="32">
        <f t="shared" si="60"/>
        <v>1.44</v>
      </c>
      <c r="L1344" s="29" t="s">
        <v>266</v>
      </c>
      <c r="M1344" s="27">
        <f>IFERROR(VLOOKUP(C1344,Custo_MI_Device!$B$2:$E$102,3,FALSE),0)</f>
        <v>0</v>
      </c>
      <c r="N1344" s="27">
        <f t="shared" si="61"/>
        <v>0</v>
      </c>
      <c r="O1344" s="178">
        <f t="shared" si="62"/>
        <v>0</v>
      </c>
    </row>
    <row r="1345" spans="1:15" ht="12.75" hidden="1">
      <c r="A1345" s="25">
        <v>5081</v>
      </c>
      <c r="B1345" s="25" t="s">
        <v>69</v>
      </c>
      <c r="C1345" s="26" t="s">
        <v>77</v>
      </c>
      <c r="D1345" s="27">
        <v>73145000</v>
      </c>
      <c r="E1345" s="28" t="s">
        <v>278</v>
      </c>
      <c r="F1345" s="29">
        <v>0</v>
      </c>
      <c r="G1345" s="30">
        <v>1</v>
      </c>
      <c r="H1345" s="27" t="s">
        <v>137</v>
      </c>
      <c r="I1345" s="26" t="s">
        <v>279</v>
      </c>
      <c r="J1345" s="31">
        <v>23</v>
      </c>
      <c r="K1345" s="32">
        <f t="shared" si="60"/>
        <v>23</v>
      </c>
      <c r="L1345" s="29" t="s">
        <v>280</v>
      </c>
      <c r="M1345" s="27">
        <f>IFERROR(VLOOKUP(C1345,Custo_MI_Device!$B$2:$E$102,3,FALSE),0)</f>
        <v>0</v>
      </c>
      <c r="N1345" s="27">
        <f t="shared" si="61"/>
        <v>0</v>
      </c>
      <c r="O1345" s="178">
        <f t="shared" si="62"/>
        <v>0</v>
      </c>
    </row>
    <row r="1346" spans="1:15" ht="25.5" hidden="1">
      <c r="A1346" s="25">
        <v>2973</v>
      </c>
      <c r="B1346" s="25" t="s">
        <v>69</v>
      </c>
      <c r="C1346" s="26" t="s">
        <v>77</v>
      </c>
      <c r="D1346" s="27">
        <v>73072200</v>
      </c>
      <c r="E1346" s="28" t="s">
        <v>281</v>
      </c>
      <c r="F1346" s="29" t="s">
        <v>282</v>
      </c>
      <c r="G1346" s="30">
        <v>4</v>
      </c>
      <c r="H1346" s="27" t="s">
        <v>137</v>
      </c>
      <c r="I1346" s="26" t="s">
        <v>218</v>
      </c>
      <c r="J1346" s="31">
        <v>29</v>
      </c>
      <c r="K1346" s="32">
        <f t="shared" si="60"/>
        <v>116</v>
      </c>
      <c r="L1346" s="29" t="s">
        <v>282</v>
      </c>
      <c r="M1346" s="27">
        <f>IFERROR(VLOOKUP(C1346,Custo_MI_Device!$B$2:$E$102,3,FALSE),0)</f>
        <v>0</v>
      </c>
      <c r="N1346" s="27">
        <f t="shared" si="61"/>
        <v>0</v>
      </c>
      <c r="O1346" s="178">
        <f t="shared" si="62"/>
        <v>0</v>
      </c>
    </row>
    <row r="1347" spans="1:15" ht="25.5" hidden="1">
      <c r="A1347" s="25">
        <v>5194</v>
      </c>
      <c r="B1347" s="25" t="s">
        <v>69</v>
      </c>
      <c r="C1347" s="26" t="s">
        <v>77</v>
      </c>
      <c r="D1347" s="27">
        <v>73041010</v>
      </c>
      <c r="E1347" s="28" t="s">
        <v>289</v>
      </c>
      <c r="F1347" s="29" t="s">
        <v>290</v>
      </c>
      <c r="G1347" s="30">
        <v>2</v>
      </c>
      <c r="H1347" s="27" t="s">
        <v>232</v>
      </c>
      <c r="I1347" s="26" t="s">
        <v>218</v>
      </c>
      <c r="J1347" s="31">
        <f>21.5*6</f>
        <v>129</v>
      </c>
      <c r="K1347" s="32">
        <f t="shared" ref="K1347:K1410" si="63">G1347*J1347</f>
        <v>258</v>
      </c>
      <c r="L1347" s="29" t="s">
        <v>290</v>
      </c>
      <c r="M1347" s="27">
        <f>IFERROR(VLOOKUP(C1347,Custo_MI_Device!$B$2:$E$102,3,FALSE),0)</f>
        <v>0</v>
      </c>
      <c r="N1347" s="27">
        <f t="shared" ref="N1347:N1410" si="64">ROUNDUP(M1347*G1347,0)</f>
        <v>0</v>
      </c>
      <c r="O1347" s="178">
        <f t="shared" ref="O1347:O1410" si="65">N1347*J1347</f>
        <v>0</v>
      </c>
    </row>
    <row r="1348" spans="1:15" ht="25.5" hidden="1">
      <c r="A1348" s="25">
        <v>5147</v>
      </c>
      <c r="B1348" s="25" t="s">
        <v>69</v>
      </c>
      <c r="C1348" s="26" t="s">
        <v>77</v>
      </c>
      <c r="D1348" s="27">
        <v>83079000</v>
      </c>
      <c r="E1348" s="28" t="s">
        <v>293</v>
      </c>
      <c r="F1348" s="29" t="s">
        <v>294</v>
      </c>
      <c r="G1348" s="30">
        <v>1</v>
      </c>
      <c r="H1348" s="27" t="s">
        <v>137</v>
      </c>
      <c r="I1348" s="26" t="s">
        <v>180</v>
      </c>
      <c r="J1348" s="31">
        <v>155</v>
      </c>
      <c r="K1348" s="32">
        <f t="shared" si="63"/>
        <v>155</v>
      </c>
      <c r="L1348" s="29" t="s">
        <v>294</v>
      </c>
      <c r="M1348" s="27">
        <f>IFERROR(VLOOKUP(C1348,Custo_MI_Device!$B$2:$E$102,3,FALSE),0)</f>
        <v>0</v>
      </c>
      <c r="N1348" s="27">
        <f t="shared" si="64"/>
        <v>0</v>
      </c>
      <c r="O1348" s="178">
        <f t="shared" si="65"/>
        <v>0</v>
      </c>
    </row>
    <row r="1349" spans="1:15" ht="25.5" hidden="1">
      <c r="A1349" s="25">
        <v>4834</v>
      </c>
      <c r="B1349" s="25" t="s">
        <v>69</v>
      </c>
      <c r="C1349" s="26" t="s">
        <v>77</v>
      </c>
      <c r="D1349" s="27">
        <v>73071100</v>
      </c>
      <c r="E1349" s="28" t="s">
        <v>299</v>
      </c>
      <c r="F1349" s="29" t="s">
        <v>300</v>
      </c>
      <c r="G1349" s="30">
        <v>1</v>
      </c>
      <c r="H1349" s="27" t="s">
        <v>137</v>
      </c>
      <c r="I1349" s="26" t="s">
        <v>149</v>
      </c>
      <c r="J1349" s="31">
        <v>28</v>
      </c>
      <c r="K1349" s="32">
        <f t="shared" si="63"/>
        <v>28</v>
      </c>
      <c r="L1349" s="29" t="s">
        <v>300</v>
      </c>
      <c r="M1349" s="27">
        <f>IFERROR(VLOOKUP(C1349,Custo_MI_Device!$B$2:$E$102,3,FALSE),0)</f>
        <v>0</v>
      </c>
      <c r="N1349" s="27">
        <f t="shared" si="64"/>
        <v>0</v>
      </c>
      <c r="O1349" s="178">
        <f t="shared" si="65"/>
        <v>0</v>
      </c>
    </row>
    <row r="1350" spans="1:15" ht="25.5" hidden="1">
      <c r="A1350" s="25">
        <v>2125</v>
      </c>
      <c r="B1350" s="25" t="s">
        <v>69</v>
      </c>
      <c r="C1350" s="26" t="s">
        <v>77</v>
      </c>
      <c r="D1350" s="27">
        <v>84818039</v>
      </c>
      <c r="E1350" s="28" t="s">
        <v>301</v>
      </c>
      <c r="F1350" s="29">
        <v>0</v>
      </c>
      <c r="G1350" s="30">
        <v>2</v>
      </c>
      <c r="H1350" s="27" t="s">
        <v>137</v>
      </c>
      <c r="I1350" s="26" t="s">
        <v>220</v>
      </c>
      <c r="J1350" s="31">
        <v>175</v>
      </c>
      <c r="K1350" s="32">
        <f t="shared" si="63"/>
        <v>350</v>
      </c>
      <c r="L1350" s="29" t="s">
        <v>302</v>
      </c>
      <c r="M1350" s="27">
        <f>IFERROR(VLOOKUP(C1350,Custo_MI_Device!$B$2:$E$102,3,FALSE),0)</f>
        <v>0</v>
      </c>
      <c r="N1350" s="27">
        <f t="shared" si="64"/>
        <v>0</v>
      </c>
      <c r="O1350" s="178">
        <f t="shared" si="65"/>
        <v>0</v>
      </c>
    </row>
    <row r="1351" spans="1:15" ht="25.5" hidden="1">
      <c r="A1351" s="25">
        <v>2567</v>
      </c>
      <c r="B1351" s="25" t="s">
        <v>69</v>
      </c>
      <c r="C1351" s="26" t="s">
        <v>77</v>
      </c>
      <c r="D1351" s="27">
        <v>84818095</v>
      </c>
      <c r="E1351" s="28" t="s">
        <v>303</v>
      </c>
      <c r="F1351" s="29">
        <v>0</v>
      </c>
      <c r="G1351" s="30">
        <v>2</v>
      </c>
      <c r="H1351" s="27" t="s">
        <v>137</v>
      </c>
      <c r="I1351" s="26" t="s">
        <v>304</v>
      </c>
      <c r="J1351" s="31">
        <v>27</v>
      </c>
      <c r="K1351" s="32">
        <f t="shared" si="63"/>
        <v>54</v>
      </c>
      <c r="L1351" s="29" t="s">
        <v>305</v>
      </c>
      <c r="M1351" s="27">
        <f>IFERROR(VLOOKUP(C1351,Custo_MI_Device!$B$2:$E$102,3,FALSE),0)</f>
        <v>0</v>
      </c>
      <c r="N1351" s="27">
        <f t="shared" si="64"/>
        <v>0</v>
      </c>
      <c r="O1351" s="178">
        <f t="shared" si="65"/>
        <v>0</v>
      </c>
    </row>
    <row r="1352" spans="1:15" ht="12.75" hidden="1">
      <c r="A1352" s="25">
        <v>2534</v>
      </c>
      <c r="B1352" s="25" t="s">
        <v>69</v>
      </c>
      <c r="C1352" s="26" t="s">
        <v>78</v>
      </c>
      <c r="D1352" s="27">
        <v>73072900</v>
      </c>
      <c r="E1352" s="28" t="s">
        <v>314</v>
      </c>
      <c r="F1352" s="29" t="s">
        <v>315</v>
      </c>
      <c r="G1352" s="30">
        <v>12</v>
      </c>
      <c r="H1352" s="27" t="s">
        <v>137</v>
      </c>
      <c r="I1352" s="26" t="s">
        <v>256</v>
      </c>
      <c r="J1352" s="31">
        <v>1.2</v>
      </c>
      <c r="K1352" s="32">
        <f t="shared" si="63"/>
        <v>14.399999999999999</v>
      </c>
      <c r="L1352" s="29" t="s">
        <v>315</v>
      </c>
      <c r="M1352" s="27">
        <f>IFERROR(VLOOKUP(C1352,Custo_MI_Device!$B$2:$E$102,3,FALSE),0)</f>
        <v>0</v>
      </c>
      <c r="N1352" s="27">
        <f t="shared" si="64"/>
        <v>0</v>
      </c>
      <c r="O1352" s="178">
        <f t="shared" si="65"/>
        <v>0</v>
      </c>
    </row>
    <row r="1353" spans="1:15" ht="12.75" hidden="1">
      <c r="A1353" s="25">
        <v>1669</v>
      </c>
      <c r="B1353" s="25" t="s">
        <v>69</v>
      </c>
      <c r="C1353" s="26" t="s">
        <v>78</v>
      </c>
      <c r="D1353" s="27">
        <v>39269090</v>
      </c>
      <c r="E1353" s="28" t="s">
        <v>316</v>
      </c>
      <c r="F1353" s="29" t="s">
        <v>317</v>
      </c>
      <c r="G1353" s="30">
        <v>3</v>
      </c>
      <c r="H1353" s="27" t="s">
        <v>137</v>
      </c>
      <c r="I1353" s="26" t="s">
        <v>318</v>
      </c>
      <c r="J1353" s="31">
        <v>0.04</v>
      </c>
      <c r="K1353" s="32">
        <f t="shared" si="63"/>
        <v>0.12</v>
      </c>
      <c r="L1353" s="29" t="s">
        <v>317</v>
      </c>
      <c r="M1353" s="27">
        <f>IFERROR(VLOOKUP(C1353,Custo_MI_Device!$B$2:$E$102,3,FALSE),0)</f>
        <v>0</v>
      </c>
      <c r="N1353" s="27">
        <f t="shared" si="64"/>
        <v>0</v>
      </c>
      <c r="O1353" s="178">
        <f t="shared" si="65"/>
        <v>0</v>
      </c>
    </row>
    <row r="1354" spans="1:15" ht="12.75" hidden="1">
      <c r="A1354" s="25">
        <v>5091</v>
      </c>
      <c r="B1354" s="25" t="s">
        <v>69</v>
      </c>
      <c r="C1354" s="26" t="s">
        <v>78</v>
      </c>
      <c r="D1354" s="27">
        <v>73181500</v>
      </c>
      <c r="E1354" s="28" t="s">
        <v>323</v>
      </c>
      <c r="F1354" s="29" t="s">
        <v>324</v>
      </c>
      <c r="G1354" s="30">
        <v>24</v>
      </c>
      <c r="H1354" s="27" t="s">
        <v>137</v>
      </c>
      <c r="I1354" s="26" t="s">
        <v>256</v>
      </c>
      <c r="J1354" s="31">
        <v>0.04</v>
      </c>
      <c r="K1354" s="32">
        <f t="shared" si="63"/>
        <v>0.96</v>
      </c>
      <c r="L1354" s="29" t="s">
        <v>324</v>
      </c>
      <c r="M1354" s="27">
        <f>IFERROR(VLOOKUP(C1354,Custo_MI_Device!$B$2:$E$102,3,FALSE),0)</f>
        <v>0</v>
      </c>
      <c r="N1354" s="27">
        <f t="shared" si="64"/>
        <v>0</v>
      </c>
      <c r="O1354" s="178">
        <f t="shared" si="65"/>
        <v>0</v>
      </c>
    </row>
    <row r="1355" spans="1:15" ht="12.75" hidden="1">
      <c r="A1355" s="25">
        <v>1303</v>
      </c>
      <c r="B1355" s="25" t="s">
        <v>69</v>
      </c>
      <c r="C1355" s="26" t="s">
        <v>78</v>
      </c>
      <c r="D1355" s="27">
        <v>73071910</v>
      </c>
      <c r="E1355" s="28" t="s">
        <v>151</v>
      </c>
      <c r="F1355" s="29">
        <v>241</v>
      </c>
      <c r="G1355" s="30">
        <v>2</v>
      </c>
      <c r="H1355" s="27" t="s">
        <v>137</v>
      </c>
      <c r="I1355" s="26" t="s">
        <v>152</v>
      </c>
      <c r="J1355" s="31">
        <v>15</v>
      </c>
      <c r="K1355" s="32">
        <f t="shared" si="63"/>
        <v>30</v>
      </c>
      <c r="L1355" s="29">
        <v>241</v>
      </c>
      <c r="M1355" s="27">
        <f>IFERROR(VLOOKUP(C1355,Custo_MI_Device!$B$2:$E$102,3,FALSE),0)</f>
        <v>0</v>
      </c>
      <c r="N1355" s="27">
        <f t="shared" si="64"/>
        <v>0</v>
      </c>
      <c r="O1355" s="178">
        <f t="shared" si="65"/>
        <v>0</v>
      </c>
    </row>
    <row r="1356" spans="1:15" ht="12.75" hidden="1">
      <c r="A1356" s="25">
        <v>1117</v>
      </c>
      <c r="B1356" s="25" t="s">
        <v>69</v>
      </c>
      <c r="C1356" s="26" t="s">
        <v>78</v>
      </c>
      <c r="D1356" s="27"/>
      <c r="E1356" s="28" t="s">
        <v>145</v>
      </c>
      <c r="F1356" s="29" t="s">
        <v>146</v>
      </c>
      <c r="G1356" s="30">
        <v>1</v>
      </c>
      <c r="H1356" s="27" t="s">
        <v>137</v>
      </c>
      <c r="I1356" s="26" t="s">
        <v>138</v>
      </c>
      <c r="J1356" s="31">
        <v>1.95</v>
      </c>
      <c r="K1356" s="32">
        <f t="shared" si="63"/>
        <v>1.95</v>
      </c>
      <c r="L1356" s="29" t="s">
        <v>146</v>
      </c>
      <c r="M1356" s="27">
        <f>IFERROR(VLOOKUP(C1356,Custo_MI_Device!$B$2:$E$102,3,FALSE),0)</f>
        <v>0</v>
      </c>
      <c r="N1356" s="27">
        <f t="shared" si="64"/>
        <v>0</v>
      </c>
      <c r="O1356" s="178">
        <f t="shared" si="65"/>
        <v>0</v>
      </c>
    </row>
    <row r="1357" spans="1:15" ht="12.75" hidden="1">
      <c r="A1357" s="25">
        <v>3080</v>
      </c>
      <c r="B1357" s="25" t="s">
        <v>69</v>
      </c>
      <c r="C1357" s="26" t="s">
        <v>78</v>
      </c>
      <c r="D1357" s="27">
        <v>74122000</v>
      </c>
      <c r="E1357" s="28" t="s">
        <v>153</v>
      </c>
      <c r="F1357" s="29" t="s">
        <v>154</v>
      </c>
      <c r="G1357" s="30">
        <v>1</v>
      </c>
      <c r="H1357" s="27" t="s">
        <v>137</v>
      </c>
      <c r="I1357" s="26" t="s">
        <v>155</v>
      </c>
      <c r="J1357" s="31">
        <v>3.3</v>
      </c>
      <c r="K1357" s="32">
        <f t="shared" si="63"/>
        <v>3.3</v>
      </c>
      <c r="L1357" s="29" t="s">
        <v>154</v>
      </c>
      <c r="M1357" s="27">
        <f>IFERROR(VLOOKUP(C1357,Custo_MI_Device!$B$2:$E$102,3,FALSE),0)</f>
        <v>0</v>
      </c>
      <c r="N1357" s="27">
        <f t="shared" si="64"/>
        <v>0</v>
      </c>
      <c r="O1357" s="178">
        <f t="shared" si="65"/>
        <v>0</v>
      </c>
    </row>
    <row r="1358" spans="1:15" ht="12.75" hidden="1">
      <c r="A1358" s="25">
        <v>185</v>
      </c>
      <c r="B1358" s="25" t="s">
        <v>69</v>
      </c>
      <c r="C1358" s="26" t="s">
        <v>78</v>
      </c>
      <c r="D1358" s="27">
        <v>73071910</v>
      </c>
      <c r="E1358" s="28" t="s">
        <v>156</v>
      </c>
      <c r="F1358" s="29">
        <v>290</v>
      </c>
      <c r="G1358" s="30">
        <v>1</v>
      </c>
      <c r="H1358" s="27" t="s">
        <v>137</v>
      </c>
      <c r="I1358" s="26" t="s">
        <v>152</v>
      </c>
      <c r="J1358" s="31">
        <v>1.97</v>
      </c>
      <c r="K1358" s="32">
        <f t="shared" si="63"/>
        <v>1.97</v>
      </c>
      <c r="L1358" s="29">
        <v>290</v>
      </c>
      <c r="M1358" s="27">
        <f>IFERROR(VLOOKUP(C1358,Custo_MI_Device!$B$2:$E$102,3,FALSE),0)</f>
        <v>0</v>
      </c>
      <c r="N1358" s="27">
        <f t="shared" si="64"/>
        <v>0</v>
      </c>
      <c r="O1358" s="178">
        <f t="shared" si="65"/>
        <v>0</v>
      </c>
    </row>
    <row r="1359" spans="1:15" ht="38.25" hidden="1">
      <c r="A1359" s="25">
        <v>3585</v>
      </c>
      <c r="B1359" s="25" t="s">
        <v>69</v>
      </c>
      <c r="C1359" s="26" t="s">
        <v>78</v>
      </c>
      <c r="D1359" s="27">
        <v>85444900</v>
      </c>
      <c r="E1359" s="28" t="s">
        <v>328</v>
      </c>
      <c r="F1359" s="29">
        <v>900400</v>
      </c>
      <c r="G1359" s="33">
        <v>0</v>
      </c>
      <c r="H1359" s="27" t="s">
        <v>158</v>
      </c>
      <c r="I1359" s="26" t="s">
        <v>164</v>
      </c>
      <c r="J1359" s="31">
        <v>1.7</v>
      </c>
      <c r="K1359" s="32">
        <f t="shared" si="63"/>
        <v>0</v>
      </c>
      <c r="L1359" s="29">
        <v>900400</v>
      </c>
      <c r="M1359" s="27">
        <f>IFERROR(VLOOKUP(C1359,Custo_MI_Device!$B$2:$E$102,3,FALSE),0)</f>
        <v>0</v>
      </c>
      <c r="N1359" s="27">
        <f t="shared" si="64"/>
        <v>0</v>
      </c>
      <c r="O1359" s="178">
        <f t="shared" si="65"/>
        <v>0</v>
      </c>
    </row>
    <row r="1360" spans="1:15" ht="12.75" hidden="1">
      <c r="A1360" s="25">
        <v>2805</v>
      </c>
      <c r="B1360" s="25" t="s">
        <v>69</v>
      </c>
      <c r="C1360" s="26" t="s">
        <v>78</v>
      </c>
      <c r="D1360" s="27">
        <v>72162100</v>
      </c>
      <c r="E1360" s="28" t="s">
        <v>174</v>
      </c>
      <c r="F1360" s="29">
        <v>0</v>
      </c>
      <c r="G1360" s="30">
        <v>2.9</v>
      </c>
      <c r="H1360" s="27" t="s">
        <v>175</v>
      </c>
      <c r="I1360" s="26" t="s">
        <v>176</v>
      </c>
      <c r="J1360" s="31">
        <v>4.22</v>
      </c>
      <c r="K1360" s="32">
        <f t="shared" si="63"/>
        <v>12.238</v>
      </c>
      <c r="L1360" s="29" t="s">
        <v>177</v>
      </c>
      <c r="M1360" s="27">
        <f>IFERROR(VLOOKUP(C1360,Custo_MI_Device!$B$2:$E$102,3,FALSE),0)</f>
        <v>0</v>
      </c>
      <c r="N1360" s="27">
        <f t="shared" si="64"/>
        <v>0</v>
      </c>
      <c r="O1360" s="178">
        <f t="shared" si="65"/>
        <v>0</v>
      </c>
    </row>
    <row r="1361" spans="1:15" ht="12.75" hidden="1">
      <c r="A1361" s="25">
        <v>2904</v>
      </c>
      <c r="B1361" s="25" t="s">
        <v>69</v>
      </c>
      <c r="C1361" s="26" t="s">
        <v>78</v>
      </c>
      <c r="D1361" s="27">
        <v>76090000</v>
      </c>
      <c r="E1361" s="28" t="s">
        <v>195</v>
      </c>
      <c r="F1361" s="29" t="s">
        <v>196</v>
      </c>
      <c r="G1361" s="30">
        <v>0.75</v>
      </c>
      <c r="H1361" s="27" t="s">
        <v>137</v>
      </c>
      <c r="I1361" s="26" t="s">
        <v>138</v>
      </c>
      <c r="J1361" s="31">
        <v>6.7</v>
      </c>
      <c r="K1361" s="32">
        <f t="shared" si="63"/>
        <v>5.0250000000000004</v>
      </c>
      <c r="L1361" s="29" t="s">
        <v>196</v>
      </c>
      <c r="M1361" s="27">
        <f>IFERROR(VLOOKUP(C1361,Custo_MI_Device!$B$2:$E$102,3,FALSE),0)</f>
        <v>0</v>
      </c>
      <c r="N1361" s="27">
        <f t="shared" si="64"/>
        <v>0</v>
      </c>
      <c r="O1361" s="178">
        <f t="shared" si="65"/>
        <v>0</v>
      </c>
    </row>
    <row r="1362" spans="1:15" ht="12.75" hidden="1">
      <c r="A1362" s="25">
        <v>2911</v>
      </c>
      <c r="B1362" s="25" t="s">
        <v>69</v>
      </c>
      <c r="C1362" s="26" t="s">
        <v>78</v>
      </c>
      <c r="D1362" s="27">
        <v>76090000</v>
      </c>
      <c r="E1362" s="28" t="s">
        <v>197</v>
      </c>
      <c r="F1362" s="29" t="s">
        <v>198</v>
      </c>
      <c r="G1362" s="30">
        <v>0.75</v>
      </c>
      <c r="H1362" s="27" t="s">
        <v>137</v>
      </c>
      <c r="I1362" s="26" t="s">
        <v>138</v>
      </c>
      <c r="J1362" s="31">
        <v>6.7</v>
      </c>
      <c r="K1362" s="32">
        <f t="shared" si="63"/>
        <v>5.0250000000000004</v>
      </c>
      <c r="L1362" s="29" t="s">
        <v>198</v>
      </c>
      <c r="M1362" s="27">
        <f>IFERROR(VLOOKUP(C1362,Custo_MI_Device!$B$2:$E$102,3,FALSE),0)</f>
        <v>0</v>
      </c>
      <c r="N1362" s="27">
        <f t="shared" si="64"/>
        <v>0</v>
      </c>
      <c r="O1362" s="178">
        <f t="shared" si="65"/>
        <v>0</v>
      </c>
    </row>
    <row r="1363" spans="1:15" ht="12.75" hidden="1">
      <c r="A1363" s="25">
        <v>4823</v>
      </c>
      <c r="B1363" s="25" t="s">
        <v>69</v>
      </c>
      <c r="C1363" s="26" t="s">
        <v>78</v>
      </c>
      <c r="D1363" s="27">
        <v>76090000</v>
      </c>
      <c r="E1363" s="28" t="s">
        <v>199</v>
      </c>
      <c r="F1363" s="29" t="s">
        <v>200</v>
      </c>
      <c r="G1363" s="30">
        <v>0.75</v>
      </c>
      <c r="H1363" s="27" t="s">
        <v>137</v>
      </c>
      <c r="I1363" s="26" t="s">
        <v>138</v>
      </c>
      <c r="J1363" s="31">
        <v>6.7</v>
      </c>
      <c r="K1363" s="32">
        <f t="shared" si="63"/>
        <v>5.0250000000000004</v>
      </c>
      <c r="L1363" s="29" t="s">
        <v>200</v>
      </c>
      <c r="M1363" s="27">
        <f>IFERROR(VLOOKUP(C1363,Custo_MI_Device!$B$2:$E$102,3,FALSE),0)</f>
        <v>0</v>
      </c>
      <c r="N1363" s="27">
        <f t="shared" si="64"/>
        <v>0</v>
      </c>
      <c r="O1363" s="178">
        <f t="shared" si="65"/>
        <v>0</v>
      </c>
    </row>
    <row r="1364" spans="1:15" ht="25.5" hidden="1">
      <c r="A1364" s="25">
        <v>2909</v>
      </c>
      <c r="B1364" s="25" t="s">
        <v>69</v>
      </c>
      <c r="C1364" s="26" t="s">
        <v>78</v>
      </c>
      <c r="D1364" s="27">
        <v>73072200</v>
      </c>
      <c r="E1364" s="28" t="s">
        <v>216</v>
      </c>
      <c r="F1364" s="29" t="s">
        <v>217</v>
      </c>
      <c r="G1364" s="30">
        <v>3</v>
      </c>
      <c r="H1364" s="27" t="s">
        <v>137</v>
      </c>
      <c r="I1364" s="26" t="s">
        <v>218</v>
      </c>
      <c r="J1364" s="31">
        <v>27.7</v>
      </c>
      <c r="K1364" s="32">
        <f t="shared" si="63"/>
        <v>83.1</v>
      </c>
      <c r="L1364" s="29" t="s">
        <v>217</v>
      </c>
      <c r="M1364" s="27">
        <f>IFERROR(VLOOKUP(C1364,Custo_MI_Device!$B$2:$E$102,3,FALSE),0)</f>
        <v>0</v>
      </c>
      <c r="N1364" s="27">
        <f t="shared" si="64"/>
        <v>0</v>
      </c>
      <c r="O1364" s="178">
        <f t="shared" si="65"/>
        <v>0</v>
      </c>
    </row>
    <row r="1365" spans="1:15" ht="25.5" hidden="1">
      <c r="A1365" s="25">
        <v>2300</v>
      </c>
      <c r="B1365" s="25" t="s">
        <v>69</v>
      </c>
      <c r="C1365" s="26" t="s">
        <v>78</v>
      </c>
      <c r="D1365" s="27">
        <v>73072200</v>
      </c>
      <c r="E1365" s="28" t="s">
        <v>222</v>
      </c>
      <c r="F1365" s="29" t="s">
        <v>223</v>
      </c>
      <c r="G1365" s="30">
        <v>2</v>
      </c>
      <c r="H1365" s="27" t="s">
        <v>137</v>
      </c>
      <c r="I1365" s="26" t="s">
        <v>218</v>
      </c>
      <c r="J1365" s="31">
        <v>41</v>
      </c>
      <c r="K1365" s="32">
        <f t="shared" si="63"/>
        <v>82</v>
      </c>
      <c r="L1365" s="29" t="s">
        <v>223</v>
      </c>
      <c r="M1365" s="27">
        <f>IFERROR(VLOOKUP(C1365,Custo_MI_Device!$B$2:$E$102,3,FALSE),0)</f>
        <v>0</v>
      </c>
      <c r="N1365" s="27">
        <f t="shared" si="64"/>
        <v>0</v>
      </c>
      <c r="O1365" s="178">
        <f t="shared" si="65"/>
        <v>0</v>
      </c>
    </row>
    <row r="1366" spans="1:15" ht="25.5" hidden="1">
      <c r="A1366" s="25">
        <v>7163</v>
      </c>
      <c r="B1366" s="25" t="s">
        <v>69</v>
      </c>
      <c r="C1366" s="26" t="s">
        <v>78</v>
      </c>
      <c r="D1366" s="27">
        <v>73072200</v>
      </c>
      <c r="E1366" s="28" t="s">
        <v>224</v>
      </c>
      <c r="F1366" s="29">
        <v>0</v>
      </c>
      <c r="G1366" s="30">
        <v>2</v>
      </c>
      <c r="H1366" s="27" t="s">
        <v>137</v>
      </c>
      <c r="I1366" s="26" t="s">
        <v>220</v>
      </c>
      <c r="J1366" s="31">
        <v>58</v>
      </c>
      <c r="K1366" s="32">
        <f t="shared" si="63"/>
        <v>116</v>
      </c>
      <c r="L1366" s="29" t="s">
        <v>225</v>
      </c>
      <c r="M1366" s="27">
        <f>IFERROR(VLOOKUP(C1366,Custo_MI_Device!$B$2:$E$102,3,FALSE),0)</f>
        <v>0</v>
      </c>
      <c r="N1366" s="27">
        <f t="shared" si="64"/>
        <v>0</v>
      </c>
      <c r="O1366" s="178">
        <f t="shared" si="65"/>
        <v>0</v>
      </c>
    </row>
    <row r="1367" spans="1:15" ht="25.5" hidden="1">
      <c r="A1367" s="25">
        <v>4306</v>
      </c>
      <c r="B1367" s="25" t="s">
        <v>69</v>
      </c>
      <c r="C1367" s="26" t="s">
        <v>78</v>
      </c>
      <c r="D1367" s="27">
        <v>73063000</v>
      </c>
      <c r="E1367" s="28" t="s">
        <v>239</v>
      </c>
      <c r="F1367" s="29">
        <v>0</v>
      </c>
      <c r="G1367" s="30">
        <v>2</v>
      </c>
      <c r="H1367" s="27" t="s">
        <v>232</v>
      </c>
      <c r="I1367" s="26" t="s">
        <v>233</v>
      </c>
      <c r="J1367" s="31">
        <v>32</v>
      </c>
      <c r="K1367" s="32">
        <f t="shared" si="63"/>
        <v>64</v>
      </c>
      <c r="L1367" s="29" t="s">
        <v>240</v>
      </c>
      <c r="M1367" s="27">
        <f>IFERROR(VLOOKUP(C1367,Custo_MI_Device!$B$2:$E$102,3,FALSE),0)</f>
        <v>0</v>
      </c>
      <c r="N1367" s="27">
        <f t="shared" si="64"/>
        <v>0</v>
      </c>
      <c r="O1367" s="178">
        <f t="shared" si="65"/>
        <v>0</v>
      </c>
    </row>
    <row r="1368" spans="1:15" ht="12.75" hidden="1">
      <c r="A1368" s="25">
        <v>3274</v>
      </c>
      <c r="B1368" s="25" t="s">
        <v>69</v>
      </c>
      <c r="C1368" s="26" t="s">
        <v>78</v>
      </c>
      <c r="D1368" s="27">
        <v>73181500</v>
      </c>
      <c r="E1368" s="28" t="s">
        <v>265</v>
      </c>
      <c r="F1368" s="29" t="s">
        <v>266</v>
      </c>
      <c r="G1368" s="30">
        <v>24</v>
      </c>
      <c r="H1368" s="27" t="s">
        <v>137</v>
      </c>
      <c r="I1368" s="26" t="s">
        <v>256</v>
      </c>
      <c r="J1368" s="31">
        <v>0.06</v>
      </c>
      <c r="K1368" s="32">
        <f t="shared" si="63"/>
        <v>1.44</v>
      </c>
      <c r="L1368" s="29" t="s">
        <v>266</v>
      </c>
      <c r="M1368" s="27">
        <f>IFERROR(VLOOKUP(C1368,Custo_MI_Device!$B$2:$E$102,3,FALSE),0)</f>
        <v>0</v>
      </c>
      <c r="N1368" s="27">
        <f t="shared" si="64"/>
        <v>0</v>
      </c>
      <c r="O1368" s="178">
        <f t="shared" si="65"/>
        <v>0</v>
      </c>
    </row>
    <row r="1369" spans="1:15" ht="25.5" hidden="1">
      <c r="A1369" s="25">
        <v>1611</v>
      </c>
      <c r="B1369" s="25" t="s">
        <v>69</v>
      </c>
      <c r="C1369" s="26" t="s">
        <v>78</v>
      </c>
      <c r="D1369" s="27">
        <v>39174090</v>
      </c>
      <c r="E1369" s="28" t="s">
        <v>275</v>
      </c>
      <c r="F1369" s="29" t="s">
        <v>276</v>
      </c>
      <c r="G1369" s="30">
        <v>2</v>
      </c>
      <c r="H1369" s="27" t="s">
        <v>137</v>
      </c>
      <c r="I1369" s="26" t="s">
        <v>277</v>
      </c>
      <c r="J1369" s="31">
        <v>7.8</v>
      </c>
      <c r="K1369" s="32">
        <f t="shared" si="63"/>
        <v>15.6</v>
      </c>
      <c r="L1369" s="29" t="s">
        <v>276</v>
      </c>
      <c r="M1369" s="27">
        <f>IFERROR(VLOOKUP(C1369,Custo_MI_Device!$B$2:$E$102,3,FALSE),0)</f>
        <v>0</v>
      </c>
      <c r="N1369" s="27">
        <f t="shared" si="64"/>
        <v>0</v>
      </c>
      <c r="O1369" s="178">
        <f t="shared" si="65"/>
        <v>0</v>
      </c>
    </row>
    <row r="1370" spans="1:15" ht="12.75" hidden="1">
      <c r="A1370" s="25">
        <v>5081</v>
      </c>
      <c r="B1370" s="25" t="s">
        <v>69</v>
      </c>
      <c r="C1370" s="26" t="s">
        <v>78</v>
      </c>
      <c r="D1370" s="27">
        <v>73145000</v>
      </c>
      <c r="E1370" s="28" t="s">
        <v>278</v>
      </c>
      <c r="F1370" s="29">
        <v>0</v>
      </c>
      <c r="G1370" s="30">
        <v>1</v>
      </c>
      <c r="H1370" s="27" t="s">
        <v>137</v>
      </c>
      <c r="I1370" s="26" t="s">
        <v>279</v>
      </c>
      <c r="J1370" s="31">
        <v>23</v>
      </c>
      <c r="K1370" s="32">
        <f t="shared" si="63"/>
        <v>23</v>
      </c>
      <c r="L1370" s="29" t="s">
        <v>280</v>
      </c>
      <c r="M1370" s="27">
        <f>IFERROR(VLOOKUP(C1370,Custo_MI_Device!$B$2:$E$102,3,FALSE),0)</f>
        <v>0</v>
      </c>
      <c r="N1370" s="27">
        <f t="shared" si="64"/>
        <v>0</v>
      </c>
      <c r="O1370" s="178">
        <f t="shared" si="65"/>
        <v>0</v>
      </c>
    </row>
    <row r="1371" spans="1:15" ht="25.5" hidden="1">
      <c r="A1371" s="25">
        <v>2973</v>
      </c>
      <c r="B1371" s="25" t="s">
        <v>69</v>
      </c>
      <c r="C1371" s="26" t="s">
        <v>78</v>
      </c>
      <c r="D1371" s="27">
        <v>73072200</v>
      </c>
      <c r="E1371" s="28" t="s">
        <v>281</v>
      </c>
      <c r="F1371" s="29" t="s">
        <v>282</v>
      </c>
      <c r="G1371" s="30">
        <v>1</v>
      </c>
      <c r="H1371" s="27" t="s">
        <v>137</v>
      </c>
      <c r="I1371" s="26" t="s">
        <v>218</v>
      </c>
      <c r="J1371" s="31">
        <v>29</v>
      </c>
      <c r="K1371" s="32">
        <f t="shared" si="63"/>
        <v>29</v>
      </c>
      <c r="L1371" s="29" t="s">
        <v>282</v>
      </c>
      <c r="M1371" s="27">
        <f>IFERROR(VLOOKUP(C1371,Custo_MI_Device!$B$2:$E$102,3,FALSE),0)</f>
        <v>0</v>
      </c>
      <c r="N1371" s="27">
        <f t="shared" si="64"/>
        <v>0</v>
      </c>
      <c r="O1371" s="178">
        <f t="shared" si="65"/>
        <v>0</v>
      </c>
    </row>
    <row r="1372" spans="1:15" ht="12.75" hidden="1">
      <c r="A1372" s="25">
        <v>5044</v>
      </c>
      <c r="B1372" s="25" t="s">
        <v>69</v>
      </c>
      <c r="C1372" s="26" t="s">
        <v>78</v>
      </c>
      <c r="D1372" s="27">
        <v>73071100</v>
      </c>
      <c r="E1372" s="28" t="s">
        <v>283</v>
      </c>
      <c r="F1372" s="29">
        <v>300</v>
      </c>
      <c r="G1372" s="30">
        <v>1</v>
      </c>
      <c r="H1372" s="27"/>
      <c r="I1372" s="26" t="s">
        <v>152</v>
      </c>
      <c r="J1372" s="31">
        <v>7</v>
      </c>
      <c r="K1372" s="32">
        <f t="shared" si="63"/>
        <v>7</v>
      </c>
      <c r="L1372" s="29">
        <v>300</v>
      </c>
      <c r="M1372" s="27">
        <f>IFERROR(VLOOKUP(C1372,Custo_MI_Device!$B$2:$E$102,3,FALSE),0)</f>
        <v>0</v>
      </c>
      <c r="N1372" s="27">
        <f t="shared" si="64"/>
        <v>0</v>
      </c>
      <c r="O1372" s="178">
        <f t="shared" si="65"/>
        <v>0</v>
      </c>
    </row>
    <row r="1373" spans="1:15" ht="12.75" hidden="1">
      <c r="A1373" s="25">
        <v>4579</v>
      </c>
      <c r="B1373" s="25" t="s">
        <v>69</v>
      </c>
      <c r="C1373" s="26" t="s">
        <v>78</v>
      </c>
      <c r="D1373" s="27">
        <v>73071100</v>
      </c>
      <c r="E1373" s="28" t="s">
        <v>284</v>
      </c>
      <c r="F1373" s="29">
        <v>130</v>
      </c>
      <c r="G1373" s="30">
        <v>1</v>
      </c>
      <c r="H1373" s="27" t="s">
        <v>137</v>
      </c>
      <c r="I1373" s="26" t="s">
        <v>152</v>
      </c>
      <c r="J1373" s="31">
        <v>23</v>
      </c>
      <c r="K1373" s="32">
        <f t="shared" si="63"/>
        <v>23</v>
      </c>
      <c r="L1373" s="29">
        <v>130</v>
      </c>
      <c r="M1373" s="27">
        <f>IFERROR(VLOOKUP(C1373,Custo_MI_Device!$B$2:$E$102,3,FALSE),0)</f>
        <v>0</v>
      </c>
      <c r="N1373" s="27">
        <f t="shared" si="64"/>
        <v>0</v>
      </c>
      <c r="O1373" s="178">
        <f t="shared" si="65"/>
        <v>0</v>
      </c>
    </row>
    <row r="1374" spans="1:15" ht="25.5" hidden="1">
      <c r="A1374" s="25">
        <v>5194</v>
      </c>
      <c r="B1374" s="25" t="s">
        <v>69</v>
      </c>
      <c r="C1374" s="26" t="s">
        <v>78</v>
      </c>
      <c r="D1374" s="27">
        <v>73041010</v>
      </c>
      <c r="E1374" s="28" t="s">
        <v>289</v>
      </c>
      <c r="F1374" s="29" t="s">
        <v>290</v>
      </c>
      <c r="G1374" s="30">
        <v>2</v>
      </c>
      <c r="H1374" s="27" t="s">
        <v>232</v>
      </c>
      <c r="I1374" s="26" t="s">
        <v>218</v>
      </c>
      <c r="J1374" s="31">
        <f>21.5*6</f>
        <v>129</v>
      </c>
      <c r="K1374" s="32">
        <f t="shared" si="63"/>
        <v>258</v>
      </c>
      <c r="L1374" s="29" t="s">
        <v>290</v>
      </c>
      <c r="M1374" s="27">
        <f>IFERROR(VLOOKUP(C1374,Custo_MI_Device!$B$2:$E$102,3,FALSE),0)</f>
        <v>0</v>
      </c>
      <c r="N1374" s="27">
        <f t="shared" si="64"/>
        <v>0</v>
      </c>
      <c r="O1374" s="178">
        <f t="shared" si="65"/>
        <v>0</v>
      </c>
    </row>
    <row r="1375" spans="1:15" ht="25.5" hidden="1">
      <c r="A1375" s="25">
        <v>2567</v>
      </c>
      <c r="B1375" s="25" t="s">
        <v>69</v>
      </c>
      <c r="C1375" s="26" t="s">
        <v>78</v>
      </c>
      <c r="D1375" s="27">
        <v>84818095</v>
      </c>
      <c r="E1375" s="28" t="s">
        <v>303</v>
      </c>
      <c r="F1375" s="29">
        <v>0</v>
      </c>
      <c r="G1375" s="30">
        <v>1</v>
      </c>
      <c r="H1375" s="27" t="s">
        <v>137</v>
      </c>
      <c r="I1375" s="26" t="s">
        <v>304</v>
      </c>
      <c r="J1375" s="31">
        <v>27</v>
      </c>
      <c r="K1375" s="32">
        <f t="shared" si="63"/>
        <v>27</v>
      </c>
      <c r="L1375" s="29" t="s">
        <v>305</v>
      </c>
      <c r="M1375" s="27">
        <f>IFERROR(VLOOKUP(C1375,Custo_MI_Device!$B$2:$E$102,3,FALSE),0)</f>
        <v>0</v>
      </c>
      <c r="N1375" s="27">
        <f t="shared" si="64"/>
        <v>0</v>
      </c>
      <c r="O1375" s="178">
        <f t="shared" si="65"/>
        <v>0</v>
      </c>
    </row>
    <row r="1376" spans="1:15" ht="12.75" hidden="1">
      <c r="A1376" s="25">
        <v>2534</v>
      </c>
      <c r="B1376" s="25" t="s">
        <v>69</v>
      </c>
      <c r="C1376" s="26" t="s">
        <v>79</v>
      </c>
      <c r="D1376" s="27">
        <v>73072900</v>
      </c>
      <c r="E1376" s="28" t="s">
        <v>314</v>
      </c>
      <c r="F1376" s="29" t="s">
        <v>315</v>
      </c>
      <c r="G1376" s="30">
        <v>12</v>
      </c>
      <c r="H1376" s="27" t="s">
        <v>137</v>
      </c>
      <c r="I1376" s="26" t="s">
        <v>256</v>
      </c>
      <c r="J1376" s="31">
        <v>1.2</v>
      </c>
      <c r="K1376" s="32">
        <f t="shared" si="63"/>
        <v>14.399999999999999</v>
      </c>
      <c r="L1376" s="29" t="s">
        <v>315</v>
      </c>
      <c r="M1376" s="27">
        <f>IFERROR(VLOOKUP(C1376,Custo_MI_Device!$B$2:$E$102,3,FALSE),0)</f>
        <v>0</v>
      </c>
      <c r="N1376" s="27">
        <f t="shared" si="64"/>
        <v>0</v>
      </c>
      <c r="O1376" s="178">
        <f t="shared" si="65"/>
        <v>0</v>
      </c>
    </row>
    <row r="1377" spans="1:15" ht="12.75" hidden="1">
      <c r="A1377" s="25">
        <v>1669</v>
      </c>
      <c r="B1377" s="25" t="s">
        <v>69</v>
      </c>
      <c r="C1377" s="26" t="s">
        <v>79</v>
      </c>
      <c r="D1377" s="27">
        <v>39269090</v>
      </c>
      <c r="E1377" s="28" t="s">
        <v>316</v>
      </c>
      <c r="F1377" s="29" t="s">
        <v>317</v>
      </c>
      <c r="G1377" s="30">
        <v>3</v>
      </c>
      <c r="H1377" s="27" t="s">
        <v>137</v>
      </c>
      <c r="I1377" s="26" t="s">
        <v>318</v>
      </c>
      <c r="J1377" s="31">
        <v>0.04</v>
      </c>
      <c r="K1377" s="32">
        <f t="shared" si="63"/>
        <v>0.12</v>
      </c>
      <c r="L1377" s="29" t="s">
        <v>317</v>
      </c>
      <c r="M1377" s="27">
        <f>IFERROR(VLOOKUP(C1377,Custo_MI_Device!$B$2:$E$102,3,FALSE),0)</f>
        <v>0</v>
      </c>
      <c r="N1377" s="27">
        <f t="shared" si="64"/>
        <v>0</v>
      </c>
      <c r="O1377" s="178">
        <f t="shared" si="65"/>
        <v>0</v>
      </c>
    </row>
    <row r="1378" spans="1:15" ht="12.75" hidden="1">
      <c r="A1378" s="25">
        <v>5091</v>
      </c>
      <c r="B1378" s="25" t="s">
        <v>69</v>
      </c>
      <c r="C1378" s="26" t="s">
        <v>79</v>
      </c>
      <c r="D1378" s="27">
        <v>73181500</v>
      </c>
      <c r="E1378" s="28" t="s">
        <v>323</v>
      </c>
      <c r="F1378" s="29" t="s">
        <v>324</v>
      </c>
      <c r="G1378" s="30">
        <v>24</v>
      </c>
      <c r="H1378" s="27" t="s">
        <v>137</v>
      </c>
      <c r="I1378" s="26" t="s">
        <v>256</v>
      </c>
      <c r="J1378" s="31">
        <v>0.04</v>
      </c>
      <c r="K1378" s="32">
        <f t="shared" si="63"/>
        <v>0.96</v>
      </c>
      <c r="L1378" s="29" t="s">
        <v>324</v>
      </c>
      <c r="M1378" s="27">
        <f>IFERROR(VLOOKUP(C1378,Custo_MI_Device!$B$2:$E$102,3,FALSE),0)</f>
        <v>0</v>
      </c>
      <c r="N1378" s="27">
        <f t="shared" si="64"/>
        <v>0</v>
      </c>
      <c r="O1378" s="178">
        <f t="shared" si="65"/>
        <v>0</v>
      </c>
    </row>
    <row r="1379" spans="1:15" ht="12.75" hidden="1">
      <c r="A1379" s="25">
        <v>1303</v>
      </c>
      <c r="B1379" s="25" t="s">
        <v>69</v>
      </c>
      <c r="C1379" s="26" t="s">
        <v>79</v>
      </c>
      <c r="D1379" s="27"/>
      <c r="E1379" s="28" t="s">
        <v>151</v>
      </c>
      <c r="F1379" s="29">
        <v>241</v>
      </c>
      <c r="G1379" s="30">
        <v>2</v>
      </c>
      <c r="H1379" s="27" t="s">
        <v>137</v>
      </c>
      <c r="I1379" s="26" t="s">
        <v>152</v>
      </c>
      <c r="J1379" s="31">
        <v>15</v>
      </c>
      <c r="K1379" s="32">
        <f t="shared" si="63"/>
        <v>30</v>
      </c>
      <c r="L1379" s="29">
        <v>241</v>
      </c>
      <c r="M1379" s="27">
        <f>IFERROR(VLOOKUP(C1379,Custo_MI_Device!$B$2:$E$102,3,FALSE),0)</f>
        <v>0</v>
      </c>
      <c r="N1379" s="27">
        <f t="shared" si="64"/>
        <v>0</v>
      </c>
      <c r="O1379" s="178">
        <f t="shared" si="65"/>
        <v>0</v>
      </c>
    </row>
    <row r="1380" spans="1:15" ht="12.75" hidden="1">
      <c r="A1380" s="25">
        <v>1117</v>
      </c>
      <c r="B1380" s="25" t="s">
        <v>69</v>
      </c>
      <c r="C1380" s="26" t="s">
        <v>79</v>
      </c>
      <c r="D1380" s="27"/>
      <c r="E1380" s="28" t="s">
        <v>145</v>
      </c>
      <c r="F1380" s="29" t="s">
        <v>146</v>
      </c>
      <c r="G1380" s="30">
        <v>1</v>
      </c>
      <c r="H1380" s="27" t="s">
        <v>137</v>
      </c>
      <c r="I1380" s="26" t="s">
        <v>138</v>
      </c>
      <c r="J1380" s="31">
        <v>1.95</v>
      </c>
      <c r="K1380" s="32">
        <f t="shared" si="63"/>
        <v>1.95</v>
      </c>
      <c r="L1380" s="29" t="s">
        <v>146</v>
      </c>
      <c r="M1380" s="27">
        <f>IFERROR(VLOOKUP(C1380,Custo_MI_Device!$B$2:$E$102,3,FALSE),0)</f>
        <v>0</v>
      </c>
      <c r="N1380" s="27">
        <f t="shared" si="64"/>
        <v>0</v>
      </c>
      <c r="O1380" s="178">
        <f t="shared" si="65"/>
        <v>0</v>
      </c>
    </row>
    <row r="1381" spans="1:15" ht="12.75" hidden="1">
      <c r="A1381" s="25">
        <v>3080</v>
      </c>
      <c r="B1381" s="25" t="s">
        <v>69</v>
      </c>
      <c r="C1381" s="26" t="s">
        <v>79</v>
      </c>
      <c r="D1381" s="27">
        <v>74122000</v>
      </c>
      <c r="E1381" s="28" t="s">
        <v>153</v>
      </c>
      <c r="F1381" s="29" t="s">
        <v>154</v>
      </c>
      <c r="G1381" s="30">
        <v>1</v>
      </c>
      <c r="H1381" s="27" t="s">
        <v>137</v>
      </c>
      <c r="I1381" s="26" t="s">
        <v>155</v>
      </c>
      <c r="J1381" s="31">
        <v>3.3</v>
      </c>
      <c r="K1381" s="32">
        <f t="shared" si="63"/>
        <v>3.3</v>
      </c>
      <c r="L1381" s="29" t="s">
        <v>154</v>
      </c>
      <c r="M1381" s="27">
        <f>IFERROR(VLOOKUP(C1381,Custo_MI_Device!$B$2:$E$102,3,FALSE),0)</f>
        <v>0</v>
      </c>
      <c r="N1381" s="27">
        <f t="shared" si="64"/>
        <v>0</v>
      </c>
      <c r="O1381" s="178">
        <f t="shared" si="65"/>
        <v>0</v>
      </c>
    </row>
    <row r="1382" spans="1:15" ht="12.75" hidden="1">
      <c r="A1382" s="25">
        <v>185</v>
      </c>
      <c r="B1382" s="25" t="s">
        <v>69</v>
      </c>
      <c r="C1382" s="26" t="s">
        <v>79</v>
      </c>
      <c r="D1382" s="27">
        <v>73071910</v>
      </c>
      <c r="E1382" s="28" t="s">
        <v>156</v>
      </c>
      <c r="F1382" s="29">
        <v>290</v>
      </c>
      <c r="G1382" s="30">
        <v>1</v>
      </c>
      <c r="H1382" s="27" t="s">
        <v>137</v>
      </c>
      <c r="I1382" s="26" t="s">
        <v>152</v>
      </c>
      <c r="J1382" s="31">
        <v>1.97</v>
      </c>
      <c r="K1382" s="32">
        <f t="shared" si="63"/>
        <v>1.97</v>
      </c>
      <c r="L1382" s="29">
        <v>290</v>
      </c>
      <c r="M1382" s="27">
        <f>IFERROR(VLOOKUP(C1382,Custo_MI_Device!$B$2:$E$102,3,FALSE),0)</f>
        <v>0</v>
      </c>
      <c r="N1382" s="27">
        <f t="shared" si="64"/>
        <v>0</v>
      </c>
      <c r="O1382" s="178">
        <f t="shared" si="65"/>
        <v>0</v>
      </c>
    </row>
    <row r="1383" spans="1:15" ht="25.5" hidden="1">
      <c r="A1383" s="25">
        <v>5139</v>
      </c>
      <c r="B1383" s="25" t="s">
        <v>69</v>
      </c>
      <c r="C1383" s="26" t="s">
        <v>79</v>
      </c>
      <c r="D1383" s="27">
        <v>85444900</v>
      </c>
      <c r="E1383" s="28" t="s">
        <v>170</v>
      </c>
      <c r="F1383" s="29" t="s">
        <v>171</v>
      </c>
      <c r="G1383" s="30">
        <v>15</v>
      </c>
      <c r="H1383" s="27" t="s">
        <v>158</v>
      </c>
      <c r="I1383" s="26" t="s">
        <v>172</v>
      </c>
      <c r="J1383" s="31">
        <v>7.5</v>
      </c>
      <c r="K1383" s="32">
        <f t="shared" si="63"/>
        <v>112.5</v>
      </c>
      <c r="L1383" s="29" t="s">
        <v>173</v>
      </c>
      <c r="M1383" s="27">
        <f>IFERROR(VLOOKUP(C1383,Custo_MI_Device!$B$2:$E$102,3,FALSE),0)</f>
        <v>0</v>
      </c>
      <c r="N1383" s="27">
        <f t="shared" si="64"/>
        <v>0</v>
      </c>
      <c r="O1383" s="178">
        <f t="shared" si="65"/>
        <v>0</v>
      </c>
    </row>
    <row r="1384" spans="1:15" ht="12.75" hidden="1">
      <c r="A1384" s="25">
        <v>2805</v>
      </c>
      <c r="B1384" s="25" t="s">
        <v>69</v>
      </c>
      <c r="C1384" s="26" t="s">
        <v>79</v>
      </c>
      <c r="D1384" s="27">
        <v>72162100</v>
      </c>
      <c r="E1384" s="28" t="s">
        <v>174</v>
      </c>
      <c r="F1384" s="29">
        <v>0</v>
      </c>
      <c r="G1384" s="30">
        <v>2.9</v>
      </c>
      <c r="H1384" s="27" t="s">
        <v>175</v>
      </c>
      <c r="I1384" s="26" t="s">
        <v>176</v>
      </c>
      <c r="J1384" s="31">
        <v>4.22</v>
      </c>
      <c r="K1384" s="32">
        <f t="shared" si="63"/>
        <v>12.238</v>
      </c>
      <c r="L1384" s="29" t="s">
        <v>177</v>
      </c>
      <c r="M1384" s="27">
        <f>IFERROR(VLOOKUP(C1384,Custo_MI_Device!$B$2:$E$102,3,FALSE),0)</f>
        <v>0</v>
      </c>
      <c r="N1384" s="27">
        <f t="shared" si="64"/>
        <v>0</v>
      </c>
      <c r="O1384" s="178">
        <f t="shared" si="65"/>
        <v>0</v>
      </c>
    </row>
    <row r="1385" spans="1:15" ht="12.75" hidden="1">
      <c r="A1385" s="25">
        <v>2904</v>
      </c>
      <c r="B1385" s="25" t="s">
        <v>69</v>
      </c>
      <c r="C1385" s="26" t="s">
        <v>79</v>
      </c>
      <c r="D1385" s="27">
        <v>76090000</v>
      </c>
      <c r="E1385" s="28" t="s">
        <v>195</v>
      </c>
      <c r="F1385" s="29" t="s">
        <v>196</v>
      </c>
      <c r="G1385" s="30">
        <v>0.75</v>
      </c>
      <c r="H1385" s="27" t="s">
        <v>137</v>
      </c>
      <c r="I1385" s="26" t="s">
        <v>138</v>
      </c>
      <c r="J1385" s="31">
        <v>6.7</v>
      </c>
      <c r="K1385" s="32">
        <f t="shared" si="63"/>
        <v>5.0250000000000004</v>
      </c>
      <c r="L1385" s="29" t="s">
        <v>196</v>
      </c>
      <c r="M1385" s="27">
        <f>IFERROR(VLOOKUP(C1385,Custo_MI_Device!$B$2:$E$102,3,FALSE),0)</f>
        <v>0</v>
      </c>
      <c r="N1385" s="27">
        <f t="shared" si="64"/>
        <v>0</v>
      </c>
      <c r="O1385" s="178">
        <f t="shared" si="65"/>
        <v>0</v>
      </c>
    </row>
    <row r="1386" spans="1:15" ht="12.75" hidden="1">
      <c r="A1386" s="25">
        <v>2911</v>
      </c>
      <c r="B1386" s="25" t="s">
        <v>69</v>
      </c>
      <c r="C1386" s="26" t="s">
        <v>79</v>
      </c>
      <c r="D1386" s="27">
        <v>76090000</v>
      </c>
      <c r="E1386" s="28" t="s">
        <v>197</v>
      </c>
      <c r="F1386" s="29" t="s">
        <v>198</v>
      </c>
      <c r="G1386" s="30">
        <v>0.75</v>
      </c>
      <c r="H1386" s="27" t="s">
        <v>137</v>
      </c>
      <c r="I1386" s="26" t="s">
        <v>138</v>
      </c>
      <c r="J1386" s="31">
        <v>6.7</v>
      </c>
      <c r="K1386" s="32">
        <f t="shared" si="63"/>
        <v>5.0250000000000004</v>
      </c>
      <c r="L1386" s="29" t="s">
        <v>198</v>
      </c>
      <c r="M1386" s="27">
        <f>IFERROR(VLOOKUP(C1386,Custo_MI_Device!$B$2:$E$102,3,FALSE),0)</f>
        <v>0</v>
      </c>
      <c r="N1386" s="27">
        <f t="shared" si="64"/>
        <v>0</v>
      </c>
      <c r="O1386" s="178">
        <f t="shared" si="65"/>
        <v>0</v>
      </c>
    </row>
    <row r="1387" spans="1:15" ht="12.75" hidden="1">
      <c r="A1387" s="25">
        <v>4823</v>
      </c>
      <c r="B1387" s="25" t="s">
        <v>69</v>
      </c>
      <c r="C1387" s="26" t="s">
        <v>79</v>
      </c>
      <c r="D1387" s="27">
        <v>76090000</v>
      </c>
      <c r="E1387" s="28" t="s">
        <v>199</v>
      </c>
      <c r="F1387" s="29" t="s">
        <v>200</v>
      </c>
      <c r="G1387" s="30">
        <v>0.75</v>
      </c>
      <c r="H1387" s="27" t="s">
        <v>137</v>
      </c>
      <c r="I1387" s="26" t="s">
        <v>138</v>
      </c>
      <c r="J1387" s="31">
        <v>6.7</v>
      </c>
      <c r="K1387" s="32">
        <f t="shared" si="63"/>
        <v>5.0250000000000004</v>
      </c>
      <c r="L1387" s="29" t="s">
        <v>200</v>
      </c>
      <c r="M1387" s="27">
        <f>IFERROR(VLOOKUP(C1387,Custo_MI_Device!$B$2:$E$102,3,FALSE),0)</f>
        <v>0</v>
      </c>
      <c r="N1387" s="27">
        <f t="shared" si="64"/>
        <v>0</v>
      </c>
      <c r="O1387" s="178">
        <f t="shared" si="65"/>
        <v>0</v>
      </c>
    </row>
    <row r="1388" spans="1:15" ht="25.5" hidden="1">
      <c r="A1388" s="25">
        <v>2909</v>
      </c>
      <c r="B1388" s="25" t="s">
        <v>69</v>
      </c>
      <c r="C1388" s="26" t="s">
        <v>79</v>
      </c>
      <c r="D1388" s="27">
        <v>73072200</v>
      </c>
      <c r="E1388" s="28" t="s">
        <v>216</v>
      </c>
      <c r="F1388" s="29" t="s">
        <v>217</v>
      </c>
      <c r="G1388" s="30">
        <v>3</v>
      </c>
      <c r="H1388" s="27" t="s">
        <v>137</v>
      </c>
      <c r="I1388" s="26" t="s">
        <v>218</v>
      </c>
      <c r="J1388" s="31">
        <v>27.7</v>
      </c>
      <c r="K1388" s="32">
        <f t="shared" si="63"/>
        <v>83.1</v>
      </c>
      <c r="L1388" s="29" t="s">
        <v>217</v>
      </c>
      <c r="M1388" s="27">
        <f>IFERROR(VLOOKUP(C1388,Custo_MI_Device!$B$2:$E$102,3,FALSE),0)</f>
        <v>0</v>
      </c>
      <c r="N1388" s="27">
        <f t="shared" si="64"/>
        <v>0</v>
      </c>
      <c r="O1388" s="178">
        <f t="shared" si="65"/>
        <v>0</v>
      </c>
    </row>
    <row r="1389" spans="1:15" ht="25.5" hidden="1">
      <c r="A1389" s="25">
        <v>2300</v>
      </c>
      <c r="B1389" s="25" t="s">
        <v>69</v>
      </c>
      <c r="C1389" s="26" t="s">
        <v>79</v>
      </c>
      <c r="D1389" s="27">
        <v>73072200</v>
      </c>
      <c r="E1389" s="28" t="s">
        <v>222</v>
      </c>
      <c r="F1389" s="29" t="s">
        <v>223</v>
      </c>
      <c r="G1389" s="30">
        <v>2</v>
      </c>
      <c r="H1389" s="27" t="s">
        <v>137</v>
      </c>
      <c r="I1389" s="26" t="s">
        <v>218</v>
      </c>
      <c r="J1389" s="31">
        <v>41</v>
      </c>
      <c r="K1389" s="32">
        <f t="shared" si="63"/>
        <v>82</v>
      </c>
      <c r="L1389" s="29" t="s">
        <v>223</v>
      </c>
      <c r="M1389" s="27">
        <f>IFERROR(VLOOKUP(C1389,Custo_MI_Device!$B$2:$E$102,3,FALSE),0)</f>
        <v>0</v>
      </c>
      <c r="N1389" s="27">
        <f t="shared" si="64"/>
        <v>0</v>
      </c>
      <c r="O1389" s="178">
        <f t="shared" si="65"/>
        <v>0</v>
      </c>
    </row>
    <row r="1390" spans="1:15" ht="25.5" hidden="1">
      <c r="A1390" s="25">
        <v>7163</v>
      </c>
      <c r="B1390" s="25" t="s">
        <v>69</v>
      </c>
      <c r="C1390" s="26" t="s">
        <v>79</v>
      </c>
      <c r="D1390" s="27">
        <v>73072200</v>
      </c>
      <c r="E1390" s="28" t="s">
        <v>224</v>
      </c>
      <c r="F1390" s="29">
        <v>0</v>
      </c>
      <c r="G1390" s="30">
        <v>2</v>
      </c>
      <c r="H1390" s="27" t="s">
        <v>137</v>
      </c>
      <c r="I1390" s="26" t="s">
        <v>220</v>
      </c>
      <c r="J1390" s="31">
        <v>58</v>
      </c>
      <c r="K1390" s="32">
        <f t="shared" si="63"/>
        <v>116</v>
      </c>
      <c r="L1390" s="29" t="s">
        <v>225</v>
      </c>
      <c r="M1390" s="27">
        <f>IFERROR(VLOOKUP(C1390,Custo_MI_Device!$B$2:$E$102,3,FALSE),0)</f>
        <v>0</v>
      </c>
      <c r="N1390" s="27">
        <f t="shared" si="64"/>
        <v>0</v>
      </c>
      <c r="O1390" s="178">
        <f t="shared" si="65"/>
        <v>0</v>
      </c>
    </row>
    <row r="1391" spans="1:15" ht="25.5" hidden="1">
      <c r="A1391" s="25">
        <v>4306</v>
      </c>
      <c r="B1391" s="25" t="s">
        <v>69</v>
      </c>
      <c r="C1391" s="26" t="s">
        <v>79</v>
      </c>
      <c r="D1391" s="27">
        <v>73063000</v>
      </c>
      <c r="E1391" s="28" t="s">
        <v>239</v>
      </c>
      <c r="F1391" s="29">
        <v>0</v>
      </c>
      <c r="G1391" s="30">
        <v>2</v>
      </c>
      <c r="H1391" s="27" t="s">
        <v>232</v>
      </c>
      <c r="I1391" s="26" t="s">
        <v>233</v>
      </c>
      <c r="J1391" s="31">
        <v>32</v>
      </c>
      <c r="K1391" s="32">
        <f t="shared" si="63"/>
        <v>64</v>
      </c>
      <c r="L1391" s="29" t="s">
        <v>240</v>
      </c>
      <c r="M1391" s="27">
        <f>IFERROR(VLOOKUP(C1391,Custo_MI_Device!$B$2:$E$102,3,FALSE),0)</f>
        <v>0</v>
      </c>
      <c r="N1391" s="27">
        <f t="shared" si="64"/>
        <v>0</v>
      </c>
      <c r="O1391" s="178">
        <f t="shared" si="65"/>
        <v>0</v>
      </c>
    </row>
    <row r="1392" spans="1:15" ht="12.75" hidden="1">
      <c r="A1392" s="25">
        <v>3274</v>
      </c>
      <c r="B1392" s="25" t="s">
        <v>69</v>
      </c>
      <c r="C1392" s="26" t="s">
        <v>79</v>
      </c>
      <c r="D1392" s="27">
        <v>73181500</v>
      </c>
      <c r="E1392" s="28" t="s">
        <v>265</v>
      </c>
      <c r="F1392" s="29" t="s">
        <v>266</v>
      </c>
      <c r="G1392" s="30">
        <v>24</v>
      </c>
      <c r="H1392" s="27" t="s">
        <v>137</v>
      </c>
      <c r="I1392" s="26" t="s">
        <v>256</v>
      </c>
      <c r="J1392" s="31">
        <v>0.06</v>
      </c>
      <c r="K1392" s="32">
        <f t="shared" si="63"/>
        <v>1.44</v>
      </c>
      <c r="L1392" s="29" t="s">
        <v>266</v>
      </c>
      <c r="M1392" s="27">
        <f>IFERROR(VLOOKUP(C1392,Custo_MI_Device!$B$2:$E$102,3,FALSE),0)</f>
        <v>0</v>
      </c>
      <c r="N1392" s="27">
        <f t="shared" si="64"/>
        <v>0</v>
      </c>
      <c r="O1392" s="178">
        <f t="shared" si="65"/>
        <v>0</v>
      </c>
    </row>
    <row r="1393" spans="1:15" ht="25.5" hidden="1">
      <c r="A1393" s="25">
        <v>1611</v>
      </c>
      <c r="B1393" s="25" t="s">
        <v>69</v>
      </c>
      <c r="C1393" s="26" t="s">
        <v>79</v>
      </c>
      <c r="D1393" s="27">
        <v>39174090</v>
      </c>
      <c r="E1393" s="28" t="s">
        <v>275</v>
      </c>
      <c r="F1393" s="29" t="s">
        <v>276</v>
      </c>
      <c r="G1393" s="30">
        <v>2</v>
      </c>
      <c r="H1393" s="27" t="s">
        <v>137</v>
      </c>
      <c r="I1393" s="26" t="s">
        <v>277</v>
      </c>
      <c r="J1393" s="31">
        <v>7.8</v>
      </c>
      <c r="K1393" s="32">
        <f t="shared" si="63"/>
        <v>15.6</v>
      </c>
      <c r="L1393" s="29" t="s">
        <v>276</v>
      </c>
      <c r="M1393" s="27">
        <f>IFERROR(VLOOKUP(C1393,Custo_MI_Device!$B$2:$E$102,3,FALSE),0)</f>
        <v>0</v>
      </c>
      <c r="N1393" s="27">
        <f t="shared" si="64"/>
        <v>0</v>
      </c>
      <c r="O1393" s="178">
        <f t="shared" si="65"/>
        <v>0</v>
      </c>
    </row>
    <row r="1394" spans="1:15" ht="12.75" hidden="1">
      <c r="A1394" s="25">
        <v>5081</v>
      </c>
      <c r="B1394" s="25" t="s">
        <v>69</v>
      </c>
      <c r="C1394" s="26" t="s">
        <v>79</v>
      </c>
      <c r="D1394" s="27">
        <v>73145000</v>
      </c>
      <c r="E1394" s="28" t="s">
        <v>278</v>
      </c>
      <c r="F1394" s="29">
        <v>0</v>
      </c>
      <c r="G1394" s="30">
        <v>1</v>
      </c>
      <c r="H1394" s="27" t="s">
        <v>137</v>
      </c>
      <c r="I1394" s="26" t="s">
        <v>279</v>
      </c>
      <c r="J1394" s="31">
        <v>23</v>
      </c>
      <c r="K1394" s="32">
        <f t="shared" si="63"/>
        <v>23</v>
      </c>
      <c r="L1394" s="29" t="s">
        <v>280</v>
      </c>
      <c r="M1394" s="27">
        <f>IFERROR(VLOOKUP(C1394,Custo_MI_Device!$B$2:$E$102,3,FALSE),0)</f>
        <v>0</v>
      </c>
      <c r="N1394" s="27">
        <f t="shared" si="64"/>
        <v>0</v>
      </c>
      <c r="O1394" s="178">
        <f t="shared" si="65"/>
        <v>0</v>
      </c>
    </row>
    <row r="1395" spans="1:15" ht="25.5" hidden="1">
      <c r="A1395" s="25">
        <v>2973</v>
      </c>
      <c r="B1395" s="25" t="s">
        <v>69</v>
      </c>
      <c r="C1395" s="26" t="s">
        <v>79</v>
      </c>
      <c r="D1395" s="27">
        <v>73072200</v>
      </c>
      <c r="E1395" s="28" t="s">
        <v>281</v>
      </c>
      <c r="F1395" s="29" t="s">
        <v>282</v>
      </c>
      <c r="G1395" s="30">
        <v>1</v>
      </c>
      <c r="H1395" s="27" t="s">
        <v>137</v>
      </c>
      <c r="I1395" s="26" t="s">
        <v>218</v>
      </c>
      <c r="J1395" s="31">
        <v>29</v>
      </c>
      <c r="K1395" s="32">
        <f t="shared" si="63"/>
        <v>29</v>
      </c>
      <c r="L1395" s="29" t="s">
        <v>282</v>
      </c>
      <c r="M1395" s="27">
        <f>IFERROR(VLOOKUP(C1395,Custo_MI_Device!$B$2:$E$102,3,FALSE),0)</f>
        <v>0</v>
      </c>
      <c r="N1395" s="27">
        <f t="shared" si="64"/>
        <v>0</v>
      </c>
      <c r="O1395" s="178">
        <f t="shared" si="65"/>
        <v>0</v>
      </c>
    </row>
    <row r="1396" spans="1:15" ht="12.75" hidden="1">
      <c r="A1396" s="25">
        <v>5044</v>
      </c>
      <c r="B1396" s="25" t="s">
        <v>69</v>
      </c>
      <c r="C1396" s="26" t="s">
        <v>79</v>
      </c>
      <c r="D1396" s="27">
        <v>73071100</v>
      </c>
      <c r="E1396" s="28" t="s">
        <v>283</v>
      </c>
      <c r="F1396" s="29">
        <v>300</v>
      </c>
      <c r="G1396" s="30">
        <v>1</v>
      </c>
      <c r="H1396" s="27"/>
      <c r="I1396" s="26" t="s">
        <v>152</v>
      </c>
      <c r="J1396" s="31">
        <v>7</v>
      </c>
      <c r="K1396" s="32">
        <f t="shared" si="63"/>
        <v>7</v>
      </c>
      <c r="L1396" s="29">
        <v>300</v>
      </c>
      <c r="M1396" s="27">
        <f>IFERROR(VLOOKUP(C1396,Custo_MI_Device!$B$2:$E$102,3,FALSE),0)</f>
        <v>0</v>
      </c>
      <c r="N1396" s="27">
        <f t="shared" si="64"/>
        <v>0</v>
      </c>
      <c r="O1396" s="178">
        <f t="shared" si="65"/>
        <v>0</v>
      </c>
    </row>
    <row r="1397" spans="1:15" ht="12.75" hidden="1">
      <c r="A1397" s="25">
        <v>4579</v>
      </c>
      <c r="B1397" s="25" t="s">
        <v>69</v>
      </c>
      <c r="C1397" s="26" t="s">
        <v>79</v>
      </c>
      <c r="D1397" s="27">
        <v>73071100</v>
      </c>
      <c r="E1397" s="28" t="s">
        <v>284</v>
      </c>
      <c r="F1397" s="29">
        <v>130</v>
      </c>
      <c r="G1397" s="30">
        <v>1</v>
      </c>
      <c r="H1397" s="27" t="s">
        <v>137</v>
      </c>
      <c r="I1397" s="26" t="s">
        <v>152</v>
      </c>
      <c r="J1397" s="31">
        <v>23</v>
      </c>
      <c r="K1397" s="32">
        <f t="shared" si="63"/>
        <v>23</v>
      </c>
      <c r="L1397" s="29">
        <v>130</v>
      </c>
      <c r="M1397" s="27">
        <f>IFERROR(VLOOKUP(C1397,Custo_MI_Device!$B$2:$E$102,3,FALSE),0)</f>
        <v>0</v>
      </c>
      <c r="N1397" s="27">
        <f t="shared" si="64"/>
        <v>0</v>
      </c>
      <c r="O1397" s="178">
        <f t="shared" si="65"/>
        <v>0</v>
      </c>
    </row>
    <row r="1398" spans="1:15" ht="25.5" hidden="1">
      <c r="A1398" s="25">
        <v>5194</v>
      </c>
      <c r="B1398" s="25" t="s">
        <v>69</v>
      </c>
      <c r="C1398" s="26" t="s">
        <v>79</v>
      </c>
      <c r="D1398" s="27">
        <v>73041010</v>
      </c>
      <c r="E1398" s="28" t="s">
        <v>289</v>
      </c>
      <c r="F1398" s="29" t="s">
        <v>290</v>
      </c>
      <c r="G1398" s="30">
        <v>2</v>
      </c>
      <c r="H1398" s="27" t="s">
        <v>232</v>
      </c>
      <c r="I1398" s="26" t="s">
        <v>218</v>
      </c>
      <c r="J1398" s="31">
        <f>21.5*6</f>
        <v>129</v>
      </c>
      <c r="K1398" s="32">
        <f t="shared" si="63"/>
        <v>258</v>
      </c>
      <c r="L1398" s="29" t="s">
        <v>290</v>
      </c>
      <c r="M1398" s="27">
        <f>IFERROR(VLOOKUP(C1398,Custo_MI_Device!$B$2:$E$102,3,FALSE),0)</f>
        <v>0</v>
      </c>
      <c r="N1398" s="27">
        <f t="shared" si="64"/>
        <v>0</v>
      </c>
      <c r="O1398" s="178">
        <f t="shared" si="65"/>
        <v>0</v>
      </c>
    </row>
    <row r="1399" spans="1:15" ht="25.5" hidden="1">
      <c r="A1399" s="25">
        <v>2567</v>
      </c>
      <c r="B1399" s="25" t="s">
        <v>69</v>
      </c>
      <c r="C1399" s="26" t="s">
        <v>79</v>
      </c>
      <c r="D1399" s="27">
        <v>84818095</v>
      </c>
      <c r="E1399" s="28" t="s">
        <v>303</v>
      </c>
      <c r="F1399" s="29">
        <v>0</v>
      </c>
      <c r="G1399" s="30">
        <v>1</v>
      </c>
      <c r="H1399" s="27" t="s">
        <v>137</v>
      </c>
      <c r="I1399" s="26" t="s">
        <v>304</v>
      </c>
      <c r="J1399" s="31">
        <v>27</v>
      </c>
      <c r="K1399" s="32">
        <f t="shared" si="63"/>
        <v>27</v>
      </c>
      <c r="L1399" s="29" t="s">
        <v>305</v>
      </c>
      <c r="M1399" s="27">
        <f>IFERROR(VLOOKUP(C1399,Custo_MI_Device!$B$2:$E$102,3,FALSE),0)</f>
        <v>0</v>
      </c>
      <c r="N1399" s="27">
        <f t="shared" si="64"/>
        <v>0</v>
      </c>
      <c r="O1399" s="178">
        <f t="shared" si="65"/>
        <v>0</v>
      </c>
    </row>
    <row r="1400" spans="1:15" ht="12.75" hidden="1">
      <c r="A1400" s="25">
        <v>2534</v>
      </c>
      <c r="B1400" s="25" t="s">
        <v>69</v>
      </c>
      <c r="C1400" s="26" t="s">
        <v>80</v>
      </c>
      <c r="D1400" s="27">
        <v>73072900</v>
      </c>
      <c r="E1400" s="28" t="s">
        <v>314</v>
      </c>
      <c r="F1400" s="29" t="s">
        <v>315</v>
      </c>
      <c r="G1400" s="30">
        <v>12</v>
      </c>
      <c r="H1400" s="27" t="s">
        <v>137</v>
      </c>
      <c r="I1400" s="26" t="s">
        <v>256</v>
      </c>
      <c r="J1400" s="31">
        <v>1.2</v>
      </c>
      <c r="K1400" s="32">
        <f t="shared" si="63"/>
        <v>14.399999999999999</v>
      </c>
      <c r="L1400" s="29" t="s">
        <v>315</v>
      </c>
      <c r="M1400" s="27">
        <f>IFERROR(VLOOKUP(C1400,Custo_MI_Device!$B$2:$E$102,3,FALSE),0)</f>
        <v>0</v>
      </c>
      <c r="N1400" s="27">
        <f t="shared" si="64"/>
        <v>0</v>
      </c>
      <c r="O1400" s="178">
        <f t="shared" si="65"/>
        <v>0</v>
      </c>
    </row>
    <row r="1401" spans="1:15" ht="12.75" hidden="1">
      <c r="A1401" s="25">
        <v>1669</v>
      </c>
      <c r="B1401" s="25" t="s">
        <v>69</v>
      </c>
      <c r="C1401" s="26" t="s">
        <v>80</v>
      </c>
      <c r="D1401" s="27">
        <v>39269090</v>
      </c>
      <c r="E1401" s="28" t="s">
        <v>316</v>
      </c>
      <c r="F1401" s="29" t="s">
        <v>317</v>
      </c>
      <c r="G1401" s="30">
        <v>3</v>
      </c>
      <c r="H1401" s="27" t="s">
        <v>137</v>
      </c>
      <c r="I1401" s="26" t="s">
        <v>318</v>
      </c>
      <c r="J1401" s="31">
        <v>0.04</v>
      </c>
      <c r="K1401" s="32">
        <f t="shared" si="63"/>
        <v>0.12</v>
      </c>
      <c r="L1401" s="29" t="s">
        <v>317</v>
      </c>
      <c r="M1401" s="27">
        <f>IFERROR(VLOOKUP(C1401,Custo_MI_Device!$B$2:$E$102,3,FALSE),0)</f>
        <v>0</v>
      </c>
      <c r="N1401" s="27">
        <f t="shared" si="64"/>
        <v>0</v>
      </c>
      <c r="O1401" s="178">
        <f t="shared" si="65"/>
        <v>0</v>
      </c>
    </row>
    <row r="1402" spans="1:15" ht="12.75" hidden="1">
      <c r="A1402" s="25">
        <v>5091</v>
      </c>
      <c r="B1402" s="25" t="s">
        <v>69</v>
      </c>
      <c r="C1402" s="26" t="s">
        <v>80</v>
      </c>
      <c r="D1402" s="27">
        <v>73181500</v>
      </c>
      <c r="E1402" s="28" t="s">
        <v>323</v>
      </c>
      <c r="F1402" s="29" t="s">
        <v>324</v>
      </c>
      <c r="G1402" s="30">
        <v>24</v>
      </c>
      <c r="H1402" s="27" t="s">
        <v>137</v>
      </c>
      <c r="I1402" s="26" t="s">
        <v>256</v>
      </c>
      <c r="J1402" s="31">
        <v>0.04</v>
      </c>
      <c r="K1402" s="32">
        <f t="shared" si="63"/>
        <v>0.96</v>
      </c>
      <c r="L1402" s="29" t="s">
        <v>324</v>
      </c>
      <c r="M1402" s="27">
        <f>IFERROR(VLOOKUP(C1402,Custo_MI_Device!$B$2:$E$102,3,FALSE),0)</f>
        <v>0</v>
      </c>
      <c r="N1402" s="27">
        <f t="shared" si="64"/>
        <v>0</v>
      </c>
      <c r="O1402" s="178">
        <f t="shared" si="65"/>
        <v>0</v>
      </c>
    </row>
    <row r="1403" spans="1:15" ht="12.75" hidden="1">
      <c r="A1403" s="25">
        <v>83</v>
      </c>
      <c r="B1403" s="25" t="s">
        <v>69</v>
      </c>
      <c r="C1403" s="26" t="s">
        <v>80</v>
      </c>
      <c r="D1403" s="27"/>
      <c r="E1403" s="28" t="s">
        <v>150</v>
      </c>
      <c r="F1403" s="29" t="s">
        <v>148</v>
      </c>
      <c r="G1403" s="30">
        <v>1</v>
      </c>
      <c r="H1403" s="27" t="s">
        <v>137</v>
      </c>
      <c r="I1403" s="26" t="s">
        <v>149</v>
      </c>
      <c r="J1403" s="31">
        <v>4.8</v>
      </c>
      <c r="K1403" s="32">
        <f t="shared" si="63"/>
        <v>4.8</v>
      </c>
      <c r="L1403" s="29" t="s">
        <v>148</v>
      </c>
      <c r="M1403" s="27">
        <f>IFERROR(VLOOKUP(C1403,Custo_MI_Device!$B$2:$E$102,3,FALSE),0)</f>
        <v>0</v>
      </c>
      <c r="N1403" s="27">
        <f t="shared" si="64"/>
        <v>0</v>
      </c>
      <c r="O1403" s="178">
        <f t="shared" si="65"/>
        <v>0</v>
      </c>
    </row>
    <row r="1404" spans="1:15" ht="12.75" hidden="1">
      <c r="A1404" s="25">
        <v>3080</v>
      </c>
      <c r="B1404" s="25" t="s">
        <v>69</v>
      </c>
      <c r="C1404" s="26" t="s">
        <v>80</v>
      </c>
      <c r="D1404" s="27">
        <v>74122000</v>
      </c>
      <c r="E1404" s="28" t="s">
        <v>153</v>
      </c>
      <c r="F1404" s="29" t="s">
        <v>154</v>
      </c>
      <c r="G1404" s="30">
        <v>1</v>
      </c>
      <c r="H1404" s="27" t="s">
        <v>137</v>
      </c>
      <c r="I1404" s="26" t="s">
        <v>155</v>
      </c>
      <c r="J1404" s="31">
        <v>3.3</v>
      </c>
      <c r="K1404" s="32">
        <f t="shared" si="63"/>
        <v>3.3</v>
      </c>
      <c r="L1404" s="29" t="s">
        <v>154</v>
      </c>
      <c r="M1404" s="27">
        <f>IFERROR(VLOOKUP(C1404,Custo_MI_Device!$B$2:$E$102,3,FALSE),0)</f>
        <v>0</v>
      </c>
      <c r="N1404" s="27">
        <f t="shared" si="64"/>
        <v>0</v>
      </c>
      <c r="O1404" s="178">
        <f t="shared" si="65"/>
        <v>0</v>
      </c>
    </row>
    <row r="1405" spans="1:15" ht="38.25" hidden="1">
      <c r="A1405" s="25">
        <v>3585</v>
      </c>
      <c r="B1405" s="25" t="s">
        <v>69</v>
      </c>
      <c r="C1405" s="26" t="s">
        <v>80</v>
      </c>
      <c r="D1405" s="27">
        <v>85444900</v>
      </c>
      <c r="E1405" s="28" t="s">
        <v>328</v>
      </c>
      <c r="F1405" s="29">
        <v>900400</v>
      </c>
      <c r="G1405" s="30">
        <v>50</v>
      </c>
      <c r="H1405" s="27" t="s">
        <v>158</v>
      </c>
      <c r="I1405" s="26" t="s">
        <v>164</v>
      </c>
      <c r="J1405" s="31">
        <v>1.7</v>
      </c>
      <c r="K1405" s="32">
        <f t="shared" si="63"/>
        <v>85</v>
      </c>
      <c r="L1405" s="29">
        <v>900400</v>
      </c>
      <c r="M1405" s="27">
        <f>IFERROR(VLOOKUP(C1405,Custo_MI_Device!$B$2:$E$102,3,FALSE),0)</f>
        <v>0</v>
      </c>
      <c r="N1405" s="27">
        <f t="shared" si="64"/>
        <v>0</v>
      </c>
      <c r="O1405" s="178">
        <f t="shared" si="65"/>
        <v>0</v>
      </c>
    </row>
    <row r="1406" spans="1:15" ht="12.75" hidden="1">
      <c r="A1406" s="25">
        <v>2805</v>
      </c>
      <c r="B1406" s="25" t="s">
        <v>69</v>
      </c>
      <c r="C1406" s="26" t="s">
        <v>80</v>
      </c>
      <c r="D1406" s="27">
        <v>72162100</v>
      </c>
      <c r="E1406" s="28" t="s">
        <v>174</v>
      </c>
      <c r="F1406" s="29">
        <v>0</v>
      </c>
      <c r="G1406" s="30">
        <v>2.9</v>
      </c>
      <c r="H1406" s="27" t="s">
        <v>175</v>
      </c>
      <c r="I1406" s="26" t="s">
        <v>176</v>
      </c>
      <c r="J1406" s="31">
        <v>4.22</v>
      </c>
      <c r="K1406" s="32">
        <f t="shared" si="63"/>
        <v>12.238</v>
      </c>
      <c r="L1406" s="29" t="s">
        <v>177</v>
      </c>
      <c r="M1406" s="27">
        <f>IFERROR(VLOOKUP(C1406,Custo_MI_Device!$B$2:$E$102,3,FALSE),0)</f>
        <v>0</v>
      </c>
      <c r="N1406" s="27">
        <f t="shared" si="64"/>
        <v>0</v>
      </c>
      <c r="O1406" s="178">
        <f t="shared" si="65"/>
        <v>0</v>
      </c>
    </row>
    <row r="1407" spans="1:15" ht="25.5" hidden="1">
      <c r="A1407" s="25">
        <v>3738</v>
      </c>
      <c r="B1407" s="25" t="s">
        <v>69</v>
      </c>
      <c r="C1407" s="26" t="s">
        <v>80</v>
      </c>
      <c r="D1407" s="27">
        <v>73071100</v>
      </c>
      <c r="E1407" s="28" t="s">
        <v>205</v>
      </c>
      <c r="F1407" s="29" t="s">
        <v>206</v>
      </c>
      <c r="G1407" s="30">
        <v>0.75</v>
      </c>
      <c r="H1407" s="27" t="s">
        <v>137</v>
      </c>
      <c r="I1407" s="26" t="s">
        <v>149</v>
      </c>
      <c r="J1407" s="31">
        <v>27</v>
      </c>
      <c r="K1407" s="32">
        <f t="shared" si="63"/>
        <v>20.25</v>
      </c>
      <c r="L1407" s="29" t="s">
        <v>206</v>
      </c>
      <c r="M1407" s="27">
        <f>IFERROR(VLOOKUP(C1407,Custo_MI_Device!$B$2:$E$102,3,FALSE),0)</f>
        <v>0</v>
      </c>
      <c r="N1407" s="27">
        <f t="shared" si="64"/>
        <v>0</v>
      </c>
      <c r="O1407" s="178">
        <f t="shared" si="65"/>
        <v>0</v>
      </c>
    </row>
    <row r="1408" spans="1:15" ht="25.5" hidden="1">
      <c r="A1408" s="25">
        <v>1710</v>
      </c>
      <c r="B1408" s="25" t="s">
        <v>69</v>
      </c>
      <c r="C1408" s="26" t="s">
        <v>80</v>
      </c>
      <c r="D1408" s="27">
        <v>73071100</v>
      </c>
      <c r="E1408" s="28" t="s">
        <v>207</v>
      </c>
      <c r="F1408" s="29" t="s">
        <v>208</v>
      </c>
      <c r="G1408" s="30">
        <v>0.75</v>
      </c>
      <c r="H1408" s="27" t="s">
        <v>137</v>
      </c>
      <c r="I1408" s="26" t="s">
        <v>149</v>
      </c>
      <c r="J1408" s="31">
        <v>27</v>
      </c>
      <c r="K1408" s="32">
        <f t="shared" si="63"/>
        <v>20.25</v>
      </c>
      <c r="L1408" s="29" t="s">
        <v>208</v>
      </c>
      <c r="M1408" s="27">
        <f>IFERROR(VLOOKUP(C1408,Custo_MI_Device!$B$2:$E$102,3,FALSE),0)</f>
        <v>0</v>
      </c>
      <c r="N1408" s="27">
        <f t="shared" si="64"/>
        <v>0</v>
      </c>
      <c r="O1408" s="178">
        <f t="shared" si="65"/>
        <v>0</v>
      </c>
    </row>
    <row r="1409" spans="1:15" ht="25.5" hidden="1">
      <c r="A1409" s="25">
        <v>1715</v>
      </c>
      <c r="B1409" s="25" t="s">
        <v>69</v>
      </c>
      <c r="C1409" s="26" t="s">
        <v>80</v>
      </c>
      <c r="D1409" s="27">
        <v>73071100</v>
      </c>
      <c r="E1409" s="28" t="s">
        <v>209</v>
      </c>
      <c r="F1409" s="29" t="s">
        <v>210</v>
      </c>
      <c r="G1409" s="30">
        <v>0.75</v>
      </c>
      <c r="H1409" s="27" t="s">
        <v>137</v>
      </c>
      <c r="I1409" s="26" t="s">
        <v>149</v>
      </c>
      <c r="J1409" s="31">
        <v>27</v>
      </c>
      <c r="K1409" s="32">
        <f t="shared" si="63"/>
        <v>20.25</v>
      </c>
      <c r="L1409" s="29" t="s">
        <v>210</v>
      </c>
      <c r="M1409" s="27">
        <f>IFERROR(VLOOKUP(C1409,Custo_MI_Device!$B$2:$E$102,3,FALSE),0)</f>
        <v>0</v>
      </c>
      <c r="N1409" s="27">
        <f t="shared" si="64"/>
        <v>0</v>
      </c>
      <c r="O1409" s="178">
        <f t="shared" si="65"/>
        <v>0</v>
      </c>
    </row>
    <row r="1410" spans="1:15" ht="25.5" hidden="1">
      <c r="A1410" s="25">
        <v>2909</v>
      </c>
      <c r="B1410" s="25" t="s">
        <v>69</v>
      </c>
      <c r="C1410" s="26" t="s">
        <v>80</v>
      </c>
      <c r="D1410" s="27">
        <v>73072200</v>
      </c>
      <c r="E1410" s="28" t="s">
        <v>216</v>
      </c>
      <c r="F1410" s="29" t="s">
        <v>217</v>
      </c>
      <c r="G1410" s="30">
        <v>4</v>
      </c>
      <c r="H1410" s="27" t="s">
        <v>137</v>
      </c>
      <c r="I1410" s="26" t="s">
        <v>218</v>
      </c>
      <c r="J1410" s="31">
        <v>27.7</v>
      </c>
      <c r="K1410" s="32">
        <f t="shared" si="63"/>
        <v>110.8</v>
      </c>
      <c r="L1410" s="29" t="s">
        <v>217</v>
      </c>
      <c r="M1410" s="27">
        <f>IFERROR(VLOOKUP(C1410,Custo_MI_Device!$B$2:$E$102,3,FALSE),0)</f>
        <v>0</v>
      </c>
      <c r="N1410" s="27">
        <f t="shared" si="64"/>
        <v>0</v>
      </c>
      <c r="O1410" s="178">
        <f t="shared" si="65"/>
        <v>0</v>
      </c>
    </row>
    <row r="1411" spans="1:15" ht="25.5" hidden="1">
      <c r="A1411" s="25">
        <v>2300</v>
      </c>
      <c r="B1411" s="25" t="s">
        <v>69</v>
      </c>
      <c r="C1411" s="26" t="s">
        <v>80</v>
      </c>
      <c r="D1411" s="27">
        <v>73072200</v>
      </c>
      <c r="E1411" s="28" t="s">
        <v>222</v>
      </c>
      <c r="F1411" s="29" t="s">
        <v>223</v>
      </c>
      <c r="G1411" s="30">
        <v>1</v>
      </c>
      <c r="H1411" s="27" t="s">
        <v>137</v>
      </c>
      <c r="I1411" s="26" t="s">
        <v>218</v>
      </c>
      <c r="J1411" s="31">
        <v>41</v>
      </c>
      <c r="K1411" s="32">
        <f t="shared" ref="K1411:K1474" si="66">G1411*J1411</f>
        <v>41</v>
      </c>
      <c r="L1411" s="29" t="s">
        <v>223</v>
      </c>
      <c r="M1411" s="27">
        <f>IFERROR(VLOOKUP(C1411,Custo_MI_Device!$B$2:$E$102,3,FALSE),0)</f>
        <v>0</v>
      </c>
      <c r="N1411" s="27">
        <f t="shared" ref="N1411:N1474" si="67">ROUNDUP(M1411*G1411,0)</f>
        <v>0</v>
      </c>
      <c r="O1411" s="178">
        <f t="shared" ref="O1411:O1474" si="68">N1411*J1411</f>
        <v>0</v>
      </c>
    </row>
    <row r="1412" spans="1:15" ht="25.5" hidden="1">
      <c r="A1412" s="25">
        <v>7163</v>
      </c>
      <c r="B1412" s="25" t="s">
        <v>69</v>
      </c>
      <c r="C1412" s="26" t="s">
        <v>80</v>
      </c>
      <c r="D1412" s="27">
        <v>73072200</v>
      </c>
      <c r="E1412" s="28" t="s">
        <v>224</v>
      </c>
      <c r="F1412" s="29">
        <v>0</v>
      </c>
      <c r="G1412" s="30">
        <v>4</v>
      </c>
      <c r="H1412" s="27" t="s">
        <v>137</v>
      </c>
      <c r="I1412" s="26" t="s">
        <v>220</v>
      </c>
      <c r="J1412" s="31">
        <v>58</v>
      </c>
      <c r="K1412" s="32">
        <f t="shared" si="66"/>
        <v>232</v>
      </c>
      <c r="L1412" s="29" t="s">
        <v>225</v>
      </c>
      <c r="M1412" s="27">
        <f>IFERROR(VLOOKUP(C1412,Custo_MI_Device!$B$2:$E$102,3,FALSE),0)</f>
        <v>0</v>
      </c>
      <c r="N1412" s="27">
        <f t="shared" si="67"/>
        <v>0</v>
      </c>
      <c r="O1412" s="178">
        <f t="shared" si="68"/>
        <v>0</v>
      </c>
    </row>
    <row r="1413" spans="1:15" ht="25.5" hidden="1">
      <c r="A1413" s="25">
        <v>3417</v>
      </c>
      <c r="B1413" s="25" t="s">
        <v>69</v>
      </c>
      <c r="C1413" s="26" t="s">
        <v>80</v>
      </c>
      <c r="D1413" s="27">
        <v>73063000</v>
      </c>
      <c r="E1413" s="28" t="s">
        <v>231</v>
      </c>
      <c r="F1413" s="29">
        <v>0</v>
      </c>
      <c r="G1413" s="30">
        <v>2</v>
      </c>
      <c r="H1413" s="27" t="s">
        <v>232</v>
      </c>
      <c r="I1413" s="26" t="s">
        <v>233</v>
      </c>
      <c r="J1413" s="31">
        <v>33.47</v>
      </c>
      <c r="K1413" s="32">
        <f t="shared" si="66"/>
        <v>66.94</v>
      </c>
      <c r="L1413" s="29" t="s">
        <v>234</v>
      </c>
      <c r="M1413" s="27">
        <f>IFERROR(VLOOKUP(C1413,Custo_MI_Device!$B$2:$E$102,3,FALSE),0)</f>
        <v>0</v>
      </c>
      <c r="N1413" s="27">
        <f t="shared" si="67"/>
        <v>0</v>
      </c>
      <c r="O1413" s="178">
        <f t="shared" si="68"/>
        <v>0</v>
      </c>
    </row>
    <row r="1414" spans="1:15" ht="12.75" hidden="1">
      <c r="A1414" s="25">
        <v>3316</v>
      </c>
      <c r="B1414" s="25" t="s">
        <v>69</v>
      </c>
      <c r="C1414" s="26" t="s">
        <v>80</v>
      </c>
      <c r="D1414" s="27">
        <v>0</v>
      </c>
      <c r="E1414" s="28" t="s">
        <v>246</v>
      </c>
      <c r="F1414" s="29" t="s">
        <v>247</v>
      </c>
      <c r="G1414" s="30">
        <v>1</v>
      </c>
      <c r="H1414" s="27" t="s">
        <v>137</v>
      </c>
      <c r="I1414" s="26" t="s">
        <v>248</v>
      </c>
      <c r="J1414" s="31">
        <v>5.5</v>
      </c>
      <c r="K1414" s="32">
        <f t="shared" si="66"/>
        <v>5.5</v>
      </c>
      <c r="L1414" s="29" t="s">
        <v>247</v>
      </c>
      <c r="M1414" s="27">
        <f>IFERROR(VLOOKUP(C1414,Custo_MI_Device!$B$2:$E$102,3,FALSE),0)</f>
        <v>0</v>
      </c>
      <c r="N1414" s="27">
        <f t="shared" si="67"/>
        <v>0</v>
      </c>
      <c r="O1414" s="178">
        <f t="shared" si="68"/>
        <v>0</v>
      </c>
    </row>
    <row r="1415" spans="1:15" ht="25.5" hidden="1">
      <c r="A1415" s="25">
        <v>1900</v>
      </c>
      <c r="B1415" s="25" t="s">
        <v>69</v>
      </c>
      <c r="C1415" s="26" t="s">
        <v>80</v>
      </c>
      <c r="D1415" s="27">
        <v>73072200</v>
      </c>
      <c r="E1415" s="28" t="s">
        <v>249</v>
      </c>
      <c r="F1415" s="29" t="s">
        <v>250</v>
      </c>
      <c r="G1415" s="30">
        <v>2</v>
      </c>
      <c r="H1415" s="27" t="s">
        <v>137</v>
      </c>
      <c r="I1415" s="26" t="s">
        <v>218</v>
      </c>
      <c r="J1415" s="31">
        <v>27</v>
      </c>
      <c r="K1415" s="32">
        <f t="shared" si="66"/>
        <v>54</v>
      </c>
      <c r="L1415" s="29" t="s">
        <v>250</v>
      </c>
      <c r="M1415" s="27">
        <f>IFERROR(VLOOKUP(C1415,Custo_MI_Device!$B$2:$E$102,3,FALSE),0)</f>
        <v>0</v>
      </c>
      <c r="N1415" s="27">
        <f t="shared" si="67"/>
        <v>0</v>
      </c>
      <c r="O1415" s="178">
        <f t="shared" si="68"/>
        <v>0</v>
      </c>
    </row>
    <row r="1416" spans="1:15" ht="12.75" hidden="1">
      <c r="A1416" s="25">
        <v>1965</v>
      </c>
      <c r="B1416" s="25" t="s">
        <v>69</v>
      </c>
      <c r="C1416" s="26" t="s">
        <v>80</v>
      </c>
      <c r="D1416" s="27">
        <v>73071100</v>
      </c>
      <c r="E1416" s="28" t="s">
        <v>251</v>
      </c>
      <c r="F1416" s="29" t="s">
        <v>252</v>
      </c>
      <c r="G1416" s="30">
        <v>1</v>
      </c>
      <c r="H1416" s="27" t="s">
        <v>137</v>
      </c>
      <c r="I1416" s="26" t="s">
        <v>253</v>
      </c>
      <c r="J1416" s="31">
        <v>5.5</v>
      </c>
      <c r="K1416" s="32">
        <f t="shared" si="66"/>
        <v>5.5</v>
      </c>
      <c r="L1416" s="29" t="s">
        <v>252</v>
      </c>
      <c r="M1416" s="27">
        <f>IFERROR(VLOOKUP(C1416,Custo_MI_Device!$B$2:$E$102,3,FALSE),0)</f>
        <v>0</v>
      </c>
      <c r="N1416" s="27">
        <f t="shared" si="67"/>
        <v>0</v>
      </c>
      <c r="O1416" s="178">
        <f t="shared" si="68"/>
        <v>0</v>
      </c>
    </row>
    <row r="1417" spans="1:15" ht="12.75" hidden="1">
      <c r="A1417" s="25">
        <v>3274</v>
      </c>
      <c r="B1417" s="25" t="s">
        <v>69</v>
      </c>
      <c r="C1417" s="26" t="s">
        <v>80</v>
      </c>
      <c r="D1417" s="27">
        <v>73181500</v>
      </c>
      <c r="E1417" s="28" t="s">
        <v>265</v>
      </c>
      <c r="F1417" s="29" t="s">
        <v>266</v>
      </c>
      <c r="G1417" s="30">
        <v>24</v>
      </c>
      <c r="H1417" s="27" t="s">
        <v>137</v>
      </c>
      <c r="I1417" s="26" t="s">
        <v>256</v>
      </c>
      <c r="J1417" s="31">
        <v>0.06</v>
      </c>
      <c r="K1417" s="32">
        <f t="shared" si="66"/>
        <v>1.44</v>
      </c>
      <c r="L1417" s="29" t="s">
        <v>266</v>
      </c>
      <c r="M1417" s="27">
        <f>IFERROR(VLOOKUP(C1417,Custo_MI_Device!$B$2:$E$102,3,FALSE),0)</f>
        <v>0</v>
      </c>
      <c r="N1417" s="27">
        <f t="shared" si="67"/>
        <v>0</v>
      </c>
      <c r="O1417" s="178">
        <f t="shared" si="68"/>
        <v>0</v>
      </c>
    </row>
    <row r="1418" spans="1:15" ht="25.5" hidden="1">
      <c r="A1418" s="25">
        <v>3199</v>
      </c>
      <c r="B1418" s="25" t="s">
        <v>69</v>
      </c>
      <c r="C1418" s="26" t="s">
        <v>80</v>
      </c>
      <c r="D1418" s="27">
        <v>90262090</v>
      </c>
      <c r="E1418" s="28" t="s">
        <v>268</v>
      </c>
      <c r="F1418" s="29">
        <v>0</v>
      </c>
      <c r="G1418" s="33">
        <v>0</v>
      </c>
      <c r="H1418" s="27" t="s">
        <v>137</v>
      </c>
      <c r="I1418" s="26" t="s">
        <v>220</v>
      </c>
      <c r="J1418" s="31">
        <v>650</v>
      </c>
      <c r="K1418" s="32">
        <f t="shared" si="66"/>
        <v>0</v>
      </c>
      <c r="L1418" s="29" t="s">
        <v>269</v>
      </c>
      <c r="M1418" s="27">
        <f>IFERROR(VLOOKUP(C1418,Custo_MI_Device!$B$2:$E$102,3,FALSE),0)</f>
        <v>0</v>
      </c>
      <c r="N1418" s="27">
        <f t="shared" si="67"/>
        <v>0</v>
      </c>
      <c r="O1418" s="178">
        <f t="shared" si="68"/>
        <v>0</v>
      </c>
    </row>
    <row r="1419" spans="1:15" ht="12.75" hidden="1">
      <c r="A1419" s="25">
        <v>5081</v>
      </c>
      <c r="B1419" s="25" t="s">
        <v>69</v>
      </c>
      <c r="C1419" s="26" t="s">
        <v>80</v>
      </c>
      <c r="D1419" s="27">
        <v>73145000</v>
      </c>
      <c r="E1419" s="28" t="s">
        <v>278</v>
      </c>
      <c r="F1419" s="29">
        <v>0</v>
      </c>
      <c r="G1419" s="30">
        <v>1</v>
      </c>
      <c r="H1419" s="27" t="s">
        <v>137</v>
      </c>
      <c r="I1419" s="26" t="s">
        <v>279</v>
      </c>
      <c r="J1419" s="31">
        <v>23</v>
      </c>
      <c r="K1419" s="32">
        <f t="shared" si="66"/>
        <v>23</v>
      </c>
      <c r="L1419" s="29" t="s">
        <v>280</v>
      </c>
      <c r="M1419" s="27">
        <f>IFERROR(VLOOKUP(C1419,Custo_MI_Device!$B$2:$E$102,3,FALSE),0)</f>
        <v>0</v>
      </c>
      <c r="N1419" s="27">
        <f t="shared" si="67"/>
        <v>0</v>
      </c>
      <c r="O1419" s="178">
        <f t="shared" si="68"/>
        <v>0</v>
      </c>
    </row>
    <row r="1420" spans="1:15" ht="25.5" hidden="1">
      <c r="A1420" s="25">
        <v>2973</v>
      </c>
      <c r="B1420" s="25" t="s">
        <v>69</v>
      </c>
      <c r="C1420" s="26" t="s">
        <v>80</v>
      </c>
      <c r="D1420" s="27">
        <v>73072200</v>
      </c>
      <c r="E1420" s="28" t="s">
        <v>281</v>
      </c>
      <c r="F1420" s="29" t="s">
        <v>282</v>
      </c>
      <c r="G1420" s="30">
        <v>1</v>
      </c>
      <c r="H1420" s="27" t="s">
        <v>137</v>
      </c>
      <c r="I1420" s="26" t="s">
        <v>218</v>
      </c>
      <c r="J1420" s="31">
        <v>29</v>
      </c>
      <c r="K1420" s="32">
        <f t="shared" si="66"/>
        <v>29</v>
      </c>
      <c r="L1420" s="29" t="s">
        <v>282</v>
      </c>
      <c r="M1420" s="27">
        <f>IFERROR(VLOOKUP(C1420,Custo_MI_Device!$B$2:$E$102,3,FALSE),0)</f>
        <v>0</v>
      </c>
      <c r="N1420" s="27">
        <f t="shared" si="67"/>
        <v>0</v>
      </c>
      <c r="O1420" s="178">
        <f t="shared" si="68"/>
        <v>0</v>
      </c>
    </row>
    <row r="1421" spans="1:15" ht="25.5" hidden="1">
      <c r="A1421" s="25">
        <v>5194</v>
      </c>
      <c r="B1421" s="25" t="s">
        <v>69</v>
      </c>
      <c r="C1421" s="26" t="s">
        <v>80</v>
      </c>
      <c r="D1421" s="27">
        <v>73041010</v>
      </c>
      <c r="E1421" s="28" t="s">
        <v>289</v>
      </c>
      <c r="F1421" s="29" t="s">
        <v>290</v>
      </c>
      <c r="G1421" s="30">
        <v>2</v>
      </c>
      <c r="H1421" s="27" t="s">
        <v>232</v>
      </c>
      <c r="I1421" s="26" t="s">
        <v>218</v>
      </c>
      <c r="J1421" s="31">
        <f>21.5*6</f>
        <v>129</v>
      </c>
      <c r="K1421" s="32">
        <f t="shared" si="66"/>
        <v>258</v>
      </c>
      <c r="L1421" s="29" t="s">
        <v>290</v>
      </c>
      <c r="M1421" s="27">
        <f>IFERROR(VLOOKUP(C1421,Custo_MI_Device!$B$2:$E$102,3,FALSE),0)</f>
        <v>0</v>
      </c>
      <c r="N1421" s="27">
        <f t="shared" si="67"/>
        <v>0</v>
      </c>
      <c r="O1421" s="178">
        <f t="shared" si="68"/>
        <v>0</v>
      </c>
    </row>
    <row r="1422" spans="1:15" ht="25.5" hidden="1">
      <c r="A1422" s="25">
        <v>5147</v>
      </c>
      <c r="B1422" s="25" t="s">
        <v>69</v>
      </c>
      <c r="C1422" s="26" t="s">
        <v>80</v>
      </c>
      <c r="D1422" s="27">
        <v>83079000</v>
      </c>
      <c r="E1422" s="28" t="s">
        <v>293</v>
      </c>
      <c r="F1422" s="29" t="s">
        <v>294</v>
      </c>
      <c r="G1422" s="30">
        <v>1</v>
      </c>
      <c r="H1422" s="27" t="s">
        <v>137</v>
      </c>
      <c r="I1422" s="26" t="s">
        <v>180</v>
      </c>
      <c r="J1422" s="31">
        <v>155</v>
      </c>
      <c r="K1422" s="32">
        <f t="shared" si="66"/>
        <v>155</v>
      </c>
      <c r="L1422" s="29" t="s">
        <v>294</v>
      </c>
      <c r="M1422" s="27">
        <f>IFERROR(VLOOKUP(C1422,Custo_MI_Device!$B$2:$E$102,3,FALSE),0)</f>
        <v>0</v>
      </c>
      <c r="N1422" s="27">
        <f t="shared" si="67"/>
        <v>0</v>
      </c>
      <c r="O1422" s="178">
        <f t="shared" si="68"/>
        <v>0</v>
      </c>
    </row>
    <row r="1423" spans="1:15" ht="25.5" hidden="1">
      <c r="A1423" s="25">
        <v>4834</v>
      </c>
      <c r="B1423" s="25" t="s">
        <v>69</v>
      </c>
      <c r="C1423" s="26" t="s">
        <v>80</v>
      </c>
      <c r="D1423" s="27">
        <v>73071100</v>
      </c>
      <c r="E1423" s="28" t="s">
        <v>299</v>
      </c>
      <c r="F1423" s="29" t="s">
        <v>300</v>
      </c>
      <c r="G1423" s="30">
        <v>1</v>
      </c>
      <c r="H1423" s="27" t="s">
        <v>137</v>
      </c>
      <c r="I1423" s="26" t="s">
        <v>149</v>
      </c>
      <c r="J1423" s="31">
        <v>28</v>
      </c>
      <c r="K1423" s="32">
        <f t="shared" si="66"/>
        <v>28</v>
      </c>
      <c r="L1423" s="29" t="s">
        <v>300</v>
      </c>
      <c r="M1423" s="27">
        <f>IFERROR(VLOOKUP(C1423,Custo_MI_Device!$B$2:$E$102,3,FALSE),0)</f>
        <v>0</v>
      </c>
      <c r="N1423" s="27">
        <f t="shared" si="67"/>
        <v>0</v>
      </c>
      <c r="O1423" s="178">
        <f t="shared" si="68"/>
        <v>0</v>
      </c>
    </row>
    <row r="1424" spans="1:15" ht="25.5" hidden="1">
      <c r="A1424" s="25">
        <v>2125</v>
      </c>
      <c r="B1424" s="25" t="s">
        <v>69</v>
      </c>
      <c r="C1424" s="26" t="s">
        <v>80</v>
      </c>
      <c r="D1424" s="27">
        <v>84818039</v>
      </c>
      <c r="E1424" s="28" t="s">
        <v>301</v>
      </c>
      <c r="F1424" s="29">
        <v>0</v>
      </c>
      <c r="G1424" s="30">
        <v>2</v>
      </c>
      <c r="H1424" s="27" t="s">
        <v>137</v>
      </c>
      <c r="I1424" s="26" t="s">
        <v>220</v>
      </c>
      <c r="J1424" s="31">
        <v>175</v>
      </c>
      <c r="K1424" s="32">
        <f t="shared" si="66"/>
        <v>350</v>
      </c>
      <c r="L1424" s="29" t="s">
        <v>302</v>
      </c>
      <c r="M1424" s="27">
        <f>IFERROR(VLOOKUP(C1424,Custo_MI_Device!$B$2:$E$102,3,FALSE),0)</f>
        <v>0</v>
      </c>
      <c r="N1424" s="27">
        <f t="shared" si="67"/>
        <v>0</v>
      </c>
      <c r="O1424" s="178">
        <f t="shared" si="68"/>
        <v>0</v>
      </c>
    </row>
    <row r="1425" spans="1:15" ht="12.75" hidden="1">
      <c r="A1425" s="25">
        <v>2534</v>
      </c>
      <c r="B1425" s="25" t="s">
        <v>69</v>
      </c>
      <c r="C1425" s="26" t="s">
        <v>81</v>
      </c>
      <c r="D1425" s="27">
        <v>73072900</v>
      </c>
      <c r="E1425" s="28" t="s">
        <v>314</v>
      </c>
      <c r="F1425" s="29" t="s">
        <v>315</v>
      </c>
      <c r="G1425" s="30">
        <v>12</v>
      </c>
      <c r="H1425" s="27" t="s">
        <v>137</v>
      </c>
      <c r="I1425" s="26" t="s">
        <v>256</v>
      </c>
      <c r="J1425" s="31">
        <v>1.2</v>
      </c>
      <c r="K1425" s="32">
        <f t="shared" si="66"/>
        <v>14.399999999999999</v>
      </c>
      <c r="L1425" s="29" t="s">
        <v>315</v>
      </c>
      <c r="M1425" s="27">
        <f>IFERROR(VLOOKUP(C1425,Custo_MI_Device!$B$2:$E$102,3,FALSE),0)</f>
        <v>0</v>
      </c>
      <c r="N1425" s="27">
        <f t="shared" si="67"/>
        <v>0</v>
      </c>
      <c r="O1425" s="178">
        <f t="shared" si="68"/>
        <v>0</v>
      </c>
    </row>
    <row r="1426" spans="1:15" ht="12.75" hidden="1">
      <c r="A1426" s="25">
        <v>1669</v>
      </c>
      <c r="B1426" s="25" t="s">
        <v>69</v>
      </c>
      <c r="C1426" s="26" t="s">
        <v>81</v>
      </c>
      <c r="D1426" s="27">
        <v>39269090</v>
      </c>
      <c r="E1426" s="28" t="s">
        <v>316</v>
      </c>
      <c r="F1426" s="29" t="s">
        <v>317</v>
      </c>
      <c r="G1426" s="30">
        <v>3</v>
      </c>
      <c r="H1426" s="27" t="s">
        <v>137</v>
      </c>
      <c r="I1426" s="26" t="s">
        <v>318</v>
      </c>
      <c r="J1426" s="31">
        <v>0.04</v>
      </c>
      <c r="K1426" s="32">
        <f t="shared" si="66"/>
        <v>0.12</v>
      </c>
      <c r="L1426" s="29" t="s">
        <v>317</v>
      </c>
      <c r="M1426" s="27">
        <f>IFERROR(VLOOKUP(C1426,Custo_MI_Device!$B$2:$E$102,3,FALSE),0)</f>
        <v>0</v>
      </c>
      <c r="N1426" s="27">
        <f t="shared" si="67"/>
        <v>0</v>
      </c>
      <c r="O1426" s="178">
        <f t="shared" si="68"/>
        <v>0</v>
      </c>
    </row>
    <row r="1427" spans="1:15" ht="12.75" hidden="1">
      <c r="A1427" s="25">
        <v>5091</v>
      </c>
      <c r="B1427" s="25" t="s">
        <v>69</v>
      </c>
      <c r="C1427" s="26" t="s">
        <v>81</v>
      </c>
      <c r="D1427" s="27">
        <v>73181500</v>
      </c>
      <c r="E1427" s="28" t="s">
        <v>323</v>
      </c>
      <c r="F1427" s="29" t="s">
        <v>324</v>
      </c>
      <c r="G1427" s="30">
        <v>24</v>
      </c>
      <c r="H1427" s="27" t="s">
        <v>137</v>
      </c>
      <c r="I1427" s="26" t="s">
        <v>256</v>
      </c>
      <c r="J1427" s="31">
        <v>0.04</v>
      </c>
      <c r="K1427" s="32">
        <f t="shared" si="66"/>
        <v>0.96</v>
      </c>
      <c r="L1427" s="29" t="s">
        <v>324</v>
      </c>
      <c r="M1427" s="27">
        <f>IFERROR(VLOOKUP(C1427,Custo_MI_Device!$B$2:$E$102,3,FALSE),0)</f>
        <v>0</v>
      </c>
      <c r="N1427" s="27">
        <f t="shared" si="67"/>
        <v>0</v>
      </c>
      <c r="O1427" s="178">
        <f t="shared" si="68"/>
        <v>0</v>
      </c>
    </row>
    <row r="1428" spans="1:15" ht="12.75" hidden="1">
      <c r="A1428" s="25">
        <v>83</v>
      </c>
      <c r="B1428" s="25" t="s">
        <v>69</v>
      </c>
      <c r="C1428" s="26" t="s">
        <v>81</v>
      </c>
      <c r="D1428" s="27"/>
      <c r="E1428" s="28" t="s">
        <v>150</v>
      </c>
      <c r="F1428" s="29" t="s">
        <v>148</v>
      </c>
      <c r="G1428" s="30">
        <v>1</v>
      </c>
      <c r="H1428" s="27" t="s">
        <v>137</v>
      </c>
      <c r="I1428" s="26" t="s">
        <v>149</v>
      </c>
      <c r="J1428" s="31">
        <v>4.8</v>
      </c>
      <c r="K1428" s="32">
        <f t="shared" si="66"/>
        <v>4.8</v>
      </c>
      <c r="L1428" s="29" t="s">
        <v>148</v>
      </c>
      <c r="M1428" s="27">
        <f>IFERROR(VLOOKUP(C1428,Custo_MI_Device!$B$2:$E$102,3,FALSE),0)</f>
        <v>0</v>
      </c>
      <c r="N1428" s="27">
        <f t="shared" si="67"/>
        <v>0</v>
      </c>
      <c r="O1428" s="178">
        <f t="shared" si="68"/>
        <v>0</v>
      </c>
    </row>
    <row r="1429" spans="1:15" ht="12.75" hidden="1">
      <c r="A1429" s="25">
        <v>3080</v>
      </c>
      <c r="B1429" s="25" t="s">
        <v>69</v>
      </c>
      <c r="C1429" s="26" t="s">
        <v>81</v>
      </c>
      <c r="D1429" s="27">
        <v>74122000</v>
      </c>
      <c r="E1429" s="28" t="s">
        <v>153</v>
      </c>
      <c r="F1429" s="29" t="s">
        <v>154</v>
      </c>
      <c r="G1429" s="30">
        <v>1</v>
      </c>
      <c r="H1429" s="27" t="s">
        <v>137</v>
      </c>
      <c r="I1429" s="26" t="s">
        <v>155</v>
      </c>
      <c r="J1429" s="31">
        <v>3.3</v>
      </c>
      <c r="K1429" s="32">
        <f t="shared" si="66"/>
        <v>3.3</v>
      </c>
      <c r="L1429" s="29" t="s">
        <v>154</v>
      </c>
      <c r="M1429" s="27">
        <f>IFERROR(VLOOKUP(C1429,Custo_MI_Device!$B$2:$E$102,3,FALSE),0)</f>
        <v>0</v>
      </c>
      <c r="N1429" s="27">
        <f t="shared" si="67"/>
        <v>0</v>
      </c>
      <c r="O1429" s="178">
        <f t="shared" si="68"/>
        <v>0</v>
      </c>
    </row>
    <row r="1430" spans="1:15" ht="25.5" hidden="1">
      <c r="A1430" s="25">
        <v>5139</v>
      </c>
      <c r="B1430" s="25" t="s">
        <v>69</v>
      </c>
      <c r="C1430" s="26" t="s">
        <v>81</v>
      </c>
      <c r="D1430" s="27">
        <v>85444900</v>
      </c>
      <c r="E1430" s="28" t="s">
        <v>170</v>
      </c>
      <c r="F1430" s="29" t="s">
        <v>171</v>
      </c>
      <c r="G1430" s="30">
        <v>15</v>
      </c>
      <c r="H1430" s="27" t="s">
        <v>158</v>
      </c>
      <c r="I1430" s="26" t="s">
        <v>172</v>
      </c>
      <c r="J1430" s="31">
        <v>7.5</v>
      </c>
      <c r="K1430" s="32">
        <f t="shared" si="66"/>
        <v>112.5</v>
      </c>
      <c r="L1430" s="29" t="s">
        <v>173</v>
      </c>
      <c r="M1430" s="27">
        <f>IFERROR(VLOOKUP(C1430,Custo_MI_Device!$B$2:$E$102,3,FALSE),0)</f>
        <v>0</v>
      </c>
      <c r="N1430" s="27">
        <f t="shared" si="67"/>
        <v>0</v>
      </c>
      <c r="O1430" s="178">
        <f t="shared" si="68"/>
        <v>0</v>
      </c>
    </row>
    <row r="1431" spans="1:15" ht="12.75" hidden="1">
      <c r="A1431" s="25">
        <v>2805</v>
      </c>
      <c r="B1431" s="25" t="s">
        <v>69</v>
      </c>
      <c r="C1431" s="26" t="s">
        <v>81</v>
      </c>
      <c r="D1431" s="27">
        <v>72162100</v>
      </c>
      <c r="E1431" s="28" t="s">
        <v>174</v>
      </c>
      <c r="F1431" s="29">
        <v>0</v>
      </c>
      <c r="G1431" s="30">
        <v>2.9</v>
      </c>
      <c r="H1431" s="27" t="s">
        <v>175</v>
      </c>
      <c r="I1431" s="26" t="s">
        <v>176</v>
      </c>
      <c r="J1431" s="31">
        <v>4.22</v>
      </c>
      <c r="K1431" s="32">
        <f t="shared" si="66"/>
        <v>12.238</v>
      </c>
      <c r="L1431" s="29" t="s">
        <v>177</v>
      </c>
      <c r="M1431" s="27">
        <f>IFERROR(VLOOKUP(C1431,Custo_MI_Device!$B$2:$E$102,3,FALSE),0)</f>
        <v>0</v>
      </c>
      <c r="N1431" s="27">
        <f t="shared" si="67"/>
        <v>0</v>
      </c>
      <c r="O1431" s="178">
        <f t="shared" si="68"/>
        <v>0</v>
      </c>
    </row>
    <row r="1432" spans="1:15" ht="25.5" hidden="1">
      <c r="A1432" s="25">
        <v>3738</v>
      </c>
      <c r="B1432" s="25" t="s">
        <v>69</v>
      </c>
      <c r="C1432" s="26" t="s">
        <v>81</v>
      </c>
      <c r="D1432" s="27">
        <v>73071100</v>
      </c>
      <c r="E1432" s="28" t="s">
        <v>205</v>
      </c>
      <c r="F1432" s="29" t="s">
        <v>206</v>
      </c>
      <c r="G1432" s="30">
        <v>0.75</v>
      </c>
      <c r="H1432" s="27" t="s">
        <v>137</v>
      </c>
      <c r="I1432" s="26" t="s">
        <v>149</v>
      </c>
      <c r="J1432" s="31">
        <v>27</v>
      </c>
      <c r="K1432" s="32">
        <f t="shared" si="66"/>
        <v>20.25</v>
      </c>
      <c r="L1432" s="29" t="s">
        <v>206</v>
      </c>
      <c r="M1432" s="27">
        <f>IFERROR(VLOOKUP(C1432,Custo_MI_Device!$B$2:$E$102,3,FALSE),0)</f>
        <v>0</v>
      </c>
      <c r="N1432" s="27">
        <f t="shared" si="67"/>
        <v>0</v>
      </c>
      <c r="O1432" s="178">
        <f t="shared" si="68"/>
        <v>0</v>
      </c>
    </row>
    <row r="1433" spans="1:15" ht="25.5" hidden="1">
      <c r="A1433" s="25">
        <v>1710</v>
      </c>
      <c r="B1433" s="25" t="s">
        <v>69</v>
      </c>
      <c r="C1433" s="26" t="s">
        <v>81</v>
      </c>
      <c r="D1433" s="27">
        <v>73071100</v>
      </c>
      <c r="E1433" s="28" t="s">
        <v>207</v>
      </c>
      <c r="F1433" s="29" t="s">
        <v>208</v>
      </c>
      <c r="G1433" s="30">
        <v>0.75</v>
      </c>
      <c r="H1433" s="27" t="s">
        <v>137</v>
      </c>
      <c r="I1433" s="26" t="s">
        <v>149</v>
      </c>
      <c r="J1433" s="31">
        <v>27</v>
      </c>
      <c r="K1433" s="32">
        <f t="shared" si="66"/>
        <v>20.25</v>
      </c>
      <c r="L1433" s="29" t="s">
        <v>208</v>
      </c>
      <c r="M1433" s="27">
        <f>IFERROR(VLOOKUP(C1433,Custo_MI_Device!$B$2:$E$102,3,FALSE),0)</f>
        <v>0</v>
      </c>
      <c r="N1433" s="27">
        <f t="shared" si="67"/>
        <v>0</v>
      </c>
      <c r="O1433" s="178">
        <f t="shared" si="68"/>
        <v>0</v>
      </c>
    </row>
    <row r="1434" spans="1:15" ht="25.5" hidden="1">
      <c r="A1434" s="25">
        <v>1715</v>
      </c>
      <c r="B1434" s="25" t="s">
        <v>69</v>
      </c>
      <c r="C1434" s="26" t="s">
        <v>81</v>
      </c>
      <c r="D1434" s="27">
        <v>73071100</v>
      </c>
      <c r="E1434" s="28" t="s">
        <v>209</v>
      </c>
      <c r="F1434" s="29" t="s">
        <v>210</v>
      </c>
      <c r="G1434" s="30">
        <v>0.75</v>
      </c>
      <c r="H1434" s="27" t="s">
        <v>137</v>
      </c>
      <c r="I1434" s="26" t="s">
        <v>149</v>
      </c>
      <c r="J1434" s="31">
        <v>27</v>
      </c>
      <c r="K1434" s="32">
        <f t="shared" si="66"/>
        <v>20.25</v>
      </c>
      <c r="L1434" s="29" t="s">
        <v>210</v>
      </c>
      <c r="M1434" s="27">
        <f>IFERROR(VLOOKUP(C1434,Custo_MI_Device!$B$2:$E$102,3,FALSE),0)</f>
        <v>0</v>
      </c>
      <c r="N1434" s="27">
        <f t="shared" si="67"/>
        <v>0</v>
      </c>
      <c r="O1434" s="178">
        <f t="shared" si="68"/>
        <v>0</v>
      </c>
    </row>
    <row r="1435" spans="1:15" ht="25.5" hidden="1">
      <c r="A1435" s="25">
        <v>2909</v>
      </c>
      <c r="B1435" s="25" t="s">
        <v>69</v>
      </c>
      <c r="C1435" s="26" t="s">
        <v>81</v>
      </c>
      <c r="D1435" s="27">
        <v>73072200</v>
      </c>
      <c r="E1435" s="28" t="s">
        <v>216</v>
      </c>
      <c r="F1435" s="29" t="s">
        <v>217</v>
      </c>
      <c r="G1435" s="30">
        <v>4</v>
      </c>
      <c r="H1435" s="27" t="s">
        <v>137</v>
      </c>
      <c r="I1435" s="26" t="s">
        <v>218</v>
      </c>
      <c r="J1435" s="31">
        <v>27.7</v>
      </c>
      <c r="K1435" s="32">
        <f t="shared" si="66"/>
        <v>110.8</v>
      </c>
      <c r="L1435" s="29" t="s">
        <v>217</v>
      </c>
      <c r="M1435" s="27">
        <f>IFERROR(VLOOKUP(C1435,Custo_MI_Device!$B$2:$E$102,3,FALSE),0)</f>
        <v>0</v>
      </c>
      <c r="N1435" s="27">
        <f t="shared" si="67"/>
        <v>0</v>
      </c>
      <c r="O1435" s="178">
        <f t="shared" si="68"/>
        <v>0</v>
      </c>
    </row>
    <row r="1436" spans="1:15" ht="25.5" hidden="1">
      <c r="A1436" s="25">
        <v>2300</v>
      </c>
      <c r="B1436" s="25" t="s">
        <v>69</v>
      </c>
      <c r="C1436" s="26" t="s">
        <v>81</v>
      </c>
      <c r="D1436" s="27">
        <v>73072200</v>
      </c>
      <c r="E1436" s="28" t="s">
        <v>222</v>
      </c>
      <c r="F1436" s="29" t="s">
        <v>223</v>
      </c>
      <c r="G1436" s="30">
        <v>1</v>
      </c>
      <c r="H1436" s="27" t="s">
        <v>137</v>
      </c>
      <c r="I1436" s="26" t="s">
        <v>218</v>
      </c>
      <c r="J1436" s="31">
        <v>41</v>
      </c>
      <c r="K1436" s="32">
        <f t="shared" si="66"/>
        <v>41</v>
      </c>
      <c r="L1436" s="29" t="s">
        <v>223</v>
      </c>
      <c r="M1436" s="27">
        <f>IFERROR(VLOOKUP(C1436,Custo_MI_Device!$B$2:$E$102,3,FALSE),0)</f>
        <v>0</v>
      </c>
      <c r="N1436" s="27">
        <f t="shared" si="67"/>
        <v>0</v>
      </c>
      <c r="O1436" s="178">
        <f t="shared" si="68"/>
        <v>0</v>
      </c>
    </row>
    <row r="1437" spans="1:15" ht="25.5" hidden="1">
      <c r="A1437" s="25">
        <v>7163</v>
      </c>
      <c r="B1437" s="25" t="s">
        <v>69</v>
      </c>
      <c r="C1437" s="26" t="s">
        <v>81</v>
      </c>
      <c r="D1437" s="27">
        <v>73072200</v>
      </c>
      <c r="E1437" s="28" t="s">
        <v>224</v>
      </c>
      <c r="F1437" s="29">
        <v>0</v>
      </c>
      <c r="G1437" s="30">
        <v>4</v>
      </c>
      <c r="H1437" s="27" t="s">
        <v>137</v>
      </c>
      <c r="I1437" s="26" t="s">
        <v>220</v>
      </c>
      <c r="J1437" s="31">
        <v>58</v>
      </c>
      <c r="K1437" s="32">
        <f t="shared" si="66"/>
        <v>232</v>
      </c>
      <c r="L1437" s="29" t="s">
        <v>225</v>
      </c>
      <c r="M1437" s="27">
        <f>IFERROR(VLOOKUP(C1437,Custo_MI_Device!$B$2:$E$102,3,FALSE),0)</f>
        <v>0</v>
      </c>
      <c r="N1437" s="27">
        <f t="shared" si="67"/>
        <v>0</v>
      </c>
      <c r="O1437" s="178">
        <f t="shared" si="68"/>
        <v>0</v>
      </c>
    </row>
    <row r="1438" spans="1:15" ht="25.5" hidden="1">
      <c r="A1438" s="25">
        <v>3417</v>
      </c>
      <c r="B1438" s="25" t="s">
        <v>69</v>
      </c>
      <c r="C1438" s="26" t="s">
        <v>81</v>
      </c>
      <c r="D1438" s="27">
        <v>73063000</v>
      </c>
      <c r="E1438" s="28" t="s">
        <v>231</v>
      </c>
      <c r="F1438" s="29">
        <v>0</v>
      </c>
      <c r="G1438" s="30">
        <v>2</v>
      </c>
      <c r="H1438" s="27" t="s">
        <v>232</v>
      </c>
      <c r="I1438" s="26" t="s">
        <v>233</v>
      </c>
      <c r="J1438" s="31">
        <v>33.47</v>
      </c>
      <c r="K1438" s="32">
        <f t="shared" si="66"/>
        <v>66.94</v>
      </c>
      <c r="L1438" s="29" t="s">
        <v>234</v>
      </c>
      <c r="M1438" s="27">
        <f>IFERROR(VLOOKUP(C1438,Custo_MI_Device!$B$2:$E$102,3,FALSE),0)</f>
        <v>0</v>
      </c>
      <c r="N1438" s="27">
        <f t="shared" si="67"/>
        <v>0</v>
      </c>
      <c r="O1438" s="178">
        <f t="shared" si="68"/>
        <v>0</v>
      </c>
    </row>
    <row r="1439" spans="1:15" ht="12.75" hidden="1">
      <c r="A1439" s="25">
        <v>3316</v>
      </c>
      <c r="B1439" s="25" t="s">
        <v>69</v>
      </c>
      <c r="C1439" s="26" t="s">
        <v>81</v>
      </c>
      <c r="D1439" s="27">
        <v>0</v>
      </c>
      <c r="E1439" s="28" t="s">
        <v>246</v>
      </c>
      <c r="F1439" s="29" t="s">
        <v>247</v>
      </c>
      <c r="G1439" s="30">
        <v>1</v>
      </c>
      <c r="H1439" s="27" t="s">
        <v>137</v>
      </c>
      <c r="I1439" s="26" t="s">
        <v>248</v>
      </c>
      <c r="J1439" s="31">
        <v>5.5</v>
      </c>
      <c r="K1439" s="32">
        <f t="shared" si="66"/>
        <v>5.5</v>
      </c>
      <c r="L1439" s="29" t="s">
        <v>247</v>
      </c>
      <c r="M1439" s="27">
        <f>IFERROR(VLOOKUP(C1439,Custo_MI_Device!$B$2:$E$102,3,FALSE),0)</f>
        <v>0</v>
      </c>
      <c r="N1439" s="27">
        <f t="shared" si="67"/>
        <v>0</v>
      </c>
      <c r="O1439" s="178">
        <f t="shared" si="68"/>
        <v>0</v>
      </c>
    </row>
    <row r="1440" spans="1:15" ht="25.5" hidden="1">
      <c r="A1440" s="25">
        <v>1900</v>
      </c>
      <c r="B1440" s="25" t="s">
        <v>69</v>
      </c>
      <c r="C1440" s="26" t="s">
        <v>81</v>
      </c>
      <c r="D1440" s="27">
        <v>73072200</v>
      </c>
      <c r="E1440" s="28" t="s">
        <v>249</v>
      </c>
      <c r="F1440" s="29" t="s">
        <v>250</v>
      </c>
      <c r="G1440" s="30">
        <v>2</v>
      </c>
      <c r="H1440" s="27" t="s">
        <v>137</v>
      </c>
      <c r="I1440" s="26" t="s">
        <v>218</v>
      </c>
      <c r="J1440" s="31">
        <v>27</v>
      </c>
      <c r="K1440" s="32">
        <f t="shared" si="66"/>
        <v>54</v>
      </c>
      <c r="L1440" s="29" t="s">
        <v>250</v>
      </c>
      <c r="M1440" s="27">
        <f>IFERROR(VLOOKUP(C1440,Custo_MI_Device!$B$2:$E$102,3,FALSE),0)</f>
        <v>0</v>
      </c>
      <c r="N1440" s="27">
        <f t="shared" si="67"/>
        <v>0</v>
      </c>
      <c r="O1440" s="178">
        <f t="shared" si="68"/>
        <v>0</v>
      </c>
    </row>
    <row r="1441" spans="1:15" ht="12.75" hidden="1">
      <c r="A1441" s="25">
        <v>1965</v>
      </c>
      <c r="B1441" s="25" t="s">
        <v>69</v>
      </c>
      <c r="C1441" s="26" t="s">
        <v>81</v>
      </c>
      <c r="D1441" s="27">
        <v>73071100</v>
      </c>
      <c r="E1441" s="28" t="s">
        <v>251</v>
      </c>
      <c r="F1441" s="29" t="s">
        <v>252</v>
      </c>
      <c r="G1441" s="30">
        <v>1</v>
      </c>
      <c r="H1441" s="27" t="s">
        <v>137</v>
      </c>
      <c r="I1441" s="26" t="s">
        <v>253</v>
      </c>
      <c r="J1441" s="31">
        <v>5.5</v>
      </c>
      <c r="K1441" s="32">
        <f t="shared" si="66"/>
        <v>5.5</v>
      </c>
      <c r="L1441" s="29" t="s">
        <v>252</v>
      </c>
      <c r="M1441" s="27">
        <f>IFERROR(VLOOKUP(C1441,Custo_MI_Device!$B$2:$E$102,3,FALSE),0)</f>
        <v>0</v>
      </c>
      <c r="N1441" s="27">
        <f t="shared" si="67"/>
        <v>0</v>
      </c>
      <c r="O1441" s="178">
        <f t="shared" si="68"/>
        <v>0</v>
      </c>
    </row>
    <row r="1442" spans="1:15" ht="12.75" hidden="1">
      <c r="A1442" s="25">
        <v>3274</v>
      </c>
      <c r="B1442" s="25" t="s">
        <v>69</v>
      </c>
      <c r="C1442" s="26" t="s">
        <v>81</v>
      </c>
      <c r="D1442" s="27">
        <v>73181500</v>
      </c>
      <c r="E1442" s="28" t="s">
        <v>265</v>
      </c>
      <c r="F1442" s="29" t="s">
        <v>266</v>
      </c>
      <c r="G1442" s="30">
        <v>24</v>
      </c>
      <c r="H1442" s="27" t="s">
        <v>137</v>
      </c>
      <c r="I1442" s="26" t="s">
        <v>256</v>
      </c>
      <c r="J1442" s="31">
        <v>0.06</v>
      </c>
      <c r="K1442" s="32">
        <f t="shared" si="66"/>
        <v>1.44</v>
      </c>
      <c r="L1442" s="29" t="s">
        <v>266</v>
      </c>
      <c r="M1442" s="27">
        <f>IFERROR(VLOOKUP(C1442,Custo_MI_Device!$B$2:$E$102,3,FALSE),0)</f>
        <v>0</v>
      </c>
      <c r="N1442" s="27">
        <f t="shared" si="67"/>
        <v>0</v>
      </c>
      <c r="O1442" s="178">
        <f t="shared" si="68"/>
        <v>0</v>
      </c>
    </row>
    <row r="1443" spans="1:15" ht="25.5" hidden="1">
      <c r="A1443" s="25">
        <v>3199</v>
      </c>
      <c r="B1443" s="25" t="s">
        <v>69</v>
      </c>
      <c r="C1443" s="26" t="s">
        <v>81</v>
      </c>
      <c r="D1443" s="27">
        <v>90262090</v>
      </c>
      <c r="E1443" s="28" t="s">
        <v>268</v>
      </c>
      <c r="F1443" s="29">
        <v>0</v>
      </c>
      <c r="G1443" s="33">
        <v>0</v>
      </c>
      <c r="H1443" s="27" t="s">
        <v>137</v>
      </c>
      <c r="I1443" s="26" t="s">
        <v>220</v>
      </c>
      <c r="J1443" s="31">
        <v>650</v>
      </c>
      <c r="K1443" s="32">
        <f t="shared" si="66"/>
        <v>0</v>
      </c>
      <c r="L1443" s="29" t="s">
        <v>269</v>
      </c>
      <c r="M1443" s="27">
        <f>IFERROR(VLOOKUP(C1443,Custo_MI_Device!$B$2:$E$102,3,FALSE),0)</f>
        <v>0</v>
      </c>
      <c r="N1443" s="27">
        <f t="shared" si="67"/>
        <v>0</v>
      </c>
      <c r="O1443" s="178">
        <f t="shared" si="68"/>
        <v>0</v>
      </c>
    </row>
    <row r="1444" spans="1:15" ht="12.75" hidden="1">
      <c r="A1444" s="25">
        <v>5081</v>
      </c>
      <c r="B1444" s="25" t="s">
        <v>69</v>
      </c>
      <c r="C1444" s="26" t="s">
        <v>81</v>
      </c>
      <c r="D1444" s="27">
        <v>73145000</v>
      </c>
      <c r="E1444" s="28" t="s">
        <v>278</v>
      </c>
      <c r="F1444" s="29">
        <v>0</v>
      </c>
      <c r="G1444" s="30">
        <v>1</v>
      </c>
      <c r="H1444" s="27" t="s">
        <v>137</v>
      </c>
      <c r="I1444" s="26" t="s">
        <v>279</v>
      </c>
      <c r="J1444" s="31">
        <v>23</v>
      </c>
      <c r="K1444" s="32">
        <f t="shared" si="66"/>
        <v>23</v>
      </c>
      <c r="L1444" s="29" t="s">
        <v>280</v>
      </c>
      <c r="M1444" s="27">
        <f>IFERROR(VLOOKUP(C1444,Custo_MI_Device!$B$2:$E$102,3,FALSE),0)</f>
        <v>0</v>
      </c>
      <c r="N1444" s="27">
        <f t="shared" si="67"/>
        <v>0</v>
      </c>
      <c r="O1444" s="178">
        <f t="shared" si="68"/>
        <v>0</v>
      </c>
    </row>
    <row r="1445" spans="1:15" ht="25.5" hidden="1">
      <c r="A1445" s="25">
        <v>2973</v>
      </c>
      <c r="B1445" s="25" t="s">
        <v>69</v>
      </c>
      <c r="C1445" s="26" t="s">
        <v>81</v>
      </c>
      <c r="D1445" s="27">
        <v>73072200</v>
      </c>
      <c r="E1445" s="28" t="s">
        <v>281</v>
      </c>
      <c r="F1445" s="29" t="s">
        <v>282</v>
      </c>
      <c r="G1445" s="30">
        <v>1</v>
      </c>
      <c r="H1445" s="27" t="s">
        <v>137</v>
      </c>
      <c r="I1445" s="26" t="s">
        <v>218</v>
      </c>
      <c r="J1445" s="31">
        <v>29</v>
      </c>
      <c r="K1445" s="32">
        <f t="shared" si="66"/>
        <v>29</v>
      </c>
      <c r="L1445" s="29" t="s">
        <v>282</v>
      </c>
      <c r="M1445" s="27">
        <f>IFERROR(VLOOKUP(C1445,Custo_MI_Device!$B$2:$E$102,3,FALSE),0)</f>
        <v>0</v>
      </c>
      <c r="N1445" s="27">
        <f t="shared" si="67"/>
        <v>0</v>
      </c>
      <c r="O1445" s="178">
        <f t="shared" si="68"/>
        <v>0</v>
      </c>
    </row>
    <row r="1446" spans="1:15" ht="25.5" hidden="1">
      <c r="A1446" s="25">
        <v>5194</v>
      </c>
      <c r="B1446" s="25" t="s">
        <v>69</v>
      </c>
      <c r="C1446" s="26" t="s">
        <v>81</v>
      </c>
      <c r="D1446" s="27">
        <v>73041010</v>
      </c>
      <c r="E1446" s="28" t="s">
        <v>289</v>
      </c>
      <c r="F1446" s="29" t="s">
        <v>290</v>
      </c>
      <c r="G1446" s="30">
        <v>2</v>
      </c>
      <c r="H1446" s="27" t="s">
        <v>232</v>
      </c>
      <c r="I1446" s="26" t="s">
        <v>218</v>
      </c>
      <c r="J1446" s="31">
        <f>21.5*6</f>
        <v>129</v>
      </c>
      <c r="K1446" s="32">
        <f t="shared" si="66"/>
        <v>258</v>
      </c>
      <c r="L1446" s="29" t="s">
        <v>290</v>
      </c>
      <c r="M1446" s="27">
        <f>IFERROR(VLOOKUP(C1446,Custo_MI_Device!$B$2:$E$102,3,FALSE),0)</f>
        <v>0</v>
      </c>
      <c r="N1446" s="27">
        <f t="shared" si="67"/>
        <v>0</v>
      </c>
      <c r="O1446" s="178">
        <f t="shared" si="68"/>
        <v>0</v>
      </c>
    </row>
    <row r="1447" spans="1:15" ht="25.5" hidden="1">
      <c r="A1447" s="25">
        <v>5147</v>
      </c>
      <c r="B1447" s="25" t="s">
        <v>69</v>
      </c>
      <c r="C1447" s="26" t="s">
        <v>81</v>
      </c>
      <c r="D1447" s="27">
        <v>83079000</v>
      </c>
      <c r="E1447" s="28" t="s">
        <v>293</v>
      </c>
      <c r="F1447" s="29" t="s">
        <v>294</v>
      </c>
      <c r="G1447" s="30">
        <v>1</v>
      </c>
      <c r="H1447" s="27" t="s">
        <v>137</v>
      </c>
      <c r="I1447" s="26" t="s">
        <v>180</v>
      </c>
      <c r="J1447" s="31">
        <v>155</v>
      </c>
      <c r="K1447" s="32">
        <f t="shared" si="66"/>
        <v>155</v>
      </c>
      <c r="L1447" s="29" t="s">
        <v>294</v>
      </c>
      <c r="M1447" s="27">
        <f>IFERROR(VLOOKUP(C1447,Custo_MI_Device!$B$2:$E$102,3,FALSE),0)</f>
        <v>0</v>
      </c>
      <c r="N1447" s="27">
        <f t="shared" si="67"/>
        <v>0</v>
      </c>
      <c r="O1447" s="178">
        <f t="shared" si="68"/>
        <v>0</v>
      </c>
    </row>
    <row r="1448" spans="1:15" ht="25.5" hidden="1">
      <c r="A1448" s="25">
        <v>4834</v>
      </c>
      <c r="B1448" s="25" t="s">
        <v>69</v>
      </c>
      <c r="C1448" s="26" t="s">
        <v>81</v>
      </c>
      <c r="D1448" s="27">
        <v>73071100</v>
      </c>
      <c r="E1448" s="28" t="s">
        <v>299</v>
      </c>
      <c r="F1448" s="29" t="s">
        <v>300</v>
      </c>
      <c r="G1448" s="30">
        <v>1</v>
      </c>
      <c r="H1448" s="27" t="s">
        <v>137</v>
      </c>
      <c r="I1448" s="26" t="s">
        <v>149</v>
      </c>
      <c r="J1448" s="31">
        <v>28</v>
      </c>
      <c r="K1448" s="32">
        <f t="shared" si="66"/>
        <v>28</v>
      </c>
      <c r="L1448" s="29" t="s">
        <v>300</v>
      </c>
      <c r="M1448" s="27">
        <f>IFERROR(VLOOKUP(C1448,Custo_MI_Device!$B$2:$E$102,3,FALSE),0)</f>
        <v>0</v>
      </c>
      <c r="N1448" s="27">
        <f t="shared" si="67"/>
        <v>0</v>
      </c>
      <c r="O1448" s="178">
        <f t="shared" si="68"/>
        <v>0</v>
      </c>
    </row>
    <row r="1449" spans="1:15" ht="25.5" hidden="1">
      <c r="A1449" s="25">
        <v>2125</v>
      </c>
      <c r="B1449" s="25" t="s">
        <v>69</v>
      </c>
      <c r="C1449" s="26" t="s">
        <v>81</v>
      </c>
      <c r="D1449" s="27">
        <v>84818039</v>
      </c>
      <c r="E1449" s="28" t="s">
        <v>301</v>
      </c>
      <c r="F1449" s="29">
        <v>0</v>
      </c>
      <c r="G1449" s="30">
        <v>2</v>
      </c>
      <c r="H1449" s="27" t="s">
        <v>137</v>
      </c>
      <c r="I1449" s="26" t="s">
        <v>220</v>
      </c>
      <c r="J1449" s="31">
        <v>175</v>
      </c>
      <c r="K1449" s="32">
        <f t="shared" si="66"/>
        <v>350</v>
      </c>
      <c r="L1449" s="29" t="s">
        <v>302</v>
      </c>
      <c r="M1449" s="27">
        <f>IFERROR(VLOOKUP(C1449,Custo_MI_Device!$B$2:$E$102,3,FALSE),0)</f>
        <v>0</v>
      </c>
      <c r="N1449" s="27">
        <f t="shared" si="67"/>
        <v>0</v>
      </c>
      <c r="O1449" s="178">
        <f t="shared" si="68"/>
        <v>0</v>
      </c>
    </row>
    <row r="1450" spans="1:15" ht="12.75">
      <c r="A1450" s="25">
        <v>3778</v>
      </c>
      <c r="B1450" s="25" t="s">
        <v>69</v>
      </c>
      <c r="C1450" s="26" t="s">
        <v>82</v>
      </c>
      <c r="D1450" s="27">
        <v>73072900</v>
      </c>
      <c r="E1450" s="28" t="s">
        <v>310</v>
      </c>
      <c r="F1450" s="29" t="s">
        <v>311</v>
      </c>
      <c r="G1450" s="30">
        <v>12</v>
      </c>
      <c r="H1450" s="27" t="s">
        <v>137</v>
      </c>
      <c r="I1450" s="26" t="s">
        <v>256</v>
      </c>
      <c r="J1450" s="191">
        <v>1.82</v>
      </c>
      <c r="K1450" s="32">
        <f t="shared" si="66"/>
        <v>21.84</v>
      </c>
      <c r="L1450" s="29" t="s">
        <v>311</v>
      </c>
      <c r="M1450" s="27">
        <f>IFERROR(VLOOKUP(C1450,Custo_MI_Device!$B$2:$E$102,3,FALSE),0)</f>
        <v>9</v>
      </c>
      <c r="N1450" s="27">
        <f t="shared" si="67"/>
        <v>108</v>
      </c>
      <c r="O1450" s="178">
        <f t="shared" si="68"/>
        <v>196.56</v>
      </c>
    </row>
    <row r="1451" spans="1:15" ht="12.75">
      <c r="A1451" s="25">
        <v>2534</v>
      </c>
      <c r="B1451" s="25" t="s">
        <v>69</v>
      </c>
      <c r="C1451" s="26" t="s">
        <v>82</v>
      </c>
      <c r="D1451" s="27">
        <v>73072900</v>
      </c>
      <c r="E1451" s="28" t="s">
        <v>314</v>
      </c>
      <c r="F1451" s="29" t="s">
        <v>315</v>
      </c>
      <c r="G1451" s="30">
        <v>12</v>
      </c>
      <c r="H1451" s="27" t="s">
        <v>137</v>
      </c>
      <c r="I1451" s="26" t="s">
        <v>256</v>
      </c>
      <c r="J1451" s="191">
        <v>2.02</v>
      </c>
      <c r="K1451" s="32">
        <f t="shared" si="66"/>
        <v>24.240000000000002</v>
      </c>
      <c r="L1451" s="29" t="s">
        <v>315</v>
      </c>
      <c r="M1451" s="27">
        <f>IFERROR(VLOOKUP(C1451,Custo_MI_Device!$B$2:$E$102,3,FALSE),0)</f>
        <v>9</v>
      </c>
      <c r="N1451" s="27">
        <f t="shared" si="67"/>
        <v>108</v>
      </c>
      <c r="O1451" s="178">
        <f t="shared" si="68"/>
        <v>218.16</v>
      </c>
    </row>
    <row r="1452" spans="1:15" ht="12.75">
      <c r="A1452" s="25">
        <v>1669</v>
      </c>
      <c r="B1452" s="25" t="s">
        <v>69</v>
      </c>
      <c r="C1452" s="26" t="s">
        <v>82</v>
      </c>
      <c r="D1452" s="27">
        <v>39269090</v>
      </c>
      <c r="E1452" s="28" t="s">
        <v>316</v>
      </c>
      <c r="F1452" s="29" t="s">
        <v>317</v>
      </c>
      <c r="G1452" s="30">
        <v>3</v>
      </c>
      <c r="H1452" s="27" t="s">
        <v>137</v>
      </c>
      <c r="I1452" s="26" t="s">
        <v>318</v>
      </c>
      <c r="J1452" s="191">
        <v>0.1</v>
      </c>
      <c r="K1452" s="32">
        <f t="shared" si="66"/>
        <v>0.30000000000000004</v>
      </c>
      <c r="L1452" s="29" t="s">
        <v>317</v>
      </c>
      <c r="M1452" s="27">
        <f>IFERROR(VLOOKUP(C1452,Custo_MI_Device!$B$2:$E$102,3,FALSE),0)</f>
        <v>9</v>
      </c>
      <c r="N1452" s="27">
        <f t="shared" si="67"/>
        <v>27</v>
      </c>
      <c r="O1452" s="178">
        <f t="shared" si="68"/>
        <v>2.7</v>
      </c>
    </row>
    <row r="1453" spans="1:15" ht="12.75">
      <c r="A1453" s="25">
        <v>5091</v>
      </c>
      <c r="B1453" s="25" t="s">
        <v>69</v>
      </c>
      <c r="C1453" s="26" t="s">
        <v>82</v>
      </c>
      <c r="D1453" s="27">
        <v>73181500</v>
      </c>
      <c r="E1453" s="28" t="s">
        <v>323</v>
      </c>
      <c r="F1453" s="29" t="s">
        <v>324</v>
      </c>
      <c r="G1453" s="30">
        <v>24</v>
      </c>
      <c r="H1453" s="27" t="s">
        <v>137</v>
      </c>
      <c r="I1453" s="26" t="s">
        <v>256</v>
      </c>
      <c r="J1453" s="191">
        <v>0.1</v>
      </c>
      <c r="K1453" s="32">
        <f t="shared" si="66"/>
        <v>2.4000000000000004</v>
      </c>
      <c r="L1453" s="29" t="s">
        <v>324</v>
      </c>
      <c r="M1453" s="27">
        <f>IFERROR(VLOOKUP(C1453,Custo_MI_Device!$B$2:$E$102,3,FALSE),0)</f>
        <v>9</v>
      </c>
      <c r="N1453" s="27">
        <f t="shared" si="67"/>
        <v>216</v>
      </c>
      <c r="O1453" s="178">
        <f t="shared" si="68"/>
        <v>21.6</v>
      </c>
    </row>
    <row r="1454" spans="1:15" ht="12.75">
      <c r="A1454" s="25">
        <v>1117</v>
      </c>
      <c r="B1454" s="25" t="s">
        <v>69</v>
      </c>
      <c r="C1454" s="26" t="s">
        <v>82</v>
      </c>
      <c r="D1454" s="27"/>
      <c r="E1454" s="28" t="s">
        <v>145</v>
      </c>
      <c r="F1454" s="29" t="s">
        <v>146</v>
      </c>
      <c r="G1454" s="30">
        <v>1</v>
      </c>
      <c r="H1454" s="27" t="s">
        <v>137</v>
      </c>
      <c r="I1454" s="26" t="s">
        <v>138</v>
      </c>
      <c r="J1454" s="191">
        <v>1.95</v>
      </c>
      <c r="K1454" s="190">
        <v>4.8499999999999996</v>
      </c>
      <c r="L1454" s="29" t="s">
        <v>146</v>
      </c>
      <c r="M1454" s="27">
        <f>IFERROR(VLOOKUP(C1454,Custo_MI_Device!$B$2:$E$102,3,FALSE),0)</f>
        <v>9</v>
      </c>
      <c r="N1454" s="27">
        <f t="shared" si="67"/>
        <v>9</v>
      </c>
      <c r="O1454" s="178">
        <f t="shared" si="68"/>
        <v>17.55</v>
      </c>
    </row>
    <row r="1455" spans="1:15" ht="12.75">
      <c r="A1455" s="25">
        <v>3080</v>
      </c>
      <c r="B1455" s="25" t="s">
        <v>69</v>
      </c>
      <c r="C1455" s="26" t="s">
        <v>82</v>
      </c>
      <c r="D1455" s="27">
        <v>74122000</v>
      </c>
      <c r="E1455" s="28" t="s">
        <v>153</v>
      </c>
      <c r="F1455" s="29" t="s">
        <v>154</v>
      </c>
      <c r="G1455" s="30">
        <v>1</v>
      </c>
      <c r="H1455" s="27" t="s">
        <v>137</v>
      </c>
      <c r="I1455" s="26" t="s">
        <v>155</v>
      </c>
      <c r="J1455" s="191">
        <v>3.3</v>
      </c>
      <c r="K1455" s="32"/>
      <c r="L1455" s="29" t="s">
        <v>154</v>
      </c>
      <c r="M1455" s="27">
        <f>IFERROR(VLOOKUP(C1455,Custo_MI_Device!$B$2:$E$102,3,FALSE),0)</f>
        <v>9</v>
      </c>
      <c r="N1455" s="27">
        <f t="shared" si="67"/>
        <v>9</v>
      </c>
      <c r="O1455" s="178">
        <f t="shared" si="68"/>
        <v>29.7</v>
      </c>
    </row>
    <row r="1456" spans="1:15" ht="38.25">
      <c r="A1456" s="25">
        <v>3585</v>
      </c>
      <c r="B1456" s="25" t="s">
        <v>69</v>
      </c>
      <c r="C1456" s="26" t="s">
        <v>82</v>
      </c>
      <c r="D1456" s="27">
        <v>85444900</v>
      </c>
      <c r="E1456" s="28" t="s">
        <v>328</v>
      </c>
      <c r="F1456" s="29">
        <v>900400</v>
      </c>
      <c r="G1456" s="33">
        <v>0</v>
      </c>
      <c r="H1456" s="27" t="s">
        <v>158</v>
      </c>
      <c r="I1456" s="26" t="s">
        <v>164</v>
      </c>
      <c r="J1456" s="191">
        <v>4.7</v>
      </c>
      <c r="K1456" s="32">
        <f t="shared" si="66"/>
        <v>0</v>
      </c>
      <c r="L1456" s="29">
        <v>900400</v>
      </c>
      <c r="M1456" s="27">
        <f>IFERROR(VLOOKUP(C1456,Custo_MI_Device!$B$2:$E$102,3,FALSE),0)</f>
        <v>9</v>
      </c>
      <c r="N1456" s="27">
        <f t="shared" si="67"/>
        <v>0</v>
      </c>
      <c r="O1456" s="178">
        <f t="shared" si="68"/>
        <v>0</v>
      </c>
    </row>
    <row r="1457" spans="1:15" ht="12.75">
      <c r="A1457" s="25">
        <v>2805</v>
      </c>
      <c r="B1457" s="25" t="s">
        <v>69</v>
      </c>
      <c r="C1457" s="26" t="s">
        <v>82</v>
      </c>
      <c r="D1457" s="27">
        <v>72162100</v>
      </c>
      <c r="E1457" s="28" t="s">
        <v>174</v>
      </c>
      <c r="F1457" s="29">
        <v>0</v>
      </c>
      <c r="G1457" s="33">
        <v>0</v>
      </c>
      <c r="H1457" s="27" t="s">
        <v>175</v>
      </c>
      <c r="I1457" s="26" t="s">
        <v>176</v>
      </c>
      <c r="J1457" s="191">
        <v>11</v>
      </c>
      <c r="K1457" s="32">
        <f t="shared" si="66"/>
        <v>0</v>
      </c>
      <c r="L1457" s="29" t="s">
        <v>177</v>
      </c>
      <c r="M1457" s="27">
        <f>IFERROR(VLOOKUP(C1457,Custo_MI_Device!$B$2:$E$102,3,FALSE),0)</f>
        <v>9</v>
      </c>
      <c r="N1457" s="27">
        <f t="shared" si="67"/>
        <v>0</v>
      </c>
      <c r="O1457" s="178">
        <f t="shared" si="68"/>
        <v>0</v>
      </c>
    </row>
    <row r="1458" spans="1:15" ht="12.75">
      <c r="A1458" s="25">
        <v>2904</v>
      </c>
      <c r="B1458" s="25" t="s">
        <v>69</v>
      </c>
      <c r="C1458" s="26" t="s">
        <v>82</v>
      </c>
      <c r="D1458" s="27">
        <v>76090000</v>
      </c>
      <c r="E1458" s="28" t="s">
        <v>195</v>
      </c>
      <c r="F1458" s="29" t="s">
        <v>196</v>
      </c>
      <c r="G1458" s="30">
        <v>2</v>
      </c>
      <c r="H1458" s="27" t="s">
        <v>137</v>
      </c>
      <c r="I1458" s="26" t="s">
        <v>138</v>
      </c>
      <c r="J1458" s="31">
        <v>26.06</v>
      </c>
      <c r="K1458" s="32">
        <f t="shared" si="66"/>
        <v>52.12</v>
      </c>
      <c r="L1458" s="29" t="s">
        <v>196</v>
      </c>
      <c r="M1458" s="27">
        <f>IFERROR(VLOOKUP(C1458,Custo_MI_Device!$B$2:$E$102,3,FALSE),0)</f>
        <v>9</v>
      </c>
      <c r="N1458" s="27">
        <f t="shared" si="67"/>
        <v>18</v>
      </c>
      <c r="O1458" s="178">
        <f t="shared" si="68"/>
        <v>469.08</v>
      </c>
    </row>
    <row r="1459" spans="1:15" ht="12.75">
      <c r="A1459" s="25">
        <v>2911</v>
      </c>
      <c r="B1459" s="25" t="s">
        <v>69</v>
      </c>
      <c r="C1459" s="26" t="s">
        <v>82</v>
      </c>
      <c r="D1459" s="27">
        <v>76090000</v>
      </c>
      <c r="E1459" s="28" t="s">
        <v>197</v>
      </c>
      <c r="F1459" s="29" t="s">
        <v>198</v>
      </c>
      <c r="G1459" s="30">
        <v>2</v>
      </c>
      <c r="H1459" s="27" t="s">
        <v>137</v>
      </c>
      <c r="I1459" s="26" t="s">
        <v>138</v>
      </c>
      <c r="J1459" s="31">
        <v>26.06</v>
      </c>
      <c r="K1459" s="32">
        <f t="shared" si="66"/>
        <v>52.12</v>
      </c>
      <c r="L1459" s="29" t="s">
        <v>198</v>
      </c>
      <c r="M1459" s="27">
        <f>IFERROR(VLOOKUP(C1459,Custo_MI_Device!$B$2:$E$102,3,FALSE),0)</f>
        <v>9</v>
      </c>
      <c r="N1459" s="27">
        <f t="shared" si="67"/>
        <v>18</v>
      </c>
      <c r="O1459" s="178">
        <f t="shared" si="68"/>
        <v>469.08</v>
      </c>
    </row>
    <row r="1460" spans="1:15" ht="12.75">
      <c r="A1460" s="25">
        <v>4823</v>
      </c>
      <c r="B1460" s="25" t="s">
        <v>69</v>
      </c>
      <c r="C1460" s="26" t="s">
        <v>82</v>
      </c>
      <c r="D1460" s="27">
        <v>76090000</v>
      </c>
      <c r="E1460" s="28" t="s">
        <v>199</v>
      </c>
      <c r="F1460" s="29" t="s">
        <v>200</v>
      </c>
      <c r="G1460" s="30">
        <v>2</v>
      </c>
      <c r="H1460" s="27" t="s">
        <v>137</v>
      </c>
      <c r="I1460" s="26" t="s">
        <v>138</v>
      </c>
      <c r="J1460" s="31">
        <v>26.06</v>
      </c>
      <c r="K1460" s="32">
        <f t="shared" si="66"/>
        <v>52.12</v>
      </c>
      <c r="L1460" s="29" t="s">
        <v>200</v>
      </c>
      <c r="M1460" s="27">
        <f>IFERROR(VLOOKUP(C1460,Custo_MI_Device!$B$2:$E$102,3,FALSE),0)</f>
        <v>9</v>
      </c>
      <c r="N1460" s="27">
        <f t="shared" si="67"/>
        <v>18</v>
      </c>
      <c r="O1460" s="178">
        <f t="shared" si="68"/>
        <v>469.08</v>
      </c>
    </row>
    <row r="1461" spans="1:15" ht="25.5">
      <c r="A1461" s="25">
        <v>1535</v>
      </c>
      <c r="B1461" s="25" t="s">
        <v>69</v>
      </c>
      <c r="C1461" s="26" t="s">
        <v>82</v>
      </c>
      <c r="D1461" s="27">
        <v>73072200</v>
      </c>
      <c r="E1461" s="28" t="s">
        <v>219</v>
      </c>
      <c r="F1461" s="29">
        <v>0</v>
      </c>
      <c r="G1461" s="30">
        <v>2</v>
      </c>
      <c r="H1461" s="27" t="s">
        <v>137</v>
      </c>
      <c r="I1461" s="26" t="s">
        <v>220</v>
      </c>
      <c r="J1461" s="191">
        <v>79.56</v>
      </c>
      <c r="K1461" s="32">
        <f t="shared" si="66"/>
        <v>159.12</v>
      </c>
      <c r="L1461" s="29" t="s">
        <v>221</v>
      </c>
      <c r="M1461" s="27">
        <f>IFERROR(VLOOKUP(C1461,Custo_MI_Device!$B$2:$E$102,3,FALSE),0)</f>
        <v>9</v>
      </c>
      <c r="N1461" s="27">
        <f t="shared" si="67"/>
        <v>18</v>
      </c>
      <c r="O1461" s="178">
        <f t="shared" si="68"/>
        <v>1432.08</v>
      </c>
    </row>
    <row r="1462" spans="1:15" ht="25.5">
      <c r="A1462" s="25">
        <v>7163</v>
      </c>
      <c r="B1462" s="25" t="s">
        <v>69</v>
      </c>
      <c r="C1462" s="26" t="s">
        <v>82</v>
      </c>
      <c r="D1462" s="27">
        <v>73072200</v>
      </c>
      <c r="E1462" s="28" t="s">
        <v>224</v>
      </c>
      <c r="F1462" s="29">
        <v>0</v>
      </c>
      <c r="G1462" s="30">
        <v>1</v>
      </c>
      <c r="H1462" s="27" t="s">
        <v>137</v>
      </c>
      <c r="I1462" s="26" t="s">
        <v>220</v>
      </c>
      <c r="J1462" s="191">
        <v>113.56</v>
      </c>
      <c r="K1462" s="32">
        <f t="shared" si="66"/>
        <v>113.56</v>
      </c>
      <c r="L1462" s="29" t="s">
        <v>225</v>
      </c>
      <c r="M1462" s="27">
        <f>IFERROR(VLOOKUP(C1462,Custo_MI_Device!$B$2:$E$102,3,FALSE),0)</f>
        <v>9</v>
      </c>
      <c r="N1462" s="27">
        <f t="shared" si="67"/>
        <v>9</v>
      </c>
      <c r="O1462" s="178">
        <f t="shared" si="68"/>
        <v>1022.04</v>
      </c>
    </row>
    <row r="1463" spans="1:15" ht="25.5">
      <c r="A1463" s="25">
        <v>4306</v>
      </c>
      <c r="B1463" s="25" t="s">
        <v>69</v>
      </c>
      <c r="C1463" s="26" t="s">
        <v>82</v>
      </c>
      <c r="D1463" s="27">
        <v>73063000</v>
      </c>
      <c r="E1463" s="28" t="s">
        <v>239</v>
      </c>
      <c r="F1463" s="29">
        <v>0</v>
      </c>
      <c r="G1463" s="30">
        <v>0</v>
      </c>
      <c r="H1463" s="27" t="s">
        <v>232</v>
      </c>
      <c r="I1463" s="26" t="s">
        <v>233</v>
      </c>
      <c r="J1463" s="191">
        <v>32</v>
      </c>
      <c r="K1463" s="32">
        <f t="shared" si="66"/>
        <v>0</v>
      </c>
      <c r="L1463" s="29" t="s">
        <v>240</v>
      </c>
      <c r="M1463" s="27">
        <f>IFERROR(VLOOKUP(C1463,Custo_MI_Device!$B$2:$E$102,3,FALSE),0)</f>
        <v>9</v>
      </c>
      <c r="N1463" s="27">
        <f t="shared" si="67"/>
        <v>0</v>
      </c>
      <c r="O1463" s="178">
        <f t="shared" si="68"/>
        <v>0</v>
      </c>
    </row>
    <row r="1464" spans="1:15" ht="25.5">
      <c r="A1464" s="25">
        <v>1900</v>
      </c>
      <c r="B1464" s="25" t="s">
        <v>69</v>
      </c>
      <c r="C1464" s="26" t="s">
        <v>82</v>
      </c>
      <c r="D1464" s="27">
        <v>73072200</v>
      </c>
      <c r="E1464" s="28" t="s">
        <v>249</v>
      </c>
      <c r="F1464" s="29" t="s">
        <v>250</v>
      </c>
      <c r="G1464" s="30">
        <v>1</v>
      </c>
      <c r="H1464" s="27" t="s">
        <v>137</v>
      </c>
      <c r="I1464" s="26" t="s">
        <v>218</v>
      </c>
      <c r="J1464" s="191">
        <v>59.86</v>
      </c>
      <c r="K1464" s="32">
        <f t="shared" si="66"/>
        <v>59.86</v>
      </c>
      <c r="L1464" s="29" t="s">
        <v>250</v>
      </c>
      <c r="M1464" s="27">
        <f>IFERROR(VLOOKUP(C1464,Custo_MI_Device!$B$2:$E$102,3,FALSE),0)</f>
        <v>9</v>
      </c>
      <c r="N1464" s="27">
        <f t="shared" si="67"/>
        <v>9</v>
      </c>
      <c r="O1464" s="178">
        <f t="shared" si="68"/>
        <v>538.74</v>
      </c>
    </row>
    <row r="1465" spans="1:15" ht="12.75">
      <c r="A1465" s="25">
        <v>3274</v>
      </c>
      <c r="B1465" s="25" t="s">
        <v>69</v>
      </c>
      <c r="C1465" s="26" t="s">
        <v>82</v>
      </c>
      <c r="D1465" s="27">
        <v>73181500</v>
      </c>
      <c r="E1465" s="28" t="s">
        <v>265</v>
      </c>
      <c r="F1465" s="29" t="s">
        <v>266</v>
      </c>
      <c r="G1465" s="30">
        <v>24</v>
      </c>
      <c r="H1465" s="27" t="s">
        <v>137</v>
      </c>
      <c r="I1465" s="26" t="s">
        <v>256</v>
      </c>
      <c r="J1465" s="191">
        <v>0.11</v>
      </c>
      <c r="K1465" s="32">
        <f t="shared" si="66"/>
        <v>2.64</v>
      </c>
      <c r="L1465" s="29" t="s">
        <v>266</v>
      </c>
      <c r="M1465" s="27">
        <f>IFERROR(VLOOKUP(C1465,Custo_MI_Device!$B$2:$E$102,3,FALSE),0)</f>
        <v>9</v>
      </c>
      <c r="N1465" s="27">
        <f t="shared" si="67"/>
        <v>216</v>
      </c>
      <c r="O1465" s="178">
        <f t="shared" si="68"/>
        <v>23.76</v>
      </c>
    </row>
    <row r="1466" spans="1:15" ht="25.5">
      <c r="A1466" s="25">
        <v>3199</v>
      </c>
      <c r="B1466" s="25" t="s">
        <v>69</v>
      </c>
      <c r="C1466" s="26" t="s">
        <v>82</v>
      </c>
      <c r="D1466" s="27">
        <v>90262090</v>
      </c>
      <c r="E1466" s="28" t="s">
        <v>268</v>
      </c>
      <c r="F1466" s="29">
        <v>0</v>
      </c>
      <c r="G1466" s="33">
        <v>1</v>
      </c>
      <c r="H1466" s="27" t="s">
        <v>137</v>
      </c>
      <c r="I1466" s="26" t="s">
        <v>220</v>
      </c>
      <c r="J1466" s="191">
        <v>1100</v>
      </c>
      <c r="K1466" s="32">
        <f t="shared" si="66"/>
        <v>1100</v>
      </c>
      <c r="L1466" s="29" t="s">
        <v>269</v>
      </c>
      <c r="M1466" s="27">
        <f>IFERROR(VLOOKUP(C1466,Custo_MI_Device!$B$2:$E$102,3,FALSE),0)</f>
        <v>9</v>
      </c>
      <c r="N1466" s="27">
        <f t="shared" si="67"/>
        <v>9</v>
      </c>
      <c r="O1466" s="178">
        <f t="shared" si="68"/>
        <v>9900</v>
      </c>
    </row>
    <row r="1467" spans="1:15" ht="25.5">
      <c r="A1467" s="25">
        <v>1611</v>
      </c>
      <c r="B1467" s="25" t="s">
        <v>69</v>
      </c>
      <c r="C1467" s="26" t="s">
        <v>82</v>
      </c>
      <c r="D1467" s="27">
        <v>39174090</v>
      </c>
      <c r="E1467" s="28" t="s">
        <v>275</v>
      </c>
      <c r="F1467" s="29" t="s">
        <v>276</v>
      </c>
      <c r="G1467" s="30">
        <v>2</v>
      </c>
      <c r="H1467" s="27" t="s">
        <v>137</v>
      </c>
      <c r="I1467" s="26" t="s">
        <v>277</v>
      </c>
      <c r="J1467" s="191">
        <v>7.8</v>
      </c>
      <c r="K1467" s="32">
        <f t="shared" si="66"/>
        <v>15.6</v>
      </c>
      <c r="L1467" s="29" t="s">
        <v>276</v>
      </c>
      <c r="M1467" s="27">
        <f>IFERROR(VLOOKUP(C1467,Custo_MI_Device!$B$2:$E$102,3,FALSE),0)</f>
        <v>9</v>
      </c>
      <c r="N1467" s="27">
        <f t="shared" si="67"/>
        <v>18</v>
      </c>
      <c r="O1467" s="178">
        <f t="shared" si="68"/>
        <v>140.4</v>
      </c>
    </row>
    <row r="1468" spans="1:15" ht="12.75">
      <c r="A1468" s="25">
        <v>5081</v>
      </c>
      <c r="B1468" s="25" t="s">
        <v>69</v>
      </c>
      <c r="C1468" s="26" t="s">
        <v>82</v>
      </c>
      <c r="D1468" s="27">
        <v>73145000</v>
      </c>
      <c r="E1468" s="28" t="s">
        <v>278</v>
      </c>
      <c r="F1468" s="29">
        <v>0</v>
      </c>
      <c r="G1468" s="30">
        <v>1</v>
      </c>
      <c r="H1468" s="27" t="s">
        <v>137</v>
      </c>
      <c r="I1468" s="26" t="s">
        <v>279</v>
      </c>
      <c r="J1468" s="191">
        <v>45</v>
      </c>
      <c r="K1468" s="32">
        <f t="shared" si="66"/>
        <v>45</v>
      </c>
      <c r="L1468" s="29" t="s">
        <v>280</v>
      </c>
      <c r="M1468" s="27">
        <f>IFERROR(VLOOKUP(C1468,Custo_MI_Device!$B$2:$E$102,3,FALSE),0)</f>
        <v>9</v>
      </c>
      <c r="N1468" s="27">
        <f t="shared" si="67"/>
        <v>9</v>
      </c>
      <c r="O1468" s="178">
        <f t="shared" si="68"/>
        <v>405</v>
      </c>
    </row>
    <row r="1469" spans="1:15" ht="25.5">
      <c r="A1469" s="25">
        <v>2973</v>
      </c>
      <c r="B1469" s="25" t="s">
        <v>69</v>
      </c>
      <c r="C1469" s="26" t="s">
        <v>82</v>
      </c>
      <c r="D1469" s="27">
        <v>73072200</v>
      </c>
      <c r="E1469" s="28" t="s">
        <v>281</v>
      </c>
      <c r="F1469" s="29" t="s">
        <v>282</v>
      </c>
      <c r="G1469" s="30">
        <v>1</v>
      </c>
      <c r="H1469" s="27" t="s">
        <v>137</v>
      </c>
      <c r="I1469" s="26" t="s">
        <v>218</v>
      </c>
      <c r="J1469" s="191">
        <v>41.53</v>
      </c>
      <c r="K1469" s="32">
        <f t="shared" si="66"/>
        <v>41.53</v>
      </c>
      <c r="L1469" s="29" t="s">
        <v>282</v>
      </c>
      <c r="M1469" s="27">
        <f>IFERROR(VLOOKUP(C1469,Custo_MI_Device!$B$2:$E$102,3,FALSE),0)</f>
        <v>9</v>
      </c>
      <c r="N1469" s="27">
        <f t="shared" si="67"/>
        <v>9</v>
      </c>
      <c r="O1469" s="178">
        <f t="shared" si="68"/>
        <v>373.77</v>
      </c>
    </row>
    <row r="1470" spans="1:15" ht="25.5">
      <c r="A1470" s="25">
        <v>5194</v>
      </c>
      <c r="B1470" s="25" t="s">
        <v>69</v>
      </c>
      <c r="C1470" s="26" t="s">
        <v>82</v>
      </c>
      <c r="D1470" s="27">
        <v>73041010</v>
      </c>
      <c r="E1470" s="28" t="s">
        <v>289</v>
      </c>
      <c r="F1470" s="29" t="s">
        <v>290</v>
      </c>
      <c r="G1470" s="30">
        <v>2</v>
      </c>
      <c r="H1470" s="27" t="s">
        <v>232</v>
      </c>
      <c r="I1470" s="26" t="s">
        <v>218</v>
      </c>
      <c r="J1470" s="191">
        <v>298</v>
      </c>
      <c r="K1470" s="32">
        <f t="shared" si="66"/>
        <v>596</v>
      </c>
      <c r="L1470" s="29" t="s">
        <v>290</v>
      </c>
      <c r="M1470" s="27">
        <f>IFERROR(VLOOKUP(C1470,Custo_MI_Device!$B$2:$E$102,3,FALSE),0)</f>
        <v>9</v>
      </c>
      <c r="N1470" s="27">
        <f t="shared" si="67"/>
        <v>18</v>
      </c>
      <c r="O1470" s="178">
        <f t="shared" si="68"/>
        <v>5364</v>
      </c>
    </row>
    <row r="1471" spans="1:15" ht="25.5">
      <c r="A1471" s="25">
        <v>2125</v>
      </c>
      <c r="B1471" s="25" t="s">
        <v>69</v>
      </c>
      <c r="C1471" s="26" t="s">
        <v>82</v>
      </c>
      <c r="D1471" s="27">
        <v>84818039</v>
      </c>
      <c r="E1471" s="28" t="s">
        <v>301</v>
      </c>
      <c r="F1471" s="29">
        <v>0</v>
      </c>
      <c r="G1471" s="30">
        <v>1</v>
      </c>
      <c r="H1471" s="27" t="s">
        <v>137</v>
      </c>
      <c r="I1471" s="26" t="s">
        <v>220</v>
      </c>
      <c r="J1471" s="191">
        <v>275</v>
      </c>
      <c r="K1471" s="32">
        <f t="shared" si="66"/>
        <v>275</v>
      </c>
      <c r="L1471" s="29" t="s">
        <v>302</v>
      </c>
      <c r="M1471" s="27">
        <f>IFERROR(VLOOKUP(C1471,Custo_MI_Device!$B$2:$E$102,3,FALSE),0)</f>
        <v>9</v>
      </c>
      <c r="N1471" s="27">
        <f t="shared" si="67"/>
        <v>9</v>
      </c>
      <c r="O1471" s="178">
        <f t="shared" si="68"/>
        <v>2475</v>
      </c>
    </row>
    <row r="1472" spans="1:15" ht="12.75" hidden="1">
      <c r="A1472" s="25">
        <v>3778</v>
      </c>
      <c r="B1472" s="25" t="s">
        <v>69</v>
      </c>
      <c r="C1472" s="26" t="s">
        <v>83</v>
      </c>
      <c r="D1472" s="27">
        <v>73072900</v>
      </c>
      <c r="E1472" s="28" t="s">
        <v>310</v>
      </c>
      <c r="F1472" s="29" t="s">
        <v>311</v>
      </c>
      <c r="G1472" s="30">
        <v>12</v>
      </c>
      <c r="H1472" s="27" t="s">
        <v>137</v>
      </c>
      <c r="I1472" s="26" t="s">
        <v>256</v>
      </c>
      <c r="J1472" s="31">
        <v>0.65</v>
      </c>
      <c r="K1472" s="32">
        <f t="shared" si="66"/>
        <v>7.8000000000000007</v>
      </c>
      <c r="L1472" s="29" t="s">
        <v>311</v>
      </c>
      <c r="M1472" s="27">
        <f>IFERROR(VLOOKUP(C1472,Custo_MI_Device!$B$2:$E$102,3,FALSE),0)</f>
        <v>0</v>
      </c>
      <c r="N1472" s="27">
        <f t="shared" si="67"/>
        <v>0</v>
      </c>
      <c r="O1472" s="178">
        <f t="shared" si="68"/>
        <v>0</v>
      </c>
    </row>
    <row r="1473" spans="1:15" ht="12.75" hidden="1">
      <c r="A1473" s="25">
        <v>2534</v>
      </c>
      <c r="B1473" s="25" t="s">
        <v>69</v>
      </c>
      <c r="C1473" s="26" t="s">
        <v>83</v>
      </c>
      <c r="D1473" s="27">
        <v>73072900</v>
      </c>
      <c r="E1473" s="28" t="s">
        <v>314</v>
      </c>
      <c r="F1473" s="29" t="s">
        <v>315</v>
      </c>
      <c r="G1473" s="30">
        <v>12</v>
      </c>
      <c r="H1473" s="27" t="s">
        <v>137</v>
      </c>
      <c r="I1473" s="26" t="s">
        <v>256</v>
      </c>
      <c r="J1473" s="31">
        <v>1.2</v>
      </c>
      <c r="K1473" s="32">
        <f t="shared" si="66"/>
        <v>14.399999999999999</v>
      </c>
      <c r="L1473" s="29" t="s">
        <v>315</v>
      </c>
      <c r="M1473" s="27">
        <f>IFERROR(VLOOKUP(C1473,Custo_MI_Device!$B$2:$E$102,3,FALSE),0)</f>
        <v>0</v>
      </c>
      <c r="N1473" s="27">
        <f t="shared" si="67"/>
        <v>0</v>
      </c>
      <c r="O1473" s="178">
        <f t="shared" si="68"/>
        <v>0</v>
      </c>
    </row>
    <row r="1474" spans="1:15" ht="12.75" hidden="1">
      <c r="A1474" s="25">
        <v>1669</v>
      </c>
      <c r="B1474" s="25" t="s">
        <v>69</v>
      </c>
      <c r="C1474" s="26" t="s">
        <v>83</v>
      </c>
      <c r="D1474" s="27">
        <v>39269090</v>
      </c>
      <c r="E1474" s="28" t="s">
        <v>316</v>
      </c>
      <c r="F1474" s="29" t="s">
        <v>317</v>
      </c>
      <c r="G1474" s="30">
        <v>3</v>
      </c>
      <c r="H1474" s="27" t="s">
        <v>137</v>
      </c>
      <c r="I1474" s="26" t="s">
        <v>318</v>
      </c>
      <c r="J1474" s="31">
        <v>0.04</v>
      </c>
      <c r="K1474" s="32">
        <f t="shared" si="66"/>
        <v>0.12</v>
      </c>
      <c r="L1474" s="29" t="s">
        <v>317</v>
      </c>
      <c r="M1474" s="27">
        <f>IFERROR(VLOOKUP(C1474,Custo_MI_Device!$B$2:$E$102,3,FALSE),0)</f>
        <v>0</v>
      </c>
      <c r="N1474" s="27">
        <f t="shared" si="67"/>
        <v>0</v>
      </c>
      <c r="O1474" s="178">
        <f t="shared" si="68"/>
        <v>0</v>
      </c>
    </row>
    <row r="1475" spans="1:15" ht="12.75" hidden="1">
      <c r="A1475" s="25">
        <v>5091</v>
      </c>
      <c r="B1475" s="25" t="s">
        <v>69</v>
      </c>
      <c r="C1475" s="26" t="s">
        <v>83</v>
      </c>
      <c r="D1475" s="27">
        <v>73181500</v>
      </c>
      <c r="E1475" s="28" t="s">
        <v>323</v>
      </c>
      <c r="F1475" s="29" t="s">
        <v>324</v>
      </c>
      <c r="G1475" s="30">
        <v>24</v>
      </c>
      <c r="H1475" s="27" t="s">
        <v>137</v>
      </c>
      <c r="I1475" s="26" t="s">
        <v>256</v>
      </c>
      <c r="J1475" s="31">
        <v>0.04</v>
      </c>
      <c r="K1475" s="32">
        <f t="shared" ref="K1475:K1538" si="69">G1475*J1475</f>
        <v>0.96</v>
      </c>
      <c r="L1475" s="29" t="s">
        <v>324</v>
      </c>
      <c r="M1475" s="27">
        <f>IFERROR(VLOOKUP(C1475,Custo_MI_Device!$B$2:$E$102,3,FALSE),0)</f>
        <v>0</v>
      </c>
      <c r="N1475" s="27">
        <f t="shared" ref="N1475:N1538" si="70">ROUNDUP(M1475*G1475,0)</f>
        <v>0</v>
      </c>
      <c r="O1475" s="178">
        <f t="shared" ref="O1475:O1538" si="71">N1475*J1475</f>
        <v>0</v>
      </c>
    </row>
    <row r="1476" spans="1:15" ht="12.75" hidden="1">
      <c r="A1476" s="25">
        <v>1117</v>
      </c>
      <c r="B1476" s="25" t="s">
        <v>69</v>
      </c>
      <c r="C1476" s="26" t="s">
        <v>83</v>
      </c>
      <c r="D1476" s="27"/>
      <c r="E1476" s="28" t="s">
        <v>145</v>
      </c>
      <c r="F1476" s="29" t="s">
        <v>146</v>
      </c>
      <c r="G1476" s="30">
        <v>1</v>
      </c>
      <c r="H1476" s="27" t="s">
        <v>137</v>
      </c>
      <c r="I1476" s="26" t="s">
        <v>138</v>
      </c>
      <c r="J1476" s="31">
        <v>1.95</v>
      </c>
      <c r="K1476" s="32">
        <f t="shared" si="69"/>
        <v>1.95</v>
      </c>
      <c r="L1476" s="29" t="s">
        <v>146</v>
      </c>
      <c r="M1476" s="27">
        <f>IFERROR(VLOOKUP(C1476,Custo_MI_Device!$B$2:$E$102,3,FALSE),0)</f>
        <v>0</v>
      </c>
      <c r="N1476" s="27">
        <f t="shared" si="70"/>
        <v>0</v>
      </c>
      <c r="O1476" s="178">
        <f t="shared" si="71"/>
        <v>0</v>
      </c>
    </row>
    <row r="1477" spans="1:15" ht="12.75" hidden="1">
      <c r="A1477" s="25">
        <v>3080</v>
      </c>
      <c r="B1477" s="25" t="s">
        <v>69</v>
      </c>
      <c r="C1477" s="26" t="s">
        <v>83</v>
      </c>
      <c r="D1477" s="27">
        <v>74122000</v>
      </c>
      <c r="E1477" s="28" t="s">
        <v>153</v>
      </c>
      <c r="F1477" s="29" t="s">
        <v>154</v>
      </c>
      <c r="G1477" s="30">
        <v>1</v>
      </c>
      <c r="H1477" s="27" t="s">
        <v>137</v>
      </c>
      <c r="I1477" s="26" t="s">
        <v>155</v>
      </c>
      <c r="J1477" s="31">
        <v>3.3</v>
      </c>
      <c r="K1477" s="32">
        <f t="shared" si="69"/>
        <v>3.3</v>
      </c>
      <c r="L1477" s="29" t="s">
        <v>154</v>
      </c>
      <c r="M1477" s="27">
        <f>IFERROR(VLOOKUP(C1477,Custo_MI_Device!$B$2:$E$102,3,FALSE),0)</f>
        <v>0</v>
      </c>
      <c r="N1477" s="27">
        <f t="shared" si="70"/>
        <v>0</v>
      </c>
      <c r="O1477" s="178">
        <f t="shared" si="71"/>
        <v>0</v>
      </c>
    </row>
    <row r="1478" spans="1:15" ht="25.5" hidden="1">
      <c r="A1478" s="25">
        <v>5139</v>
      </c>
      <c r="B1478" s="25" t="s">
        <v>69</v>
      </c>
      <c r="C1478" s="26" t="s">
        <v>83</v>
      </c>
      <c r="D1478" s="27">
        <v>85444900</v>
      </c>
      <c r="E1478" s="28" t="s">
        <v>170</v>
      </c>
      <c r="F1478" s="29" t="s">
        <v>171</v>
      </c>
      <c r="G1478" s="30">
        <v>15</v>
      </c>
      <c r="H1478" s="27" t="s">
        <v>158</v>
      </c>
      <c r="I1478" s="26" t="s">
        <v>172</v>
      </c>
      <c r="J1478" s="31">
        <v>7.5</v>
      </c>
      <c r="K1478" s="32">
        <f t="shared" si="69"/>
        <v>112.5</v>
      </c>
      <c r="L1478" s="29" t="s">
        <v>173</v>
      </c>
      <c r="M1478" s="27">
        <f>IFERROR(VLOOKUP(C1478,Custo_MI_Device!$B$2:$E$102,3,FALSE),0)</f>
        <v>0</v>
      </c>
      <c r="N1478" s="27">
        <f t="shared" si="70"/>
        <v>0</v>
      </c>
      <c r="O1478" s="178">
        <f t="shared" si="71"/>
        <v>0</v>
      </c>
    </row>
    <row r="1479" spans="1:15" ht="12.75" hidden="1">
      <c r="A1479" s="25">
        <v>2805</v>
      </c>
      <c r="B1479" s="25" t="s">
        <v>69</v>
      </c>
      <c r="C1479" s="26" t="s">
        <v>83</v>
      </c>
      <c r="D1479" s="27">
        <v>72162100</v>
      </c>
      <c r="E1479" s="28" t="s">
        <v>174</v>
      </c>
      <c r="F1479" s="29">
        <v>0</v>
      </c>
      <c r="G1479" s="30">
        <v>2.9</v>
      </c>
      <c r="H1479" s="27" t="s">
        <v>175</v>
      </c>
      <c r="I1479" s="26" t="s">
        <v>176</v>
      </c>
      <c r="J1479" s="31">
        <v>4.22</v>
      </c>
      <c r="K1479" s="32">
        <f t="shared" si="69"/>
        <v>12.238</v>
      </c>
      <c r="L1479" s="29" t="s">
        <v>177</v>
      </c>
      <c r="M1479" s="27">
        <f>IFERROR(VLOOKUP(C1479,Custo_MI_Device!$B$2:$E$102,3,FALSE),0)</f>
        <v>0</v>
      </c>
      <c r="N1479" s="27">
        <f t="shared" si="70"/>
        <v>0</v>
      </c>
      <c r="O1479" s="178">
        <f t="shared" si="71"/>
        <v>0</v>
      </c>
    </row>
    <row r="1480" spans="1:15" ht="12.75" hidden="1">
      <c r="A1480" s="25">
        <v>2904</v>
      </c>
      <c r="B1480" s="25" t="s">
        <v>69</v>
      </c>
      <c r="C1480" s="26" t="s">
        <v>83</v>
      </c>
      <c r="D1480" s="27">
        <v>76090000</v>
      </c>
      <c r="E1480" s="28" t="s">
        <v>195</v>
      </c>
      <c r="F1480" s="29" t="s">
        <v>196</v>
      </c>
      <c r="G1480" s="30">
        <v>0.75</v>
      </c>
      <c r="H1480" s="27" t="s">
        <v>137</v>
      </c>
      <c r="I1480" s="26" t="s">
        <v>138</v>
      </c>
      <c r="J1480" s="31">
        <v>6.7</v>
      </c>
      <c r="K1480" s="32">
        <f t="shared" si="69"/>
        <v>5.0250000000000004</v>
      </c>
      <c r="L1480" s="29" t="s">
        <v>196</v>
      </c>
      <c r="M1480" s="27">
        <f>IFERROR(VLOOKUP(C1480,Custo_MI_Device!$B$2:$E$102,3,FALSE),0)</f>
        <v>0</v>
      </c>
      <c r="N1480" s="27">
        <f t="shared" si="70"/>
        <v>0</v>
      </c>
      <c r="O1480" s="178">
        <f t="shared" si="71"/>
        <v>0</v>
      </c>
    </row>
    <row r="1481" spans="1:15" ht="12.75" hidden="1">
      <c r="A1481" s="25">
        <v>2911</v>
      </c>
      <c r="B1481" s="25" t="s">
        <v>69</v>
      </c>
      <c r="C1481" s="26" t="s">
        <v>83</v>
      </c>
      <c r="D1481" s="27">
        <v>76090000</v>
      </c>
      <c r="E1481" s="28" t="s">
        <v>197</v>
      </c>
      <c r="F1481" s="29" t="s">
        <v>198</v>
      </c>
      <c r="G1481" s="30">
        <v>0.75</v>
      </c>
      <c r="H1481" s="27" t="s">
        <v>137</v>
      </c>
      <c r="I1481" s="26" t="s">
        <v>138</v>
      </c>
      <c r="J1481" s="31">
        <v>6.7</v>
      </c>
      <c r="K1481" s="32">
        <f t="shared" si="69"/>
        <v>5.0250000000000004</v>
      </c>
      <c r="L1481" s="29" t="s">
        <v>198</v>
      </c>
      <c r="M1481" s="27">
        <f>IFERROR(VLOOKUP(C1481,Custo_MI_Device!$B$2:$E$102,3,FALSE),0)</f>
        <v>0</v>
      </c>
      <c r="N1481" s="27">
        <f t="shared" si="70"/>
        <v>0</v>
      </c>
      <c r="O1481" s="178">
        <f t="shared" si="71"/>
        <v>0</v>
      </c>
    </row>
    <row r="1482" spans="1:15" ht="12.75" hidden="1">
      <c r="A1482" s="25">
        <v>4823</v>
      </c>
      <c r="B1482" s="25" t="s">
        <v>69</v>
      </c>
      <c r="C1482" s="26" t="s">
        <v>83</v>
      </c>
      <c r="D1482" s="27">
        <v>76090000</v>
      </c>
      <c r="E1482" s="28" t="s">
        <v>199</v>
      </c>
      <c r="F1482" s="29" t="s">
        <v>200</v>
      </c>
      <c r="G1482" s="30">
        <v>0.75</v>
      </c>
      <c r="H1482" s="27" t="s">
        <v>137</v>
      </c>
      <c r="I1482" s="26" t="s">
        <v>138</v>
      </c>
      <c r="J1482" s="31">
        <v>6.7</v>
      </c>
      <c r="K1482" s="32">
        <f t="shared" si="69"/>
        <v>5.0250000000000004</v>
      </c>
      <c r="L1482" s="29" t="s">
        <v>200</v>
      </c>
      <c r="M1482" s="27">
        <f>IFERROR(VLOOKUP(C1482,Custo_MI_Device!$B$2:$E$102,3,FALSE),0)</f>
        <v>0</v>
      </c>
      <c r="N1482" s="27">
        <f t="shared" si="70"/>
        <v>0</v>
      </c>
      <c r="O1482" s="178">
        <f t="shared" si="71"/>
        <v>0</v>
      </c>
    </row>
    <row r="1483" spans="1:15" ht="25.5" hidden="1">
      <c r="A1483" s="25">
        <v>1535</v>
      </c>
      <c r="B1483" s="25" t="s">
        <v>69</v>
      </c>
      <c r="C1483" s="26" t="s">
        <v>83</v>
      </c>
      <c r="D1483" s="27">
        <v>73072200</v>
      </c>
      <c r="E1483" s="28" t="s">
        <v>219</v>
      </c>
      <c r="F1483" s="29">
        <v>0</v>
      </c>
      <c r="G1483" s="30">
        <v>2</v>
      </c>
      <c r="H1483" s="27" t="s">
        <v>137</v>
      </c>
      <c r="I1483" s="26" t="s">
        <v>220</v>
      </c>
      <c r="J1483" s="31">
        <v>35</v>
      </c>
      <c r="K1483" s="32">
        <f t="shared" si="69"/>
        <v>70</v>
      </c>
      <c r="L1483" s="29" t="s">
        <v>221</v>
      </c>
      <c r="M1483" s="27">
        <f>IFERROR(VLOOKUP(C1483,Custo_MI_Device!$B$2:$E$102,3,FALSE),0)</f>
        <v>0</v>
      </c>
      <c r="N1483" s="27">
        <f t="shared" si="70"/>
        <v>0</v>
      </c>
      <c r="O1483" s="178">
        <f t="shared" si="71"/>
        <v>0</v>
      </c>
    </row>
    <row r="1484" spans="1:15" ht="25.5" hidden="1">
      <c r="A1484" s="25">
        <v>7163</v>
      </c>
      <c r="B1484" s="25" t="s">
        <v>69</v>
      </c>
      <c r="C1484" s="26" t="s">
        <v>83</v>
      </c>
      <c r="D1484" s="27">
        <v>73072200</v>
      </c>
      <c r="E1484" s="28" t="s">
        <v>224</v>
      </c>
      <c r="F1484" s="29">
        <v>0</v>
      </c>
      <c r="G1484" s="30">
        <v>1</v>
      </c>
      <c r="H1484" s="27" t="s">
        <v>137</v>
      </c>
      <c r="I1484" s="26" t="s">
        <v>220</v>
      </c>
      <c r="J1484" s="31">
        <v>58</v>
      </c>
      <c r="K1484" s="32">
        <f t="shared" si="69"/>
        <v>58</v>
      </c>
      <c r="L1484" s="29" t="s">
        <v>225</v>
      </c>
      <c r="M1484" s="27">
        <f>IFERROR(VLOOKUP(C1484,Custo_MI_Device!$B$2:$E$102,3,FALSE),0)</f>
        <v>0</v>
      </c>
      <c r="N1484" s="27">
        <f t="shared" si="70"/>
        <v>0</v>
      </c>
      <c r="O1484" s="178">
        <f t="shared" si="71"/>
        <v>0</v>
      </c>
    </row>
    <row r="1485" spans="1:15" ht="25.5" hidden="1">
      <c r="A1485" s="25">
        <v>4306</v>
      </c>
      <c r="B1485" s="25" t="s">
        <v>69</v>
      </c>
      <c r="C1485" s="26" t="s">
        <v>83</v>
      </c>
      <c r="D1485" s="27">
        <v>73063000</v>
      </c>
      <c r="E1485" s="28" t="s">
        <v>239</v>
      </c>
      <c r="F1485" s="29">
        <v>0</v>
      </c>
      <c r="G1485" s="30">
        <v>2</v>
      </c>
      <c r="H1485" s="27" t="s">
        <v>232</v>
      </c>
      <c r="I1485" s="26" t="s">
        <v>233</v>
      </c>
      <c r="J1485" s="31">
        <v>32</v>
      </c>
      <c r="K1485" s="32">
        <f t="shared" si="69"/>
        <v>64</v>
      </c>
      <c r="L1485" s="29" t="s">
        <v>240</v>
      </c>
      <c r="M1485" s="27">
        <f>IFERROR(VLOOKUP(C1485,Custo_MI_Device!$B$2:$E$102,3,FALSE),0)</f>
        <v>0</v>
      </c>
      <c r="N1485" s="27">
        <f t="shared" si="70"/>
        <v>0</v>
      </c>
      <c r="O1485" s="178">
        <f t="shared" si="71"/>
        <v>0</v>
      </c>
    </row>
    <row r="1486" spans="1:15" ht="25.5" hidden="1">
      <c r="A1486" s="25">
        <v>1900</v>
      </c>
      <c r="B1486" s="25" t="s">
        <v>69</v>
      </c>
      <c r="C1486" s="26" t="s">
        <v>83</v>
      </c>
      <c r="D1486" s="27">
        <v>73072200</v>
      </c>
      <c r="E1486" s="28" t="s">
        <v>249</v>
      </c>
      <c r="F1486" s="29" t="s">
        <v>250</v>
      </c>
      <c r="G1486" s="30">
        <v>1</v>
      </c>
      <c r="H1486" s="27" t="s">
        <v>137</v>
      </c>
      <c r="I1486" s="26" t="s">
        <v>218</v>
      </c>
      <c r="J1486" s="31">
        <v>27</v>
      </c>
      <c r="K1486" s="32">
        <f t="shared" si="69"/>
        <v>27</v>
      </c>
      <c r="L1486" s="29" t="s">
        <v>250</v>
      </c>
      <c r="M1486" s="27">
        <f>IFERROR(VLOOKUP(C1486,Custo_MI_Device!$B$2:$E$102,3,FALSE),0)</f>
        <v>0</v>
      </c>
      <c r="N1486" s="27">
        <f t="shared" si="70"/>
        <v>0</v>
      </c>
      <c r="O1486" s="178">
        <f t="shared" si="71"/>
        <v>0</v>
      </c>
    </row>
    <row r="1487" spans="1:15" ht="12.75" hidden="1">
      <c r="A1487" s="25">
        <v>3274</v>
      </c>
      <c r="B1487" s="25" t="s">
        <v>69</v>
      </c>
      <c r="C1487" s="26" t="s">
        <v>83</v>
      </c>
      <c r="D1487" s="27">
        <v>73181500</v>
      </c>
      <c r="E1487" s="28" t="s">
        <v>265</v>
      </c>
      <c r="F1487" s="29" t="s">
        <v>266</v>
      </c>
      <c r="G1487" s="30">
        <v>24</v>
      </c>
      <c r="H1487" s="27" t="s">
        <v>137</v>
      </c>
      <c r="I1487" s="26" t="s">
        <v>256</v>
      </c>
      <c r="J1487" s="31">
        <v>0.06</v>
      </c>
      <c r="K1487" s="32">
        <f t="shared" si="69"/>
        <v>1.44</v>
      </c>
      <c r="L1487" s="29" t="s">
        <v>266</v>
      </c>
      <c r="M1487" s="27">
        <f>IFERROR(VLOOKUP(C1487,Custo_MI_Device!$B$2:$E$102,3,FALSE),0)</f>
        <v>0</v>
      </c>
      <c r="N1487" s="27">
        <f t="shared" si="70"/>
        <v>0</v>
      </c>
      <c r="O1487" s="178">
        <f t="shared" si="71"/>
        <v>0</v>
      </c>
    </row>
    <row r="1488" spans="1:15" ht="25.5" hidden="1">
      <c r="A1488" s="25">
        <v>3199</v>
      </c>
      <c r="B1488" s="25" t="s">
        <v>69</v>
      </c>
      <c r="C1488" s="26" t="s">
        <v>83</v>
      </c>
      <c r="D1488" s="27">
        <v>90262090</v>
      </c>
      <c r="E1488" s="28" t="s">
        <v>268</v>
      </c>
      <c r="F1488" s="29">
        <v>0</v>
      </c>
      <c r="G1488" s="33">
        <v>0</v>
      </c>
      <c r="H1488" s="27" t="s">
        <v>137</v>
      </c>
      <c r="I1488" s="26" t="s">
        <v>220</v>
      </c>
      <c r="J1488" s="31">
        <v>650</v>
      </c>
      <c r="K1488" s="32">
        <f t="shared" si="69"/>
        <v>0</v>
      </c>
      <c r="L1488" s="29" t="s">
        <v>269</v>
      </c>
      <c r="M1488" s="27">
        <f>IFERROR(VLOOKUP(C1488,Custo_MI_Device!$B$2:$E$102,3,FALSE),0)</f>
        <v>0</v>
      </c>
      <c r="N1488" s="27">
        <f t="shared" si="70"/>
        <v>0</v>
      </c>
      <c r="O1488" s="178">
        <f t="shared" si="71"/>
        <v>0</v>
      </c>
    </row>
    <row r="1489" spans="1:15" ht="25.5" hidden="1">
      <c r="A1489" s="25">
        <v>1611</v>
      </c>
      <c r="B1489" s="25" t="s">
        <v>69</v>
      </c>
      <c r="C1489" s="26" t="s">
        <v>83</v>
      </c>
      <c r="D1489" s="27">
        <v>39174090</v>
      </c>
      <c r="E1489" s="28" t="s">
        <v>275</v>
      </c>
      <c r="F1489" s="29" t="s">
        <v>276</v>
      </c>
      <c r="G1489" s="30">
        <v>2</v>
      </c>
      <c r="H1489" s="27" t="s">
        <v>137</v>
      </c>
      <c r="I1489" s="26" t="s">
        <v>277</v>
      </c>
      <c r="J1489" s="31">
        <v>7.8</v>
      </c>
      <c r="K1489" s="32">
        <f t="shared" si="69"/>
        <v>15.6</v>
      </c>
      <c r="L1489" s="29" t="s">
        <v>276</v>
      </c>
      <c r="M1489" s="27">
        <f>IFERROR(VLOOKUP(C1489,Custo_MI_Device!$B$2:$E$102,3,FALSE),0)</f>
        <v>0</v>
      </c>
      <c r="N1489" s="27">
        <f t="shared" si="70"/>
        <v>0</v>
      </c>
      <c r="O1489" s="178">
        <f t="shared" si="71"/>
        <v>0</v>
      </c>
    </row>
    <row r="1490" spans="1:15" ht="12.75" hidden="1">
      <c r="A1490" s="25">
        <v>5081</v>
      </c>
      <c r="B1490" s="25" t="s">
        <v>69</v>
      </c>
      <c r="C1490" s="26" t="s">
        <v>83</v>
      </c>
      <c r="D1490" s="27">
        <v>73145000</v>
      </c>
      <c r="E1490" s="28" t="s">
        <v>278</v>
      </c>
      <c r="F1490" s="29">
        <v>0</v>
      </c>
      <c r="G1490" s="30">
        <v>1</v>
      </c>
      <c r="H1490" s="27" t="s">
        <v>137</v>
      </c>
      <c r="I1490" s="26" t="s">
        <v>279</v>
      </c>
      <c r="J1490" s="31">
        <v>23</v>
      </c>
      <c r="K1490" s="32">
        <f t="shared" si="69"/>
        <v>23</v>
      </c>
      <c r="L1490" s="29" t="s">
        <v>280</v>
      </c>
      <c r="M1490" s="27">
        <f>IFERROR(VLOOKUP(C1490,Custo_MI_Device!$B$2:$E$102,3,FALSE),0)</f>
        <v>0</v>
      </c>
      <c r="N1490" s="27">
        <f t="shared" si="70"/>
        <v>0</v>
      </c>
      <c r="O1490" s="178">
        <f t="shared" si="71"/>
        <v>0</v>
      </c>
    </row>
    <row r="1491" spans="1:15" ht="25.5" hidden="1">
      <c r="A1491" s="25">
        <v>2973</v>
      </c>
      <c r="B1491" s="25" t="s">
        <v>69</v>
      </c>
      <c r="C1491" s="26" t="s">
        <v>83</v>
      </c>
      <c r="D1491" s="27">
        <v>73072200</v>
      </c>
      <c r="E1491" s="28" t="s">
        <v>281</v>
      </c>
      <c r="F1491" s="29" t="s">
        <v>282</v>
      </c>
      <c r="G1491" s="30">
        <v>1</v>
      </c>
      <c r="H1491" s="27" t="s">
        <v>137</v>
      </c>
      <c r="I1491" s="26" t="s">
        <v>218</v>
      </c>
      <c r="J1491" s="31">
        <v>29</v>
      </c>
      <c r="K1491" s="32">
        <f t="shared" si="69"/>
        <v>29</v>
      </c>
      <c r="L1491" s="29" t="s">
        <v>282</v>
      </c>
      <c r="M1491" s="27">
        <f>IFERROR(VLOOKUP(C1491,Custo_MI_Device!$B$2:$E$102,3,FALSE),0)</f>
        <v>0</v>
      </c>
      <c r="N1491" s="27">
        <f t="shared" si="70"/>
        <v>0</v>
      </c>
      <c r="O1491" s="178">
        <f t="shared" si="71"/>
        <v>0</v>
      </c>
    </row>
    <row r="1492" spans="1:15" ht="25.5" hidden="1">
      <c r="A1492" s="25">
        <v>5194</v>
      </c>
      <c r="B1492" s="25" t="s">
        <v>69</v>
      </c>
      <c r="C1492" s="26" t="s">
        <v>83</v>
      </c>
      <c r="D1492" s="27">
        <v>73041010</v>
      </c>
      <c r="E1492" s="28" t="s">
        <v>289</v>
      </c>
      <c r="F1492" s="29" t="s">
        <v>290</v>
      </c>
      <c r="G1492" s="30">
        <v>2</v>
      </c>
      <c r="H1492" s="27" t="s">
        <v>232</v>
      </c>
      <c r="I1492" s="26" t="s">
        <v>218</v>
      </c>
      <c r="J1492" s="31">
        <f>21.5*6</f>
        <v>129</v>
      </c>
      <c r="K1492" s="32">
        <f t="shared" si="69"/>
        <v>258</v>
      </c>
      <c r="L1492" s="29" t="s">
        <v>290</v>
      </c>
      <c r="M1492" s="27">
        <f>IFERROR(VLOOKUP(C1492,Custo_MI_Device!$B$2:$E$102,3,FALSE),0)</f>
        <v>0</v>
      </c>
      <c r="N1492" s="27">
        <f t="shared" si="70"/>
        <v>0</v>
      </c>
      <c r="O1492" s="178">
        <f t="shared" si="71"/>
        <v>0</v>
      </c>
    </row>
    <row r="1493" spans="1:15" ht="25.5" hidden="1">
      <c r="A1493" s="25">
        <v>2125</v>
      </c>
      <c r="B1493" s="25" t="s">
        <v>69</v>
      </c>
      <c r="C1493" s="26" t="s">
        <v>83</v>
      </c>
      <c r="D1493" s="27">
        <v>84818039</v>
      </c>
      <c r="E1493" s="28" t="s">
        <v>301</v>
      </c>
      <c r="F1493" s="29">
        <v>0</v>
      </c>
      <c r="G1493" s="30">
        <v>1</v>
      </c>
      <c r="H1493" s="27" t="s">
        <v>137</v>
      </c>
      <c r="I1493" s="26" t="s">
        <v>220</v>
      </c>
      <c r="J1493" s="31">
        <v>175</v>
      </c>
      <c r="K1493" s="32">
        <f t="shared" si="69"/>
        <v>175</v>
      </c>
      <c r="L1493" s="29" t="s">
        <v>302</v>
      </c>
      <c r="M1493" s="27">
        <f>IFERROR(VLOOKUP(C1493,Custo_MI_Device!$B$2:$E$102,3,FALSE),0)</f>
        <v>0</v>
      </c>
      <c r="N1493" s="27">
        <f t="shared" si="70"/>
        <v>0</v>
      </c>
      <c r="O1493" s="178">
        <f t="shared" si="71"/>
        <v>0</v>
      </c>
    </row>
    <row r="1494" spans="1:15" ht="12.75" hidden="1">
      <c r="A1494" s="25">
        <v>2534</v>
      </c>
      <c r="B1494" s="25" t="s">
        <v>69</v>
      </c>
      <c r="C1494" s="26" t="s">
        <v>84</v>
      </c>
      <c r="D1494" s="27">
        <v>73072900</v>
      </c>
      <c r="E1494" s="28" t="s">
        <v>314</v>
      </c>
      <c r="F1494" s="29" t="s">
        <v>315</v>
      </c>
      <c r="G1494" s="30">
        <v>12</v>
      </c>
      <c r="H1494" s="27" t="s">
        <v>137</v>
      </c>
      <c r="I1494" s="26" t="s">
        <v>256</v>
      </c>
      <c r="J1494" s="31">
        <v>1.2</v>
      </c>
      <c r="K1494" s="32">
        <f t="shared" si="69"/>
        <v>14.399999999999999</v>
      </c>
      <c r="L1494" s="29" t="s">
        <v>315</v>
      </c>
      <c r="M1494" s="27">
        <f>IFERROR(VLOOKUP(C1494,Custo_MI_Device!$B$2:$E$102,3,FALSE),0)</f>
        <v>0</v>
      </c>
      <c r="N1494" s="27">
        <f t="shared" si="70"/>
        <v>0</v>
      </c>
      <c r="O1494" s="178">
        <f t="shared" si="71"/>
        <v>0</v>
      </c>
    </row>
    <row r="1495" spans="1:15" ht="12.75" hidden="1">
      <c r="A1495" s="25">
        <v>1669</v>
      </c>
      <c r="B1495" s="25" t="s">
        <v>69</v>
      </c>
      <c r="C1495" s="26" t="s">
        <v>84</v>
      </c>
      <c r="D1495" s="27">
        <v>39269090</v>
      </c>
      <c r="E1495" s="28" t="s">
        <v>316</v>
      </c>
      <c r="F1495" s="29" t="s">
        <v>317</v>
      </c>
      <c r="G1495" s="30">
        <v>3</v>
      </c>
      <c r="H1495" s="27" t="s">
        <v>137</v>
      </c>
      <c r="I1495" s="26" t="s">
        <v>318</v>
      </c>
      <c r="J1495" s="31">
        <v>0.04</v>
      </c>
      <c r="K1495" s="32">
        <f t="shared" si="69"/>
        <v>0.12</v>
      </c>
      <c r="L1495" s="29" t="s">
        <v>317</v>
      </c>
      <c r="M1495" s="27">
        <f>IFERROR(VLOOKUP(C1495,Custo_MI_Device!$B$2:$E$102,3,FALSE),0)</f>
        <v>0</v>
      </c>
      <c r="N1495" s="27">
        <f t="shared" si="70"/>
        <v>0</v>
      </c>
      <c r="O1495" s="178">
        <f t="shared" si="71"/>
        <v>0</v>
      </c>
    </row>
    <row r="1496" spans="1:15" ht="12.75" hidden="1">
      <c r="A1496" s="25">
        <v>5091</v>
      </c>
      <c r="B1496" s="25" t="s">
        <v>69</v>
      </c>
      <c r="C1496" s="26" t="s">
        <v>84</v>
      </c>
      <c r="D1496" s="27">
        <v>73181500</v>
      </c>
      <c r="E1496" s="28" t="s">
        <v>323</v>
      </c>
      <c r="F1496" s="29" t="s">
        <v>324</v>
      </c>
      <c r="G1496" s="30">
        <v>24</v>
      </c>
      <c r="H1496" s="27" t="s">
        <v>137</v>
      </c>
      <c r="I1496" s="26" t="s">
        <v>256</v>
      </c>
      <c r="J1496" s="31">
        <v>0.04</v>
      </c>
      <c r="K1496" s="32">
        <f t="shared" si="69"/>
        <v>0.96</v>
      </c>
      <c r="L1496" s="29" t="s">
        <v>324</v>
      </c>
      <c r="M1496" s="27">
        <f>IFERROR(VLOOKUP(C1496,Custo_MI_Device!$B$2:$E$102,3,FALSE),0)</f>
        <v>0</v>
      </c>
      <c r="N1496" s="27">
        <f t="shared" si="70"/>
        <v>0</v>
      </c>
      <c r="O1496" s="178">
        <f t="shared" si="71"/>
        <v>0</v>
      </c>
    </row>
    <row r="1497" spans="1:15" ht="12.75" hidden="1">
      <c r="A1497" s="25">
        <v>1117</v>
      </c>
      <c r="B1497" s="25" t="s">
        <v>69</v>
      </c>
      <c r="C1497" s="26" t="s">
        <v>84</v>
      </c>
      <c r="D1497" s="27"/>
      <c r="E1497" s="28" t="s">
        <v>145</v>
      </c>
      <c r="F1497" s="29" t="s">
        <v>146</v>
      </c>
      <c r="G1497" s="30">
        <v>1</v>
      </c>
      <c r="H1497" s="27" t="s">
        <v>137</v>
      </c>
      <c r="I1497" s="26" t="s">
        <v>138</v>
      </c>
      <c r="J1497" s="31">
        <v>1.95</v>
      </c>
      <c r="K1497" s="32">
        <f t="shared" si="69"/>
        <v>1.95</v>
      </c>
      <c r="L1497" s="29" t="s">
        <v>146</v>
      </c>
      <c r="M1497" s="27">
        <f>IFERROR(VLOOKUP(C1497,Custo_MI_Device!$B$2:$E$102,3,FALSE),0)</f>
        <v>0</v>
      </c>
      <c r="N1497" s="27">
        <f t="shared" si="70"/>
        <v>0</v>
      </c>
      <c r="O1497" s="178">
        <f t="shared" si="71"/>
        <v>0</v>
      </c>
    </row>
    <row r="1498" spans="1:15" ht="12.75" hidden="1">
      <c r="A1498" s="25">
        <v>3080</v>
      </c>
      <c r="B1498" s="25" t="s">
        <v>69</v>
      </c>
      <c r="C1498" s="26" t="s">
        <v>84</v>
      </c>
      <c r="D1498" s="27">
        <v>74122000</v>
      </c>
      <c r="E1498" s="28" t="s">
        <v>153</v>
      </c>
      <c r="F1498" s="29" t="s">
        <v>154</v>
      </c>
      <c r="G1498" s="30">
        <v>1</v>
      </c>
      <c r="H1498" s="27" t="s">
        <v>137</v>
      </c>
      <c r="I1498" s="26" t="s">
        <v>155</v>
      </c>
      <c r="J1498" s="31">
        <v>3.3</v>
      </c>
      <c r="K1498" s="32">
        <f t="shared" si="69"/>
        <v>3.3</v>
      </c>
      <c r="L1498" s="29" t="s">
        <v>154</v>
      </c>
      <c r="M1498" s="27">
        <f>IFERROR(VLOOKUP(C1498,Custo_MI_Device!$B$2:$E$102,3,FALSE),0)</f>
        <v>0</v>
      </c>
      <c r="N1498" s="27">
        <f t="shared" si="70"/>
        <v>0</v>
      </c>
      <c r="O1498" s="178">
        <f t="shared" si="71"/>
        <v>0</v>
      </c>
    </row>
    <row r="1499" spans="1:15" ht="38.25" hidden="1">
      <c r="A1499" s="25">
        <v>3585</v>
      </c>
      <c r="B1499" s="25" t="s">
        <v>69</v>
      </c>
      <c r="C1499" s="26" t="s">
        <v>84</v>
      </c>
      <c r="D1499" s="27">
        <v>85444900</v>
      </c>
      <c r="E1499" s="28" t="s">
        <v>328</v>
      </c>
      <c r="F1499" s="29">
        <v>900400</v>
      </c>
      <c r="G1499" s="33">
        <v>0</v>
      </c>
      <c r="H1499" s="27" t="s">
        <v>158</v>
      </c>
      <c r="I1499" s="26" t="s">
        <v>164</v>
      </c>
      <c r="J1499" s="31">
        <v>1.7</v>
      </c>
      <c r="K1499" s="32">
        <f t="shared" si="69"/>
        <v>0</v>
      </c>
      <c r="L1499" s="29">
        <v>900400</v>
      </c>
      <c r="M1499" s="27">
        <f>IFERROR(VLOOKUP(C1499,Custo_MI_Device!$B$2:$E$102,3,FALSE),0)</f>
        <v>0</v>
      </c>
      <c r="N1499" s="27">
        <f t="shared" si="70"/>
        <v>0</v>
      </c>
      <c r="O1499" s="178">
        <f t="shared" si="71"/>
        <v>0</v>
      </c>
    </row>
    <row r="1500" spans="1:15" ht="12.75" hidden="1">
      <c r="A1500" s="25">
        <v>2805</v>
      </c>
      <c r="B1500" s="25" t="s">
        <v>69</v>
      </c>
      <c r="C1500" s="26" t="s">
        <v>84</v>
      </c>
      <c r="D1500" s="27">
        <v>72162100</v>
      </c>
      <c r="E1500" s="28" t="s">
        <v>174</v>
      </c>
      <c r="F1500" s="29">
        <v>0</v>
      </c>
      <c r="G1500" s="30">
        <v>2.9</v>
      </c>
      <c r="H1500" s="27" t="s">
        <v>175</v>
      </c>
      <c r="I1500" s="26" t="s">
        <v>176</v>
      </c>
      <c r="J1500" s="31">
        <v>4.22</v>
      </c>
      <c r="K1500" s="32">
        <f t="shared" si="69"/>
        <v>12.238</v>
      </c>
      <c r="L1500" s="29" t="s">
        <v>177</v>
      </c>
      <c r="M1500" s="27">
        <f>IFERROR(VLOOKUP(C1500,Custo_MI_Device!$B$2:$E$102,3,FALSE),0)</f>
        <v>0</v>
      </c>
      <c r="N1500" s="27">
        <f t="shared" si="70"/>
        <v>0</v>
      </c>
      <c r="O1500" s="178">
        <f t="shared" si="71"/>
        <v>0</v>
      </c>
    </row>
    <row r="1501" spans="1:15" ht="12.75" hidden="1">
      <c r="A1501" s="25">
        <v>2904</v>
      </c>
      <c r="B1501" s="25" t="s">
        <v>69</v>
      </c>
      <c r="C1501" s="26" t="s">
        <v>84</v>
      </c>
      <c r="D1501" s="27">
        <v>76090000</v>
      </c>
      <c r="E1501" s="28" t="s">
        <v>195</v>
      </c>
      <c r="F1501" s="29" t="s">
        <v>196</v>
      </c>
      <c r="G1501" s="30">
        <v>0.75</v>
      </c>
      <c r="H1501" s="27" t="s">
        <v>137</v>
      </c>
      <c r="I1501" s="26" t="s">
        <v>138</v>
      </c>
      <c r="J1501" s="31">
        <v>6.7</v>
      </c>
      <c r="K1501" s="32">
        <f t="shared" si="69"/>
        <v>5.0250000000000004</v>
      </c>
      <c r="L1501" s="29" t="s">
        <v>196</v>
      </c>
      <c r="M1501" s="27">
        <f>IFERROR(VLOOKUP(C1501,Custo_MI_Device!$B$2:$E$102,3,FALSE),0)</f>
        <v>0</v>
      </c>
      <c r="N1501" s="27">
        <f t="shared" si="70"/>
        <v>0</v>
      </c>
      <c r="O1501" s="178">
        <f t="shared" si="71"/>
        <v>0</v>
      </c>
    </row>
    <row r="1502" spans="1:15" ht="12.75" hidden="1">
      <c r="A1502" s="25">
        <v>2911</v>
      </c>
      <c r="B1502" s="25" t="s">
        <v>69</v>
      </c>
      <c r="C1502" s="26" t="s">
        <v>84</v>
      </c>
      <c r="D1502" s="27">
        <v>76090000</v>
      </c>
      <c r="E1502" s="28" t="s">
        <v>197</v>
      </c>
      <c r="F1502" s="29" t="s">
        <v>198</v>
      </c>
      <c r="G1502" s="30">
        <v>0.75</v>
      </c>
      <c r="H1502" s="27" t="s">
        <v>137</v>
      </c>
      <c r="I1502" s="26" t="s">
        <v>138</v>
      </c>
      <c r="J1502" s="31">
        <v>6.7</v>
      </c>
      <c r="K1502" s="32">
        <f t="shared" si="69"/>
        <v>5.0250000000000004</v>
      </c>
      <c r="L1502" s="29" t="s">
        <v>198</v>
      </c>
      <c r="M1502" s="27">
        <f>IFERROR(VLOOKUP(C1502,Custo_MI_Device!$B$2:$E$102,3,FALSE),0)</f>
        <v>0</v>
      </c>
      <c r="N1502" s="27">
        <f t="shared" si="70"/>
        <v>0</v>
      </c>
      <c r="O1502" s="178">
        <f t="shared" si="71"/>
        <v>0</v>
      </c>
    </row>
    <row r="1503" spans="1:15" ht="12.75" hidden="1">
      <c r="A1503" s="25">
        <v>4823</v>
      </c>
      <c r="B1503" s="25" t="s">
        <v>69</v>
      </c>
      <c r="C1503" s="26" t="s">
        <v>84</v>
      </c>
      <c r="D1503" s="27">
        <v>76090000</v>
      </c>
      <c r="E1503" s="28" t="s">
        <v>199</v>
      </c>
      <c r="F1503" s="29" t="s">
        <v>200</v>
      </c>
      <c r="G1503" s="30">
        <v>0.75</v>
      </c>
      <c r="H1503" s="27" t="s">
        <v>137</v>
      </c>
      <c r="I1503" s="26" t="s">
        <v>138</v>
      </c>
      <c r="J1503" s="31">
        <v>6.7</v>
      </c>
      <c r="K1503" s="32">
        <f t="shared" si="69"/>
        <v>5.0250000000000004</v>
      </c>
      <c r="L1503" s="29" t="s">
        <v>200</v>
      </c>
      <c r="M1503" s="27">
        <f>IFERROR(VLOOKUP(C1503,Custo_MI_Device!$B$2:$E$102,3,FALSE),0)</f>
        <v>0</v>
      </c>
      <c r="N1503" s="27">
        <f t="shared" si="70"/>
        <v>0</v>
      </c>
      <c r="O1503" s="178">
        <f t="shared" si="71"/>
        <v>0</v>
      </c>
    </row>
    <row r="1504" spans="1:15" ht="25.5" hidden="1">
      <c r="A1504" s="25">
        <v>4306</v>
      </c>
      <c r="B1504" s="25" t="s">
        <v>69</v>
      </c>
      <c r="C1504" s="26" t="s">
        <v>84</v>
      </c>
      <c r="D1504" s="27">
        <v>73063000</v>
      </c>
      <c r="E1504" s="28" t="s">
        <v>239</v>
      </c>
      <c r="F1504" s="29">
        <v>0</v>
      </c>
      <c r="G1504" s="30">
        <v>2</v>
      </c>
      <c r="H1504" s="27" t="s">
        <v>232</v>
      </c>
      <c r="I1504" s="26" t="s">
        <v>233</v>
      </c>
      <c r="J1504" s="31">
        <v>32</v>
      </c>
      <c r="K1504" s="32">
        <f t="shared" si="69"/>
        <v>64</v>
      </c>
      <c r="L1504" s="29" t="s">
        <v>240</v>
      </c>
      <c r="M1504" s="27">
        <f>IFERROR(VLOOKUP(C1504,Custo_MI_Device!$B$2:$E$102,3,FALSE),0)</f>
        <v>0</v>
      </c>
      <c r="N1504" s="27">
        <f t="shared" si="70"/>
        <v>0</v>
      </c>
      <c r="O1504" s="178">
        <f t="shared" si="71"/>
        <v>0</v>
      </c>
    </row>
    <row r="1505" spans="1:15" ht="12.75" hidden="1">
      <c r="A1505" s="25">
        <v>3274</v>
      </c>
      <c r="B1505" s="25" t="s">
        <v>69</v>
      </c>
      <c r="C1505" s="26" t="s">
        <v>84</v>
      </c>
      <c r="D1505" s="27">
        <v>73181500</v>
      </c>
      <c r="E1505" s="28" t="s">
        <v>265</v>
      </c>
      <c r="F1505" s="29" t="s">
        <v>266</v>
      </c>
      <c r="G1505" s="30">
        <v>24</v>
      </c>
      <c r="H1505" s="27" t="s">
        <v>137</v>
      </c>
      <c r="I1505" s="26" t="s">
        <v>256</v>
      </c>
      <c r="J1505" s="31">
        <v>0.06</v>
      </c>
      <c r="K1505" s="32">
        <f t="shared" si="69"/>
        <v>1.44</v>
      </c>
      <c r="L1505" s="29" t="s">
        <v>266</v>
      </c>
      <c r="M1505" s="27">
        <f>IFERROR(VLOOKUP(C1505,Custo_MI_Device!$B$2:$E$102,3,FALSE),0)</f>
        <v>0</v>
      </c>
      <c r="N1505" s="27">
        <f t="shared" si="70"/>
        <v>0</v>
      </c>
      <c r="O1505" s="178">
        <f t="shared" si="71"/>
        <v>0</v>
      </c>
    </row>
    <row r="1506" spans="1:15" ht="25.5" hidden="1">
      <c r="A1506" s="25">
        <v>1611</v>
      </c>
      <c r="B1506" s="25" t="s">
        <v>69</v>
      </c>
      <c r="C1506" s="26" t="s">
        <v>84</v>
      </c>
      <c r="D1506" s="27">
        <v>39174090</v>
      </c>
      <c r="E1506" s="28" t="s">
        <v>275</v>
      </c>
      <c r="F1506" s="29" t="s">
        <v>276</v>
      </c>
      <c r="G1506" s="30">
        <v>2</v>
      </c>
      <c r="H1506" s="27" t="s">
        <v>137</v>
      </c>
      <c r="I1506" s="26" t="s">
        <v>277</v>
      </c>
      <c r="J1506" s="31">
        <v>7.8</v>
      </c>
      <c r="K1506" s="32">
        <f t="shared" si="69"/>
        <v>15.6</v>
      </c>
      <c r="L1506" s="29" t="s">
        <v>276</v>
      </c>
      <c r="M1506" s="27">
        <f>IFERROR(VLOOKUP(C1506,Custo_MI_Device!$B$2:$E$102,3,FALSE),0)</f>
        <v>0</v>
      </c>
      <c r="N1506" s="27">
        <f t="shared" si="70"/>
        <v>0</v>
      </c>
      <c r="O1506" s="178">
        <f t="shared" si="71"/>
        <v>0</v>
      </c>
    </row>
    <row r="1507" spans="1:15" ht="12.75" hidden="1">
      <c r="A1507" s="25">
        <v>2534</v>
      </c>
      <c r="B1507" s="25" t="s">
        <v>69</v>
      </c>
      <c r="C1507" s="26" t="s">
        <v>85</v>
      </c>
      <c r="D1507" s="27">
        <v>73072900</v>
      </c>
      <c r="E1507" s="28" t="s">
        <v>314</v>
      </c>
      <c r="F1507" s="29" t="s">
        <v>315</v>
      </c>
      <c r="G1507" s="30">
        <v>12</v>
      </c>
      <c r="H1507" s="27" t="s">
        <v>137</v>
      </c>
      <c r="I1507" s="26" t="s">
        <v>256</v>
      </c>
      <c r="J1507" s="31">
        <v>1.2</v>
      </c>
      <c r="K1507" s="32">
        <f t="shared" si="69"/>
        <v>14.399999999999999</v>
      </c>
      <c r="L1507" s="29" t="s">
        <v>315</v>
      </c>
      <c r="M1507" s="27">
        <f>IFERROR(VLOOKUP(C1507,Custo_MI_Device!$B$2:$E$102,3,FALSE),0)</f>
        <v>0</v>
      </c>
      <c r="N1507" s="27">
        <f t="shared" si="70"/>
        <v>0</v>
      </c>
      <c r="O1507" s="178">
        <f t="shared" si="71"/>
        <v>0</v>
      </c>
    </row>
    <row r="1508" spans="1:15" ht="12.75" hidden="1">
      <c r="A1508" s="25">
        <v>1669</v>
      </c>
      <c r="B1508" s="25" t="s">
        <v>69</v>
      </c>
      <c r="C1508" s="26" t="s">
        <v>85</v>
      </c>
      <c r="D1508" s="27">
        <v>39269090</v>
      </c>
      <c r="E1508" s="28" t="s">
        <v>316</v>
      </c>
      <c r="F1508" s="29" t="s">
        <v>317</v>
      </c>
      <c r="G1508" s="30">
        <v>3</v>
      </c>
      <c r="H1508" s="27" t="s">
        <v>137</v>
      </c>
      <c r="I1508" s="26" t="s">
        <v>318</v>
      </c>
      <c r="J1508" s="31">
        <v>0.04</v>
      </c>
      <c r="K1508" s="32">
        <f t="shared" si="69"/>
        <v>0.12</v>
      </c>
      <c r="L1508" s="29" t="s">
        <v>317</v>
      </c>
      <c r="M1508" s="27">
        <f>IFERROR(VLOOKUP(C1508,Custo_MI_Device!$B$2:$E$102,3,FALSE),0)</f>
        <v>0</v>
      </c>
      <c r="N1508" s="27">
        <f t="shared" si="70"/>
        <v>0</v>
      </c>
      <c r="O1508" s="178">
        <f t="shared" si="71"/>
        <v>0</v>
      </c>
    </row>
    <row r="1509" spans="1:15" ht="12.75" hidden="1">
      <c r="A1509" s="25">
        <v>5091</v>
      </c>
      <c r="B1509" s="25" t="s">
        <v>69</v>
      </c>
      <c r="C1509" s="26" t="s">
        <v>85</v>
      </c>
      <c r="D1509" s="27">
        <v>73181500</v>
      </c>
      <c r="E1509" s="28" t="s">
        <v>323</v>
      </c>
      <c r="F1509" s="29" t="s">
        <v>324</v>
      </c>
      <c r="G1509" s="30">
        <v>24</v>
      </c>
      <c r="H1509" s="27" t="s">
        <v>137</v>
      </c>
      <c r="I1509" s="26" t="s">
        <v>256</v>
      </c>
      <c r="J1509" s="31">
        <v>0.04</v>
      </c>
      <c r="K1509" s="32">
        <f t="shared" si="69"/>
        <v>0.96</v>
      </c>
      <c r="L1509" s="29" t="s">
        <v>324</v>
      </c>
      <c r="M1509" s="27">
        <f>IFERROR(VLOOKUP(C1509,Custo_MI_Device!$B$2:$E$102,3,FALSE),0)</f>
        <v>0</v>
      </c>
      <c r="N1509" s="27">
        <f t="shared" si="70"/>
        <v>0</v>
      </c>
      <c r="O1509" s="178">
        <f t="shared" si="71"/>
        <v>0</v>
      </c>
    </row>
    <row r="1510" spans="1:15" ht="12.75" hidden="1">
      <c r="A1510" s="25">
        <v>1117</v>
      </c>
      <c r="B1510" s="25" t="s">
        <v>69</v>
      </c>
      <c r="C1510" s="26" t="s">
        <v>85</v>
      </c>
      <c r="D1510" s="27"/>
      <c r="E1510" s="28" t="s">
        <v>145</v>
      </c>
      <c r="F1510" s="29" t="s">
        <v>146</v>
      </c>
      <c r="G1510" s="30">
        <v>1</v>
      </c>
      <c r="H1510" s="27" t="s">
        <v>137</v>
      </c>
      <c r="I1510" s="26" t="s">
        <v>138</v>
      </c>
      <c r="J1510" s="31">
        <v>1.95</v>
      </c>
      <c r="K1510" s="32">
        <f t="shared" si="69"/>
        <v>1.95</v>
      </c>
      <c r="L1510" s="29" t="s">
        <v>146</v>
      </c>
      <c r="M1510" s="27">
        <f>IFERROR(VLOOKUP(C1510,Custo_MI_Device!$B$2:$E$102,3,FALSE),0)</f>
        <v>0</v>
      </c>
      <c r="N1510" s="27">
        <f t="shared" si="70"/>
        <v>0</v>
      </c>
      <c r="O1510" s="178">
        <f t="shared" si="71"/>
        <v>0</v>
      </c>
    </row>
    <row r="1511" spans="1:15" ht="12.75" hidden="1">
      <c r="A1511" s="25">
        <v>3080</v>
      </c>
      <c r="B1511" s="25" t="s">
        <v>69</v>
      </c>
      <c r="C1511" s="26" t="s">
        <v>85</v>
      </c>
      <c r="D1511" s="27">
        <v>74122000</v>
      </c>
      <c r="E1511" s="28" t="s">
        <v>153</v>
      </c>
      <c r="F1511" s="29" t="s">
        <v>154</v>
      </c>
      <c r="G1511" s="30">
        <v>1</v>
      </c>
      <c r="H1511" s="27" t="s">
        <v>137</v>
      </c>
      <c r="I1511" s="26" t="s">
        <v>155</v>
      </c>
      <c r="J1511" s="31">
        <v>3.3</v>
      </c>
      <c r="K1511" s="32">
        <f t="shared" si="69"/>
        <v>3.3</v>
      </c>
      <c r="L1511" s="29" t="s">
        <v>154</v>
      </c>
      <c r="M1511" s="27">
        <f>IFERROR(VLOOKUP(C1511,Custo_MI_Device!$B$2:$E$102,3,FALSE),0)</f>
        <v>0</v>
      </c>
      <c r="N1511" s="27">
        <f t="shared" si="70"/>
        <v>0</v>
      </c>
      <c r="O1511" s="178">
        <f t="shared" si="71"/>
        <v>0</v>
      </c>
    </row>
    <row r="1512" spans="1:15" ht="25.5" hidden="1">
      <c r="A1512" s="25">
        <v>5139</v>
      </c>
      <c r="B1512" s="25" t="s">
        <v>69</v>
      </c>
      <c r="C1512" s="26" t="s">
        <v>85</v>
      </c>
      <c r="D1512" s="27">
        <v>85444900</v>
      </c>
      <c r="E1512" s="28" t="s">
        <v>170</v>
      </c>
      <c r="F1512" s="29" t="s">
        <v>171</v>
      </c>
      <c r="G1512" s="30">
        <v>15</v>
      </c>
      <c r="H1512" s="27" t="s">
        <v>158</v>
      </c>
      <c r="I1512" s="26" t="s">
        <v>172</v>
      </c>
      <c r="J1512" s="31">
        <v>7.5</v>
      </c>
      <c r="K1512" s="32">
        <f t="shared" si="69"/>
        <v>112.5</v>
      </c>
      <c r="L1512" s="29" t="s">
        <v>173</v>
      </c>
      <c r="M1512" s="27">
        <f>IFERROR(VLOOKUP(C1512,Custo_MI_Device!$B$2:$E$102,3,FALSE),0)</f>
        <v>0</v>
      </c>
      <c r="N1512" s="27">
        <f t="shared" si="70"/>
        <v>0</v>
      </c>
      <c r="O1512" s="178">
        <f t="shared" si="71"/>
        <v>0</v>
      </c>
    </row>
    <row r="1513" spans="1:15" ht="12.75" hidden="1">
      <c r="A1513" s="25">
        <v>2805</v>
      </c>
      <c r="B1513" s="25" t="s">
        <v>69</v>
      </c>
      <c r="C1513" s="26" t="s">
        <v>85</v>
      </c>
      <c r="D1513" s="27">
        <v>72162100</v>
      </c>
      <c r="E1513" s="28" t="s">
        <v>174</v>
      </c>
      <c r="F1513" s="29">
        <v>0</v>
      </c>
      <c r="G1513" s="30">
        <v>2.9</v>
      </c>
      <c r="H1513" s="27" t="s">
        <v>175</v>
      </c>
      <c r="I1513" s="26" t="s">
        <v>176</v>
      </c>
      <c r="J1513" s="31">
        <v>4.22</v>
      </c>
      <c r="K1513" s="32">
        <f t="shared" si="69"/>
        <v>12.238</v>
      </c>
      <c r="L1513" s="29" t="s">
        <v>177</v>
      </c>
      <c r="M1513" s="27">
        <f>IFERROR(VLOOKUP(C1513,Custo_MI_Device!$B$2:$E$102,3,FALSE),0)</f>
        <v>0</v>
      </c>
      <c r="N1513" s="27">
        <f t="shared" si="70"/>
        <v>0</v>
      </c>
      <c r="O1513" s="178">
        <f t="shared" si="71"/>
        <v>0</v>
      </c>
    </row>
    <row r="1514" spans="1:15" ht="12.75" hidden="1">
      <c r="A1514" s="25">
        <v>2904</v>
      </c>
      <c r="B1514" s="25" t="s">
        <v>69</v>
      </c>
      <c r="C1514" s="26" t="s">
        <v>85</v>
      </c>
      <c r="D1514" s="27">
        <v>76090000</v>
      </c>
      <c r="E1514" s="28" t="s">
        <v>195</v>
      </c>
      <c r="F1514" s="29" t="s">
        <v>196</v>
      </c>
      <c r="G1514" s="30">
        <v>0.75</v>
      </c>
      <c r="H1514" s="27" t="s">
        <v>137</v>
      </c>
      <c r="I1514" s="26" t="s">
        <v>138</v>
      </c>
      <c r="J1514" s="31">
        <v>6.7</v>
      </c>
      <c r="K1514" s="32">
        <f t="shared" si="69"/>
        <v>5.0250000000000004</v>
      </c>
      <c r="L1514" s="29" t="s">
        <v>196</v>
      </c>
      <c r="M1514" s="27">
        <f>IFERROR(VLOOKUP(C1514,Custo_MI_Device!$B$2:$E$102,3,FALSE),0)</f>
        <v>0</v>
      </c>
      <c r="N1514" s="27">
        <f t="shared" si="70"/>
        <v>0</v>
      </c>
      <c r="O1514" s="178">
        <f t="shared" si="71"/>
        <v>0</v>
      </c>
    </row>
    <row r="1515" spans="1:15" ht="12.75" hidden="1">
      <c r="A1515" s="25">
        <v>2911</v>
      </c>
      <c r="B1515" s="25" t="s">
        <v>69</v>
      </c>
      <c r="C1515" s="26" t="s">
        <v>85</v>
      </c>
      <c r="D1515" s="27">
        <v>76090000</v>
      </c>
      <c r="E1515" s="28" t="s">
        <v>197</v>
      </c>
      <c r="F1515" s="29" t="s">
        <v>198</v>
      </c>
      <c r="G1515" s="30">
        <v>0.75</v>
      </c>
      <c r="H1515" s="27" t="s">
        <v>137</v>
      </c>
      <c r="I1515" s="26" t="s">
        <v>138</v>
      </c>
      <c r="J1515" s="31">
        <v>6.7</v>
      </c>
      <c r="K1515" s="32">
        <f t="shared" si="69"/>
        <v>5.0250000000000004</v>
      </c>
      <c r="L1515" s="29" t="s">
        <v>198</v>
      </c>
      <c r="M1515" s="27">
        <f>IFERROR(VLOOKUP(C1515,Custo_MI_Device!$B$2:$E$102,3,FALSE),0)</f>
        <v>0</v>
      </c>
      <c r="N1515" s="27">
        <f t="shared" si="70"/>
        <v>0</v>
      </c>
      <c r="O1515" s="178">
        <f t="shared" si="71"/>
        <v>0</v>
      </c>
    </row>
    <row r="1516" spans="1:15" ht="12.75" hidden="1">
      <c r="A1516" s="25">
        <v>4823</v>
      </c>
      <c r="B1516" s="25" t="s">
        <v>69</v>
      </c>
      <c r="C1516" s="26" t="s">
        <v>85</v>
      </c>
      <c r="D1516" s="27">
        <v>76090000</v>
      </c>
      <c r="E1516" s="28" t="s">
        <v>199</v>
      </c>
      <c r="F1516" s="29" t="s">
        <v>200</v>
      </c>
      <c r="G1516" s="30">
        <v>0.75</v>
      </c>
      <c r="H1516" s="27" t="s">
        <v>137</v>
      </c>
      <c r="I1516" s="26" t="s">
        <v>138</v>
      </c>
      <c r="J1516" s="31">
        <v>6.7</v>
      </c>
      <c r="K1516" s="32">
        <f t="shared" si="69"/>
        <v>5.0250000000000004</v>
      </c>
      <c r="L1516" s="29" t="s">
        <v>200</v>
      </c>
      <c r="M1516" s="27">
        <f>IFERROR(VLOOKUP(C1516,Custo_MI_Device!$B$2:$E$102,3,FALSE),0)</f>
        <v>0</v>
      </c>
      <c r="N1516" s="27">
        <f t="shared" si="70"/>
        <v>0</v>
      </c>
      <c r="O1516" s="178">
        <f t="shared" si="71"/>
        <v>0</v>
      </c>
    </row>
    <row r="1517" spans="1:15" ht="25.5" hidden="1">
      <c r="A1517" s="25">
        <v>4306</v>
      </c>
      <c r="B1517" s="25" t="s">
        <v>69</v>
      </c>
      <c r="C1517" s="26" t="s">
        <v>85</v>
      </c>
      <c r="D1517" s="27">
        <v>73063000</v>
      </c>
      <c r="E1517" s="28" t="s">
        <v>239</v>
      </c>
      <c r="F1517" s="29">
        <v>0</v>
      </c>
      <c r="G1517" s="30">
        <v>2</v>
      </c>
      <c r="H1517" s="27" t="s">
        <v>232</v>
      </c>
      <c r="I1517" s="26" t="s">
        <v>233</v>
      </c>
      <c r="J1517" s="31">
        <v>32</v>
      </c>
      <c r="K1517" s="32">
        <f t="shared" si="69"/>
        <v>64</v>
      </c>
      <c r="L1517" s="29" t="s">
        <v>240</v>
      </c>
      <c r="M1517" s="27">
        <f>IFERROR(VLOOKUP(C1517,Custo_MI_Device!$B$2:$E$102,3,FALSE),0)</f>
        <v>0</v>
      </c>
      <c r="N1517" s="27">
        <f t="shared" si="70"/>
        <v>0</v>
      </c>
      <c r="O1517" s="178">
        <f t="shared" si="71"/>
        <v>0</v>
      </c>
    </row>
    <row r="1518" spans="1:15" ht="12.75" hidden="1">
      <c r="A1518" s="25">
        <v>3274</v>
      </c>
      <c r="B1518" s="25" t="s">
        <v>69</v>
      </c>
      <c r="C1518" s="26" t="s">
        <v>85</v>
      </c>
      <c r="D1518" s="27">
        <v>73181500</v>
      </c>
      <c r="E1518" s="28" t="s">
        <v>265</v>
      </c>
      <c r="F1518" s="29" t="s">
        <v>266</v>
      </c>
      <c r="G1518" s="30">
        <v>24</v>
      </c>
      <c r="H1518" s="27" t="s">
        <v>137</v>
      </c>
      <c r="I1518" s="26" t="s">
        <v>256</v>
      </c>
      <c r="J1518" s="31">
        <v>0.06</v>
      </c>
      <c r="K1518" s="32">
        <f t="shared" si="69"/>
        <v>1.44</v>
      </c>
      <c r="L1518" s="29" t="s">
        <v>266</v>
      </c>
      <c r="M1518" s="27">
        <f>IFERROR(VLOOKUP(C1518,Custo_MI_Device!$B$2:$E$102,3,FALSE),0)</f>
        <v>0</v>
      </c>
      <c r="N1518" s="27">
        <f t="shared" si="70"/>
        <v>0</v>
      </c>
      <c r="O1518" s="178">
        <f t="shared" si="71"/>
        <v>0</v>
      </c>
    </row>
    <row r="1519" spans="1:15" ht="25.5" hidden="1">
      <c r="A1519" s="25">
        <v>1611</v>
      </c>
      <c r="B1519" s="25" t="s">
        <v>69</v>
      </c>
      <c r="C1519" s="26" t="s">
        <v>85</v>
      </c>
      <c r="D1519" s="27">
        <v>39174090</v>
      </c>
      <c r="E1519" s="28" t="s">
        <v>275</v>
      </c>
      <c r="F1519" s="29" t="s">
        <v>276</v>
      </c>
      <c r="G1519" s="30">
        <v>2</v>
      </c>
      <c r="H1519" s="27" t="s">
        <v>137</v>
      </c>
      <c r="I1519" s="26" t="s">
        <v>277</v>
      </c>
      <c r="J1519" s="31">
        <v>7.8</v>
      </c>
      <c r="K1519" s="32">
        <f t="shared" si="69"/>
        <v>15.6</v>
      </c>
      <c r="L1519" s="29" t="s">
        <v>276</v>
      </c>
      <c r="M1519" s="27">
        <f>IFERROR(VLOOKUP(C1519,Custo_MI_Device!$B$2:$E$102,3,FALSE),0)</f>
        <v>0</v>
      </c>
      <c r="N1519" s="27">
        <f t="shared" si="70"/>
        <v>0</v>
      </c>
      <c r="O1519" s="178">
        <f t="shared" si="71"/>
        <v>0</v>
      </c>
    </row>
    <row r="1520" spans="1:15" ht="12.75" hidden="1">
      <c r="A1520" s="25">
        <v>2534</v>
      </c>
      <c r="B1520" s="25" t="s">
        <v>69</v>
      </c>
      <c r="C1520" s="26" t="s">
        <v>86</v>
      </c>
      <c r="D1520" s="27">
        <v>73072900</v>
      </c>
      <c r="E1520" s="28" t="s">
        <v>314</v>
      </c>
      <c r="F1520" s="29" t="s">
        <v>315</v>
      </c>
      <c r="G1520" s="30">
        <v>12</v>
      </c>
      <c r="H1520" s="27" t="s">
        <v>137</v>
      </c>
      <c r="I1520" s="26" t="s">
        <v>256</v>
      </c>
      <c r="J1520" s="31">
        <v>1.2</v>
      </c>
      <c r="K1520" s="32">
        <f t="shared" si="69"/>
        <v>14.399999999999999</v>
      </c>
      <c r="L1520" s="29" t="s">
        <v>315</v>
      </c>
      <c r="M1520" s="27">
        <f>IFERROR(VLOOKUP(C1520,Custo_MI_Device!$B$2:$E$102,3,FALSE),0)</f>
        <v>0</v>
      </c>
      <c r="N1520" s="27">
        <f t="shared" si="70"/>
        <v>0</v>
      </c>
      <c r="O1520" s="178">
        <f t="shared" si="71"/>
        <v>0</v>
      </c>
    </row>
    <row r="1521" spans="1:15" ht="12.75" hidden="1">
      <c r="A1521" s="25">
        <v>1669</v>
      </c>
      <c r="B1521" s="25" t="s">
        <v>69</v>
      </c>
      <c r="C1521" s="26" t="s">
        <v>86</v>
      </c>
      <c r="D1521" s="27">
        <v>39269090</v>
      </c>
      <c r="E1521" s="28" t="s">
        <v>316</v>
      </c>
      <c r="F1521" s="29" t="s">
        <v>317</v>
      </c>
      <c r="G1521" s="30">
        <v>3</v>
      </c>
      <c r="H1521" s="27" t="s">
        <v>137</v>
      </c>
      <c r="I1521" s="26" t="s">
        <v>318</v>
      </c>
      <c r="J1521" s="31">
        <v>0.04</v>
      </c>
      <c r="K1521" s="32">
        <f t="shared" si="69"/>
        <v>0.12</v>
      </c>
      <c r="L1521" s="29" t="s">
        <v>317</v>
      </c>
      <c r="M1521" s="27">
        <f>IFERROR(VLOOKUP(C1521,Custo_MI_Device!$B$2:$E$102,3,FALSE),0)</f>
        <v>0</v>
      </c>
      <c r="N1521" s="27">
        <f t="shared" si="70"/>
        <v>0</v>
      </c>
      <c r="O1521" s="178">
        <f t="shared" si="71"/>
        <v>0</v>
      </c>
    </row>
    <row r="1522" spans="1:15" ht="12.75" hidden="1">
      <c r="A1522" s="25">
        <v>5091</v>
      </c>
      <c r="B1522" s="25" t="s">
        <v>69</v>
      </c>
      <c r="C1522" s="26" t="s">
        <v>86</v>
      </c>
      <c r="D1522" s="27">
        <v>73181500</v>
      </c>
      <c r="E1522" s="28" t="s">
        <v>323</v>
      </c>
      <c r="F1522" s="29" t="s">
        <v>324</v>
      </c>
      <c r="G1522" s="30">
        <v>24</v>
      </c>
      <c r="H1522" s="27" t="s">
        <v>137</v>
      </c>
      <c r="I1522" s="26" t="s">
        <v>256</v>
      </c>
      <c r="J1522" s="31">
        <v>0.04</v>
      </c>
      <c r="K1522" s="32">
        <f t="shared" si="69"/>
        <v>0.96</v>
      </c>
      <c r="L1522" s="29" t="s">
        <v>324</v>
      </c>
      <c r="M1522" s="27">
        <f>IFERROR(VLOOKUP(C1522,Custo_MI_Device!$B$2:$E$102,3,FALSE),0)</f>
        <v>0</v>
      </c>
      <c r="N1522" s="27">
        <f t="shared" si="70"/>
        <v>0</v>
      </c>
      <c r="O1522" s="178">
        <f t="shared" si="71"/>
        <v>0</v>
      </c>
    </row>
    <row r="1523" spans="1:15" ht="12.75" hidden="1">
      <c r="A1523" s="25">
        <v>83</v>
      </c>
      <c r="B1523" s="25" t="s">
        <v>69</v>
      </c>
      <c r="C1523" s="26" t="s">
        <v>86</v>
      </c>
      <c r="D1523" s="27"/>
      <c r="E1523" s="28" t="s">
        <v>150</v>
      </c>
      <c r="F1523" s="29" t="s">
        <v>148</v>
      </c>
      <c r="G1523" s="30">
        <v>1</v>
      </c>
      <c r="H1523" s="27" t="s">
        <v>137</v>
      </c>
      <c r="I1523" s="26" t="s">
        <v>149</v>
      </c>
      <c r="J1523" s="31">
        <v>4.8</v>
      </c>
      <c r="K1523" s="32">
        <f t="shared" si="69"/>
        <v>4.8</v>
      </c>
      <c r="L1523" s="29" t="s">
        <v>148</v>
      </c>
      <c r="M1523" s="27">
        <f>IFERROR(VLOOKUP(C1523,Custo_MI_Device!$B$2:$E$102,3,FALSE),0)</f>
        <v>0</v>
      </c>
      <c r="N1523" s="27">
        <f t="shared" si="70"/>
        <v>0</v>
      </c>
      <c r="O1523" s="178">
        <f t="shared" si="71"/>
        <v>0</v>
      </c>
    </row>
    <row r="1524" spans="1:15" ht="12.75" hidden="1">
      <c r="A1524" s="25">
        <v>3080</v>
      </c>
      <c r="B1524" s="25" t="s">
        <v>69</v>
      </c>
      <c r="C1524" s="26" t="s">
        <v>86</v>
      </c>
      <c r="D1524" s="27">
        <v>74122000</v>
      </c>
      <c r="E1524" s="28" t="s">
        <v>153</v>
      </c>
      <c r="F1524" s="29" t="s">
        <v>154</v>
      </c>
      <c r="G1524" s="30">
        <v>1</v>
      </c>
      <c r="H1524" s="27" t="s">
        <v>137</v>
      </c>
      <c r="I1524" s="26" t="s">
        <v>155</v>
      </c>
      <c r="J1524" s="31">
        <v>3.3</v>
      </c>
      <c r="K1524" s="32">
        <f t="shared" si="69"/>
        <v>3.3</v>
      </c>
      <c r="L1524" s="29" t="s">
        <v>154</v>
      </c>
      <c r="M1524" s="27">
        <f>IFERROR(VLOOKUP(C1524,Custo_MI_Device!$B$2:$E$102,3,FALSE),0)</f>
        <v>0</v>
      </c>
      <c r="N1524" s="27">
        <f t="shared" si="70"/>
        <v>0</v>
      </c>
      <c r="O1524" s="178">
        <f t="shared" si="71"/>
        <v>0</v>
      </c>
    </row>
    <row r="1525" spans="1:15" ht="38.25" hidden="1">
      <c r="A1525" s="25">
        <v>3585</v>
      </c>
      <c r="B1525" s="25" t="s">
        <v>69</v>
      </c>
      <c r="C1525" s="26" t="s">
        <v>86</v>
      </c>
      <c r="D1525" s="27">
        <v>85444900</v>
      </c>
      <c r="E1525" s="28" t="s">
        <v>328</v>
      </c>
      <c r="F1525" s="29">
        <v>900400</v>
      </c>
      <c r="G1525" s="33">
        <v>0</v>
      </c>
      <c r="H1525" s="27" t="s">
        <v>158</v>
      </c>
      <c r="I1525" s="26" t="s">
        <v>164</v>
      </c>
      <c r="J1525" s="31">
        <v>1.7</v>
      </c>
      <c r="K1525" s="32">
        <f t="shared" si="69"/>
        <v>0</v>
      </c>
      <c r="L1525" s="29">
        <v>900400</v>
      </c>
      <c r="M1525" s="27">
        <f>IFERROR(VLOOKUP(C1525,Custo_MI_Device!$B$2:$E$102,3,FALSE),0)</f>
        <v>0</v>
      </c>
      <c r="N1525" s="27">
        <f t="shared" si="70"/>
        <v>0</v>
      </c>
      <c r="O1525" s="178">
        <f t="shared" si="71"/>
        <v>0</v>
      </c>
    </row>
    <row r="1526" spans="1:15" ht="12.75" hidden="1">
      <c r="A1526" s="25">
        <v>2805</v>
      </c>
      <c r="B1526" s="25" t="s">
        <v>69</v>
      </c>
      <c r="C1526" s="26" t="s">
        <v>86</v>
      </c>
      <c r="D1526" s="27">
        <v>72162100</v>
      </c>
      <c r="E1526" s="28" t="s">
        <v>174</v>
      </c>
      <c r="F1526" s="29">
        <v>0</v>
      </c>
      <c r="G1526" s="30">
        <v>2.9</v>
      </c>
      <c r="H1526" s="27" t="s">
        <v>175</v>
      </c>
      <c r="I1526" s="26" t="s">
        <v>176</v>
      </c>
      <c r="J1526" s="31">
        <v>4.22</v>
      </c>
      <c r="K1526" s="32">
        <f t="shared" si="69"/>
        <v>12.238</v>
      </c>
      <c r="L1526" s="29" t="s">
        <v>177</v>
      </c>
      <c r="M1526" s="27">
        <f>IFERROR(VLOOKUP(C1526,Custo_MI_Device!$B$2:$E$102,3,FALSE),0)</f>
        <v>0</v>
      </c>
      <c r="N1526" s="27">
        <f t="shared" si="70"/>
        <v>0</v>
      </c>
      <c r="O1526" s="178">
        <f t="shared" si="71"/>
        <v>0</v>
      </c>
    </row>
    <row r="1527" spans="1:15" ht="25.5" hidden="1">
      <c r="A1527" s="25">
        <v>3738</v>
      </c>
      <c r="B1527" s="25" t="s">
        <v>69</v>
      </c>
      <c r="C1527" s="26" t="s">
        <v>86</v>
      </c>
      <c r="D1527" s="27">
        <v>73071100</v>
      </c>
      <c r="E1527" s="28" t="s">
        <v>205</v>
      </c>
      <c r="F1527" s="29" t="s">
        <v>206</v>
      </c>
      <c r="G1527" s="30">
        <v>0.75</v>
      </c>
      <c r="H1527" s="27" t="s">
        <v>137</v>
      </c>
      <c r="I1527" s="26" t="s">
        <v>149</v>
      </c>
      <c r="J1527" s="31">
        <v>27</v>
      </c>
      <c r="K1527" s="32">
        <f t="shared" si="69"/>
        <v>20.25</v>
      </c>
      <c r="L1527" s="29" t="s">
        <v>206</v>
      </c>
      <c r="M1527" s="27">
        <f>IFERROR(VLOOKUP(C1527,Custo_MI_Device!$B$2:$E$102,3,FALSE),0)</f>
        <v>0</v>
      </c>
      <c r="N1527" s="27">
        <f t="shared" si="70"/>
        <v>0</v>
      </c>
      <c r="O1527" s="178">
        <f t="shared" si="71"/>
        <v>0</v>
      </c>
    </row>
    <row r="1528" spans="1:15" ht="25.5" hidden="1">
      <c r="A1528" s="25">
        <v>1710</v>
      </c>
      <c r="B1528" s="25" t="s">
        <v>69</v>
      </c>
      <c r="C1528" s="26" t="s">
        <v>86</v>
      </c>
      <c r="D1528" s="27">
        <v>73071100</v>
      </c>
      <c r="E1528" s="28" t="s">
        <v>207</v>
      </c>
      <c r="F1528" s="29" t="s">
        <v>208</v>
      </c>
      <c r="G1528" s="30">
        <v>0.75</v>
      </c>
      <c r="H1528" s="27" t="s">
        <v>137</v>
      </c>
      <c r="I1528" s="26" t="s">
        <v>149</v>
      </c>
      <c r="J1528" s="31">
        <v>27</v>
      </c>
      <c r="K1528" s="32">
        <f t="shared" si="69"/>
        <v>20.25</v>
      </c>
      <c r="L1528" s="29" t="s">
        <v>208</v>
      </c>
      <c r="M1528" s="27">
        <f>IFERROR(VLOOKUP(C1528,Custo_MI_Device!$B$2:$E$102,3,FALSE),0)</f>
        <v>0</v>
      </c>
      <c r="N1528" s="27">
        <f t="shared" si="70"/>
        <v>0</v>
      </c>
      <c r="O1528" s="178">
        <f t="shared" si="71"/>
        <v>0</v>
      </c>
    </row>
    <row r="1529" spans="1:15" ht="25.5" hidden="1">
      <c r="A1529" s="25">
        <v>1715</v>
      </c>
      <c r="B1529" s="25" t="s">
        <v>69</v>
      </c>
      <c r="C1529" s="26" t="s">
        <v>86</v>
      </c>
      <c r="D1529" s="27">
        <v>73071100</v>
      </c>
      <c r="E1529" s="28" t="s">
        <v>209</v>
      </c>
      <c r="F1529" s="29" t="s">
        <v>210</v>
      </c>
      <c r="G1529" s="30">
        <v>0.75</v>
      </c>
      <c r="H1529" s="27" t="s">
        <v>137</v>
      </c>
      <c r="I1529" s="26" t="s">
        <v>149</v>
      </c>
      <c r="J1529" s="31">
        <v>27</v>
      </c>
      <c r="K1529" s="32">
        <f t="shared" si="69"/>
        <v>20.25</v>
      </c>
      <c r="L1529" s="29" t="s">
        <v>210</v>
      </c>
      <c r="M1529" s="27">
        <f>IFERROR(VLOOKUP(C1529,Custo_MI_Device!$B$2:$E$102,3,FALSE),0)</f>
        <v>0</v>
      </c>
      <c r="N1529" s="27">
        <f t="shared" si="70"/>
        <v>0</v>
      </c>
      <c r="O1529" s="178">
        <f t="shared" si="71"/>
        <v>0</v>
      </c>
    </row>
    <row r="1530" spans="1:15" ht="25.5" hidden="1">
      <c r="A1530" s="25">
        <v>3417</v>
      </c>
      <c r="B1530" s="25" t="s">
        <v>69</v>
      </c>
      <c r="C1530" s="26" t="s">
        <v>86</v>
      </c>
      <c r="D1530" s="27">
        <v>73063000</v>
      </c>
      <c r="E1530" s="28" t="s">
        <v>231</v>
      </c>
      <c r="F1530" s="29">
        <v>0</v>
      </c>
      <c r="G1530" s="30">
        <v>2</v>
      </c>
      <c r="H1530" s="27" t="s">
        <v>232</v>
      </c>
      <c r="I1530" s="26" t="s">
        <v>233</v>
      </c>
      <c r="J1530" s="31">
        <v>33.47</v>
      </c>
      <c r="K1530" s="32">
        <f t="shared" si="69"/>
        <v>66.94</v>
      </c>
      <c r="L1530" s="29" t="s">
        <v>234</v>
      </c>
      <c r="M1530" s="27">
        <f>IFERROR(VLOOKUP(C1530,Custo_MI_Device!$B$2:$E$102,3,FALSE),0)</f>
        <v>0</v>
      </c>
      <c r="N1530" s="27">
        <f t="shared" si="70"/>
        <v>0</v>
      </c>
      <c r="O1530" s="178">
        <f t="shared" si="71"/>
        <v>0</v>
      </c>
    </row>
    <row r="1531" spans="1:15" ht="12.75" hidden="1">
      <c r="A1531" s="25">
        <v>1965</v>
      </c>
      <c r="B1531" s="25" t="s">
        <v>69</v>
      </c>
      <c r="C1531" s="26" t="s">
        <v>86</v>
      </c>
      <c r="D1531" s="27">
        <v>73071100</v>
      </c>
      <c r="E1531" s="28" t="s">
        <v>251</v>
      </c>
      <c r="F1531" s="29" t="s">
        <v>252</v>
      </c>
      <c r="G1531" s="30">
        <v>1</v>
      </c>
      <c r="H1531" s="27" t="s">
        <v>137</v>
      </c>
      <c r="I1531" s="26" t="s">
        <v>253</v>
      </c>
      <c r="J1531" s="31">
        <v>5.5</v>
      </c>
      <c r="K1531" s="32">
        <f t="shared" si="69"/>
        <v>5.5</v>
      </c>
      <c r="L1531" s="29" t="s">
        <v>252</v>
      </c>
      <c r="M1531" s="27">
        <f>IFERROR(VLOOKUP(C1531,Custo_MI_Device!$B$2:$E$102,3,FALSE),0)</f>
        <v>0</v>
      </c>
      <c r="N1531" s="27">
        <f t="shared" si="70"/>
        <v>0</v>
      </c>
      <c r="O1531" s="178">
        <f t="shared" si="71"/>
        <v>0</v>
      </c>
    </row>
    <row r="1532" spans="1:15" ht="12.75" hidden="1">
      <c r="A1532" s="25">
        <v>3274</v>
      </c>
      <c r="B1532" s="25" t="s">
        <v>69</v>
      </c>
      <c r="C1532" s="26" t="s">
        <v>86</v>
      </c>
      <c r="D1532" s="27">
        <v>73181500</v>
      </c>
      <c r="E1532" s="28" t="s">
        <v>265</v>
      </c>
      <c r="F1532" s="29" t="s">
        <v>266</v>
      </c>
      <c r="G1532" s="30">
        <v>24</v>
      </c>
      <c r="H1532" s="27" t="s">
        <v>137</v>
      </c>
      <c r="I1532" s="26" t="s">
        <v>256</v>
      </c>
      <c r="J1532" s="31">
        <v>0.06</v>
      </c>
      <c r="K1532" s="32">
        <f t="shared" si="69"/>
        <v>1.44</v>
      </c>
      <c r="L1532" s="29" t="s">
        <v>266</v>
      </c>
      <c r="M1532" s="27">
        <f>IFERROR(VLOOKUP(C1532,Custo_MI_Device!$B$2:$E$102,3,FALSE),0)</f>
        <v>0</v>
      </c>
      <c r="N1532" s="27">
        <f t="shared" si="70"/>
        <v>0</v>
      </c>
      <c r="O1532" s="178">
        <f t="shared" si="71"/>
        <v>0</v>
      </c>
    </row>
    <row r="1533" spans="1:15" ht="12.75" hidden="1">
      <c r="A1533" s="25">
        <v>5081</v>
      </c>
      <c r="B1533" s="25" t="s">
        <v>69</v>
      </c>
      <c r="C1533" s="26" t="s">
        <v>86</v>
      </c>
      <c r="D1533" s="27">
        <v>73145000</v>
      </c>
      <c r="E1533" s="28" t="s">
        <v>278</v>
      </c>
      <c r="F1533" s="29">
        <v>0</v>
      </c>
      <c r="G1533" s="30">
        <v>1</v>
      </c>
      <c r="H1533" s="27" t="s">
        <v>137</v>
      </c>
      <c r="I1533" s="26" t="s">
        <v>279</v>
      </c>
      <c r="J1533" s="31">
        <v>23</v>
      </c>
      <c r="K1533" s="32">
        <f t="shared" si="69"/>
        <v>23</v>
      </c>
      <c r="L1533" s="29" t="s">
        <v>280</v>
      </c>
      <c r="M1533" s="27">
        <f>IFERROR(VLOOKUP(C1533,Custo_MI_Device!$B$2:$E$102,3,FALSE),0)</f>
        <v>0</v>
      </c>
      <c r="N1533" s="27">
        <f t="shared" si="70"/>
        <v>0</v>
      </c>
      <c r="O1533" s="178">
        <f t="shared" si="71"/>
        <v>0</v>
      </c>
    </row>
    <row r="1534" spans="1:15" ht="25.5" hidden="1">
      <c r="A1534" s="25">
        <v>5147</v>
      </c>
      <c r="B1534" s="25" t="s">
        <v>69</v>
      </c>
      <c r="C1534" s="26" t="s">
        <v>86</v>
      </c>
      <c r="D1534" s="27">
        <v>83079000</v>
      </c>
      <c r="E1534" s="28" t="s">
        <v>293</v>
      </c>
      <c r="F1534" s="29" t="s">
        <v>294</v>
      </c>
      <c r="G1534" s="30">
        <v>1</v>
      </c>
      <c r="H1534" s="27" t="s">
        <v>137</v>
      </c>
      <c r="I1534" s="26" t="s">
        <v>180</v>
      </c>
      <c r="J1534" s="31">
        <v>155</v>
      </c>
      <c r="K1534" s="32">
        <f t="shared" si="69"/>
        <v>155</v>
      </c>
      <c r="L1534" s="29" t="s">
        <v>294</v>
      </c>
      <c r="M1534" s="27">
        <f>IFERROR(VLOOKUP(C1534,Custo_MI_Device!$B$2:$E$102,3,FALSE),0)</f>
        <v>0</v>
      </c>
      <c r="N1534" s="27">
        <f t="shared" si="70"/>
        <v>0</v>
      </c>
      <c r="O1534" s="178">
        <f t="shared" si="71"/>
        <v>0</v>
      </c>
    </row>
    <row r="1535" spans="1:15" ht="25.5" hidden="1">
      <c r="A1535" s="25">
        <v>4834</v>
      </c>
      <c r="B1535" s="25" t="s">
        <v>69</v>
      </c>
      <c r="C1535" s="26" t="s">
        <v>86</v>
      </c>
      <c r="D1535" s="27">
        <v>73071100</v>
      </c>
      <c r="E1535" s="28" t="s">
        <v>299</v>
      </c>
      <c r="F1535" s="29" t="s">
        <v>300</v>
      </c>
      <c r="G1535" s="30">
        <v>1</v>
      </c>
      <c r="H1535" s="27" t="s">
        <v>137</v>
      </c>
      <c r="I1535" s="26" t="s">
        <v>149</v>
      </c>
      <c r="J1535" s="31">
        <v>28</v>
      </c>
      <c r="K1535" s="32">
        <f t="shared" si="69"/>
        <v>28</v>
      </c>
      <c r="L1535" s="29" t="s">
        <v>300</v>
      </c>
      <c r="M1535" s="27">
        <f>IFERROR(VLOOKUP(C1535,Custo_MI_Device!$B$2:$E$102,3,FALSE),0)</f>
        <v>0</v>
      </c>
      <c r="N1535" s="27">
        <f t="shared" si="70"/>
        <v>0</v>
      </c>
      <c r="O1535" s="178">
        <f t="shared" si="71"/>
        <v>0</v>
      </c>
    </row>
    <row r="1536" spans="1:15" ht="12.75" hidden="1">
      <c r="A1536" s="25">
        <v>2534</v>
      </c>
      <c r="B1536" s="25" t="s">
        <v>69</v>
      </c>
      <c r="C1536" s="26" t="s">
        <v>87</v>
      </c>
      <c r="D1536" s="27">
        <v>73072900</v>
      </c>
      <c r="E1536" s="28" t="s">
        <v>314</v>
      </c>
      <c r="F1536" s="29" t="s">
        <v>315</v>
      </c>
      <c r="G1536" s="30">
        <v>12</v>
      </c>
      <c r="H1536" s="27" t="s">
        <v>137</v>
      </c>
      <c r="I1536" s="26" t="s">
        <v>256</v>
      </c>
      <c r="J1536" s="31">
        <v>1.2</v>
      </c>
      <c r="K1536" s="32">
        <f t="shared" si="69"/>
        <v>14.399999999999999</v>
      </c>
      <c r="L1536" s="29" t="s">
        <v>315</v>
      </c>
      <c r="M1536" s="27">
        <f>IFERROR(VLOOKUP(C1536,Custo_MI_Device!$B$2:$E$102,3,FALSE),0)</f>
        <v>0</v>
      </c>
      <c r="N1536" s="27">
        <f t="shared" si="70"/>
        <v>0</v>
      </c>
      <c r="O1536" s="178">
        <f t="shared" si="71"/>
        <v>0</v>
      </c>
    </row>
    <row r="1537" spans="1:15" ht="12.75" hidden="1">
      <c r="A1537" s="25">
        <v>1669</v>
      </c>
      <c r="B1537" s="25" t="s">
        <v>69</v>
      </c>
      <c r="C1537" s="26" t="s">
        <v>87</v>
      </c>
      <c r="D1537" s="27">
        <v>39269090</v>
      </c>
      <c r="E1537" s="28" t="s">
        <v>316</v>
      </c>
      <c r="F1537" s="29" t="s">
        <v>317</v>
      </c>
      <c r="G1537" s="30">
        <v>3</v>
      </c>
      <c r="H1537" s="27" t="s">
        <v>137</v>
      </c>
      <c r="I1537" s="26" t="s">
        <v>318</v>
      </c>
      <c r="J1537" s="31">
        <v>0.04</v>
      </c>
      <c r="K1537" s="32">
        <f t="shared" si="69"/>
        <v>0.12</v>
      </c>
      <c r="L1537" s="29" t="s">
        <v>317</v>
      </c>
      <c r="M1537" s="27">
        <f>IFERROR(VLOOKUP(C1537,Custo_MI_Device!$B$2:$E$102,3,FALSE),0)</f>
        <v>0</v>
      </c>
      <c r="N1537" s="27">
        <f t="shared" si="70"/>
        <v>0</v>
      </c>
      <c r="O1537" s="178">
        <f t="shared" si="71"/>
        <v>0</v>
      </c>
    </row>
    <row r="1538" spans="1:15" ht="12.75" hidden="1">
      <c r="A1538" s="25">
        <v>5091</v>
      </c>
      <c r="B1538" s="25" t="s">
        <v>69</v>
      </c>
      <c r="C1538" s="26" t="s">
        <v>87</v>
      </c>
      <c r="D1538" s="27">
        <v>73181500</v>
      </c>
      <c r="E1538" s="28" t="s">
        <v>323</v>
      </c>
      <c r="F1538" s="29" t="s">
        <v>324</v>
      </c>
      <c r="G1538" s="30">
        <v>24</v>
      </c>
      <c r="H1538" s="27" t="s">
        <v>137</v>
      </c>
      <c r="I1538" s="26" t="s">
        <v>256</v>
      </c>
      <c r="J1538" s="31">
        <v>0.04</v>
      </c>
      <c r="K1538" s="32">
        <f t="shared" si="69"/>
        <v>0.96</v>
      </c>
      <c r="L1538" s="29" t="s">
        <v>324</v>
      </c>
      <c r="M1538" s="27">
        <f>IFERROR(VLOOKUP(C1538,Custo_MI_Device!$B$2:$E$102,3,FALSE),0)</f>
        <v>0</v>
      </c>
      <c r="N1538" s="27">
        <f t="shared" si="70"/>
        <v>0</v>
      </c>
      <c r="O1538" s="178">
        <f t="shared" si="71"/>
        <v>0</v>
      </c>
    </row>
    <row r="1539" spans="1:15" ht="12.75" hidden="1">
      <c r="A1539" s="25">
        <v>83</v>
      </c>
      <c r="B1539" s="25" t="s">
        <v>69</v>
      </c>
      <c r="C1539" s="26" t="s">
        <v>87</v>
      </c>
      <c r="D1539" s="27"/>
      <c r="E1539" s="28" t="s">
        <v>150</v>
      </c>
      <c r="F1539" s="29" t="s">
        <v>148</v>
      </c>
      <c r="G1539" s="30">
        <v>1</v>
      </c>
      <c r="H1539" s="27" t="s">
        <v>137</v>
      </c>
      <c r="I1539" s="26" t="s">
        <v>149</v>
      </c>
      <c r="J1539" s="31">
        <v>4.8</v>
      </c>
      <c r="K1539" s="32">
        <f t="shared" ref="K1539:K1602" si="72">G1539*J1539</f>
        <v>4.8</v>
      </c>
      <c r="L1539" s="29" t="s">
        <v>148</v>
      </c>
      <c r="M1539" s="27">
        <f>IFERROR(VLOOKUP(C1539,Custo_MI_Device!$B$2:$E$102,3,FALSE),0)</f>
        <v>0</v>
      </c>
      <c r="N1539" s="27">
        <f t="shared" ref="N1539:N1602" si="73">ROUNDUP(M1539*G1539,0)</f>
        <v>0</v>
      </c>
      <c r="O1539" s="178">
        <f t="shared" ref="O1539:O1602" si="74">N1539*J1539</f>
        <v>0</v>
      </c>
    </row>
    <row r="1540" spans="1:15" ht="12.75" hidden="1">
      <c r="A1540" s="25">
        <v>3080</v>
      </c>
      <c r="B1540" s="25" t="s">
        <v>69</v>
      </c>
      <c r="C1540" s="26" t="s">
        <v>87</v>
      </c>
      <c r="D1540" s="27">
        <v>74122000</v>
      </c>
      <c r="E1540" s="28" t="s">
        <v>153</v>
      </c>
      <c r="F1540" s="29" t="s">
        <v>154</v>
      </c>
      <c r="G1540" s="30">
        <v>1</v>
      </c>
      <c r="H1540" s="27" t="s">
        <v>137</v>
      </c>
      <c r="I1540" s="26" t="s">
        <v>155</v>
      </c>
      <c r="J1540" s="31">
        <v>3.3</v>
      </c>
      <c r="K1540" s="32">
        <f t="shared" si="72"/>
        <v>3.3</v>
      </c>
      <c r="L1540" s="29" t="s">
        <v>154</v>
      </c>
      <c r="M1540" s="27">
        <f>IFERROR(VLOOKUP(C1540,Custo_MI_Device!$B$2:$E$102,3,FALSE),0)</f>
        <v>0</v>
      </c>
      <c r="N1540" s="27">
        <f t="shared" si="73"/>
        <v>0</v>
      </c>
      <c r="O1540" s="178">
        <f t="shared" si="74"/>
        <v>0</v>
      </c>
    </row>
    <row r="1541" spans="1:15" ht="25.5" hidden="1">
      <c r="A1541" s="25">
        <v>5139</v>
      </c>
      <c r="B1541" s="25" t="s">
        <v>69</v>
      </c>
      <c r="C1541" s="26" t="s">
        <v>87</v>
      </c>
      <c r="D1541" s="27">
        <v>85444900</v>
      </c>
      <c r="E1541" s="28" t="s">
        <v>170</v>
      </c>
      <c r="F1541" s="29" t="s">
        <v>171</v>
      </c>
      <c r="G1541" s="30">
        <v>15</v>
      </c>
      <c r="H1541" s="27" t="s">
        <v>158</v>
      </c>
      <c r="I1541" s="26" t="s">
        <v>172</v>
      </c>
      <c r="J1541" s="31">
        <v>7.5</v>
      </c>
      <c r="K1541" s="32">
        <f t="shared" si="72"/>
        <v>112.5</v>
      </c>
      <c r="L1541" s="29" t="s">
        <v>173</v>
      </c>
      <c r="M1541" s="27">
        <f>IFERROR(VLOOKUP(C1541,Custo_MI_Device!$B$2:$E$102,3,FALSE),0)</f>
        <v>0</v>
      </c>
      <c r="N1541" s="27">
        <f t="shared" si="73"/>
        <v>0</v>
      </c>
      <c r="O1541" s="178">
        <f t="shared" si="74"/>
        <v>0</v>
      </c>
    </row>
    <row r="1542" spans="1:15" ht="12.75" hidden="1">
      <c r="A1542" s="25">
        <v>2805</v>
      </c>
      <c r="B1542" s="25" t="s">
        <v>69</v>
      </c>
      <c r="C1542" s="26" t="s">
        <v>87</v>
      </c>
      <c r="D1542" s="27">
        <v>72162100</v>
      </c>
      <c r="E1542" s="28" t="s">
        <v>174</v>
      </c>
      <c r="F1542" s="29">
        <v>0</v>
      </c>
      <c r="G1542" s="30">
        <v>2.9</v>
      </c>
      <c r="H1542" s="27" t="s">
        <v>175</v>
      </c>
      <c r="I1542" s="26" t="s">
        <v>176</v>
      </c>
      <c r="J1542" s="31">
        <v>4.22</v>
      </c>
      <c r="K1542" s="32">
        <f t="shared" si="72"/>
        <v>12.238</v>
      </c>
      <c r="L1542" s="29" t="s">
        <v>177</v>
      </c>
      <c r="M1542" s="27">
        <f>IFERROR(VLOOKUP(C1542,Custo_MI_Device!$B$2:$E$102,3,FALSE),0)</f>
        <v>0</v>
      </c>
      <c r="N1542" s="27">
        <f t="shared" si="73"/>
        <v>0</v>
      </c>
      <c r="O1542" s="178">
        <f t="shared" si="74"/>
        <v>0</v>
      </c>
    </row>
    <row r="1543" spans="1:15" ht="25.5" hidden="1">
      <c r="A1543" s="25">
        <v>3738</v>
      </c>
      <c r="B1543" s="25" t="s">
        <v>69</v>
      </c>
      <c r="C1543" s="26" t="s">
        <v>87</v>
      </c>
      <c r="D1543" s="27">
        <v>73071100</v>
      </c>
      <c r="E1543" s="28" t="s">
        <v>205</v>
      </c>
      <c r="F1543" s="29" t="s">
        <v>206</v>
      </c>
      <c r="G1543" s="30">
        <v>0.75</v>
      </c>
      <c r="H1543" s="27" t="s">
        <v>137</v>
      </c>
      <c r="I1543" s="26" t="s">
        <v>149</v>
      </c>
      <c r="J1543" s="31">
        <v>27</v>
      </c>
      <c r="K1543" s="32">
        <f t="shared" si="72"/>
        <v>20.25</v>
      </c>
      <c r="L1543" s="29" t="s">
        <v>206</v>
      </c>
      <c r="M1543" s="27">
        <f>IFERROR(VLOOKUP(C1543,Custo_MI_Device!$B$2:$E$102,3,FALSE),0)</f>
        <v>0</v>
      </c>
      <c r="N1543" s="27">
        <f t="shared" si="73"/>
        <v>0</v>
      </c>
      <c r="O1543" s="178">
        <f t="shared" si="74"/>
        <v>0</v>
      </c>
    </row>
    <row r="1544" spans="1:15" ht="25.5" hidden="1">
      <c r="A1544" s="25">
        <v>1710</v>
      </c>
      <c r="B1544" s="25" t="s">
        <v>69</v>
      </c>
      <c r="C1544" s="26" t="s">
        <v>87</v>
      </c>
      <c r="D1544" s="27">
        <v>73071100</v>
      </c>
      <c r="E1544" s="28" t="s">
        <v>207</v>
      </c>
      <c r="F1544" s="29" t="s">
        <v>208</v>
      </c>
      <c r="G1544" s="30">
        <v>0.75</v>
      </c>
      <c r="H1544" s="27" t="s">
        <v>137</v>
      </c>
      <c r="I1544" s="26" t="s">
        <v>149</v>
      </c>
      <c r="J1544" s="31">
        <v>27</v>
      </c>
      <c r="K1544" s="32">
        <f t="shared" si="72"/>
        <v>20.25</v>
      </c>
      <c r="L1544" s="29" t="s">
        <v>208</v>
      </c>
      <c r="M1544" s="27">
        <f>IFERROR(VLOOKUP(C1544,Custo_MI_Device!$B$2:$E$102,3,FALSE),0)</f>
        <v>0</v>
      </c>
      <c r="N1544" s="27">
        <f t="shared" si="73"/>
        <v>0</v>
      </c>
      <c r="O1544" s="178">
        <f t="shared" si="74"/>
        <v>0</v>
      </c>
    </row>
    <row r="1545" spans="1:15" ht="25.5" hidden="1">
      <c r="A1545" s="25">
        <v>1715</v>
      </c>
      <c r="B1545" s="25" t="s">
        <v>69</v>
      </c>
      <c r="C1545" s="26" t="s">
        <v>87</v>
      </c>
      <c r="D1545" s="27">
        <v>73071100</v>
      </c>
      <c r="E1545" s="28" t="s">
        <v>209</v>
      </c>
      <c r="F1545" s="29" t="s">
        <v>210</v>
      </c>
      <c r="G1545" s="30">
        <v>0.75</v>
      </c>
      <c r="H1545" s="27" t="s">
        <v>137</v>
      </c>
      <c r="I1545" s="26" t="s">
        <v>149</v>
      </c>
      <c r="J1545" s="31">
        <v>27</v>
      </c>
      <c r="K1545" s="32">
        <f t="shared" si="72"/>
        <v>20.25</v>
      </c>
      <c r="L1545" s="29" t="s">
        <v>210</v>
      </c>
      <c r="M1545" s="27">
        <f>IFERROR(VLOOKUP(C1545,Custo_MI_Device!$B$2:$E$102,3,FALSE),0)</f>
        <v>0</v>
      </c>
      <c r="N1545" s="27">
        <f t="shared" si="73"/>
        <v>0</v>
      </c>
      <c r="O1545" s="178">
        <f t="shared" si="74"/>
        <v>0</v>
      </c>
    </row>
    <row r="1546" spans="1:15" ht="25.5" hidden="1">
      <c r="A1546" s="25">
        <v>3417</v>
      </c>
      <c r="B1546" s="25" t="s">
        <v>69</v>
      </c>
      <c r="C1546" s="26" t="s">
        <v>87</v>
      </c>
      <c r="D1546" s="27">
        <v>73063000</v>
      </c>
      <c r="E1546" s="28" t="s">
        <v>231</v>
      </c>
      <c r="F1546" s="29">
        <v>0</v>
      </c>
      <c r="G1546" s="30">
        <v>2</v>
      </c>
      <c r="H1546" s="27" t="s">
        <v>232</v>
      </c>
      <c r="I1546" s="26" t="s">
        <v>233</v>
      </c>
      <c r="J1546" s="31">
        <v>33.47</v>
      </c>
      <c r="K1546" s="32">
        <f t="shared" si="72"/>
        <v>66.94</v>
      </c>
      <c r="L1546" s="29" t="s">
        <v>234</v>
      </c>
      <c r="M1546" s="27">
        <f>IFERROR(VLOOKUP(C1546,Custo_MI_Device!$B$2:$E$102,3,FALSE),0)</f>
        <v>0</v>
      </c>
      <c r="N1546" s="27">
        <f t="shared" si="73"/>
        <v>0</v>
      </c>
      <c r="O1546" s="178">
        <f t="shared" si="74"/>
        <v>0</v>
      </c>
    </row>
    <row r="1547" spans="1:15" ht="12.75" hidden="1">
      <c r="A1547" s="25">
        <v>1965</v>
      </c>
      <c r="B1547" s="25" t="s">
        <v>69</v>
      </c>
      <c r="C1547" s="26" t="s">
        <v>87</v>
      </c>
      <c r="D1547" s="27">
        <v>73071100</v>
      </c>
      <c r="E1547" s="28" t="s">
        <v>251</v>
      </c>
      <c r="F1547" s="29" t="s">
        <v>252</v>
      </c>
      <c r="G1547" s="30">
        <v>1</v>
      </c>
      <c r="H1547" s="27" t="s">
        <v>137</v>
      </c>
      <c r="I1547" s="26" t="s">
        <v>253</v>
      </c>
      <c r="J1547" s="31">
        <v>5.5</v>
      </c>
      <c r="K1547" s="32">
        <f t="shared" si="72"/>
        <v>5.5</v>
      </c>
      <c r="L1547" s="29" t="s">
        <v>252</v>
      </c>
      <c r="M1547" s="27">
        <f>IFERROR(VLOOKUP(C1547,Custo_MI_Device!$B$2:$E$102,3,FALSE),0)</f>
        <v>0</v>
      </c>
      <c r="N1547" s="27">
        <f t="shared" si="73"/>
        <v>0</v>
      </c>
      <c r="O1547" s="178">
        <f t="shared" si="74"/>
        <v>0</v>
      </c>
    </row>
    <row r="1548" spans="1:15" ht="12.75" hidden="1">
      <c r="A1548" s="25">
        <v>3274</v>
      </c>
      <c r="B1548" s="25" t="s">
        <v>69</v>
      </c>
      <c r="C1548" s="26" t="s">
        <v>87</v>
      </c>
      <c r="D1548" s="27">
        <v>73181500</v>
      </c>
      <c r="E1548" s="28" t="s">
        <v>265</v>
      </c>
      <c r="F1548" s="29" t="s">
        <v>266</v>
      </c>
      <c r="G1548" s="30">
        <v>24</v>
      </c>
      <c r="H1548" s="27" t="s">
        <v>137</v>
      </c>
      <c r="I1548" s="26" t="s">
        <v>256</v>
      </c>
      <c r="J1548" s="31">
        <v>0.06</v>
      </c>
      <c r="K1548" s="32">
        <f t="shared" si="72"/>
        <v>1.44</v>
      </c>
      <c r="L1548" s="29" t="s">
        <v>266</v>
      </c>
      <c r="M1548" s="27">
        <f>IFERROR(VLOOKUP(C1548,Custo_MI_Device!$B$2:$E$102,3,FALSE),0)</f>
        <v>0</v>
      </c>
      <c r="N1548" s="27">
        <f t="shared" si="73"/>
        <v>0</v>
      </c>
      <c r="O1548" s="178">
        <f t="shared" si="74"/>
        <v>0</v>
      </c>
    </row>
    <row r="1549" spans="1:15" ht="12.75" hidden="1">
      <c r="A1549" s="25">
        <v>5081</v>
      </c>
      <c r="B1549" s="25" t="s">
        <v>69</v>
      </c>
      <c r="C1549" s="26" t="s">
        <v>87</v>
      </c>
      <c r="D1549" s="27">
        <v>73145000</v>
      </c>
      <c r="E1549" s="28" t="s">
        <v>278</v>
      </c>
      <c r="F1549" s="29">
        <v>0</v>
      </c>
      <c r="G1549" s="30">
        <v>1</v>
      </c>
      <c r="H1549" s="27" t="s">
        <v>137</v>
      </c>
      <c r="I1549" s="26" t="s">
        <v>279</v>
      </c>
      <c r="J1549" s="31">
        <v>23</v>
      </c>
      <c r="K1549" s="32">
        <f t="shared" si="72"/>
        <v>23</v>
      </c>
      <c r="L1549" s="29" t="s">
        <v>280</v>
      </c>
      <c r="M1549" s="27">
        <f>IFERROR(VLOOKUP(C1549,Custo_MI_Device!$B$2:$E$102,3,FALSE),0)</f>
        <v>0</v>
      </c>
      <c r="N1549" s="27">
        <f t="shared" si="73"/>
        <v>0</v>
      </c>
      <c r="O1549" s="178">
        <f t="shared" si="74"/>
        <v>0</v>
      </c>
    </row>
    <row r="1550" spans="1:15" ht="25.5" hidden="1">
      <c r="A1550" s="25">
        <v>5147</v>
      </c>
      <c r="B1550" s="25" t="s">
        <v>69</v>
      </c>
      <c r="C1550" s="26" t="s">
        <v>87</v>
      </c>
      <c r="D1550" s="27">
        <v>83079000</v>
      </c>
      <c r="E1550" s="28" t="s">
        <v>293</v>
      </c>
      <c r="F1550" s="29" t="s">
        <v>294</v>
      </c>
      <c r="G1550" s="30">
        <v>1</v>
      </c>
      <c r="H1550" s="27" t="s">
        <v>137</v>
      </c>
      <c r="I1550" s="26" t="s">
        <v>180</v>
      </c>
      <c r="J1550" s="31">
        <v>155</v>
      </c>
      <c r="K1550" s="32">
        <f t="shared" si="72"/>
        <v>155</v>
      </c>
      <c r="L1550" s="29" t="s">
        <v>294</v>
      </c>
      <c r="M1550" s="27">
        <f>IFERROR(VLOOKUP(C1550,Custo_MI_Device!$B$2:$E$102,3,FALSE),0)</f>
        <v>0</v>
      </c>
      <c r="N1550" s="27">
        <f t="shared" si="73"/>
        <v>0</v>
      </c>
      <c r="O1550" s="178">
        <f t="shared" si="74"/>
        <v>0</v>
      </c>
    </row>
    <row r="1551" spans="1:15" ht="25.5" hidden="1">
      <c r="A1551" s="25">
        <v>4834</v>
      </c>
      <c r="B1551" s="25" t="s">
        <v>69</v>
      </c>
      <c r="C1551" s="26" t="s">
        <v>87</v>
      </c>
      <c r="D1551" s="27">
        <v>73071100</v>
      </c>
      <c r="E1551" s="28" t="s">
        <v>299</v>
      </c>
      <c r="F1551" s="29" t="s">
        <v>300</v>
      </c>
      <c r="G1551" s="30">
        <v>1</v>
      </c>
      <c r="H1551" s="27" t="s">
        <v>137</v>
      </c>
      <c r="I1551" s="26" t="s">
        <v>149</v>
      </c>
      <c r="J1551" s="31">
        <v>28</v>
      </c>
      <c r="K1551" s="32">
        <f t="shared" si="72"/>
        <v>28</v>
      </c>
      <c r="L1551" s="29" t="s">
        <v>300</v>
      </c>
      <c r="M1551" s="27">
        <f>IFERROR(VLOOKUP(C1551,Custo_MI_Device!$B$2:$E$102,3,FALSE),0)</f>
        <v>0</v>
      </c>
      <c r="N1551" s="27">
        <f t="shared" si="73"/>
        <v>0</v>
      </c>
      <c r="O1551" s="178">
        <f t="shared" si="74"/>
        <v>0</v>
      </c>
    </row>
    <row r="1552" spans="1:15" ht="12.75" hidden="1">
      <c r="A1552" s="25">
        <v>3778</v>
      </c>
      <c r="B1552" s="25" t="s">
        <v>69</v>
      </c>
      <c r="C1552" s="26" t="s">
        <v>88</v>
      </c>
      <c r="D1552" s="27">
        <v>73072900</v>
      </c>
      <c r="E1552" s="28" t="s">
        <v>310</v>
      </c>
      <c r="F1552" s="29" t="s">
        <v>311</v>
      </c>
      <c r="G1552" s="30">
        <v>24</v>
      </c>
      <c r="H1552" s="27" t="s">
        <v>137</v>
      </c>
      <c r="I1552" s="26" t="s">
        <v>256</v>
      </c>
      <c r="J1552" s="31">
        <v>0.65</v>
      </c>
      <c r="K1552" s="32">
        <f t="shared" si="72"/>
        <v>15.600000000000001</v>
      </c>
      <c r="L1552" s="29" t="s">
        <v>311</v>
      </c>
      <c r="M1552" s="27">
        <f>IFERROR(VLOOKUP(C1552,Custo_MI_Device!$B$2:$E$102,3,FALSE),0)</f>
        <v>0</v>
      </c>
      <c r="N1552" s="27">
        <f t="shared" si="73"/>
        <v>0</v>
      </c>
      <c r="O1552" s="178">
        <f t="shared" si="74"/>
        <v>0</v>
      </c>
    </row>
    <row r="1553" spans="1:15" ht="12.75" hidden="1">
      <c r="A1553" s="25">
        <v>2534</v>
      </c>
      <c r="B1553" s="25" t="s">
        <v>69</v>
      </c>
      <c r="C1553" s="26" t="s">
        <v>88</v>
      </c>
      <c r="D1553" s="27">
        <v>73072900</v>
      </c>
      <c r="E1553" s="28" t="s">
        <v>314</v>
      </c>
      <c r="F1553" s="29" t="s">
        <v>315</v>
      </c>
      <c r="G1553" s="30">
        <v>12</v>
      </c>
      <c r="H1553" s="27" t="s">
        <v>137</v>
      </c>
      <c r="I1553" s="26" t="s">
        <v>256</v>
      </c>
      <c r="J1553" s="31">
        <v>1.2</v>
      </c>
      <c r="K1553" s="32">
        <f t="shared" si="72"/>
        <v>14.399999999999999</v>
      </c>
      <c r="L1553" s="29" t="s">
        <v>315</v>
      </c>
      <c r="M1553" s="27">
        <f>IFERROR(VLOOKUP(C1553,Custo_MI_Device!$B$2:$E$102,3,FALSE),0)</f>
        <v>0</v>
      </c>
      <c r="N1553" s="27">
        <f t="shared" si="73"/>
        <v>0</v>
      </c>
      <c r="O1553" s="178">
        <f t="shared" si="74"/>
        <v>0</v>
      </c>
    </row>
    <row r="1554" spans="1:15" ht="12.75" hidden="1">
      <c r="A1554" s="25">
        <v>1669</v>
      </c>
      <c r="B1554" s="25" t="s">
        <v>69</v>
      </c>
      <c r="C1554" s="26" t="s">
        <v>88</v>
      </c>
      <c r="D1554" s="27">
        <v>39269090</v>
      </c>
      <c r="E1554" s="28" t="s">
        <v>316</v>
      </c>
      <c r="F1554" s="29" t="s">
        <v>317</v>
      </c>
      <c r="G1554" s="30">
        <v>3</v>
      </c>
      <c r="H1554" s="27" t="s">
        <v>137</v>
      </c>
      <c r="I1554" s="26" t="s">
        <v>318</v>
      </c>
      <c r="J1554" s="31">
        <v>0.04</v>
      </c>
      <c r="K1554" s="32">
        <f t="shared" si="72"/>
        <v>0.12</v>
      </c>
      <c r="L1554" s="29" t="s">
        <v>317</v>
      </c>
      <c r="M1554" s="27">
        <f>IFERROR(VLOOKUP(C1554,Custo_MI_Device!$B$2:$E$102,3,FALSE),0)</f>
        <v>0</v>
      </c>
      <c r="N1554" s="27">
        <f t="shared" si="73"/>
        <v>0</v>
      </c>
      <c r="O1554" s="178">
        <f t="shared" si="74"/>
        <v>0</v>
      </c>
    </row>
    <row r="1555" spans="1:15" ht="12.75" hidden="1">
      <c r="A1555" s="25">
        <v>5091</v>
      </c>
      <c r="B1555" s="25" t="s">
        <v>69</v>
      </c>
      <c r="C1555" s="26" t="s">
        <v>88</v>
      </c>
      <c r="D1555" s="27">
        <v>73181500</v>
      </c>
      <c r="E1555" s="28" t="s">
        <v>323</v>
      </c>
      <c r="F1555" s="29" t="s">
        <v>324</v>
      </c>
      <c r="G1555" s="30">
        <v>24</v>
      </c>
      <c r="H1555" s="27" t="s">
        <v>137</v>
      </c>
      <c r="I1555" s="26" t="s">
        <v>256</v>
      </c>
      <c r="J1555" s="31">
        <v>0.04</v>
      </c>
      <c r="K1555" s="32">
        <f t="shared" si="72"/>
        <v>0.96</v>
      </c>
      <c r="L1555" s="29" t="s">
        <v>324</v>
      </c>
      <c r="M1555" s="27">
        <f>IFERROR(VLOOKUP(C1555,Custo_MI_Device!$B$2:$E$102,3,FALSE),0)</f>
        <v>0</v>
      </c>
      <c r="N1555" s="27">
        <f t="shared" si="73"/>
        <v>0</v>
      </c>
      <c r="O1555" s="178">
        <f t="shared" si="74"/>
        <v>0</v>
      </c>
    </row>
    <row r="1556" spans="1:15" ht="12.75" hidden="1">
      <c r="A1556" s="25">
        <v>5091</v>
      </c>
      <c r="B1556" s="25" t="s">
        <v>69</v>
      </c>
      <c r="C1556" s="26" t="s">
        <v>88</v>
      </c>
      <c r="D1556" s="27">
        <v>73181500</v>
      </c>
      <c r="E1556" s="28" t="s">
        <v>323</v>
      </c>
      <c r="F1556" s="29" t="s">
        <v>324</v>
      </c>
      <c r="G1556" s="30">
        <v>48</v>
      </c>
      <c r="H1556" s="27" t="s">
        <v>137</v>
      </c>
      <c r="I1556" s="26" t="s">
        <v>256</v>
      </c>
      <c r="J1556" s="31">
        <v>0.04</v>
      </c>
      <c r="K1556" s="32">
        <f t="shared" si="72"/>
        <v>1.92</v>
      </c>
      <c r="L1556" s="29" t="s">
        <v>324</v>
      </c>
      <c r="M1556" s="27">
        <f>IFERROR(VLOOKUP(C1556,Custo_MI_Device!$B$2:$E$102,3,FALSE),0)</f>
        <v>0</v>
      </c>
      <c r="N1556" s="27">
        <f t="shared" si="73"/>
        <v>0</v>
      </c>
      <c r="O1556" s="178">
        <f t="shared" si="74"/>
        <v>0</v>
      </c>
    </row>
    <row r="1557" spans="1:15" ht="12.75" hidden="1">
      <c r="A1557" s="25">
        <v>1117</v>
      </c>
      <c r="B1557" s="25" t="s">
        <v>69</v>
      </c>
      <c r="C1557" s="26" t="s">
        <v>88</v>
      </c>
      <c r="D1557" s="27"/>
      <c r="E1557" s="28" t="s">
        <v>145</v>
      </c>
      <c r="F1557" s="29" t="s">
        <v>146</v>
      </c>
      <c r="G1557" s="30">
        <v>1</v>
      </c>
      <c r="H1557" s="27" t="s">
        <v>137</v>
      </c>
      <c r="I1557" s="26" t="s">
        <v>138</v>
      </c>
      <c r="J1557" s="31">
        <v>1.95</v>
      </c>
      <c r="K1557" s="32">
        <f t="shared" si="72"/>
        <v>1.95</v>
      </c>
      <c r="L1557" s="29" t="s">
        <v>146</v>
      </c>
      <c r="M1557" s="27">
        <f>IFERROR(VLOOKUP(C1557,Custo_MI_Device!$B$2:$E$102,3,FALSE),0)</f>
        <v>0</v>
      </c>
      <c r="N1557" s="27">
        <f t="shared" si="73"/>
        <v>0</v>
      </c>
      <c r="O1557" s="178">
        <f t="shared" si="74"/>
        <v>0</v>
      </c>
    </row>
    <row r="1558" spans="1:15" ht="12.75" hidden="1">
      <c r="A1558" s="25">
        <v>3080</v>
      </c>
      <c r="B1558" s="25" t="s">
        <v>69</v>
      </c>
      <c r="C1558" s="26" t="s">
        <v>88</v>
      </c>
      <c r="D1558" s="27">
        <v>74122000</v>
      </c>
      <c r="E1558" s="28" t="s">
        <v>153</v>
      </c>
      <c r="F1558" s="29" t="s">
        <v>154</v>
      </c>
      <c r="G1558" s="30">
        <v>1</v>
      </c>
      <c r="H1558" s="27" t="s">
        <v>137</v>
      </c>
      <c r="I1558" s="26" t="s">
        <v>155</v>
      </c>
      <c r="J1558" s="31">
        <v>3.3</v>
      </c>
      <c r="K1558" s="32">
        <f t="shared" si="72"/>
        <v>3.3</v>
      </c>
      <c r="L1558" s="29" t="s">
        <v>154</v>
      </c>
      <c r="M1558" s="27">
        <f>IFERROR(VLOOKUP(C1558,Custo_MI_Device!$B$2:$E$102,3,FALSE),0)</f>
        <v>0</v>
      </c>
      <c r="N1558" s="27">
        <f t="shared" si="73"/>
        <v>0</v>
      </c>
      <c r="O1558" s="178">
        <f t="shared" si="74"/>
        <v>0</v>
      </c>
    </row>
    <row r="1559" spans="1:15" ht="38.25" hidden="1">
      <c r="A1559" s="25">
        <v>3585</v>
      </c>
      <c r="B1559" s="25" t="s">
        <v>69</v>
      </c>
      <c r="C1559" s="26" t="s">
        <v>88</v>
      </c>
      <c r="D1559" s="27">
        <v>85444900</v>
      </c>
      <c r="E1559" s="28" t="s">
        <v>328</v>
      </c>
      <c r="F1559" s="29">
        <v>900400</v>
      </c>
      <c r="G1559" s="30">
        <v>50</v>
      </c>
      <c r="H1559" s="27" t="s">
        <v>158</v>
      </c>
      <c r="I1559" s="26" t="s">
        <v>164</v>
      </c>
      <c r="J1559" s="31">
        <v>1.7</v>
      </c>
      <c r="K1559" s="32">
        <f t="shared" si="72"/>
        <v>85</v>
      </c>
      <c r="L1559" s="29">
        <v>900400</v>
      </c>
      <c r="M1559" s="27">
        <f>IFERROR(VLOOKUP(C1559,Custo_MI_Device!$B$2:$E$102,3,FALSE),0)</f>
        <v>0</v>
      </c>
      <c r="N1559" s="27">
        <f t="shared" si="73"/>
        <v>0</v>
      </c>
      <c r="O1559" s="178">
        <f t="shared" si="74"/>
        <v>0</v>
      </c>
    </row>
    <row r="1560" spans="1:15" ht="12.75" hidden="1">
      <c r="A1560" s="25">
        <v>2805</v>
      </c>
      <c r="B1560" s="25" t="s">
        <v>69</v>
      </c>
      <c r="C1560" s="26" t="s">
        <v>88</v>
      </c>
      <c r="D1560" s="27">
        <v>72162100</v>
      </c>
      <c r="E1560" s="28" t="s">
        <v>174</v>
      </c>
      <c r="F1560" s="29">
        <v>0</v>
      </c>
      <c r="G1560" s="30">
        <v>2.9</v>
      </c>
      <c r="H1560" s="27" t="s">
        <v>175</v>
      </c>
      <c r="I1560" s="26" t="s">
        <v>176</v>
      </c>
      <c r="J1560" s="31">
        <v>4.22</v>
      </c>
      <c r="K1560" s="32">
        <f t="shared" si="72"/>
        <v>12.238</v>
      </c>
      <c r="L1560" s="29" t="s">
        <v>177</v>
      </c>
      <c r="M1560" s="27">
        <f>IFERROR(VLOOKUP(C1560,Custo_MI_Device!$B$2:$E$102,3,FALSE),0)</f>
        <v>0</v>
      </c>
      <c r="N1560" s="27">
        <f t="shared" si="73"/>
        <v>0</v>
      </c>
      <c r="O1560" s="178">
        <f t="shared" si="74"/>
        <v>0</v>
      </c>
    </row>
    <row r="1561" spans="1:15" ht="12.75" hidden="1">
      <c r="A1561" s="25">
        <v>2904</v>
      </c>
      <c r="B1561" s="25" t="s">
        <v>69</v>
      </c>
      <c r="C1561" s="26" t="s">
        <v>88</v>
      </c>
      <c r="D1561" s="27">
        <v>76090000</v>
      </c>
      <c r="E1561" s="28" t="s">
        <v>195</v>
      </c>
      <c r="F1561" s="29" t="s">
        <v>196</v>
      </c>
      <c r="G1561" s="30">
        <v>0.75</v>
      </c>
      <c r="H1561" s="27" t="s">
        <v>137</v>
      </c>
      <c r="I1561" s="26" t="s">
        <v>138</v>
      </c>
      <c r="J1561" s="31">
        <v>6.7</v>
      </c>
      <c r="K1561" s="32">
        <f t="shared" si="72"/>
        <v>5.0250000000000004</v>
      </c>
      <c r="L1561" s="29" t="s">
        <v>196</v>
      </c>
      <c r="M1561" s="27">
        <f>IFERROR(VLOOKUP(C1561,Custo_MI_Device!$B$2:$E$102,3,FALSE),0)</f>
        <v>0</v>
      </c>
      <c r="N1561" s="27">
        <f t="shared" si="73"/>
        <v>0</v>
      </c>
      <c r="O1561" s="178">
        <f t="shared" si="74"/>
        <v>0</v>
      </c>
    </row>
    <row r="1562" spans="1:15" ht="12.75" hidden="1">
      <c r="A1562" s="25">
        <v>2911</v>
      </c>
      <c r="B1562" s="25" t="s">
        <v>69</v>
      </c>
      <c r="C1562" s="26" t="s">
        <v>88</v>
      </c>
      <c r="D1562" s="27">
        <v>76090000</v>
      </c>
      <c r="E1562" s="28" t="s">
        <v>197</v>
      </c>
      <c r="F1562" s="29" t="s">
        <v>198</v>
      </c>
      <c r="G1562" s="30">
        <v>0.75</v>
      </c>
      <c r="H1562" s="27" t="s">
        <v>137</v>
      </c>
      <c r="I1562" s="26" t="s">
        <v>138</v>
      </c>
      <c r="J1562" s="31">
        <v>6.7</v>
      </c>
      <c r="K1562" s="32">
        <f t="shared" si="72"/>
        <v>5.0250000000000004</v>
      </c>
      <c r="L1562" s="29" t="s">
        <v>198</v>
      </c>
      <c r="M1562" s="27">
        <f>IFERROR(VLOOKUP(C1562,Custo_MI_Device!$B$2:$E$102,3,FALSE),0)</f>
        <v>0</v>
      </c>
      <c r="N1562" s="27">
        <f t="shared" si="73"/>
        <v>0</v>
      </c>
      <c r="O1562" s="178">
        <f t="shared" si="74"/>
        <v>0</v>
      </c>
    </row>
    <row r="1563" spans="1:15" ht="12.75" hidden="1">
      <c r="A1563" s="25">
        <v>4823</v>
      </c>
      <c r="B1563" s="25" t="s">
        <v>69</v>
      </c>
      <c r="C1563" s="26" t="s">
        <v>88</v>
      </c>
      <c r="D1563" s="27">
        <v>76090000</v>
      </c>
      <c r="E1563" s="28" t="s">
        <v>199</v>
      </c>
      <c r="F1563" s="29" t="s">
        <v>200</v>
      </c>
      <c r="G1563" s="30">
        <v>0.75</v>
      </c>
      <c r="H1563" s="27" t="s">
        <v>137</v>
      </c>
      <c r="I1563" s="26" t="s">
        <v>138</v>
      </c>
      <c r="J1563" s="31">
        <v>6.7</v>
      </c>
      <c r="K1563" s="32">
        <f t="shared" si="72"/>
        <v>5.0250000000000004</v>
      </c>
      <c r="L1563" s="29" t="s">
        <v>200</v>
      </c>
      <c r="M1563" s="27">
        <f>IFERROR(VLOOKUP(C1563,Custo_MI_Device!$B$2:$E$102,3,FALSE),0)</f>
        <v>0</v>
      </c>
      <c r="N1563" s="27">
        <f t="shared" si="73"/>
        <v>0</v>
      </c>
      <c r="O1563" s="178">
        <f t="shared" si="74"/>
        <v>0</v>
      </c>
    </row>
    <row r="1564" spans="1:15" ht="25.5" hidden="1">
      <c r="A1564" s="25">
        <v>2909</v>
      </c>
      <c r="B1564" s="25" t="s">
        <v>69</v>
      </c>
      <c r="C1564" s="26" t="s">
        <v>88</v>
      </c>
      <c r="D1564" s="27">
        <v>73072200</v>
      </c>
      <c r="E1564" s="28" t="s">
        <v>216</v>
      </c>
      <c r="F1564" s="29" t="s">
        <v>217</v>
      </c>
      <c r="G1564" s="30">
        <v>2</v>
      </c>
      <c r="H1564" s="27" t="s">
        <v>137</v>
      </c>
      <c r="I1564" s="26" t="s">
        <v>218</v>
      </c>
      <c r="J1564" s="31">
        <v>27.7</v>
      </c>
      <c r="K1564" s="32">
        <f t="shared" si="72"/>
        <v>55.4</v>
      </c>
      <c r="L1564" s="29" t="s">
        <v>217</v>
      </c>
      <c r="M1564" s="27">
        <f>IFERROR(VLOOKUP(C1564,Custo_MI_Device!$B$2:$E$102,3,FALSE),0)</f>
        <v>0</v>
      </c>
      <c r="N1564" s="27">
        <f t="shared" si="73"/>
        <v>0</v>
      </c>
      <c r="O1564" s="178">
        <f t="shared" si="74"/>
        <v>0</v>
      </c>
    </row>
    <row r="1565" spans="1:15" ht="25.5" hidden="1">
      <c r="A1565" s="25">
        <v>2300</v>
      </c>
      <c r="B1565" s="25" t="s">
        <v>69</v>
      </c>
      <c r="C1565" s="26" t="s">
        <v>88</v>
      </c>
      <c r="D1565" s="27">
        <v>73072200</v>
      </c>
      <c r="E1565" s="28" t="s">
        <v>222</v>
      </c>
      <c r="F1565" s="29" t="s">
        <v>223</v>
      </c>
      <c r="G1565" s="30">
        <v>1</v>
      </c>
      <c r="H1565" s="27" t="s">
        <v>137</v>
      </c>
      <c r="I1565" s="26" t="s">
        <v>218</v>
      </c>
      <c r="J1565" s="31">
        <v>41</v>
      </c>
      <c r="K1565" s="32">
        <f t="shared" si="72"/>
        <v>41</v>
      </c>
      <c r="L1565" s="29" t="s">
        <v>223</v>
      </c>
      <c r="M1565" s="27">
        <f>IFERROR(VLOOKUP(C1565,Custo_MI_Device!$B$2:$E$102,3,FALSE),0)</f>
        <v>0</v>
      </c>
      <c r="N1565" s="27">
        <f t="shared" si="73"/>
        <v>0</v>
      </c>
      <c r="O1565" s="178">
        <f t="shared" si="74"/>
        <v>0</v>
      </c>
    </row>
    <row r="1566" spans="1:15" ht="25.5" hidden="1">
      <c r="A1566" s="25">
        <v>4306</v>
      </c>
      <c r="B1566" s="25" t="s">
        <v>69</v>
      </c>
      <c r="C1566" s="26" t="s">
        <v>88</v>
      </c>
      <c r="D1566" s="27">
        <v>73063000</v>
      </c>
      <c r="E1566" s="28" t="s">
        <v>239</v>
      </c>
      <c r="F1566" s="29">
        <v>0</v>
      </c>
      <c r="G1566" s="30">
        <v>2</v>
      </c>
      <c r="H1566" s="27" t="s">
        <v>232</v>
      </c>
      <c r="I1566" s="26" t="s">
        <v>233</v>
      </c>
      <c r="J1566" s="31">
        <v>32</v>
      </c>
      <c r="K1566" s="32">
        <f t="shared" si="72"/>
        <v>64</v>
      </c>
      <c r="L1566" s="29" t="s">
        <v>240</v>
      </c>
      <c r="M1566" s="27">
        <f>IFERROR(VLOOKUP(C1566,Custo_MI_Device!$B$2:$E$102,3,FALSE),0)</f>
        <v>0</v>
      </c>
      <c r="N1566" s="27">
        <f t="shared" si="73"/>
        <v>0</v>
      </c>
      <c r="O1566" s="178">
        <f t="shared" si="74"/>
        <v>0</v>
      </c>
    </row>
    <row r="1567" spans="1:15" ht="25.5" hidden="1">
      <c r="A1567" s="25">
        <v>1900</v>
      </c>
      <c r="B1567" s="25" t="s">
        <v>69</v>
      </c>
      <c r="C1567" s="26" t="s">
        <v>88</v>
      </c>
      <c r="D1567" s="27">
        <v>73072200</v>
      </c>
      <c r="E1567" s="28" t="s">
        <v>249</v>
      </c>
      <c r="F1567" s="29" t="s">
        <v>250</v>
      </c>
      <c r="G1567" s="30">
        <v>1</v>
      </c>
      <c r="H1567" s="27" t="s">
        <v>137</v>
      </c>
      <c r="I1567" s="26" t="s">
        <v>218</v>
      </c>
      <c r="J1567" s="31">
        <v>27</v>
      </c>
      <c r="K1567" s="32">
        <f t="shared" si="72"/>
        <v>27</v>
      </c>
      <c r="L1567" s="29" t="s">
        <v>250</v>
      </c>
      <c r="M1567" s="27">
        <f>IFERROR(VLOOKUP(C1567,Custo_MI_Device!$B$2:$E$102,3,FALSE),0)</f>
        <v>0</v>
      </c>
      <c r="N1567" s="27">
        <f t="shared" si="73"/>
        <v>0</v>
      </c>
      <c r="O1567" s="178">
        <f t="shared" si="74"/>
        <v>0</v>
      </c>
    </row>
    <row r="1568" spans="1:15" ht="12.75" hidden="1">
      <c r="A1568" s="25">
        <v>3274</v>
      </c>
      <c r="B1568" s="25" t="s">
        <v>69</v>
      </c>
      <c r="C1568" s="26" t="s">
        <v>88</v>
      </c>
      <c r="D1568" s="27">
        <v>73181500</v>
      </c>
      <c r="E1568" s="28" t="s">
        <v>265</v>
      </c>
      <c r="F1568" s="29" t="s">
        <v>266</v>
      </c>
      <c r="G1568" s="30">
        <v>24</v>
      </c>
      <c r="H1568" s="27" t="s">
        <v>137</v>
      </c>
      <c r="I1568" s="26" t="s">
        <v>256</v>
      </c>
      <c r="J1568" s="31">
        <v>0.06</v>
      </c>
      <c r="K1568" s="32">
        <f t="shared" si="72"/>
        <v>1.44</v>
      </c>
      <c r="L1568" s="29" t="s">
        <v>266</v>
      </c>
      <c r="M1568" s="27">
        <f>IFERROR(VLOOKUP(C1568,Custo_MI_Device!$B$2:$E$102,3,FALSE),0)</f>
        <v>0</v>
      </c>
      <c r="N1568" s="27">
        <f t="shared" si="73"/>
        <v>0</v>
      </c>
      <c r="O1568" s="178">
        <f t="shared" si="74"/>
        <v>0</v>
      </c>
    </row>
    <row r="1569" spans="1:15" ht="12.75" hidden="1">
      <c r="A1569" s="25">
        <v>3274</v>
      </c>
      <c r="B1569" s="25" t="s">
        <v>69</v>
      </c>
      <c r="C1569" s="26" t="s">
        <v>88</v>
      </c>
      <c r="D1569" s="27">
        <v>73181500</v>
      </c>
      <c r="E1569" s="28" t="s">
        <v>265</v>
      </c>
      <c r="F1569" s="29" t="s">
        <v>266</v>
      </c>
      <c r="G1569" s="30">
        <v>48</v>
      </c>
      <c r="H1569" s="27" t="s">
        <v>137</v>
      </c>
      <c r="I1569" s="26" t="s">
        <v>256</v>
      </c>
      <c r="J1569" s="31">
        <v>0.06</v>
      </c>
      <c r="K1569" s="32">
        <f t="shared" si="72"/>
        <v>2.88</v>
      </c>
      <c r="L1569" s="29" t="s">
        <v>266</v>
      </c>
      <c r="M1569" s="27">
        <f>IFERROR(VLOOKUP(C1569,Custo_MI_Device!$B$2:$E$102,3,FALSE),0)</f>
        <v>0</v>
      </c>
      <c r="N1569" s="27">
        <f t="shared" si="73"/>
        <v>0</v>
      </c>
      <c r="O1569" s="178">
        <f t="shared" si="74"/>
        <v>0</v>
      </c>
    </row>
    <row r="1570" spans="1:15" ht="25.5" hidden="1">
      <c r="A1570" s="25">
        <v>6767</v>
      </c>
      <c r="B1570" s="25" t="s">
        <v>69</v>
      </c>
      <c r="C1570" s="26" t="s">
        <v>88</v>
      </c>
      <c r="D1570" s="27">
        <v>90262090</v>
      </c>
      <c r="E1570" s="28" t="s">
        <v>273</v>
      </c>
      <c r="F1570" s="29">
        <v>0</v>
      </c>
      <c r="G1570" s="33">
        <v>0</v>
      </c>
      <c r="H1570" s="27" t="s">
        <v>137</v>
      </c>
      <c r="I1570" s="26" t="s">
        <v>220</v>
      </c>
      <c r="J1570" s="31">
        <v>2150</v>
      </c>
      <c r="K1570" s="32">
        <f t="shared" si="72"/>
        <v>0</v>
      </c>
      <c r="L1570" s="29" t="s">
        <v>274</v>
      </c>
      <c r="M1570" s="27">
        <f>IFERROR(VLOOKUP(C1570,Custo_MI_Device!$B$2:$E$102,3,FALSE),0)</f>
        <v>0</v>
      </c>
      <c r="N1570" s="27">
        <f t="shared" si="73"/>
        <v>0</v>
      </c>
      <c r="O1570" s="178">
        <f t="shared" si="74"/>
        <v>0</v>
      </c>
    </row>
    <row r="1571" spans="1:15" ht="25.5" hidden="1">
      <c r="A1571" s="25">
        <v>1611</v>
      </c>
      <c r="B1571" s="25" t="s">
        <v>69</v>
      </c>
      <c r="C1571" s="26" t="s">
        <v>88</v>
      </c>
      <c r="D1571" s="27">
        <v>39174090</v>
      </c>
      <c r="E1571" s="28" t="s">
        <v>275</v>
      </c>
      <c r="F1571" s="29" t="s">
        <v>276</v>
      </c>
      <c r="G1571" s="30">
        <v>2</v>
      </c>
      <c r="H1571" s="27" t="s">
        <v>137</v>
      </c>
      <c r="I1571" s="26" t="s">
        <v>277</v>
      </c>
      <c r="J1571" s="31">
        <v>7.8</v>
      </c>
      <c r="K1571" s="32">
        <f t="shared" si="72"/>
        <v>15.6</v>
      </c>
      <c r="L1571" s="29" t="s">
        <v>276</v>
      </c>
      <c r="M1571" s="27">
        <f>IFERROR(VLOOKUP(C1571,Custo_MI_Device!$B$2:$E$102,3,FALSE),0)</f>
        <v>0</v>
      </c>
      <c r="N1571" s="27">
        <f t="shared" si="73"/>
        <v>0</v>
      </c>
      <c r="O1571" s="178">
        <f t="shared" si="74"/>
        <v>0</v>
      </c>
    </row>
    <row r="1572" spans="1:15" ht="12.75" hidden="1">
      <c r="A1572" s="25">
        <v>5081</v>
      </c>
      <c r="B1572" s="25" t="s">
        <v>69</v>
      </c>
      <c r="C1572" s="26" t="s">
        <v>88</v>
      </c>
      <c r="D1572" s="27">
        <v>73145000</v>
      </c>
      <c r="E1572" s="28" t="s">
        <v>278</v>
      </c>
      <c r="F1572" s="29">
        <v>0</v>
      </c>
      <c r="G1572" s="30">
        <v>1</v>
      </c>
      <c r="H1572" s="27" t="s">
        <v>137</v>
      </c>
      <c r="I1572" s="26" t="s">
        <v>279</v>
      </c>
      <c r="J1572" s="31">
        <v>23</v>
      </c>
      <c r="K1572" s="32">
        <f t="shared" si="72"/>
        <v>23</v>
      </c>
      <c r="L1572" s="29" t="s">
        <v>280</v>
      </c>
      <c r="M1572" s="27">
        <f>IFERROR(VLOOKUP(C1572,Custo_MI_Device!$B$2:$E$102,3,FALSE),0)</f>
        <v>0</v>
      </c>
      <c r="N1572" s="27">
        <f t="shared" si="73"/>
        <v>0</v>
      </c>
      <c r="O1572" s="178">
        <f t="shared" si="74"/>
        <v>0</v>
      </c>
    </row>
    <row r="1573" spans="1:15" ht="25.5" hidden="1">
      <c r="A1573" s="25">
        <v>2973</v>
      </c>
      <c r="B1573" s="25" t="s">
        <v>69</v>
      </c>
      <c r="C1573" s="26" t="s">
        <v>88</v>
      </c>
      <c r="D1573" s="27">
        <v>73072200</v>
      </c>
      <c r="E1573" s="28" t="s">
        <v>281</v>
      </c>
      <c r="F1573" s="29" t="s">
        <v>282</v>
      </c>
      <c r="G1573" s="30">
        <v>1</v>
      </c>
      <c r="H1573" s="27" t="s">
        <v>137</v>
      </c>
      <c r="I1573" s="26" t="s">
        <v>218</v>
      </c>
      <c r="J1573" s="31">
        <v>29</v>
      </c>
      <c r="K1573" s="32">
        <f t="shared" si="72"/>
        <v>29</v>
      </c>
      <c r="L1573" s="29" t="s">
        <v>282</v>
      </c>
      <c r="M1573" s="27">
        <f>IFERROR(VLOOKUP(C1573,Custo_MI_Device!$B$2:$E$102,3,FALSE),0)</f>
        <v>0</v>
      </c>
      <c r="N1573" s="27">
        <f t="shared" si="73"/>
        <v>0</v>
      </c>
      <c r="O1573" s="178">
        <f t="shared" si="74"/>
        <v>0</v>
      </c>
    </row>
    <row r="1574" spans="1:15" ht="25.5" hidden="1">
      <c r="A1574" s="25">
        <v>5194</v>
      </c>
      <c r="B1574" s="25" t="s">
        <v>69</v>
      </c>
      <c r="C1574" s="26" t="s">
        <v>88</v>
      </c>
      <c r="D1574" s="27">
        <v>73041010</v>
      </c>
      <c r="E1574" s="28" t="s">
        <v>289</v>
      </c>
      <c r="F1574" s="29" t="s">
        <v>290</v>
      </c>
      <c r="G1574" s="30">
        <v>2</v>
      </c>
      <c r="H1574" s="27" t="s">
        <v>232</v>
      </c>
      <c r="I1574" s="26" t="s">
        <v>218</v>
      </c>
      <c r="J1574" s="31">
        <f>21.5*6</f>
        <v>129</v>
      </c>
      <c r="K1574" s="32">
        <f t="shared" si="72"/>
        <v>258</v>
      </c>
      <c r="L1574" s="29" t="s">
        <v>290</v>
      </c>
      <c r="M1574" s="27">
        <f>IFERROR(VLOOKUP(C1574,Custo_MI_Device!$B$2:$E$102,3,FALSE),0)</f>
        <v>0</v>
      </c>
      <c r="N1574" s="27">
        <f t="shared" si="73"/>
        <v>0</v>
      </c>
      <c r="O1574" s="178">
        <f t="shared" si="74"/>
        <v>0</v>
      </c>
    </row>
    <row r="1575" spans="1:15" ht="25.5" hidden="1">
      <c r="A1575" s="25">
        <v>2125</v>
      </c>
      <c r="B1575" s="25" t="s">
        <v>69</v>
      </c>
      <c r="C1575" s="26" t="s">
        <v>88</v>
      </c>
      <c r="D1575" s="27">
        <v>84818039</v>
      </c>
      <c r="E1575" s="28" t="s">
        <v>301</v>
      </c>
      <c r="F1575" s="29">
        <v>0</v>
      </c>
      <c r="G1575" s="30">
        <v>1</v>
      </c>
      <c r="H1575" s="27" t="s">
        <v>137</v>
      </c>
      <c r="I1575" s="26" t="s">
        <v>220</v>
      </c>
      <c r="J1575" s="31">
        <v>175</v>
      </c>
      <c r="K1575" s="32">
        <f t="shared" si="72"/>
        <v>175</v>
      </c>
      <c r="L1575" s="29" t="s">
        <v>302</v>
      </c>
      <c r="M1575" s="27">
        <f>IFERROR(VLOOKUP(C1575,Custo_MI_Device!$B$2:$E$102,3,FALSE),0)</f>
        <v>0</v>
      </c>
      <c r="N1575" s="27">
        <f t="shared" si="73"/>
        <v>0</v>
      </c>
      <c r="O1575" s="178">
        <f t="shared" si="74"/>
        <v>0</v>
      </c>
    </row>
    <row r="1576" spans="1:15" ht="12.75" hidden="1">
      <c r="A1576" s="25">
        <v>3778</v>
      </c>
      <c r="B1576" s="25" t="s">
        <v>69</v>
      </c>
      <c r="C1576" s="26" t="s">
        <v>89</v>
      </c>
      <c r="D1576" s="27">
        <v>73072900</v>
      </c>
      <c r="E1576" s="28" t="s">
        <v>310</v>
      </c>
      <c r="F1576" s="29" t="s">
        <v>311</v>
      </c>
      <c r="G1576" s="30">
        <v>24</v>
      </c>
      <c r="H1576" s="27" t="s">
        <v>137</v>
      </c>
      <c r="I1576" s="26" t="s">
        <v>256</v>
      </c>
      <c r="J1576" s="31">
        <v>0.65</v>
      </c>
      <c r="K1576" s="32">
        <f t="shared" si="72"/>
        <v>15.600000000000001</v>
      </c>
      <c r="L1576" s="29" t="s">
        <v>311</v>
      </c>
      <c r="M1576" s="27">
        <f>IFERROR(VLOOKUP(C1576,Custo_MI_Device!$B$2:$E$102,3,FALSE),0)</f>
        <v>0</v>
      </c>
      <c r="N1576" s="27">
        <f t="shared" si="73"/>
        <v>0</v>
      </c>
      <c r="O1576" s="178">
        <f t="shared" si="74"/>
        <v>0</v>
      </c>
    </row>
    <row r="1577" spans="1:15" ht="12.75" hidden="1">
      <c r="A1577" s="25">
        <v>2534</v>
      </c>
      <c r="B1577" s="25" t="s">
        <v>69</v>
      </c>
      <c r="C1577" s="26" t="s">
        <v>89</v>
      </c>
      <c r="D1577" s="27">
        <v>73072900</v>
      </c>
      <c r="E1577" s="28" t="s">
        <v>314</v>
      </c>
      <c r="F1577" s="29" t="s">
        <v>315</v>
      </c>
      <c r="G1577" s="30">
        <v>12</v>
      </c>
      <c r="H1577" s="27" t="s">
        <v>137</v>
      </c>
      <c r="I1577" s="26" t="s">
        <v>256</v>
      </c>
      <c r="J1577" s="31">
        <v>1.2</v>
      </c>
      <c r="K1577" s="32">
        <f t="shared" si="72"/>
        <v>14.399999999999999</v>
      </c>
      <c r="L1577" s="29" t="s">
        <v>315</v>
      </c>
      <c r="M1577" s="27">
        <f>IFERROR(VLOOKUP(C1577,Custo_MI_Device!$B$2:$E$102,3,FALSE),0)</f>
        <v>0</v>
      </c>
      <c r="N1577" s="27">
        <f t="shared" si="73"/>
        <v>0</v>
      </c>
      <c r="O1577" s="178">
        <f t="shared" si="74"/>
        <v>0</v>
      </c>
    </row>
    <row r="1578" spans="1:15" ht="12.75" hidden="1">
      <c r="A1578" s="25">
        <v>1669</v>
      </c>
      <c r="B1578" s="25" t="s">
        <v>69</v>
      </c>
      <c r="C1578" s="26" t="s">
        <v>89</v>
      </c>
      <c r="D1578" s="27">
        <v>39269090</v>
      </c>
      <c r="E1578" s="28" t="s">
        <v>316</v>
      </c>
      <c r="F1578" s="29" t="s">
        <v>317</v>
      </c>
      <c r="G1578" s="30">
        <v>3</v>
      </c>
      <c r="H1578" s="27" t="s">
        <v>137</v>
      </c>
      <c r="I1578" s="26" t="s">
        <v>318</v>
      </c>
      <c r="J1578" s="31">
        <v>0.04</v>
      </c>
      <c r="K1578" s="32">
        <f t="shared" si="72"/>
        <v>0.12</v>
      </c>
      <c r="L1578" s="29" t="s">
        <v>317</v>
      </c>
      <c r="M1578" s="27">
        <f>IFERROR(VLOOKUP(C1578,Custo_MI_Device!$B$2:$E$102,3,FALSE),0)</f>
        <v>0</v>
      </c>
      <c r="N1578" s="27">
        <f t="shared" si="73"/>
        <v>0</v>
      </c>
      <c r="O1578" s="178">
        <f t="shared" si="74"/>
        <v>0</v>
      </c>
    </row>
    <row r="1579" spans="1:15" ht="12.75" hidden="1">
      <c r="A1579" s="25">
        <v>5091</v>
      </c>
      <c r="B1579" s="25" t="s">
        <v>69</v>
      </c>
      <c r="C1579" s="26" t="s">
        <v>89</v>
      </c>
      <c r="D1579" s="27">
        <v>73181500</v>
      </c>
      <c r="E1579" s="28" t="s">
        <v>323</v>
      </c>
      <c r="F1579" s="29" t="s">
        <v>324</v>
      </c>
      <c r="G1579" s="30">
        <v>24</v>
      </c>
      <c r="H1579" s="27" t="s">
        <v>137</v>
      </c>
      <c r="I1579" s="26" t="s">
        <v>256</v>
      </c>
      <c r="J1579" s="31">
        <v>0.04</v>
      </c>
      <c r="K1579" s="32">
        <f t="shared" si="72"/>
        <v>0.96</v>
      </c>
      <c r="L1579" s="29" t="s">
        <v>324</v>
      </c>
      <c r="M1579" s="27">
        <f>IFERROR(VLOOKUP(C1579,Custo_MI_Device!$B$2:$E$102,3,FALSE),0)</f>
        <v>0</v>
      </c>
      <c r="N1579" s="27">
        <f t="shared" si="73"/>
        <v>0</v>
      </c>
      <c r="O1579" s="178">
        <f t="shared" si="74"/>
        <v>0</v>
      </c>
    </row>
    <row r="1580" spans="1:15" ht="12.75" hidden="1">
      <c r="A1580" s="25">
        <v>5091</v>
      </c>
      <c r="B1580" s="25" t="s">
        <v>69</v>
      </c>
      <c r="C1580" s="26" t="s">
        <v>89</v>
      </c>
      <c r="D1580" s="27">
        <v>73181500</v>
      </c>
      <c r="E1580" s="28" t="s">
        <v>323</v>
      </c>
      <c r="F1580" s="29" t="s">
        <v>324</v>
      </c>
      <c r="G1580" s="30">
        <v>48</v>
      </c>
      <c r="H1580" s="27" t="s">
        <v>137</v>
      </c>
      <c r="I1580" s="26" t="s">
        <v>256</v>
      </c>
      <c r="J1580" s="31">
        <v>0.04</v>
      </c>
      <c r="K1580" s="32">
        <f t="shared" si="72"/>
        <v>1.92</v>
      </c>
      <c r="L1580" s="29" t="s">
        <v>324</v>
      </c>
      <c r="M1580" s="27">
        <f>IFERROR(VLOOKUP(C1580,Custo_MI_Device!$B$2:$E$102,3,FALSE),0)</f>
        <v>0</v>
      </c>
      <c r="N1580" s="27">
        <f t="shared" si="73"/>
        <v>0</v>
      </c>
      <c r="O1580" s="178">
        <f t="shared" si="74"/>
        <v>0</v>
      </c>
    </row>
    <row r="1581" spans="1:15" ht="12.75" hidden="1">
      <c r="A1581" s="25">
        <v>1117</v>
      </c>
      <c r="B1581" s="25" t="s">
        <v>69</v>
      </c>
      <c r="C1581" s="26" t="s">
        <v>89</v>
      </c>
      <c r="D1581" s="27"/>
      <c r="E1581" s="28" t="s">
        <v>145</v>
      </c>
      <c r="F1581" s="29" t="s">
        <v>146</v>
      </c>
      <c r="G1581" s="30">
        <v>1</v>
      </c>
      <c r="H1581" s="27" t="s">
        <v>137</v>
      </c>
      <c r="I1581" s="26" t="s">
        <v>138</v>
      </c>
      <c r="J1581" s="31">
        <v>1.95</v>
      </c>
      <c r="K1581" s="32">
        <f t="shared" si="72"/>
        <v>1.95</v>
      </c>
      <c r="L1581" s="29" t="s">
        <v>146</v>
      </c>
      <c r="M1581" s="27">
        <f>IFERROR(VLOOKUP(C1581,Custo_MI_Device!$B$2:$E$102,3,FALSE),0)</f>
        <v>0</v>
      </c>
      <c r="N1581" s="27">
        <f t="shared" si="73"/>
        <v>0</v>
      </c>
      <c r="O1581" s="178">
        <f t="shared" si="74"/>
        <v>0</v>
      </c>
    </row>
    <row r="1582" spans="1:15" ht="12.75" hidden="1">
      <c r="A1582" s="25">
        <v>3080</v>
      </c>
      <c r="B1582" s="25" t="s">
        <v>69</v>
      </c>
      <c r="C1582" s="26" t="s">
        <v>89</v>
      </c>
      <c r="D1582" s="27">
        <v>74122000</v>
      </c>
      <c r="E1582" s="28" t="s">
        <v>153</v>
      </c>
      <c r="F1582" s="29" t="s">
        <v>154</v>
      </c>
      <c r="G1582" s="30">
        <v>1</v>
      </c>
      <c r="H1582" s="27" t="s">
        <v>137</v>
      </c>
      <c r="I1582" s="26" t="s">
        <v>155</v>
      </c>
      <c r="J1582" s="31">
        <v>3.3</v>
      </c>
      <c r="K1582" s="32">
        <f t="shared" si="72"/>
        <v>3.3</v>
      </c>
      <c r="L1582" s="29" t="s">
        <v>154</v>
      </c>
      <c r="M1582" s="27">
        <f>IFERROR(VLOOKUP(C1582,Custo_MI_Device!$B$2:$E$102,3,FALSE),0)</f>
        <v>0</v>
      </c>
      <c r="N1582" s="27">
        <f t="shared" si="73"/>
        <v>0</v>
      </c>
      <c r="O1582" s="178">
        <f t="shared" si="74"/>
        <v>0</v>
      </c>
    </row>
    <row r="1583" spans="1:15" ht="25.5" hidden="1">
      <c r="A1583" s="25">
        <v>5139</v>
      </c>
      <c r="B1583" s="25" t="s">
        <v>69</v>
      </c>
      <c r="C1583" s="26" t="s">
        <v>89</v>
      </c>
      <c r="D1583" s="27">
        <v>85444900</v>
      </c>
      <c r="E1583" s="28" t="s">
        <v>170</v>
      </c>
      <c r="F1583" s="29" t="s">
        <v>171</v>
      </c>
      <c r="G1583" s="30">
        <v>15</v>
      </c>
      <c r="H1583" s="27" t="s">
        <v>158</v>
      </c>
      <c r="I1583" s="26" t="s">
        <v>172</v>
      </c>
      <c r="J1583" s="31">
        <v>7.5</v>
      </c>
      <c r="K1583" s="32">
        <f t="shared" si="72"/>
        <v>112.5</v>
      </c>
      <c r="L1583" s="29" t="s">
        <v>173</v>
      </c>
      <c r="M1583" s="27">
        <f>IFERROR(VLOOKUP(C1583,Custo_MI_Device!$B$2:$E$102,3,FALSE),0)</f>
        <v>0</v>
      </c>
      <c r="N1583" s="27">
        <f t="shared" si="73"/>
        <v>0</v>
      </c>
      <c r="O1583" s="178">
        <f t="shared" si="74"/>
        <v>0</v>
      </c>
    </row>
    <row r="1584" spans="1:15" ht="12.75" hidden="1">
      <c r="A1584" s="25">
        <v>2805</v>
      </c>
      <c r="B1584" s="25" t="s">
        <v>69</v>
      </c>
      <c r="C1584" s="26" t="s">
        <v>89</v>
      </c>
      <c r="D1584" s="27">
        <v>72162100</v>
      </c>
      <c r="E1584" s="28" t="s">
        <v>174</v>
      </c>
      <c r="F1584" s="29">
        <v>0</v>
      </c>
      <c r="G1584" s="30">
        <v>2.9</v>
      </c>
      <c r="H1584" s="27" t="s">
        <v>175</v>
      </c>
      <c r="I1584" s="26" t="s">
        <v>176</v>
      </c>
      <c r="J1584" s="31">
        <v>4.22</v>
      </c>
      <c r="K1584" s="32">
        <f t="shared" si="72"/>
        <v>12.238</v>
      </c>
      <c r="L1584" s="29" t="s">
        <v>177</v>
      </c>
      <c r="M1584" s="27">
        <f>IFERROR(VLOOKUP(C1584,Custo_MI_Device!$B$2:$E$102,3,FALSE),0)</f>
        <v>0</v>
      </c>
      <c r="N1584" s="27">
        <f t="shared" si="73"/>
        <v>0</v>
      </c>
      <c r="O1584" s="178">
        <f t="shared" si="74"/>
        <v>0</v>
      </c>
    </row>
    <row r="1585" spans="1:15" ht="12.75" hidden="1">
      <c r="A1585" s="25">
        <v>2904</v>
      </c>
      <c r="B1585" s="25" t="s">
        <v>69</v>
      </c>
      <c r="C1585" s="26" t="s">
        <v>89</v>
      </c>
      <c r="D1585" s="27">
        <v>76090000</v>
      </c>
      <c r="E1585" s="28" t="s">
        <v>195</v>
      </c>
      <c r="F1585" s="29" t="s">
        <v>196</v>
      </c>
      <c r="G1585" s="30">
        <v>0.75</v>
      </c>
      <c r="H1585" s="27" t="s">
        <v>137</v>
      </c>
      <c r="I1585" s="26" t="s">
        <v>138</v>
      </c>
      <c r="J1585" s="31">
        <v>6.7</v>
      </c>
      <c r="K1585" s="32">
        <f t="shared" si="72"/>
        <v>5.0250000000000004</v>
      </c>
      <c r="L1585" s="29" t="s">
        <v>196</v>
      </c>
      <c r="M1585" s="27">
        <f>IFERROR(VLOOKUP(C1585,Custo_MI_Device!$B$2:$E$102,3,FALSE),0)</f>
        <v>0</v>
      </c>
      <c r="N1585" s="27">
        <f t="shared" si="73"/>
        <v>0</v>
      </c>
      <c r="O1585" s="178">
        <f t="shared" si="74"/>
        <v>0</v>
      </c>
    </row>
    <row r="1586" spans="1:15" ht="12.75" hidden="1">
      <c r="A1586" s="25">
        <v>2911</v>
      </c>
      <c r="B1586" s="25" t="s">
        <v>69</v>
      </c>
      <c r="C1586" s="26" t="s">
        <v>89</v>
      </c>
      <c r="D1586" s="27">
        <v>76090000</v>
      </c>
      <c r="E1586" s="28" t="s">
        <v>197</v>
      </c>
      <c r="F1586" s="29" t="s">
        <v>198</v>
      </c>
      <c r="G1586" s="30">
        <v>0.75</v>
      </c>
      <c r="H1586" s="27" t="s">
        <v>137</v>
      </c>
      <c r="I1586" s="26" t="s">
        <v>138</v>
      </c>
      <c r="J1586" s="31">
        <v>6.7</v>
      </c>
      <c r="K1586" s="32">
        <f t="shared" si="72"/>
        <v>5.0250000000000004</v>
      </c>
      <c r="L1586" s="29" t="s">
        <v>198</v>
      </c>
      <c r="M1586" s="27">
        <f>IFERROR(VLOOKUP(C1586,Custo_MI_Device!$B$2:$E$102,3,FALSE),0)</f>
        <v>0</v>
      </c>
      <c r="N1586" s="27">
        <f t="shared" si="73"/>
        <v>0</v>
      </c>
      <c r="O1586" s="178">
        <f t="shared" si="74"/>
        <v>0</v>
      </c>
    </row>
    <row r="1587" spans="1:15" ht="12.75" hidden="1">
      <c r="A1587" s="25">
        <v>4823</v>
      </c>
      <c r="B1587" s="25" t="s">
        <v>69</v>
      </c>
      <c r="C1587" s="26" t="s">
        <v>89</v>
      </c>
      <c r="D1587" s="27">
        <v>76090000</v>
      </c>
      <c r="E1587" s="28" t="s">
        <v>199</v>
      </c>
      <c r="F1587" s="29" t="s">
        <v>200</v>
      </c>
      <c r="G1587" s="30">
        <v>0.75</v>
      </c>
      <c r="H1587" s="27" t="s">
        <v>137</v>
      </c>
      <c r="I1587" s="26" t="s">
        <v>138</v>
      </c>
      <c r="J1587" s="31">
        <v>6.7</v>
      </c>
      <c r="K1587" s="32">
        <f t="shared" si="72"/>
        <v>5.0250000000000004</v>
      </c>
      <c r="L1587" s="29" t="s">
        <v>200</v>
      </c>
      <c r="M1587" s="27">
        <f>IFERROR(VLOOKUP(C1587,Custo_MI_Device!$B$2:$E$102,3,FALSE),0)</f>
        <v>0</v>
      </c>
      <c r="N1587" s="27">
        <f t="shared" si="73"/>
        <v>0</v>
      </c>
      <c r="O1587" s="178">
        <f t="shared" si="74"/>
        <v>0</v>
      </c>
    </row>
    <row r="1588" spans="1:15" ht="25.5" hidden="1">
      <c r="A1588" s="25">
        <v>2909</v>
      </c>
      <c r="B1588" s="25" t="s">
        <v>69</v>
      </c>
      <c r="C1588" s="26" t="s">
        <v>89</v>
      </c>
      <c r="D1588" s="27">
        <v>73072200</v>
      </c>
      <c r="E1588" s="28" t="s">
        <v>216</v>
      </c>
      <c r="F1588" s="29" t="s">
        <v>217</v>
      </c>
      <c r="G1588" s="30">
        <v>2</v>
      </c>
      <c r="H1588" s="27" t="s">
        <v>137</v>
      </c>
      <c r="I1588" s="26" t="s">
        <v>218</v>
      </c>
      <c r="J1588" s="31">
        <v>27.7</v>
      </c>
      <c r="K1588" s="32">
        <f t="shared" si="72"/>
        <v>55.4</v>
      </c>
      <c r="L1588" s="29" t="s">
        <v>217</v>
      </c>
      <c r="M1588" s="27">
        <f>IFERROR(VLOOKUP(C1588,Custo_MI_Device!$B$2:$E$102,3,FALSE),0)</f>
        <v>0</v>
      </c>
      <c r="N1588" s="27">
        <f t="shared" si="73"/>
        <v>0</v>
      </c>
      <c r="O1588" s="178">
        <f t="shared" si="74"/>
        <v>0</v>
      </c>
    </row>
    <row r="1589" spans="1:15" ht="25.5" hidden="1">
      <c r="A1589" s="25">
        <v>2300</v>
      </c>
      <c r="B1589" s="25" t="s">
        <v>69</v>
      </c>
      <c r="C1589" s="26" t="s">
        <v>89</v>
      </c>
      <c r="D1589" s="27">
        <v>73072200</v>
      </c>
      <c r="E1589" s="28" t="s">
        <v>222</v>
      </c>
      <c r="F1589" s="29" t="s">
        <v>223</v>
      </c>
      <c r="G1589" s="30">
        <v>1</v>
      </c>
      <c r="H1589" s="27" t="s">
        <v>137</v>
      </c>
      <c r="I1589" s="26" t="s">
        <v>218</v>
      </c>
      <c r="J1589" s="31">
        <v>41</v>
      </c>
      <c r="K1589" s="32">
        <f t="shared" si="72"/>
        <v>41</v>
      </c>
      <c r="L1589" s="29" t="s">
        <v>223</v>
      </c>
      <c r="M1589" s="27">
        <f>IFERROR(VLOOKUP(C1589,Custo_MI_Device!$B$2:$E$102,3,FALSE),0)</f>
        <v>0</v>
      </c>
      <c r="N1589" s="27">
        <f t="shared" si="73"/>
        <v>0</v>
      </c>
      <c r="O1589" s="178">
        <f t="shared" si="74"/>
        <v>0</v>
      </c>
    </row>
    <row r="1590" spans="1:15" ht="25.5" hidden="1">
      <c r="A1590" s="25">
        <v>4306</v>
      </c>
      <c r="B1590" s="25" t="s">
        <v>69</v>
      </c>
      <c r="C1590" s="26" t="s">
        <v>89</v>
      </c>
      <c r="D1590" s="27">
        <v>73063000</v>
      </c>
      <c r="E1590" s="28" t="s">
        <v>239</v>
      </c>
      <c r="F1590" s="29">
        <v>0</v>
      </c>
      <c r="G1590" s="30">
        <v>2</v>
      </c>
      <c r="H1590" s="27" t="s">
        <v>232</v>
      </c>
      <c r="I1590" s="26" t="s">
        <v>233</v>
      </c>
      <c r="J1590" s="31">
        <v>32</v>
      </c>
      <c r="K1590" s="32">
        <f t="shared" si="72"/>
        <v>64</v>
      </c>
      <c r="L1590" s="29" t="s">
        <v>240</v>
      </c>
      <c r="M1590" s="27">
        <f>IFERROR(VLOOKUP(C1590,Custo_MI_Device!$B$2:$E$102,3,FALSE),0)</f>
        <v>0</v>
      </c>
      <c r="N1590" s="27">
        <f t="shared" si="73"/>
        <v>0</v>
      </c>
      <c r="O1590" s="178">
        <f t="shared" si="74"/>
        <v>0</v>
      </c>
    </row>
    <row r="1591" spans="1:15" ht="25.5" hidden="1">
      <c r="A1591" s="25">
        <v>1900</v>
      </c>
      <c r="B1591" s="25" t="s">
        <v>69</v>
      </c>
      <c r="C1591" s="26" t="s">
        <v>89</v>
      </c>
      <c r="D1591" s="27">
        <v>73072200</v>
      </c>
      <c r="E1591" s="28" t="s">
        <v>249</v>
      </c>
      <c r="F1591" s="29" t="s">
        <v>250</v>
      </c>
      <c r="G1591" s="30">
        <v>1</v>
      </c>
      <c r="H1591" s="27" t="s">
        <v>137</v>
      </c>
      <c r="I1591" s="26" t="s">
        <v>218</v>
      </c>
      <c r="J1591" s="31">
        <v>27</v>
      </c>
      <c r="K1591" s="32">
        <f t="shared" si="72"/>
        <v>27</v>
      </c>
      <c r="L1591" s="29" t="s">
        <v>250</v>
      </c>
      <c r="M1591" s="27">
        <f>IFERROR(VLOOKUP(C1591,Custo_MI_Device!$B$2:$E$102,3,FALSE),0)</f>
        <v>0</v>
      </c>
      <c r="N1591" s="27">
        <f t="shared" si="73"/>
        <v>0</v>
      </c>
      <c r="O1591" s="178">
        <f t="shared" si="74"/>
        <v>0</v>
      </c>
    </row>
    <row r="1592" spans="1:15" ht="12.75" hidden="1">
      <c r="A1592" s="25">
        <v>3274</v>
      </c>
      <c r="B1592" s="25" t="s">
        <v>69</v>
      </c>
      <c r="C1592" s="26" t="s">
        <v>89</v>
      </c>
      <c r="D1592" s="27">
        <v>73181500</v>
      </c>
      <c r="E1592" s="28" t="s">
        <v>265</v>
      </c>
      <c r="F1592" s="29" t="s">
        <v>266</v>
      </c>
      <c r="G1592" s="30">
        <v>24</v>
      </c>
      <c r="H1592" s="27" t="s">
        <v>137</v>
      </c>
      <c r="I1592" s="26" t="s">
        <v>256</v>
      </c>
      <c r="J1592" s="31">
        <v>0.06</v>
      </c>
      <c r="K1592" s="32">
        <f t="shared" si="72"/>
        <v>1.44</v>
      </c>
      <c r="L1592" s="29" t="s">
        <v>266</v>
      </c>
      <c r="M1592" s="27">
        <f>IFERROR(VLOOKUP(C1592,Custo_MI_Device!$B$2:$E$102,3,FALSE),0)</f>
        <v>0</v>
      </c>
      <c r="N1592" s="27">
        <f t="shared" si="73"/>
        <v>0</v>
      </c>
      <c r="O1592" s="178">
        <f t="shared" si="74"/>
        <v>0</v>
      </c>
    </row>
    <row r="1593" spans="1:15" ht="12.75" hidden="1">
      <c r="A1593" s="25">
        <v>3274</v>
      </c>
      <c r="B1593" s="25" t="s">
        <v>69</v>
      </c>
      <c r="C1593" s="26" t="s">
        <v>89</v>
      </c>
      <c r="D1593" s="27">
        <v>73181500</v>
      </c>
      <c r="E1593" s="28" t="s">
        <v>265</v>
      </c>
      <c r="F1593" s="29" t="s">
        <v>266</v>
      </c>
      <c r="G1593" s="30">
        <v>48</v>
      </c>
      <c r="H1593" s="27" t="s">
        <v>137</v>
      </c>
      <c r="I1593" s="26" t="s">
        <v>256</v>
      </c>
      <c r="J1593" s="31">
        <v>0.06</v>
      </c>
      <c r="K1593" s="32">
        <f t="shared" si="72"/>
        <v>2.88</v>
      </c>
      <c r="L1593" s="29" t="s">
        <v>266</v>
      </c>
      <c r="M1593" s="27">
        <f>IFERROR(VLOOKUP(C1593,Custo_MI_Device!$B$2:$E$102,3,FALSE),0)</f>
        <v>0</v>
      </c>
      <c r="N1593" s="27">
        <f t="shared" si="73"/>
        <v>0</v>
      </c>
      <c r="O1593" s="178">
        <f t="shared" si="74"/>
        <v>0</v>
      </c>
    </row>
    <row r="1594" spans="1:15" ht="25.5" hidden="1">
      <c r="A1594" s="25">
        <v>6767</v>
      </c>
      <c r="B1594" s="25" t="s">
        <v>69</v>
      </c>
      <c r="C1594" s="26" t="s">
        <v>89</v>
      </c>
      <c r="D1594" s="27">
        <v>90262090</v>
      </c>
      <c r="E1594" s="28" t="s">
        <v>273</v>
      </c>
      <c r="F1594" s="29">
        <v>0</v>
      </c>
      <c r="G1594" s="33">
        <v>0</v>
      </c>
      <c r="H1594" s="27" t="s">
        <v>137</v>
      </c>
      <c r="I1594" s="26" t="s">
        <v>220</v>
      </c>
      <c r="J1594" s="31">
        <v>2150</v>
      </c>
      <c r="K1594" s="32">
        <f t="shared" si="72"/>
        <v>0</v>
      </c>
      <c r="L1594" s="29" t="s">
        <v>274</v>
      </c>
      <c r="M1594" s="27">
        <f>IFERROR(VLOOKUP(C1594,Custo_MI_Device!$B$2:$E$102,3,FALSE),0)</f>
        <v>0</v>
      </c>
      <c r="N1594" s="27">
        <f t="shared" si="73"/>
        <v>0</v>
      </c>
      <c r="O1594" s="178">
        <f t="shared" si="74"/>
        <v>0</v>
      </c>
    </row>
    <row r="1595" spans="1:15" ht="25.5" hidden="1">
      <c r="A1595" s="25">
        <v>1611</v>
      </c>
      <c r="B1595" s="25" t="s">
        <v>69</v>
      </c>
      <c r="C1595" s="26" t="s">
        <v>89</v>
      </c>
      <c r="D1595" s="27">
        <v>39174090</v>
      </c>
      <c r="E1595" s="28" t="s">
        <v>275</v>
      </c>
      <c r="F1595" s="29" t="s">
        <v>276</v>
      </c>
      <c r="G1595" s="30">
        <v>2</v>
      </c>
      <c r="H1595" s="27" t="s">
        <v>137</v>
      </c>
      <c r="I1595" s="26" t="s">
        <v>277</v>
      </c>
      <c r="J1595" s="31">
        <v>7.8</v>
      </c>
      <c r="K1595" s="32">
        <f t="shared" si="72"/>
        <v>15.6</v>
      </c>
      <c r="L1595" s="29" t="s">
        <v>276</v>
      </c>
      <c r="M1595" s="27">
        <f>IFERROR(VLOOKUP(C1595,Custo_MI_Device!$B$2:$E$102,3,FALSE),0)</f>
        <v>0</v>
      </c>
      <c r="N1595" s="27">
        <f t="shared" si="73"/>
        <v>0</v>
      </c>
      <c r="O1595" s="178">
        <f t="shared" si="74"/>
        <v>0</v>
      </c>
    </row>
    <row r="1596" spans="1:15" ht="12.75" hidden="1">
      <c r="A1596" s="25">
        <v>5081</v>
      </c>
      <c r="B1596" s="25" t="s">
        <v>69</v>
      </c>
      <c r="C1596" s="26" t="s">
        <v>89</v>
      </c>
      <c r="D1596" s="27">
        <v>73145000</v>
      </c>
      <c r="E1596" s="28" t="s">
        <v>278</v>
      </c>
      <c r="F1596" s="29">
        <v>0</v>
      </c>
      <c r="G1596" s="30">
        <v>1</v>
      </c>
      <c r="H1596" s="27" t="s">
        <v>137</v>
      </c>
      <c r="I1596" s="26" t="s">
        <v>279</v>
      </c>
      <c r="J1596" s="31">
        <v>23</v>
      </c>
      <c r="K1596" s="32">
        <f t="shared" si="72"/>
        <v>23</v>
      </c>
      <c r="L1596" s="29" t="s">
        <v>280</v>
      </c>
      <c r="M1596" s="27">
        <f>IFERROR(VLOOKUP(C1596,Custo_MI_Device!$B$2:$E$102,3,FALSE),0)</f>
        <v>0</v>
      </c>
      <c r="N1596" s="27">
        <f t="shared" si="73"/>
        <v>0</v>
      </c>
      <c r="O1596" s="178">
        <f t="shared" si="74"/>
        <v>0</v>
      </c>
    </row>
    <row r="1597" spans="1:15" ht="25.5" hidden="1">
      <c r="A1597" s="25">
        <v>2973</v>
      </c>
      <c r="B1597" s="25" t="s">
        <v>69</v>
      </c>
      <c r="C1597" s="26" t="s">
        <v>89</v>
      </c>
      <c r="D1597" s="27">
        <v>73072200</v>
      </c>
      <c r="E1597" s="28" t="s">
        <v>281</v>
      </c>
      <c r="F1597" s="29" t="s">
        <v>282</v>
      </c>
      <c r="G1597" s="30">
        <v>1</v>
      </c>
      <c r="H1597" s="27" t="s">
        <v>137</v>
      </c>
      <c r="I1597" s="26" t="s">
        <v>218</v>
      </c>
      <c r="J1597" s="31">
        <v>29</v>
      </c>
      <c r="K1597" s="32">
        <f t="shared" si="72"/>
        <v>29</v>
      </c>
      <c r="L1597" s="29" t="s">
        <v>282</v>
      </c>
      <c r="M1597" s="27">
        <f>IFERROR(VLOOKUP(C1597,Custo_MI_Device!$B$2:$E$102,3,FALSE),0)</f>
        <v>0</v>
      </c>
      <c r="N1597" s="27">
        <f t="shared" si="73"/>
        <v>0</v>
      </c>
      <c r="O1597" s="178">
        <f t="shared" si="74"/>
        <v>0</v>
      </c>
    </row>
    <row r="1598" spans="1:15" ht="25.5" hidden="1">
      <c r="A1598" s="25">
        <v>5194</v>
      </c>
      <c r="B1598" s="25" t="s">
        <v>69</v>
      </c>
      <c r="C1598" s="26" t="s">
        <v>89</v>
      </c>
      <c r="D1598" s="27">
        <v>73041010</v>
      </c>
      <c r="E1598" s="28" t="s">
        <v>289</v>
      </c>
      <c r="F1598" s="29" t="s">
        <v>290</v>
      </c>
      <c r="G1598" s="30">
        <v>2</v>
      </c>
      <c r="H1598" s="27" t="s">
        <v>232</v>
      </c>
      <c r="I1598" s="26" t="s">
        <v>218</v>
      </c>
      <c r="J1598" s="31">
        <f>21.5*6</f>
        <v>129</v>
      </c>
      <c r="K1598" s="32">
        <f t="shared" si="72"/>
        <v>258</v>
      </c>
      <c r="L1598" s="29" t="s">
        <v>290</v>
      </c>
      <c r="M1598" s="27">
        <f>IFERROR(VLOOKUP(C1598,Custo_MI_Device!$B$2:$E$102,3,FALSE),0)</f>
        <v>0</v>
      </c>
      <c r="N1598" s="27">
        <f t="shared" si="73"/>
        <v>0</v>
      </c>
      <c r="O1598" s="178">
        <f t="shared" si="74"/>
        <v>0</v>
      </c>
    </row>
    <row r="1599" spans="1:15" ht="25.5" hidden="1">
      <c r="A1599" s="25">
        <v>2125</v>
      </c>
      <c r="B1599" s="25" t="s">
        <v>69</v>
      </c>
      <c r="C1599" s="26" t="s">
        <v>89</v>
      </c>
      <c r="D1599" s="27">
        <v>84818039</v>
      </c>
      <c r="E1599" s="28" t="s">
        <v>301</v>
      </c>
      <c r="F1599" s="29">
        <v>0</v>
      </c>
      <c r="G1599" s="30">
        <v>1</v>
      </c>
      <c r="H1599" s="27" t="s">
        <v>137</v>
      </c>
      <c r="I1599" s="26" t="s">
        <v>220</v>
      </c>
      <c r="J1599" s="31">
        <v>175</v>
      </c>
      <c r="K1599" s="32">
        <f t="shared" si="72"/>
        <v>175</v>
      </c>
      <c r="L1599" s="29" t="s">
        <v>302</v>
      </c>
      <c r="M1599" s="27">
        <f>IFERROR(VLOOKUP(C1599,Custo_MI_Device!$B$2:$E$102,3,FALSE),0)</f>
        <v>0</v>
      </c>
      <c r="N1599" s="27">
        <f t="shared" si="73"/>
        <v>0</v>
      </c>
      <c r="O1599" s="178">
        <f t="shared" si="74"/>
        <v>0</v>
      </c>
    </row>
    <row r="1600" spans="1:15" ht="38.25" hidden="1">
      <c r="A1600" s="25">
        <v>3585</v>
      </c>
      <c r="B1600" s="25" t="s">
        <v>90</v>
      </c>
      <c r="C1600" s="26" t="s">
        <v>91</v>
      </c>
      <c r="D1600" s="27">
        <v>85444900</v>
      </c>
      <c r="E1600" s="28" t="s">
        <v>328</v>
      </c>
      <c r="F1600" s="29">
        <v>900400</v>
      </c>
      <c r="G1600" s="30">
        <v>10</v>
      </c>
      <c r="H1600" s="27" t="s">
        <v>158</v>
      </c>
      <c r="I1600" s="26" t="s">
        <v>164</v>
      </c>
      <c r="J1600" s="31">
        <v>1.7</v>
      </c>
      <c r="K1600" s="32">
        <f t="shared" si="72"/>
        <v>17</v>
      </c>
      <c r="L1600" s="29">
        <v>900400</v>
      </c>
      <c r="M1600" s="27">
        <f>IFERROR(VLOOKUP(C1600,Custo_MI_Device!$B$2:$E$102,3,FALSE),0)</f>
        <v>0</v>
      </c>
      <c r="N1600" s="27">
        <f t="shared" si="73"/>
        <v>0</v>
      </c>
      <c r="O1600" s="178">
        <f t="shared" si="74"/>
        <v>0</v>
      </c>
    </row>
    <row r="1601" spans="1:15" ht="12.75">
      <c r="A1601" s="25">
        <v>2534</v>
      </c>
      <c r="B1601" s="25" t="s">
        <v>99</v>
      </c>
      <c r="C1601" s="26" t="s">
        <v>100</v>
      </c>
      <c r="D1601" s="27">
        <v>73072900</v>
      </c>
      <c r="E1601" s="28" t="s">
        <v>314</v>
      </c>
      <c r="F1601" s="29" t="s">
        <v>315</v>
      </c>
      <c r="G1601" s="30">
        <v>12</v>
      </c>
      <c r="H1601" s="27" t="s">
        <v>137</v>
      </c>
      <c r="I1601" s="26" t="s">
        <v>256</v>
      </c>
      <c r="J1601" s="191">
        <v>2.02</v>
      </c>
      <c r="K1601" s="32">
        <f t="shared" si="72"/>
        <v>24.240000000000002</v>
      </c>
      <c r="L1601" s="29" t="s">
        <v>315</v>
      </c>
      <c r="M1601" s="27">
        <f>IFERROR(VLOOKUP(C1601,Custo_MI_Device!$B$2:$E$102,3,FALSE),0)</f>
        <v>21</v>
      </c>
      <c r="N1601" s="27">
        <f t="shared" si="73"/>
        <v>252</v>
      </c>
      <c r="O1601" s="178">
        <f t="shared" si="74"/>
        <v>509.04</v>
      </c>
    </row>
    <row r="1602" spans="1:15" ht="12.75">
      <c r="A1602" s="25">
        <v>1669</v>
      </c>
      <c r="B1602" s="25" t="s">
        <v>99</v>
      </c>
      <c r="C1602" s="26" t="s">
        <v>100</v>
      </c>
      <c r="D1602" s="27">
        <v>39269090</v>
      </c>
      <c r="E1602" s="28" t="s">
        <v>316</v>
      </c>
      <c r="F1602" s="29" t="s">
        <v>317</v>
      </c>
      <c r="G1602" s="30">
        <v>3</v>
      </c>
      <c r="H1602" s="27" t="s">
        <v>137</v>
      </c>
      <c r="I1602" s="26" t="s">
        <v>318</v>
      </c>
      <c r="J1602" s="191">
        <v>0.1</v>
      </c>
      <c r="K1602" s="32">
        <f t="shared" si="72"/>
        <v>0.30000000000000004</v>
      </c>
      <c r="L1602" s="29" t="s">
        <v>317</v>
      </c>
      <c r="M1602" s="27">
        <f>IFERROR(VLOOKUP(C1602,Custo_MI_Device!$B$2:$E$102,3,FALSE),0)</f>
        <v>21</v>
      </c>
      <c r="N1602" s="27">
        <f t="shared" si="73"/>
        <v>63</v>
      </c>
      <c r="O1602" s="178">
        <f t="shared" si="74"/>
        <v>6.3000000000000007</v>
      </c>
    </row>
    <row r="1603" spans="1:15" ht="12.75">
      <c r="A1603" s="25">
        <v>5091</v>
      </c>
      <c r="B1603" s="25" t="s">
        <v>99</v>
      </c>
      <c r="C1603" s="26" t="s">
        <v>100</v>
      </c>
      <c r="D1603" s="27">
        <v>73181500</v>
      </c>
      <c r="E1603" s="28" t="s">
        <v>323</v>
      </c>
      <c r="F1603" s="29" t="s">
        <v>324</v>
      </c>
      <c r="G1603" s="30">
        <v>24</v>
      </c>
      <c r="H1603" s="27" t="s">
        <v>137</v>
      </c>
      <c r="I1603" s="26" t="s">
        <v>256</v>
      </c>
      <c r="J1603" s="191">
        <v>0.1</v>
      </c>
      <c r="K1603" s="32">
        <f t="shared" ref="K1603:K1666" si="75">G1603*J1603</f>
        <v>2.4000000000000004</v>
      </c>
      <c r="L1603" s="29" t="s">
        <v>324</v>
      </c>
      <c r="M1603" s="27">
        <f>IFERROR(VLOOKUP(C1603,Custo_MI_Device!$B$2:$E$102,3,FALSE),0)</f>
        <v>21</v>
      </c>
      <c r="N1603" s="27">
        <f t="shared" ref="N1603:N1666" si="76">ROUNDUP(M1603*G1603,0)</f>
        <v>504</v>
      </c>
      <c r="O1603" s="178">
        <f t="shared" ref="O1603:O1666" si="77">N1603*J1603</f>
        <v>50.400000000000006</v>
      </c>
    </row>
    <row r="1604" spans="1:15" ht="12.75">
      <c r="A1604" s="25">
        <v>1117</v>
      </c>
      <c r="B1604" s="25" t="s">
        <v>99</v>
      </c>
      <c r="C1604" s="26" t="s">
        <v>100</v>
      </c>
      <c r="D1604" s="27"/>
      <c r="E1604" s="28" t="s">
        <v>145</v>
      </c>
      <c r="F1604" s="29" t="s">
        <v>146</v>
      </c>
      <c r="G1604" s="30">
        <v>1</v>
      </c>
      <c r="H1604" s="27" t="s">
        <v>137</v>
      </c>
      <c r="I1604" s="26" t="s">
        <v>138</v>
      </c>
      <c r="J1604" s="191">
        <v>1.95</v>
      </c>
      <c r="K1604" s="190">
        <v>4.8499999999999996</v>
      </c>
      <c r="L1604" s="29" t="s">
        <v>146</v>
      </c>
      <c r="M1604" s="27">
        <f>IFERROR(VLOOKUP(C1604,Custo_MI_Device!$B$2:$E$102,3,FALSE),0)</f>
        <v>21</v>
      </c>
      <c r="N1604" s="27">
        <f t="shared" si="76"/>
        <v>21</v>
      </c>
      <c r="O1604" s="178">
        <f t="shared" si="77"/>
        <v>40.949999999999996</v>
      </c>
    </row>
    <row r="1605" spans="1:15" ht="25.5">
      <c r="A1605" s="25">
        <v>9670</v>
      </c>
      <c r="B1605" s="25" t="s">
        <v>99</v>
      </c>
      <c r="C1605" s="26" t="s">
        <v>100</v>
      </c>
      <c r="D1605" s="27">
        <v>85444900</v>
      </c>
      <c r="E1605" s="28" t="s">
        <v>329</v>
      </c>
      <c r="F1605" s="29">
        <v>900900</v>
      </c>
      <c r="G1605" s="33">
        <v>10</v>
      </c>
      <c r="H1605" s="27" t="s">
        <v>158</v>
      </c>
      <c r="I1605" s="26" t="s">
        <v>164</v>
      </c>
      <c r="J1605" s="191">
        <v>4.7</v>
      </c>
      <c r="K1605" s="32">
        <f t="shared" si="75"/>
        <v>47</v>
      </c>
      <c r="L1605" s="29">
        <v>900900</v>
      </c>
      <c r="M1605" s="27">
        <f>IFERROR(VLOOKUP(C1605,Custo_MI_Device!$B$2:$E$102,3,FALSE),0)</f>
        <v>21</v>
      </c>
      <c r="N1605" s="27">
        <f t="shared" si="76"/>
        <v>210</v>
      </c>
      <c r="O1605" s="178">
        <f t="shared" si="77"/>
        <v>987</v>
      </c>
    </row>
    <row r="1606" spans="1:15" ht="38.25">
      <c r="A1606" s="25">
        <v>3585</v>
      </c>
      <c r="B1606" s="25" t="s">
        <v>99</v>
      </c>
      <c r="C1606" s="26" t="s">
        <v>100</v>
      </c>
      <c r="D1606" s="27">
        <v>85444900</v>
      </c>
      <c r="E1606" s="28" t="s">
        <v>328</v>
      </c>
      <c r="F1606" s="29">
        <v>900400</v>
      </c>
      <c r="G1606" s="33">
        <v>0</v>
      </c>
      <c r="H1606" s="27" t="s">
        <v>158</v>
      </c>
      <c r="I1606" s="26" t="s">
        <v>164</v>
      </c>
      <c r="J1606" s="191">
        <v>4.7</v>
      </c>
      <c r="K1606" s="32">
        <f t="shared" si="75"/>
        <v>0</v>
      </c>
      <c r="L1606" s="29">
        <v>900400</v>
      </c>
      <c r="M1606" s="27">
        <f>IFERROR(VLOOKUP(C1606,Custo_MI_Device!$B$2:$E$102,3,FALSE),0)</f>
        <v>21</v>
      </c>
      <c r="N1606" s="27">
        <f t="shared" si="76"/>
        <v>0</v>
      </c>
      <c r="O1606" s="178">
        <f t="shared" si="77"/>
        <v>0</v>
      </c>
    </row>
    <row r="1607" spans="1:15" ht="12.75">
      <c r="A1607" s="25">
        <v>2805</v>
      </c>
      <c r="B1607" s="25" t="s">
        <v>99</v>
      </c>
      <c r="C1607" s="26" t="s">
        <v>100</v>
      </c>
      <c r="D1607" s="27">
        <v>72162100</v>
      </c>
      <c r="E1607" s="28" t="s">
        <v>174</v>
      </c>
      <c r="F1607" s="29">
        <v>0</v>
      </c>
      <c r="G1607" s="33">
        <v>0</v>
      </c>
      <c r="H1607" s="27" t="s">
        <v>175</v>
      </c>
      <c r="I1607" s="26" t="s">
        <v>176</v>
      </c>
      <c r="J1607" s="191">
        <v>11</v>
      </c>
      <c r="K1607" s="32">
        <f t="shared" si="75"/>
        <v>0</v>
      </c>
      <c r="L1607" s="29" t="s">
        <v>177</v>
      </c>
      <c r="M1607" s="27">
        <f>IFERROR(VLOOKUP(C1607,Custo_MI_Device!$B$2:$E$102,3,FALSE),0)</f>
        <v>21</v>
      </c>
      <c r="N1607" s="27">
        <f t="shared" si="76"/>
        <v>0</v>
      </c>
      <c r="O1607" s="178">
        <f t="shared" si="77"/>
        <v>0</v>
      </c>
    </row>
    <row r="1608" spans="1:15" ht="12.75">
      <c r="A1608" s="25">
        <v>4823</v>
      </c>
      <c r="B1608" s="25" t="s">
        <v>99</v>
      </c>
      <c r="C1608" s="26" t="s">
        <v>100</v>
      </c>
      <c r="D1608" s="27">
        <v>76090000</v>
      </c>
      <c r="E1608" s="28" t="s">
        <v>199</v>
      </c>
      <c r="F1608" s="29" t="s">
        <v>200</v>
      </c>
      <c r="G1608" s="30">
        <v>2</v>
      </c>
      <c r="H1608" s="27" t="s">
        <v>137</v>
      </c>
      <c r="I1608" s="26" t="s">
        <v>138</v>
      </c>
      <c r="J1608" s="31">
        <v>26.06</v>
      </c>
      <c r="K1608" s="32">
        <f t="shared" si="75"/>
        <v>52.12</v>
      </c>
      <c r="L1608" s="29" t="s">
        <v>200</v>
      </c>
      <c r="M1608" s="27">
        <f>IFERROR(VLOOKUP(C1608,Custo_MI_Device!$B$2:$E$102,3,FALSE),0)</f>
        <v>21</v>
      </c>
      <c r="N1608" s="27">
        <f t="shared" si="76"/>
        <v>42</v>
      </c>
      <c r="O1608" s="178">
        <f t="shared" si="77"/>
        <v>1094.52</v>
      </c>
    </row>
    <row r="1609" spans="1:15" ht="12.75">
      <c r="A1609" s="25">
        <v>2912</v>
      </c>
      <c r="B1609" s="25" t="s">
        <v>99</v>
      </c>
      <c r="C1609" s="26" t="s">
        <v>100</v>
      </c>
      <c r="D1609" s="27">
        <v>76090000</v>
      </c>
      <c r="E1609" s="28" t="s">
        <v>201</v>
      </c>
      <c r="F1609" s="29" t="s">
        <v>202</v>
      </c>
      <c r="G1609" s="30">
        <v>2</v>
      </c>
      <c r="H1609" s="27" t="s">
        <v>137</v>
      </c>
      <c r="I1609" s="26" t="s">
        <v>138</v>
      </c>
      <c r="J1609" s="31">
        <v>29.74</v>
      </c>
      <c r="K1609" s="32">
        <f t="shared" si="75"/>
        <v>59.48</v>
      </c>
      <c r="L1609" s="29" t="s">
        <v>202</v>
      </c>
      <c r="M1609" s="27">
        <f>IFERROR(VLOOKUP(C1609,Custo_MI_Device!$B$2:$E$102,3,FALSE),0)</f>
        <v>21</v>
      </c>
      <c r="N1609" s="27">
        <f t="shared" si="76"/>
        <v>42</v>
      </c>
      <c r="O1609" s="178">
        <f t="shared" si="77"/>
        <v>1249.08</v>
      </c>
    </row>
    <row r="1610" spans="1:15" ht="25.5">
      <c r="A1610" s="25">
        <v>3436</v>
      </c>
      <c r="B1610" s="25" t="s">
        <v>99</v>
      </c>
      <c r="C1610" s="26" t="s">
        <v>100</v>
      </c>
      <c r="D1610" s="27">
        <v>76090000</v>
      </c>
      <c r="E1610" s="28" t="s">
        <v>193</v>
      </c>
      <c r="F1610" s="29" t="s">
        <v>194</v>
      </c>
      <c r="G1610" s="30">
        <v>2</v>
      </c>
      <c r="H1610" s="27" t="s">
        <v>137</v>
      </c>
      <c r="I1610" s="26" t="s">
        <v>138</v>
      </c>
      <c r="J1610" s="31">
        <v>26.06</v>
      </c>
      <c r="K1610" s="32">
        <f t="shared" si="75"/>
        <v>52.12</v>
      </c>
      <c r="L1610" s="29" t="s">
        <v>194</v>
      </c>
      <c r="M1610" s="27">
        <f>IFERROR(VLOOKUP(C1610,Custo_MI_Device!$B$2:$E$102,3,FALSE),0)</f>
        <v>21</v>
      </c>
      <c r="N1610" s="27">
        <f t="shared" si="76"/>
        <v>42</v>
      </c>
      <c r="O1610" s="178">
        <f t="shared" si="77"/>
        <v>1094.52</v>
      </c>
    </row>
    <row r="1611" spans="1:15" ht="25.5">
      <c r="A1611" s="25">
        <v>4306</v>
      </c>
      <c r="B1611" s="25" t="s">
        <v>99</v>
      </c>
      <c r="C1611" s="26" t="s">
        <v>100</v>
      </c>
      <c r="D1611" s="27">
        <v>73063000</v>
      </c>
      <c r="E1611" s="28" t="s">
        <v>239</v>
      </c>
      <c r="F1611" s="29">
        <v>0</v>
      </c>
      <c r="G1611" s="30">
        <v>0</v>
      </c>
      <c r="H1611" s="27" t="s">
        <v>232</v>
      </c>
      <c r="I1611" s="26" t="s">
        <v>233</v>
      </c>
      <c r="J1611" s="191">
        <v>54</v>
      </c>
      <c r="K1611" s="32">
        <f t="shared" si="75"/>
        <v>0</v>
      </c>
      <c r="L1611" s="29" t="s">
        <v>240</v>
      </c>
      <c r="M1611" s="27">
        <f>IFERROR(VLOOKUP(C1611,Custo_MI_Device!$B$2:$E$102,3,FALSE),0)</f>
        <v>21</v>
      </c>
      <c r="N1611" s="27">
        <f t="shared" si="76"/>
        <v>0</v>
      </c>
      <c r="O1611" s="178">
        <f t="shared" si="77"/>
        <v>0</v>
      </c>
    </row>
    <row r="1612" spans="1:15" ht="12.75">
      <c r="A1612" s="25">
        <v>4867</v>
      </c>
      <c r="B1612" s="25" t="s">
        <v>99</v>
      </c>
      <c r="C1612" s="26" t="s">
        <v>100</v>
      </c>
      <c r="D1612" s="27">
        <v>73072900</v>
      </c>
      <c r="E1612" s="28" t="s">
        <v>244</v>
      </c>
      <c r="F1612" s="29">
        <v>0</v>
      </c>
      <c r="G1612" s="30">
        <v>1</v>
      </c>
      <c r="H1612" s="27" t="s">
        <v>137</v>
      </c>
      <c r="I1612" s="26" t="s">
        <v>233</v>
      </c>
      <c r="J1612" s="191">
        <v>4</v>
      </c>
      <c r="K1612" s="32">
        <f t="shared" si="75"/>
        <v>4</v>
      </c>
      <c r="L1612" s="29" t="s">
        <v>245</v>
      </c>
      <c r="M1612" s="27">
        <f>IFERROR(VLOOKUP(C1612,Custo_MI_Device!$B$2:$E$102,3,FALSE),0)</f>
        <v>21</v>
      </c>
      <c r="N1612" s="27">
        <f t="shared" si="76"/>
        <v>21</v>
      </c>
      <c r="O1612" s="178">
        <f t="shared" si="77"/>
        <v>84</v>
      </c>
    </row>
    <row r="1613" spans="1:15" ht="12.75">
      <c r="A1613" s="25">
        <v>3316</v>
      </c>
      <c r="B1613" s="25" t="s">
        <v>99</v>
      </c>
      <c r="C1613" s="26" t="s">
        <v>100</v>
      </c>
      <c r="D1613" s="27">
        <v>0</v>
      </c>
      <c r="E1613" s="28" t="s">
        <v>246</v>
      </c>
      <c r="F1613" s="29" t="s">
        <v>247</v>
      </c>
      <c r="G1613" s="30">
        <v>0</v>
      </c>
      <c r="H1613" s="27" t="s">
        <v>137</v>
      </c>
      <c r="I1613" s="26" t="s">
        <v>248</v>
      </c>
      <c r="J1613" s="191">
        <v>5.5</v>
      </c>
      <c r="K1613" s="32">
        <f t="shared" si="75"/>
        <v>0</v>
      </c>
      <c r="L1613" s="29" t="s">
        <v>247</v>
      </c>
      <c r="M1613" s="27">
        <f>IFERROR(VLOOKUP(C1613,Custo_MI_Device!$B$2:$E$102,3,FALSE),0)</f>
        <v>21</v>
      </c>
      <c r="N1613" s="27">
        <f t="shared" si="76"/>
        <v>0</v>
      </c>
      <c r="O1613" s="178">
        <f t="shared" si="77"/>
        <v>0</v>
      </c>
    </row>
    <row r="1614" spans="1:15" ht="12.75">
      <c r="A1614" s="25">
        <v>3274</v>
      </c>
      <c r="B1614" s="25" t="s">
        <v>99</v>
      </c>
      <c r="C1614" s="26" t="s">
        <v>100</v>
      </c>
      <c r="D1614" s="27">
        <v>73181500</v>
      </c>
      <c r="E1614" s="28" t="s">
        <v>265</v>
      </c>
      <c r="F1614" s="29" t="s">
        <v>266</v>
      </c>
      <c r="G1614" s="30">
        <v>24</v>
      </c>
      <c r="H1614" s="27" t="s">
        <v>137</v>
      </c>
      <c r="I1614" s="26" t="s">
        <v>256</v>
      </c>
      <c r="J1614" s="191">
        <v>0.11</v>
      </c>
      <c r="K1614" s="32">
        <f t="shared" si="75"/>
        <v>2.64</v>
      </c>
      <c r="L1614" s="29" t="s">
        <v>266</v>
      </c>
      <c r="M1614" s="27">
        <f>IFERROR(VLOOKUP(C1614,Custo_MI_Device!$B$2:$E$102,3,FALSE),0)</f>
        <v>21</v>
      </c>
      <c r="N1614" s="27">
        <f t="shared" si="76"/>
        <v>504</v>
      </c>
      <c r="O1614" s="178">
        <f t="shared" si="77"/>
        <v>55.44</v>
      </c>
    </row>
    <row r="1615" spans="1:15" ht="25.5">
      <c r="A1615" s="25">
        <v>1611</v>
      </c>
      <c r="B1615" s="25" t="s">
        <v>99</v>
      </c>
      <c r="C1615" s="26" t="s">
        <v>100</v>
      </c>
      <c r="D1615" s="27">
        <v>39174090</v>
      </c>
      <c r="E1615" s="28" t="s">
        <v>275</v>
      </c>
      <c r="F1615" s="29" t="s">
        <v>276</v>
      </c>
      <c r="G1615" s="30">
        <v>2</v>
      </c>
      <c r="H1615" s="27" t="s">
        <v>137</v>
      </c>
      <c r="I1615" s="26" t="s">
        <v>277</v>
      </c>
      <c r="J1615" s="191">
        <v>7.8</v>
      </c>
      <c r="K1615" s="32">
        <f t="shared" si="75"/>
        <v>15.6</v>
      </c>
      <c r="L1615" s="29" t="s">
        <v>276</v>
      </c>
      <c r="M1615" s="27">
        <f>IFERROR(VLOOKUP(C1615,Custo_MI_Device!$B$2:$E$102,3,FALSE),0)</f>
        <v>21</v>
      </c>
      <c r="N1615" s="27">
        <f t="shared" si="76"/>
        <v>42</v>
      </c>
      <c r="O1615" s="178">
        <f t="shared" si="77"/>
        <v>327.59999999999997</v>
      </c>
    </row>
    <row r="1616" spans="1:15" ht="12.75">
      <c r="A1616" s="25">
        <v>5081</v>
      </c>
      <c r="B1616" s="25" t="s">
        <v>99</v>
      </c>
      <c r="C1616" s="26" t="s">
        <v>100</v>
      </c>
      <c r="D1616" s="27">
        <v>73145000</v>
      </c>
      <c r="E1616" s="28" t="s">
        <v>278</v>
      </c>
      <c r="F1616" s="29">
        <v>0</v>
      </c>
      <c r="G1616" s="30">
        <v>1</v>
      </c>
      <c r="H1616" s="27" t="s">
        <v>137</v>
      </c>
      <c r="I1616" s="26" t="s">
        <v>279</v>
      </c>
      <c r="J1616" s="191">
        <v>45</v>
      </c>
      <c r="K1616" s="32">
        <f t="shared" si="75"/>
        <v>45</v>
      </c>
      <c r="L1616" s="29" t="s">
        <v>280</v>
      </c>
      <c r="M1616" s="27">
        <f>IFERROR(VLOOKUP(C1616,Custo_MI_Device!$B$2:$E$102,3,FALSE),0)</f>
        <v>21</v>
      </c>
      <c r="N1616" s="27">
        <f t="shared" si="76"/>
        <v>21</v>
      </c>
      <c r="O1616" s="178">
        <f t="shared" si="77"/>
        <v>945</v>
      </c>
    </row>
    <row r="1617" spans="1:15" ht="12.75" hidden="1">
      <c r="A1617" s="25">
        <v>2534</v>
      </c>
      <c r="B1617" s="25" t="s">
        <v>99</v>
      </c>
      <c r="C1617" s="26" t="s">
        <v>101</v>
      </c>
      <c r="D1617" s="27">
        <v>73072900</v>
      </c>
      <c r="E1617" s="28" t="s">
        <v>314</v>
      </c>
      <c r="F1617" s="29" t="s">
        <v>315</v>
      </c>
      <c r="G1617" s="30">
        <v>12</v>
      </c>
      <c r="H1617" s="27" t="s">
        <v>137</v>
      </c>
      <c r="I1617" s="26" t="s">
        <v>256</v>
      </c>
      <c r="J1617" s="31">
        <v>1.2</v>
      </c>
      <c r="K1617" s="32">
        <f t="shared" si="75"/>
        <v>14.399999999999999</v>
      </c>
      <c r="L1617" s="29" t="s">
        <v>315</v>
      </c>
      <c r="M1617" s="27">
        <f>IFERROR(VLOOKUP(C1617,Custo_MI_Device!$B$2:$E$102,3,FALSE),0)</f>
        <v>0</v>
      </c>
      <c r="N1617" s="27">
        <f t="shared" si="76"/>
        <v>0</v>
      </c>
      <c r="O1617" s="178">
        <f t="shared" si="77"/>
        <v>0</v>
      </c>
    </row>
    <row r="1618" spans="1:15" ht="12.75" hidden="1">
      <c r="A1618" s="25">
        <v>1669</v>
      </c>
      <c r="B1618" s="25" t="s">
        <v>99</v>
      </c>
      <c r="C1618" s="26" t="s">
        <v>101</v>
      </c>
      <c r="D1618" s="27">
        <v>39269090</v>
      </c>
      <c r="E1618" s="28" t="s">
        <v>316</v>
      </c>
      <c r="F1618" s="29" t="s">
        <v>317</v>
      </c>
      <c r="G1618" s="30">
        <v>3</v>
      </c>
      <c r="H1618" s="27" t="s">
        <v>137</v>
      </c>
      <c r="I1618" s="26" t="s">
        <v>318</v>
      </c>
      <c r="J1618" s="31">
        <v>0.04</v>
      </c>
      <c r="K1618" s="32">
        <f t="shared" si="75"/>
        <v>0.12</v>
      </c>
      <c r="L1618" s="29" t="s">
        <v>317</v>
      </c>
      <c r="M1618" s="27">
        <f>IFERROR(VLOOKUP(C1618,Custo_MI_Device!$B$2:$E$102,3,FALSE),0)</f>
        <v>0</v>
      </c>
      <c r="N1618" s="27">
        <f t="shared" si="76"/>
        <v>0</v>
      </c>
      <c r="O1618" s="178">
        <f t="shared" si="77"/>
        <v>0</v>
      </c>
    </row>
    <row r="1619" spans="1:15" ht="12.75" hidden="1">
      <c r="A1619" s="25">
        <v>5091</v>
      </c>
      <c r="B1619" s="25" t="s">
        <v>99</v>
      </c>
      <c r="C1619" s="26" t="s">
        <v>101</v>
      </c>
      <c r="D1619" s="27">
        <v>73181500</v>
      </c>
      <c r="E1619" s="28" t="s">
        <v>323</v>
      </c>
      <c r="F1619" s="29" t="s">
        <v>324</v>
      </c>
      <c r="G1619" s="30">
        <v>24</v>
      </c>
      <c r="H1619" s="27" t="s">
        <v>137</v>
      </c>
      <c r="I1619" s="26" t="s">
        <v>256</v>
      </c>
      <c r="J1619" s="31">
        <v>0.04</v>
      </c>
      <c r="K1619" s="32">
        <f t="shared" si="75"/>
        <v>0.96</v>
      </c>
      <c r="L1619" s="29" t="s">
        <v>324</v>
      </c>
      <c r="M1619" s="27">
        <f>IFERROR(VLOOKUP(C1619,Custo_MI_Device!$B$2:$E$102,3,FALSE),0)</f>
        <v>0</v>
      </c>
      <c r="N1619" s="27">
        <f t="shared" si="76"/>
        <v>0</v>
      </c>
      <c r="O1619" s="178">
        <f t="shared" si="77"/>
        <v>0</v>
      </c>
    </row>
    <row r="1620" spans="1:15" ht="12.75" hidden="1">
      <c r="A1620" s="25">
        <v>1117</v>
      </c>
      <c r="B1620" s="25" t="s">
        <v>99</v>
      </c>
      <c r="C1620" s="26" t="s">
        <v>101</v>
      </c>
      <c r="D1620" s="27"/>
      <c r="E1620" s="28" t="s">
        <v>145</v>
      </c>
      <c r="F1620" s="29" t="s">
        <v>146</v>
      </c>
      <c r="G1620" s="30">
        <v>1</v>
      </c>
      <c r="H1620" s="27" t="s">
        <v>137</v>
      </c>
      <c r="I1620" s="26" t="s">
        <v>138</v>
      </c>
      <c r="J1620" s="31">
        <v>1.95</v>
      </c>
      <c r="K1620" s="32">
        <f t="shared" si="75"/>
        <v>1.95</v>
      </c>
      <c r="L1620" s="29" t="s">
        <v>146</v>
      </c>
      <c r="M1620" s="27">
        <f>IFERROR(VLOOKUP(C1620,Custo_MI_Device!$B$2:$E$102,3,FALSE),0)</f>
        <v>0</v>
      </c>
      <c r="N1620" s="27">
        <f t="shared" si="76"/>
        <v>0</v>
      </c>
      <c r="O1620" s="178">
        <f t="shared" si="77"/>
        <v>0</v>
      </c>
    </row>
    <row r="1621" spans="1:15" ht="25.5" hidden="1">
      <c r="A1621" s="25">
        <v>9670</v>
      </c>
      <c r="B1621" s="25" t="s">
        <v>99</v>
      </c>
      <c r="C1621" s="26" t="s">
        <v>101</v>
      </c>
      <c r="D1621" s="27">
        <v>85444900</v>
      </c>
      <c r="E1621" s="28" t="s">
        <v>329</v>
      </c>
      <c r="F1621" s="29">
        <v>900900</v>
      </c>
      <c r="G1621" s="30">
        <v>30</v>
      </c>
      <c r="H1621" s="27" t="s">
        <v>158</v>
      </c>
      <c r="I1621" s="26" t="s">
        <v>164</v>
      </c>
      <c r="J1621" s="31">
        <v>2.5</v>
      </c>
      <c r="K1621" s="32">
        <f t="shared" si="75"/>
        <v>75</v>
      </c>
      <c r="L1621" s="29">
        <v>900900</v>
      </c>
      <c r="M1621" s="27">
        <f>IFERROR(VLOOKUP(C1621,Custo_MI_Device!$B$2:$E$102,3,FALSE),0)</f>
        <v>0</v>
      </c>
      <c r="N1621" s="27">
        <f t="shared" si="76"/>
        <v>0</v>
      </c>
      <c r="O1621" s="178">
        <f t="shared" si="77"/>
        <v>0</v>
      </c>
    </row>
    <row r="1622" spans="1:15" ht="25.5" hidden="1">
      <c r="A1622" s="25">
        <v>5139</v>
      </c>
      <c r="B1622" s="25" t="s">
        <v>99</v>
      </c>
      <c r="C1622" s="26" t="s">
        <v>101</v>
      </c>
      <c r="D1622" s="27">
        <v>85444900</v>
      </c>
      <c r="E1622" s="28" t="s">
        <v>170</v>
      </c>
      <c r="F1622" s="29" t="s">
        <v>171</v>
      </c>
      <c r="G1622" s="30">
        <v>15</v>
      </c>
      <c r="H1622" s="27" t="s">
        <v>158</v>
      </c>
      <c r="I1622" s="26" t="s">
        <v>172</v>
      </c>
      <c r="J1622" s="31">
        <v>7.5</v>
      </c>
      <c r="K1622" s="32">
        <f t="shared" si="75"/>
        <v>112.5</v>
      </c>
      <c r="L1622" s="29" t="s">
        <v>173</v>
      </c>
      <c r="M1622" s="27">
        <f>IFERROR(VLOOKUP(C1622,Custo_MI_Device!$B$2:$E$102,3,FALSE),0)</f>
        <v>0</v>
      </c>
      <c r="N1622" s="27">
        <f t="shared" si="76"/>
        <v>0</v>
      </c>
      <c r="O1622" s="178">
        <f t="shared" si="77"/>
        <v>0</v>
      </c>
    </row>
    <row r="1623" spans="1:15" ht="12.75" hidden="1">
      <c r="A1623" s="25">
        <v>2805</v>
      </c>
      <c r="B1623" s="25" t="s">
        <v>99</v>
      </c>
      <c r="C1623" s="26" t="s">
        <v>101</v>
      </c>
      <c r="D1623" s="27">
        <v>72162100</v>
      </c>
      <c r="E1623" s="28" t="s">
        <v>174</v>
      </c>
      <c r="F1623" s="29">
        <v>0</v>
      </c>
      <c r="G1623" s="30">
        <v>2.9</v>
      </c>
      <c r="H1623" s="27" t="s">
        <v>175</v>
      </c>
      <c r="I1623" s="26" t="s">
        <v>176</v>
      </c>
      <c r="J1623" s="31">
        <v>4.22</v>
      </c>
      <c r="K1623" s="32">
        <f t="shared" si="75"/>
        <v>12.238</v>
      </c>
      <c r="L1623" s="29" t="s">
        <v>177</v>
      </c>
      <c r="M1623" s="27">
        <f>IFERROR(VLOOKUP(C1623,Custo_MI_Device!$B$2:$E$102,3,FALSE),0)</f>
        <v>0</v>
      </c>
      <c r="N1623" s="27">
        <f t="shared" si="76"/>
        <v>0</v>
      </c>
      <c r="O1623" s="178">
        <f t="shared" si="77"/>
        <v>0</v>
      </c>
    </row>
    <row r="1624" spans="1:15" ht="12.75" hidden="1">
      <c r="A1624" s="25">
        <v>4823</v>
      </c>
      <c r="B1624" s="25" t="s">
        <v>99</v>
      </c>
      <c r="C1624" s="26" t="s">
        <v>101</v>
      </c>
      <c r="D1624" s="27">
        <v>76090000</v>
      </c>
      <c r="E1624" s="28" t="s">
        <v>199</v>
      </c>
      <c r="F1624" s="29" t="s">
        <v>200</v>
      </c>
      <c r="G1624" s="30">
        <v>0.75</v>
      </c>
      <c r="H1624" s="27" t="s">
        <v>137</v>
      </c>
      <c r="I1624" s="26" t="s">
        <v>138</v>
      </c>
      <c r="J1624" s="31">
        <v>6.7</v>
      </c>
      <c r="K1624" s="32">
        <f t="shared" si="75"/>
        <v>5.0250000000000004</v>
      </c>
      <c r="L1624" s="29" t="s">
        <v>200</v>
      </c>
      <c r="M1624" s="27">
        <f>IFERROR(VLOOKUP(C1624,Custo_MI_Device!$B$2:$E$102,3,FALSE),0)</f>
        <v>0</v>
      </c>
      <c r="N1624" s="27">
        <f t="shared" si="76"/>
        <v>0</v>
      </c>
      <c r="O1624" s="178">
        <f t="shared" si="77"/>
        <v>0</v>
      </c>
    </row>
    <row r="1625" spans="1:15" ht="12.75" hidden="1">
      <c r="A1625" s="25">
        <v>2912</v>
      </c>
      <c r="B1625" s="25" t="s">
        <v>99</v>
      </c>
      <c r="C1625" s="26" t="s">
        <v>101</v>
      </c>
      <c r="D1625" s="27">
        <v>76090000</v>
      </c>
      <c r="E1625" s="28" t="s">
        <v>201</v>
      </c>
      <c r="F1625" s="29" t="s">
        <v>202</v>
      </c>
      <c r="G1625" s="30">
        <v>0.5</v>
      </c>
      <c r="H1625" s="27" t="s">
        <v>137</v>
      </c>
      <c r="I1625" s="26" t="s">
        <v>138</v>
      </c>
      <c r="J1625" s="31">
        <v>7.5</v>
      </c>
      <c r="K1625" s="32">
        <f t="shared" si="75"/>
        <v>3.75</v>
      </c>
      <c r="L1625" s="29" t="s">
        <v>202</v>
      </c>
      <c r="M1625" s="27">
        <f>IFERROR(VLOOKUP(C1625,Custo_MI_Device!$B$2:$E$102,3,FALSE),0)</f>
        <v>0</v>
      </c>
      <c r="N1625" s="27">
        <f t="shared" si="76"/>
        <v>0</v>
      </c>
      <c r="O1625" s="178">
        <f t="shared" si="77"/>
        <v>0</v>
      </c>
    </row>
    <row r="1626" spans="1:15" ht="25.5" hidden="1">
      <c r="A1626" s="25">
        <v>3436</v>
      </c>
      <c r="B1626" s="25" t="s">
        <v>99</v>
      </c>
      <c r="C1626" s="26" t="s">
        <v>101</v>
      </c>
      <c r="D1626" s="27">
        <v>76090000</v>
      </c>
      <c r="E1626" s="28" t="s">
        <v>193</v>
      </c>
      <c r="F1626" s="29" t="s">
        <v>194</v>
      </c>
      <c r="G1626" s="30">
        <v>1</v>
      </c>
      <c r="H1626" s="27" t="s">
        <v>137</v>
      </c>
      <c r="I1626" s="26" t="s">
        <v>138</v>
      </c>
      <c r="J1626" s="31">
        <v>6.7</v>
      </c>
      <c r="K1626" s="32">
        <f t="shared" si="75"/>
        <v>6.7</v>
      </c>
      <c r="L1626" s="29" t="s">
        <v>194</v>
      </c>
      <c r="M1626" s="27">
        <f>IFERROR(VLOOKUP(C1626,Custo_MI_Device!$B$2:$E$102,3,FALSE),0)</f>
        <v>0</v>
      </c>
      <c r="N1626" s="27">
        <f t="shared" si="76"/>
        <v>0</v>
      </c>
      <c r="O1626" s="178">
        <f t="shared" si="77"/>
        <v>0</v>
      </c>
    </row>
    <row r="1627" spans="1:15" ht="25.5" hidden="1">
      <c r="A1627" s="25">
        <v>4306</v>
      </c>
      <c r="B1627" s="25" t="s">
        <v>99</v>
      </c>
      <c r="C1627" s="26" t="s">
        <v>101</v>
      </c>
      <c r="D1627" s="27">
        <v>73063000</v>
      </c>
      <c r="E1627" s="28" t="s">
        <v>239</v>
      </c>
      <c r="F1627" s="29">
        <v>0</v>
      </c>
      <c r="G1627" s="30">
        <v>4</v>
      </c>
      <c r="H1627" s="27" t="s">
        <v>232</v>
      </c>
      <c r="I1627" s="26" t="s">
        <v>233</v>
      </c>
      <c r="J1627" s="31">
        <v>32</v>
      </c>
      <c r="K1627" s="32">
        <f t="shared" si="75"/>
        <v>128</v>
      </c>
      <c r="L1627" s="29" t="s">
        <v>240</v>
      </c>
      <c r="M1627" s="27">
        <f>IFERROR(VLOOKUP(C1627,Custo_MI_Device!$B$2:$E$102,3,FALSE),0)</f>
        <v>0</v>
      </c>
      <c r="N1627" s="27">
        <f t="shared" si="76"/>
        <v>0</v>
      </c>
      <c r="O1627" s="178">
        <f t="shared" si="77"/>
        <v>0</v>
      </c>
    </row>
    <row r="1628" spans="1:15" ht="12.75" hidden="1">
      <c r="A1628" s="25">
        <v>4867</v>
      </c>
      <c r="B1628" s="25" t="s">
        <v>99</v>
      </c>
      <c r="C1628" s="26" t="s">
        <v>101</v>
      </c>
      <c r="D1628" s="27">
        <v>73072900</v>
      </c>
      <c r="E1628" s="28" t="s">
        <v>244</v>
      </c>
      <c r="F1628" s="29">
        <v>0</v>
      </c>
      <c r="G1628" s="30">
        <v>1</v>
      </c>
      <c r="H1628" s="27" t="s">
        <v>137</v>
      </c>
      <c r="I1628" s="26" t="s">
        <v>233</v>
      </c>
      <c r="J1628" s="31">
        <v>2.15</v>
      </c>
      <c r="K1628" s="32">
        <f t="shared" si="75"/>
        <v>2.15</v>
      </c>
      <c r="L1628" s="29" t="s">
        <v>245</v>
      </c>
      <c r="M1628" s="27">
        <f>IFERROR(VLOOKUP(C1628,Custo_MI_Device!$B$2:$E$102,3,FALSE),0)</f>
        <v>0</v>
      </c>
      <c r="N1628" s="27">
        <f t="shared" si="76"/>
        <v>0</v>
      </c>
      <c r="O1628" s="178">
        <f t="shared" si="77"/>
        <v>0</v>
      </c>
    </row>
    <row r="1629" spans="1:15" ht="12.75" hidden="1">
      <c r="A1629" s="25">
        <v>3316</v>
      </c>
      <c r="B1629" s="25" t="s">
        <v>99</v>
      </c>
      <c r="C1629" s="26" t="s">
        <v>101</v>
      </c>
      <c r="D1629" s="27">
        <v>0</v>
      </c>
      <c r="E1629" s="28" t="s">
        <v>246</v>
      </c>
      <c r="F1629" s="29" t="s">
        <v>247</v>
      </c>
      <c r="G1629" s="30">
        <v>1</v>
      </c>
      <c r="H1629" s="27" t="s">
        <v>137</v>
      </c>
      <c r="I1629" s="26" t="s">
        <v>248</v>
      </c>
      <c r="J1629" s="31">
        <v>5.5</v>
      </c>
      <c r="K1629" s="32">
        <f t="shared" si="75"/>
        <v>5.5</v>
      </c>
      <c r="L1629" s="29" t="s">
        <v>247</v>
      </c>
      <c r="M1629" s="27">
        <f>IFERROR(VLOOKUP(C1629,Custo_MI_Device!$B$2:$E$102,3,FALSE),0)</f>
        <v>0</v>
      </c>
      <c r="N1629" s="27">
        <f t="shared" si="76"/>
        <v>0</v>
      </c>
      <c r="O1629" s="178">
        <f t="shared" si="77"/>
        <v>0</v>
      </c>
    </row>
    <row r="1630" spans="1:15" ht="12.75" hidden="1">
      <c r="A1630" s="25">
        <v>3274</v>
      </c>
      <c r="B1630" s="25" t="s">
        <v>99</v>
      </c>
      <c r="C1630" s="26" t="s">
        <v>101</v>
      </c>
      <c r="D1630" s="27">
        <v>73181500</v>
      </c>
      <c r="E1630" s="28" t="s">
        <v>265</v>
      </c>
      <c r="F1630" s="29" t="s">
        <v>266</v>
      </c>
      <c r="G1630" s="30">
        <v>24</v>
      </c>
      <c r="H1630" s="27" t="s">
        <v>137</v>
      </c>
      <c r="I1630" s="26" t="s">
        <v>256</v>
      </c>
      <c r="J1630" s="31">
        <v>0.06</v>
      </c>
      <c r="K1630" s="32">
        <f t="shared" si="75"/>
        <v>1.44</v>
      </c>
      <c r="L1630" s="29" t="s">
        <v>266</v>
      </c>
      <c r="M1630" s="27">
        <f>IFERROR(VLOOKUP(C1630,Custo_MI_Device!$B$2:$E$102,3,FALSE),0)</f>
        <v>0</v>
      </c>
      <c r="N1630" s="27">
        <f t="shared" si="76"/>
        <v>0</v>
      </c>
      <c r="O1630" s="178">
        <f t="shared" si="77"/>
        <v>0</v>
      </c>
    </row>
    <row r="1631" spans="1:15" ht="25.5" hidden="1">
      <c r="A1631" s="25">
        <v>1611</v>
      </c>
      <c r="B1631" s="25" t="s">
        <v>99</v>
      </c>
      <c r="C1631" s="26" t="s">
        <v>101</v>
      </c>
      <c r="D1631" s="27">
        <v>39174090</v>
      </c>
      <c r="E1631" s="28" t="s">
        <v>275</v>
      </c>
      <c r="F1631" s="29" t="s">
        <v>276</v>
      </c>
      <c r="G1631" s="30">
        <v>2</v>
      </c>
      <c r="H1631" s="27" t="s">
        <v>137</v>
      </c>
      <c r="I1631" s="26" t="s">
        <v>277</v>
      </c>
      <c r="J1631" s="31">
        <v>7.8</v>
      </c>
      <c r="K1631" s="32">
        <f t="shared" si="75"/>
        <v>15.6</v>
      </c>
      <c r="L1631" s="29" t="s">
        <v>276</v>
      </c>
      <c r="M1631" s="27">
        <f>IFERROR(VLOOKUP(C1631,Custo_MI_Device!$B$2:$E$102,3,FALSE),0)</f>
        <v>0</v>
      </c>
      <c r="N1631" s="27">
        <f t="shared" si="76"/>
        <v>0</v>
      </c>
      <c r="O1631" s="178">
        <f t="shared" si="77"/>
        <v>0</v>
      </c>
    </row>
    <row r="1632" spans="1:15" ht="12.75" hidden="1">
      <c r="A1632" s="25">
        <v>5081</v>
      </c>
      <c r="B1632" s="25" t="s">
        <v>99</v>
      </c>
      <c r="C1632" s="26" t="s">
        <v>101</v>
      </c>
      <c r="D1632" s="27">
        <v>73145000</v>
      </c>
      <c r="E1632" s="28" t="s">
        <v>278</v>
      </c>
      <c r="F1632" s="29">
        <v>0</v>
      </c>
      <c r="G1632" s="30">
        <v>1</v>
      </c>
      <c r="H1632" s="27" t="s">
        <v>137</v>
      </c>
      <c r="I1632" s="26" t="s">
        <v>279</v>
      </c>
      <c r="J1632" s="31">
        <v>23</v>
      </c>
      <c r="K1632" s="32">
        <f t="shared" si="75"/>
        <v>23</v>
      </c>
      <c r="L1632" s="29" t="s">
        <v>280</v>
      </c>
      <c r="M1632" s="27">
        <f>IFERROR(VLOOKUP(C1632,Custo_MI_Device!$B$2:$E$102,3,FALSE),0)</f>
        <v>0</v>
      </c>
      <c r="N1632" s="27">
        <f t="shared" si="76"/>
        <v>0</v>
      </c>
      <c r="O1632" s="178">
        <f t="shared" si="77"/>
        <v>0</v>
      </c>
    </row>
    <row r="1633" spans="1:15" ht="12.75" hidden="1">
      <c r="A1633" s="25">
        <v>2534</v>
      </c>
      <c r="B1633" s="25" t="s">
        <v>99</v>
      </c>
      <c r="C1633" s="26" t="s">
        <v>102</v>
      </c>
      <c r="D1633" s="27">
        <v>73072900</v>
      </c>
      <c r="E1633" s="28" t="s">
        <v>314</v>
      </c>
      <c r="F1633" s="29" t="s">
        <v>315</v>
      </c>
      <c r="G1633" s="30">
        <v>12</v>
      </c>
      <c r="H1633" s="27" t="s">
        <v>137</v>
      </c>
      <c r="I1633" s="26" t="s">
        <v>256</v>
      </c>
      <c r="J1633" s="31">
        <v>1.2</v>
      </c>
      <c r="K1633" s="32">
        <f t="shared" si="75"/>
        <v>14.399999999999999</v>
      </c>
      <c r="L1633" s="29" t="s">
        <v>315</v>
      </c>
      <c r="M1633" s="27">
        <f>IFERROR(VLOOKUP(C1633,Custo_MI_Device!$B$2:$E$102,3,FALSE),0)</f>
        <v>0</v>
      </c>
      <c r="N1633" s="27">
        <f t="shared" si="76"/>
        <v>0</v>
      </c>
      <c r="O1633" s="178">
        <f t="shared" si="77"/>
        <v>0</v>
      </c>
    </row>
    <row r="1634" spans="1:15" ht="12.75" hidden="1">
      <c r="A1634" s="25">
        <v>1669</v>
      </c>
      <c r="B1634" s="25" t="s">
        <v>99</v>
      </c>
      <c r="C1634" s="26" t="s">
        <v>102</v>
      </c>
      <c r="D1634" s="27">
        <v>39269090</v>
      </c>
      <c r="E1634" s="28" t="s">
        <v>316</v>
      </c>
      <c r="F1634" s="29" t="s">
        <v>317</v>
      </c>
      <c r="G1634" s="30">
        <v>3</v>
      </c>
      <c r="H1634" s="27" t="s">
        <v>137</v>
      </c>
      <c r="I1634" s="26" t="s">
        <v>318</v>
      </c>
      <c r="J1634" s="31">
        <v>0.04</v>
      </c>
      <c r="K1634" s="32">
        <f t="shared" si="75"/>
        <v>0.12</v>
      </c>
      <c r="L1634" s="29" t="s">
        <v>317</v>
      </c>
      <c r="M1634" s="27">
        <f>IFERROR(VLOOKUP(C1634,Custo_MI_Device!$B$2:$E$102,3,FALSE),0)</f>
        <v>0</v>
      </c>
      <c r="N1634" s="27">
        <f t="shared" si="76"/>
        <v>0</v>
      </c>
      <c r="O1634" s="178">
        <f t="shared" si="77"/>
        <v>0</v>
      </c>
    </row>
    <row r="1635" spans="1:15" ht="12.75" hidden="1">
      <c r="A1635" s="25">
        <v>5091</v>
      </c>
      <c r="B1635" s="25" t="s">
        <v>99</v>
      </c>
      <c r="C1635" s="26" t="s">
        <v>102</v>
      </c>
      <c r="D1635" s="27">
        <v>73181500</v>
      </c>
      <c r="E1635" s="28" t="s">
        <v>323</v>
      </c>
      <c r="F1635" s="29" t="s">
        <v>324</v>
      </c>
      <c r="G1635" s="30">
        <v>24</v>
      </c>
      <c r="H1635" s="27" t="s">
        <v>137</v>
      </c>
      <c r="I1635" s="26" t="s">
        <v>256</v>
      </c>
      <c r="J1635" s="31">
        <v>0.04</v>
      </c>
      <c r="K1635" s="32">
        <f t="shared" si="75"/>
        <v>0.96</v>
      </c>
      <c r="L1635" s="29" t="s">
        <v>324</v>
      </c>
      <c r="M1635" s="27">
        <f>IFERROR(VLOOKUP(C1635,Custo_MI_Device!$B$2:$E$102,3,FALSE),0)</f>
        <v>0</v>
      </c>
      <c r="N1635" s="27">
        <f t="shared" si="76"/>
        <v>0</v>
      </c>
      <c r="O1635" s="178">
        <f t="shared" si="77"/>
        <v>0</v>
      </c>
    </row>
    <row r="1636" spans="1:15" ht="12.75" hidden="1">
      <c r="A1636" s="25">
        <v>1117</v>
      </c>
      <c r="B1636" s="25" t="s">
        <v>99</v>
      </c>
      <c r="C1636" s="26" t="s">
        <v>102</v>
      </c>
      <c r="D1636" s="27"/>
      <c r="E1636" s="28" t="s">
        <v>145</v>
      </c>
      <c r="F1636" s="29" t="s">
        <v>146</v>
      </c>
      <c r="G1636" s="30">
        <v>1</v>
      </c>
      <c r="H1636" s="27" t="s">
        <v>137</v>
      </c>
      <c r="I1636" s="26" t="s">
        <v>138</v>
      </c>
      <c r="J1636" s="31">
        <v>1.95</v>
      </c>
      <c r="K1636" s="32">
        <f t="shared" si="75"/>
        <v>1.95</v>
      </c>
      <c r="L1636" s="29" t="s">
        <v>146</v>
      </c>
      <c r="M1636" s="27">
        <f>IFERROR(VLOOKUP(C1636,Custo_MI_Device!$B$2:$E$102,3,FALSE),0)</f>
        <v>0</v>
      </c>
      <c r="N1636" s="27">
        <f t="shared" si="76"/>
        <v>0</v>
      </c>
      <c r="O1636" s="178">
        <f t="shared" si="77"/>
        <v>0</v>
      </c>
    </row>
    <row r="1637" spans="1:15" ht="38.25" hidden="1">
      <c r="A1637" s="25">
        <v>3585</v>
      </c>
      <c r="B1637" s="25" t="s">
        <v>99</v>
      </c>
      <c r="C1637" s="26" t="s">
        <v>102</v>
      </c>
      <c r="D1637" s="27">
        <v>85444900</v>
      </c>
      <c r="E1637" s="28" t="s">
        <v>328</v>
      </c>
      <c r="F1637" s="29">
        <v>900400</v>
      </c>
      <c r="G1637" s="30">
        <v>50</v>
      </c>
      <c r="H1637" s="27" t="s">
        <v>158</v>
      </c>
      <c r="I1637" s="26" t="s">
        <v>164</v>
      </c>
      <c r="J1637" s="31">
        <v>1.7</v>
      </c>
      <c r="K1637" s="32">
        <f t="shared" si="75"/>
        <v>85</v>
      </c>
      <c r="L1637" s="29">
        <v>900400</v>
      </c>
      <c r="M1637" s="27">
        <f>IFERROR(VLOOKUP(C1637,Custo_MI_Device!$B$2:$E$102,3,FALSE),0)</f>
        <v>0</v>
      </c>
      <c r="N1637" s="27">
        <f t="shared" si="76"/>
        <v>0</v>
      </c>
      <c r="O1637" s="178">
        <f t="shared" si="77"/>
        <v>0</v>
      </c>
    </row>
    <row r="1638" spans="1:15" ht="25.5" hidden="1">
      <c r="A1638" s="25">
        <v>4288</v>
      </c>
      <c r="B1638" s="25" t="s">
        <v>99</v>
      </c>
      <c r="C1638" s="26" t="s">
        <v>102</v>
      </c>
      <c r="D1638" s="27">
        <v>85444900</v>
      </c>
      <c r="E1638" s="28" t="s">
        <v>334</v>
      </c>
      <c r="F1638" s="29" t="s">
        <v>335</v>
      </c>
      <c r="G1638" s="30">
        <v>50</v>
      </c>
      <c r="H1638" s="27" t="s">
        <v>158</v>
      </c>
      <c r="I1638" s="26" t="s">
        <v>336</v>
      </c>
      <c r="J1638" s="31">
        <v>23.9</v>
      </c>
      <c r="K1638" s="32">
        <f t="shared" si="75"/>
        <v>1195</v>
      </c>
      <c r="L1638" s="29" t="s">
        <v>335</v>
      </c>
      <c r="M1638" s="27">
        <f>IFERROR(VLOOKUP(C1638,Custo_MI_Device!$B$2:$E$102,3,FALSE),0)</f>
        <v>0</v>
      </c>
      <c r="N1638" s="27">
        <f t="shared" si="76"/>
        <v>0</v>
      </c>
      <c r="O1638" s="178">
        <f t="shared" si="77"/>
        <v>0</v>
      </c>
    </row>
    <row r="1639" spans="1:15" ht="12.75" hidden="1">
      <c r="A1639" s="25">
        <v>2805</v>
      </c>
      <c r="B1639" s="25" t="s">
        <v>99</v>
      </c>
      <c r="C1639" s="26" t="s">
        <v>102</v>
      </c>
      <c r="D1639" s="27">
        <v>72162100</v>
      </c>
      <c r="E1639" s="28" t="s">
        <v>174</v>
      </c>
      <c r="F1639" s="29">
        <v>0</v>
      </c>
      <c r="G1639" s="30">
        <v>2.9</v>
      </c>
      <c r="H1639" s="27" t="s">
        <v>175</v>
      </c>
      <c r="I1639" s="26" t="s">
        <v>176</v>
      </c>
      <c r="J1639" s="31">
        <v>4.22</v>
      </c>
      <c r="K1639" s="32">
        <f t="shared" si="75"/>
        <v>12.238</v>
      </c>
      <c r="L1639" s="29" t="s">
        <v>177</v>
      </c>
      <c r="M1639" s="27">
        <f>IFERROR(VLOOKUP(C1639,Custo_MI_Device!$B$2:$E$102,3,FALSE),0)</f>
        <v>0</v>
      </c>
      <c r="N1639" s="27">
        <f t="shared" si="76"/>
        <v>0</v>
      </c>
      <c r="O1639" s="178">
        <f t="shared" si="77"/>
        <v>0</v>
      </c>
    </row>
    <row r="1640" spans="1:15" ht="12.75" hidden="1">
      <c r="A1640" s="25">
        <v>4823</v>
      </c>
      <c r="B1640" s="25" t="s">
        <v>99</v>
      </c>
      <c r="C1640" s="26" t="s">
        <v>102</v>
      </c>
      <c r="D1640" s="27">
        <v>76090000</v>
      </c>
      <c r="E1640" s="28" t="s">
        <v>199</v>
      </c>
      <c r="F1640" s="29" t="s">
        <v>200</v>
      </c>
      <c r="G1640" s="30">
        <v>0.75</v>
      </c>
      <c r="H1640" s="27" t="s">
        <v>137</v>
      </c>
      <c r="I1640" s="26" t="s">
        <v>138</v>
      </c>
      <c r="J1640" s="31">
        <v>6.7</v>
      </c>
      <c r="K1640" s="32">
        <f t="shared" si="75"/>
        <v>5.0250000000000004</v>
      </c>
      <c r="L1640" s="29" t="s">
        <v>200</v>
      </c>
      <c r="M1640" s="27">
        <f>IFERROR(VLOOKUP(C1640,Custo_MI_Device!$B$2:$E$102,3,FALSE),0)</f>
        <v>0</v>
      </c>
      <c r="N1640" s="27">
        <f t="shared" si="76"/>
        <v>0</v>
      </c>
      <c r="O1640" s="178">
        <f t="shared" si="77"/>
        <v>0</v>
      </c>
    </row>
    <row r="1641" spans="1:15" ht="12.75" hidden="1">
      <c r="A1641" s="25">
        <v>2912</v>
      </c>
      <c r="B1641" s="25" t="s">
        <v>99</v>
      </c>
      <c r="C1641" s="26" t="s">
        <v>102</v>
      </c>
      <c r="D1641" s="27">
        <v>76090000</v>
      </c>
      <c r="E1641" s="28" t="s">
        <v>201</v>
      </c>
      <c r="F1641" s="29" t="s">
        <v>202</v>
      </c>
      <c r="G1641" s="30">
        <v>0.5</v>
      </c>
      <c r="H1641" s="27" t="s">
        <v>137</v>
      </c>
      <c r="I1641" s="26" t="s">
        <v>138</v>
      </c>
      <c r="J1641" s="31">
        <v>7.5</v>
      </c>
      <c r="K1641" s="32">
        <f t="shared" si="75"/>
        <v>3.75</v>
      </c>
      <c r="L1641" s="29" t="s">
        <v>202</v>
      </c>
      <c r="M1641" s="27">
        <f>IFERROR(VLOOKUP(C1641,Custo_MI_Device!$B$2:$E$102,3,FALSE),0)</f>
        <v>0</v>
      </c>
      <c r="N1641" s="27">
        <f t="shared" si="76"/>
        <v>0</v>
      </c>
      <c r="O1641" s="178">
        <f t="shared" si="77"/>
        <v>0</v>
      </c>
    </row>
    <row r="1642" spans="1:15" ht="25.5" hidden="1">
      <c r="A1642" s="25">
        <v>3436</v>
      </c>
      <c r="B1642" s="25" t="s">
        <v>99</v>
      </c>
      <c r="C1642" s="26" t="s">
        <v>102</v>
      </c>
      <c r="D1642" s="27">
        <v>76090000</v>
      </c>
      <c r="E1642" s="28" t="s">
        <v>193</v>
      </c>
      <c r="F1642" s="29" t="s">
        <v>194</v>
      </c>
      <c r="G1642" s="30">
        <v>1</v>
      </c>
      <c r="H1642" s="27" t="s">
        <v>137</v>
      </c>
      <c r="I1642" s="26" t="s">
        <v>138</v>
      </c>
      <c r="J1642" s="31">
        <v>6.7</v>
      </c>
      <c r="K1642" s="32">
        <f t="shared" si="75"/>
        <v>6.7</v>
      </c>
      <c r="L1642" s="29" t="s">
        <v>194</v>
      </c>
      <c r="M1642" s="27">
        <f>IFERROR(VLOOKUP(C1642,Custo_MI_Device!$B$2:$E$102,3,FALSE),0)</f>
        <v>0</v>
      </c>
      <c r="N1642" s="27">
        <f t="shared" si="76"/>
        <v>0</v>
      </c>
      <c r="O1642" s="178">
        <f t="shared" si="77"/>
        <v>0</v>
      </c>
    </row>
    <row r="1643" spans="1:15" ht="25.5" hidden="1">
      <c r="A1643" s="25">
        <v>4306</v>
      </c>
      <c r="B1643" s="25" t="s">
        <v>99</v>
      </c>
      <c r="C1643" s="26" t="s">
        <v>102</v>
      </c>
      <c r="D1643" s="27">
        <v>73063000</v>
      </c>
      <c r="E1643" s="28" t="s">
        <v>239</v>
      </c>
      <c r="F1643" s="29">
        <v>0</v>
      </c>
      <c r="G1643" s="30">
        <v>4</v>
      </c>
      <c r="H1643" s="27" t="s">
        <v>232</v>
      </c>
      <c r="I1643" s="26" t="s">
        <v>233</v>
      </c>
      <c r="J1643" s="31">
        <v>32</v>
      </c>
      <c r="K1643" s="32">
        <f t="shared" si="75"/>
        <v>128</v>
      </c>
      <c r="L1643" s="29" t="s">
        <v>240</v>
      </c>
      <c r="M1643" s="27">
        <f>IFERROR(VLOOKUP(C1643,Custo_MI_Device!$B$2:$E$102,3,FALSE),0)</f>
        <v>0</v>
      </c>
      <c r="N1643" s="27">
        <f t="shared" si="76"/>
        <v>0</v>
      </c>
      <c r="O1643" s="178">
        <f t="shared" si="77"/>
        <v>0</v>
      </c>
    </row>
    <row r="1644" spans="1:15" ht="12.75" hidden="1">
      <c r="A1644" s="25">
        <v>4867</v>
      </c>
      <c r="B1644" s="25" t="s">
        <v>99</v>
      </c>
      <c r="C1644" s="26" t="s">
        <v>102</v>
      </c>
      <c r="D1644" s="27">
        <v>73072900</v>
      </c>
      <c r="E1644" s="28" t="s">
        <v>244</v>
      </c>
      <c r="F1644" s="29">
        <v>0</v>
      </c>
      <c r="G1644" s="30">
        <v>1</v>
      </c>
      <c r="H1644" s="27" t="s">
        <v>137</v>
      </c>
      <c r="I1644" s="26" t="s">
        <v>233</v>
      </c>
      <c r="J1644" s="31">
        <v>2.15</v>
      </c>
      <c r="K1644" s="32">
        <f t="shared" si="75"/>
        <v>2.15</v>
      </c>
      <c r="L1644" s="29" t="s">
        <v>245</v>
      </c>
      <c r="M1644" s="27">
        <f>IFERROR(VLOOKUP(C1644,Custo_MI_Device!$B$2:$E$102,3,FALSE),0)</f>
        <v>0</v>
      </c>
      <c r="N1644" s="27">
        <f t="shared" si="76"/>
        <v>0</v>
      </c>
      <c r="O1644" s="178">
        <f t="shared" si="77"/>
        <v>0</v>
      </c>
    </row>
    <row r="1645" spans="1:15" ht="12.75" hidden="1">
      <c r="A1645" s="25">
        <v>3316</v>
      </c>
      <c r="B1645" s="25" t="s">
        <v>99</v>
      </c>
      <c r="C1645" s="26" t="s">
        <v>102</v>
      </c>
      <c r="D1645" s="27">
        <v>0</v>
      </c>
      <c r="E1645" s="28" t="s">
        <v>246</v>
      </c>
      <c r="F1645" s="29" t="s">
        <v>247</v>
      </c>
      <c r="G1645" s="30">
        <v>1</v>
      </c>
      <c r="H1645" s="27" t="s">
        <v>137</v>
      </c>
      <c r="I1645" s="26" t="s">
        <v>248</v>
      </c>
      <c r="J1645" s="31">
        <v>5.5</v>
      </c>
      <c r="K1645" s="32">
        <f t="shared" si="75"/>
        <v>5.5</v>
      </c>
      <c r="L1645" s="29" t="s">
        <v>247</v>
      </c>
      <c r="M1645" s="27">
        <f>IFERROR(VLOOKUP(C1645,Custo_MI_Device!$B$2:$E$102,3,FALSE),0)</f>
        <v>0</v>
      </c>
      <c r="N1645" s="27">
        <f t="shared" si="76"/>
        <v>0</v>
      </c>
      <c r="O1645" s="178">
        <f t="shared" si="77"/>
        <v>0</v>
      </c>
    </row>
    <row r="1646" spans="1:15" ht="12.75" hidden="1">
      <c r="A1646" s="25">
        <v>3274</v>
      </c>
      <c r="B1646" s="25" t="s">
        <v>99</v>
      </c>
      <c r="C1646" s="26" t="s">
        <v>102</v>
      </c>
      <c r="D1646" s="27">
        <v>73181500</v>
      </c>
      <c r="E1646" s="28" t="s">
        <v>265</v>
      </c>
      <c r="F1646" s="29" t="s">
        <v>266</v>
      </c>
      <c r="G1646" s="30">
        <v>24</v>
      </c>
      <c r="H1646" s="27" t="s">
        <v>137</v>
      </c>
      <c r="I1646" s="26" t="s">
        <v>256</v>
      </c>
      <c r="J1646" s="31">
        <v>0.06</v>
      </c>
      <c r="K1646" s="32">
        <f t="shared" si="75"/>
        <v>1.44</v>
      </c>
      <c r="L1646" s="29" t="s">
        <v>266</v>
      </c>
      <c r="M1646" s="27">
        <f>IFERROR(VLOOKUP(C1646,Custo_MI_Device!$B$2:$E$102,3,FALSE),0)</f>
        <v>0</v>
      </c>
      <c r="N1646" s="27">
        <f t="shared" si="76"/>
        <v>0</v>
      </c>
      <c r="O1646" s="178">
        <f t="shared" si="77"/>
        <v>0</v>
      </c>
    </row>
    <row r="1647" spans="1:15" ht="25.5" hidden="1">
      <c r="A1647" s="25">
        <v>1611</v>
      </c>
      <c r="B1647" s="25" t="s">
        <v>99</v>
      </c>
      <c r="C1647" s="26" t="s">
        <v>102</v>
      </c>
      <c r="D1647" s="27">
        <v>39174090</v>
      </c>
      <c r="E1647" s="28" t="s">
        <v>275</v>
      </c>
      <c r="F1647" s="29" t="s">
        <v>276</v>
      </c>
      <c r="G1647" s="30">
        <v>2</v>
      </c>
      <c r="H1647" s="27" t="s">
        <v>137</v>
      </c>
      <c r="I1647" s="26" t="s">
        <v>277</v>
      </c>
      <c r="J1647" s="31">
        <v>7.8</v>
      </c>
      <c r="K1647" s="32">
        <f t="shared" si="75"/>
        <v>15.6</v>
      </c>
      <c r="L1647" s="29" t="s">
        <v>276</v>
      </c>
      <c r="M1647" s="27">
        <f>IFERROR(VLOOKUP(C1647,Custo_MI_Device!$B$2:$E$102,3,FALSE),0)</f>
        <v>0</v>
      </c>
      <c r="N1647" s="27">
        <f t="shared" si="76"/>
        <v>0</v>
      </c>
      <c r="O1647" s="178">
        <f t="shared" si="77"/>
        <v>0</v>
      </c>
    </row>
    <row r="1648" spans="1:15" ht="12.75" hidden="1">
      <c r="A1648" s="25">
        <v>5081</v>
      </c>
      <c r="B1648" s="25" t="s">
        <v>99</v>
      </c>
      <c r="C1648" s="26" t="s">
        <v>102</v>
      </c>
      <c r="D1648" s="27">
        <v>73145000</v>
      </c>
      <c r="E1648" s="28" t="s">
        <v>278</v>
      </c>
      <c r="F1648" s="29">
        <v>0</v>
      </c>
      <c r="G1648" s="30">
        <v>1</v>
      </c>
      <c r="H1648" s="27" t="s">
        <v>137</v>
      </c>
      <c r="I1648" s="26" t="s">
        <v>279</v>
      </c>
      <c r="J1648" s="31">
        <v>23</v>
      </c>
      <c r="K1648" s="32">
        <f t="shared" si="75"/>
        <v>23</v>
      </c>
      <c r="L1648" s="29" t="s">
        <v>280</v>
      </c>
      <c r="M1648" s="27">
        <f>IFERROR(VLOOKUP(C1648,Custo_MI_Device!$B$2:$E$102,3,FALSE),0)</f>
        <v>0</v>
      </c>
      <c r="N1648" s="27">
        <f t="shared" si="76"/>
        <v>0</v>
      </c>
      <c r="O1648" s="178">
        <f t="shared" si="77"/>
        <v>0</v>
      </c>
    </row>
    <row r="1649" spans="1:15" ht="12.75" hidden="1">
      <c r="A1649" s="25">
        <v>2534</v>
      </c>
      <c r="B1649" s="25" t="s">
        <v>99</v>
      </c>
      <c r="C1649" s="26" t="s">
        <v>103</v>
      </c>
      <c r="D1649" s="27">
        <v>73072900</v>
      </c>
      <c r="E1649" s="28" t="s">
        <v>314</v>
      </c>
      <c r="F1649" s="29" t="s">
        <v>315</v>
      </c>
      <c r="G1649" s="30">
        <v>12</v>
      </c>
      <c r="H1649" s="27" t="s">
        <v>137</v>
      </c>
      <c r="I1649" s="26" t="s">
        <v>256</v>
      </c>
      <c r="J1649" s="31">
        <v>1.2</v>
      </c>
      <c r="K1649" s="32">
        <f t="shared" si="75"/>
        <v>14.399999999999999</v>
      </c>
      <c r="L1649" s="29" t="s">
        <v>315</v>
      </c>
      <c r="M1649" s="27">
        <f>IFERROR(VLOOKUP(C1649,Custo_MI_Device!$B$2:$E$102,3,FALSE),0)</f>
        <v>0</v>
      </c>
      <c r="N1649" s="27">
        <f t="shared" si="76"/>
        <v>0</v>
      </c>
      <c r="O1649" s="178">
        <f t="shared" si="77"/>
        <v>0</v>
      </c>
    </row>
    <row r="1650" spans="1:15" ht="12.75" hidden="1">
      <c r="A1650" s="25">
        <v>1669</v>
      </c>
      <c r="B1650" s="25" t="s">
        <v>99</v>
      </c>
      <c r="C1650" s="26" t="s">
        <v>103</v>
      </c>
      <c r="D1650" s="27">
        <v>39269090</v>
      </c>
      <c r="E1650" s="28" t="s">
        <v>316</v>
      </c>
      <c r="F1650" s="29" t="s">
        <v>317</v>
      </c>
      <c r="G1650" s="30">
        <v>3</v>
      </c>
      <c r="H1650" s="27" t="s">
        <v>137</v>
      </c>
      <c r="I1650" s="26" t="s">
        <v>318</v>
      </c>
      <c r="J1650" s="31">
        <v>0.04</v>
      </c>
      <c r="K1650" s="32">
        <f t="shared" si="75"/>
        <v>0.12</v>
      </c>
      <c r="L1650" s="29" t="s">
        <v>317</v>
      </c>
      <c r="M1650" s="27">
        <f>IFERROR(VLOOKUP(C1650,Custo_MI_Device!$B$2:$E$102,3,FALSE),0)</f>
        <v>0</v>
      </c>
      <c r="N1650" s="27">
        <f t="shared" si="76"/>
        <v>0</v>
      </c>
      <c r="O1650" s="178">
        <f t="shared" si="77"/>
        <v>0</v>
      </c>
    </row>
    <row r="1651" spans="1:15" ht="12.75" hidden="1">
      <c r="A1651" s="25">
        <v>5091</v>
      </c>
      <c r="B1651" s="25" t="s">
        <v>99</v>
      </c>
      <c r="C1651" s="26" t="s">
        <v>103</v>
      </c>
      <c r="D1651" s="27">
        <v>73181500</v>
      </c>
      <c r="E1651" s="28" t="s">
        <v>323</v>
      </c>
      <c r="F1651" s="29" t="s">
        <v>324</v>
      </c>
      <c r="G1651" s="30">
        <v>24</v>
      </c>
      <c r="H1651" s="27" t="s">
        <v>137</v>
      </c>
      <c r="I1651" s="26" t="s">
        <v>256</v>
      </c>
      <c r="J1651" s="31">
        <v>0.04</v>
      </c>
      <c r="K1651" s="32">
        <f t="shared" si="75"/>
        <v>0.96</v>
      </c>
      <c r="L1651" s="29" t="s">
        <v>324</v>
      </c>
      <c r="M1651" s="27">
        <f>IFERROR(VLOOKUP(C1651,Custo_MI_Device!$B$2:$E$102,3,FALSE),0)</f>
        <v>0</v>
      </c>
      <c r="N1651" s="27">
        <f t="shared" si="76"/>
        <v>0</v>
      </c>
      <c r="O1651" s="178">
        <f t="shared" si="77"/>
        <v>0</v>
      </c>
    </row>
    <row r="1652" spans="1:15" ht="12.75" hidden="1">
      <c r="A1652" s="25">
        <v>1117</v>
      </c>
      <c r="B1652" s="25" t="s">
        <v>99</v>
      </c>
      <c r="C1652" s="26" t="s">
        <v>103</v>
      </c>
      <c r="D1652" s="27"/>
      <c r="E1652" s="28" t="s">
        <v>145</v>
      </c>
      <c r="F1652" s="29" t="s">
        <v>146</v>
      </c>
      <c r="G1652" s="30">
        <v>1</v>
      </c>
      <c r="H1652" s="27" t="s">
        <v>137</v>
      </c>
      <c r="I1652" s="26" t="s">
        <v>138</v>
      </c>
      <c r="J1652" s="31">
        <v>1.95</v>
      </c>
      <c r="K1652" s="32">
        <f t="shared" si="75"/>
        <v>1.95</v>
      </c>
      <c r="L1652" s="29" t="s">
        <v>146</v>
      </c>
      <c r="M1652" s="27">
        <f>IFERROR(VLOOKUP(C1652,Custo_MI_Device!$B$2:$E$102,3,FALSE),0)</f>
        <v>0</v>
      </c>
      <c r="N1652" s="27">
        <f t="shared" si="76"/>
        <v>0</v>
      </c>
      <c r="O1652" s="178">
        <f t="shared" si="77"/>
        <v>0</v>
      </c>
    </row>
    <row r="1653" spans="1:15" ht="25.5" hidden="1">
      <c r="A1653" s="25">
        <v>5139</v>
      </c>
      <c r="B1653" s="25" t="s">
        <v>99</v>
      </c>
      <c r="C1653" s="26" t="s">
        <v>103</v>
      </c>
      <c r="D1653" s="27">
        <v>85444900</v>
      </c>
      <c r="E1653" s="28" t="s">
        <v>170</v>
      </c>
      <c r="F1653" s="29" t="s">
        <v>171</v>
      </c>
      <c r="G1653" s="30">
        <v>15</v>
      </c>
      <c r="H1653" s="27" t="s">
        <v>158</v>
      </c>
      <c r="I1653" s="26" t="s">
        <v>172</v>
      </c>
      <c r="J1653" s="31">
        <v>7.5</v>
      </c>
      <c r="K1653" s="32">
        <f t="shared" si="75"/>
        <v>112.5</v>
      </c>
      <c r="L1653" s="29" t="s">
        <v>173</v>
      </c>
      <c r="M1653" s="27">
        <f>IFERROR(VLOOKUP(C1653,Custo_MI_Device!$B$2:$E$102,3,FALSE),0)</f>
        <v>0</v>
      </c>
      <c r="N1653" s="27">
        <f t="shared" si="76"/>
        <v>0</v>
      </c>
      <c r="O1653" s="178">
        <f t="shared" si="77"/>
        <v>0</v>
      </c>
    </row>
    <row r="1654" spans="1:15" ht="25.5" hidden="1">
      <c r="A1654" s="25">
        <v>4288</v>
      </c>
      <c r="B1654" s="25" t="s">
        <v>99</v>
      </c>
      <c r="C1654" s="26" t="s">
        <v>103</v>
      </c>
      <c r="D1654" s="27">
        <v>85444900</v>
      </c>
      <c r="E1654" s="28" t="s">
        <v>334</v>
      </c>
      <c r="F1654" s="29" t="s">
        <v>335</v>
      </c>
      <c r="G1654" s="30">
        <v>30</v>
      </c>
      <c r="H1654" s="27" t="s">
        <v>158</v>
      </c>
      <c r="I1654" s="26" t="s">
        <v>336</v>
      </c>
      <c r="J1654" s="31">
        <v>23.9</v>
      </c>
      <c r="K1654" s="32">
        <f t="shared" si="75"/>
        <v>717</v>
      </c>
      <c r="L1654" s="29" t="s">
        <v>335</v>
      </c>
      <c r="M1654" s="27">
        <f>IFERROR(VLOOKUP(C1654,Custo_MI_Device!$B$2:$E$102,3,FALSE),0)</f>
        <v>0</v>
      </c>
      <c r="N1654" s="27">
        <f t="shared" si="76"/>
        <v>0</v>
      </c>
      <c r="O1654" s="178">
        <f t="shared" si="77"/>
        <v>0</v>
      </c>
    </row>
    <row r="1655" spans="1:15" ht="12.75" hidden="1">
      <c r="A1655" s="25">
        <v>2805</v>
      </c>
      <c r="B1655" s="25" t="s">
        <v>99</v>
      </c>
      <c r="C1655" s="26" t="s">
        <v>103</v>
      </c>
      <c r="D1655" s="27">
        <v>72162100</v>
      </c>
      <c r="E1655" s="28" t="s">
        <v>174</v>
      </c>
      <c r="F1655" s="29">
        <v>0</v>
      </c>
      <c r="G1655" s="30">
        <v>2.9</v>
      </c>
      <c r="H1655" s="27" t="s">
        <v>175</v>
      </c>
      <c r="I1655" s="26" t="s">
        <v>176</v>
      </c>
      <c r="J1655" s="31">
        <v>4.22</v>
      </c>
      <c r="K1655" s="32">
        <f t="shared" si="75"/>
        <v>12.238</v>
      </c>
      <c r="L1655" s="29" t="s">
        <v>177</v>
      </c>
      <c r="M1655" s="27">
        <f>IFERROR(VLOOKUP(C1655,Custo_MI_Device!$B$2:$E$102,3,FALSE),0)</f>
        <v>0</v>
      </c>
      <c r="N1655" s="27">
        <f t="shared" si="76"/>
        <v>0</v>
      </c>
      <c r="O1655" s="178">
        <f t="shared" si="77"/>
        <v>0</v>
      </c>
    </row>
    <row r="1656" spans="1:15" ht="12.75" hidden="1">
      <c r="A1656" s="25">
        <v>4823</v>
      </c>
      <c r="B1656" s="25" t="s">
        <v>99</v>
      </c>
      <c r="C1656" s="26" t="s">
        <v>103</v>
      </c>
      <c r="D1656" s="27">
        <v>76090000</v>
      </c>
      <c r="E1656" s="28" t="s">
        <v>199</v>
      </c>
      <c r="F1656" s="29" t="s">
        <v>200</v>
      </c>
      <c r="G1656" s="30">
        <v>0.75</v>
      </c>
      <c r="H1656" s="27" t="s">
        <v>137</v>
      </c>
      <c r="I1656" s="26" t="s">
        <v>138</v>
      </c>
      <c r="J1656" s="31">
        <v>6.7</v>
      </c>
      <c r="K1656" s="32">
        <f t="shared" si="75"/>
        <v>5.0250000000000004</v>
      </c>
      <c r="L1656" s="29" t="s">
        <v>200</v>
      </c>
      <c r="M1656" s="27">
        <f>IFERROR(VLOOKUP(C1656,Custo_MI_Device!$B$2:$E$102,3,FALSE),0)</f>
        <v>0</v>
      </c>
      <c r="N1656" s="27">
        <f t="shared" si="76"/>
        <v>0</v>
      </c>
      <c r="O1656" s="178">
        <f t="shared" si="77"/>
        <v>0</v>
      </c>
    </row>
    <row r="1657" spans="1:15" ht="12.75" hidden="1">
      <c r="A1657" s="25">
        <v>2912</v>
      </c>
      <c r="B1657" s="25" t="s">
        <v>99</v>
      </c>
      <c r="C1657" s="26" t="s">
        <v>103</v>
      </c>
      <c r="D1657" s="27">
        <v>76090000</v>
      </c>
      <c r="E1657" s="28" t="s">
        <v>201</v>
      </c>
      <c r="F1657" s="29" t="s">
        <v>202</v>
      </c>
      <c r="G1657" s="30">
        <v>0.5</v>
      </c>
      <c r="H1657" s="27" t="s">
        <v>137</v>
      </c>
      <c r="I1657" s="26" t="s">
        <v>138</v>
      </c>
      <c r="J1657" s="31">
        <v>7.5</v>
      </c>
      <c r="K1657" s="32">
        <f t="shared" si="75"/>
        <v>3.75</v>
      </c>
      <c r="L1657" s="29" t="s">
        <v>202</v>
      </c>
      <c r="M1657" s="27">
        <f>IFERROR(VLOOKUP(C1657,Custo_MI_Device!$B$2:$E$102,3,FALSE),0)</f>
        <v>0</v>
      </c>
      <c r="N1657" s="27">
        <f t="shared" si="76"/>
        <v>0</v>
      </c>
      <c r="O1657" s="178">
        <f t="shared" si="77"/>
        <v>0</v>
      </c>
    </row>
    <row r="1658" spans="1:15" ht="25.5" hidden="1">
      <c r="A1658" s="25">
        <v>3436</v>
      </c>
      <c r="B1658" s="25" t="s">
        <v>99</v>
      </c>
      <c r="C1658" s="26" t="s">
        <v>103</v>
      </c>
      <c r="D1658" s="27">
        <v>76090000</v>
      </c>
      <c r="E1658" s="28" t="s">
        <v>193</v>
      </c>
      <c r="F1658" s="29" t="s">
        <v>194</v>
      </c>
      <c r="G1658" s="30">
        <v>1</v>
      </c>
      <c r="H1658" s="27" t="s">
        <v>137</v>
      </c>
      <c r="I1658" s="26" t="s">
        <v>138</v>
      </c>
      <c r="J1658" s="31">
        <v>6.7</v>
      </c>
      <c r="K1658" s="32">
        <f t="shared" si="75"/>
        <v>6.7</v>
      </c>
      <c r="L1658" s="29" t="s">
        <v>194</v>
      </c>
      <c r="M1658" s="27">
        <f>IFERROR(VLOOKUP(C1658,Custo_MI_Device!$B$2:$E$102,3,FALSE),0)</f>
        <v>0</v>
      </c>
      <c r="N1658" s="27">
        <f t="shared" si="76"/>
        <v>0</v>
      </c>
      <c r="O1658" s="178">
        <f t="shared" si="77"/>
        <v>0</v>
      </c>
    </row>
    <row r="1659" spans="1:15" ht="25.5" hidden="1">
      <c r="A1659" s="25">
        <v>4306</v>
      </c>
      <c r="B1659" s="25" t="s">
        <v>99</v>
      </c>
      <c r="C1659" s="26" t="s">
        <v>103</v>
      </c>
      <c r="D1659" s="27">
        <v>73063000</v>
      </c>
      <c r="E1659" s="28" t="s">
        <v>239</v>
      </c>
      <c r="F1659" s="29">
        <v>0</v>
      </c>
      <c r="G1659" s="30">
        <v>4</v>
      </c>
      <c r="H1659" s="27" t="s">
        <v>232</v>
      </c>
      <c r="I1659" s="26" t="s">
        <v>233</v>
      </c>
      <c r="J1659" s="31">
        <v>32</v>
      </c>
      <c r="K1659" s="32">
        <f t="shared" si="75"/>
        <v>128</v>
      </c>
      <c r="L1659" s="29" t="s">
        <v>240</v>
      </c>
      <c r="M1659" s="27">
        <f>IFERROR(VLOOKUP(C1659,Custo_MI_Device!$B$2:$E$102,3,FALSE),0)</f>
        <v>0</v>
      </c>
      <c r="N1659" s="27">
        <f t="shared" si="76"/>
        <v>0</v>
      </c>
      <c r="O1659" s="178">
        <f t="shared" si="77"/>
        <v>0</v>
      </c>
    </row>
    <row r="1660" spans="1:15" ht="12.75" hidden="1">
      <c r="A1660" s="25">
        <v>4867</v>
      </c>
      <c r="B1660" s="25" t="s">
        <v>99</v>
      </c>
      <c r="C1660" s="26" t="s">
        <v>103</v>
      </c>
      <c r="D1660" s="27">
        <v>73072900</v>
      </c>
      <c r="E1660" s="28" t="s">
        <v>244</v>
      </c>
      <c r="F1660" s="29">
        <v>0</v>
      </c>
      <c r="G1660" s="30">
        <v>1</v>
      </c>
      <c r="H1660" s="27" t="s">
        <v>137</v>
      </c>
      <c r="I1660" s="26" t="s">
        <v>233</v>
      </c>
      <c r="J1660" s="31">
        <v>2.15</v>
      </c>
      <c r="K1660" s="32">
        <f t="shared" si="75"/>
        <v>2.15</v>
      </c>
      <c r="L1660" s="29" t="s">
        <v>245</v>
      </c>
      <c r="M1660" s="27">
        <f>IFERROR(VLOOKUP(C1660,Custo_MI_Device!$B$2:$E$102,3,FALSE),0)</f>
        <v>0</v>
      </c>
      <c r="N1660" s="27">
        <f t="shared" si="76"/>
        <v>0</v>
      </c>
      <c r="O1660" s="178">
        <f t="shared" si="77"/>
        <v>0</v>
      </c>
    </row>
    <row r="1661" spans="1:15" ht="12.75" hidden="1">
      <c r="A1661" s="25">
        <v>3316</v>
      </c>
      <c r="B1661" s="25" t="s">
        <v>99</v>
      </c>
      <c r="C1661" s="26" t="s">
        <v>103</v>
      </c>
      <c r="D1661" s="27">
        <v>0</v>
      </c>
      <c r="E1661" s="28" t="s">
        <v>246</v>
      </c>
      <c r="F1661" s="29" t="s">
        <v>247</v>
      </c>
      <c r="G1661" s="30">
        <v>1</v>
      </c>
      <c r="H1661" s="27" t="s">
        <v>137</v>
      </c>
      <c r="I1661" s="26" t="s">
        <v>248</v>
      </c>
      <c r="J1661" s="31">
        <v>5.5</v>
      </c>
      <c r="K1661" s="32">
        <f t="shared" si="75"/>
        <v>5.5</v>
      </c>
      <c r="L1661" s="29" t="s">
        <v>247</v>
      </c>
      <c r="M1661" s="27">
        <f>IFERROR(VLOOKUP(C1661,Custo_MI_Device!$B$2:$E$102,3,FALSE),0)</f>
        <v>0</v>
      </c>
      <c r="N1661" s="27">
        <f t="shared" si="76"/>
        <v>0</v>
      </c>
      <c r="O1661" s="178">
        <f t="shared" si="77"/>
        <v>0</v>
      </c>
    </row>
    <row r="1662" spans="1:15" ht="12.75" hidden="1">
      <c r="A1662" s="25">
        <v>3274</v>
      </c>
      <c r="B1662" s="25" t="s">
        <v>99</v>
      </c>
      <c r="C1662" s="26" t="s">
        <v>103</v>
      </c>
      <c r="D1662" s="27">
        <v>73181500</v>
      </c>
      <c r="E1662" s="28" t="s">
        <v>265</v>
      </c>
      <c r="F1662" s="29" t="s">
        <v>266</v>
      </c>
      <c r="G1662" s="30">
        <v>24</v>
      </c>
      <c r="H1662" s="27" t="s">
        <v>137</v>
      </c>
      <c r="I1662" s="26" t="s">
        <v>256</v>
      </c>
      <c r="J1662" s="31">
        <v>0.06</v>
      </c>
      <c r="K1662" s="32">
        <f t="shared" si="75"/>
        <v>1.44</v>
      </c>
      <c r="L1662" s="29" t="s">
        <v>266</v>
      </c>
      <c r="M1662" s="27">
        <f>IFERROR(VLOOKUP(C1662,Custo_MI_Device!$B$2:$E$102,3,FALSE),0)</f>
        <v>0</v>
      </c>
      <c r="N1662" s="27">
        <f t="shared" si="76"/>
        <v>0</v>
      </c>
      <c r="O1662" s="178">
        <f t="shared" si="77"/>
        <v>0</v>
      </c>
    </row>
    <row r="1663" spans="1:15" ht="25.5" hidden="1">
      <c r="A1663" s="25">
        <v>1611</v>
      </c>
      <c r="B1663" s="25" t="s">
        <v>99</v>
      </c>
      <c r="C1663" s="26" t="s">
        <v>103</v>
      </c>
      <c r="D1663" s="27">
        <v>39174090</v>
      </c>
      <c r="E1663" s="28" t="s">
        <v>275</v>
      </c>
      <c r="F1663" s="29" t="s">
        <v>276</v>
      </c>
      <c r="G1663" s="30">
        <v>2</v>
      </c>
      <c r="H1663" s="27" t="s">
        <v>137</v>
      </c>
      <c r="I1663" s="26" t="s">
        <v>277</v>
      </c>
      <c r="J1663" s="31">
        <v>7.8</v>
      </c>
      <c r="K1663" s="32">
        <f t="shared" si="75"/>
        <v>15.6</v>
      </c>
      <c r="L1663" s="29" t="s">
        <v>276</v>
      </c>
      <c r="M1663" s="27">
        <f>IFERROR(VLOOKUP(C1663,Custo_MI_Device!$B$2:$E$102,3,FALSE),0)</f>
        <v>0</v>
      </c>
      <c r="N1663" s="27">
        <f t="shared" si="76"/>
        <v>0</v>
      </c>
      <c r="O1663" s="178">
        <f t="shared" si="77"/>
        <v>0</v>
      </c>
    </row>
    <row r="1664" spans="1:15" ht="12.75" hidden="1">
      <c r="A1664" s="25">
        <v>5081</v>
      </c>
      <c r="B1664" s="25" t="s">
        <v>99</v>
      </c>
      <c r="C1664" s="26" t="s">
        <v>103</v>
      </c>
      <c r="D1664" s="27">
        <v>73145000</v>
      </c>
      <c r="E1664" s="28" t="s">
        <v>278</v>
      </c>
      <c r="F1664" s="29">
        <v>0</v>
      </c>
      <c r="G1664" s="30">
        <v>1</v>
      </c>
      <c r="H1664" s="27" t="s">
        <v>137</v>
      </c>
      <c r="I1664" s="26" t="s">
        <v>279</v>
      </c>
      <c r="J1664" s="31">
        <v>23</v>
      </c>
      <c r="K1664" s="32">
        <f t="shared" si="75"/>
        <v>23</v>
      </c>
      <c r="L1664" s="29" t="s">
        <v>280</v>
      </c>
      <c r="M1664" s="27">
        <f>IFERROR(VLOOKUP(C1664,Custo_MI_Device!$B$2:$E$102,3,FALSE),0)</f>
        <v>0</v>
      </c>
      <c r="N1664" s="27">
        <f t="shared" si="76"/>
        <v>0</v>
      </c>
      <c r="O1664" s="178">
        <f t="shared" si="77"/>
        <v>0</v>
      </c>
    </row>
    <row r="1665" spans="1:15" ht="12.75" hidden="1">
      <c r="A1665" s="25">
        <v>2534</v>
      </c>
      <c r="B1665" s="25" t="s">
        <v>104</v>
      </c>
      <c r="C1665" s="26" t="s">
        <v>105</v>
      </c>
      <c r="D1665" s="27">
        <v>73072900</v>
      </c>
      <c r="E1665" s="28" t="s">
        <v>314</v>
      </c>
      <c r="F1665" s="29" t="s">
        <v>315</v>
      </c>
      <c r="G1665" s="30">
        <v>12</v>
      </c>
      <c r="H1665" s="27" t="s">
        <v>137</v>
      </c>
      <c r="I1665" s="26" t="s">
        <v>256</v>
      </c>
      <c r="J1665" s="31">
        <v>1.2</v>
      </c>
      <c r="K1665" s="32">
        <f t="shared" si="75"/>
        <v>14.399999999999999</v>
      </c>
      <c r="L1665" s="29" t="s">
        <v>315</v>
      </c>
      <c r="M1665" s="27">
        <f>IFERROR(VLOOKUP(C1665,Custo_MI_Device!$B$2:$E$102,3,FALSE),0)</f>
        <v>0</v>
      </c>
      <c r="N1665" s="27">
        <f t="shared" si="76"/>
        <v>0</v>
      </c>
      <c r="O1665" s="178">
        <f t="shared" si="77"/>
        <v>0</v>
      </c>
    </row>
    <row r="1666" spans="1:15" ht="12.75" hidden="1">
      <c r="A1666" s="25">
        <v>1669</v>
      </c>
      <c r="B1666" s="25" t="s">
        <v>104</v>
      </c>
      <c r="C1666" s="26" t="s">
        <v>105</v>
      </c>
      <c r="D1666" s="27">
        <v>39269090</v>
      </c>
      <c r="E1666" s="28" t="s">
        <v>316</v>
      </c>
      <c r="F1666" s="29" t="s">
        <v>317</v>
      </c>
      <c r="G1666" s="30">
        <v>3</v>
      </c>
      <c r="H1666" s="27" t="s">
        <v>137</v>
      </c>
      <c r="I1666" s="26" t="s">
        <v>318</v>
      </c>
      <c r="J1666" s="31">
        <v>0.04</v>
      </c>
      <c r="K1666" s="32">
        <f t="shared" si="75"/>
        <v>0.12</v>
      </c>
      <c r="L1666" s="29" t="s">
        <v>317</v>
      </c>
      <c r="M1666" s="27">
        <f>IFERROR(VLOOKUP(C1666,Custo_MI_Device!$B$2:$E$102,3,FALSE),0)</f>
        <v>0</v>
      </c>
      <c r="N1666" s="27">
        <f t="shared" si="76"/>
        <v>0</v>
      </c>
      <c r="O1666" s="178">
        <f t="shared" si="77"/>
        <v>0</v>
      </c>
    </row>
    <row r="1667" spans="1:15" ht="12.75" hidden="1">
      <c r="A1667" s="25">
        <v>5091</v>
      </c>
      <c r="B1667" s="25" t="s">
        <v>104</v>
      </c>
      <c r="C1667" s="26" t="s">
        <v>105</v>
      </c>
      <c r="D1667" s="27">
        <v>73181500</v>
      </c>
      <c r="E1667" s="28" t="s">
        <v>323</v>
      </c>
      <c r="F1667" s="29" t="s">
        <v>324</v>
      </c>
      <c r="G1667" s="30">
        <v>24</v>
      </c>
      <c r="H1667" s="27" t="s">
        <v>137</v>
      </c>
      <c r="I1667" s="26" t="s">
        <v>256</v>
      </c>
      <c r="J1667" s="31">
        <v>0.04</v>
      </c>
      <c r="K1667" s="32">
        <f t="shared" ref="K1667:K1730" si="78">G1667*J1667</f>
        <v>0.96</v>
      </c>
      <c r="L1667" s="29" t="s">
        <v>324</v>
      </c>
      <c r="M1667" s="27">
        <f>IFERROR(VLOOKUP(C1667,Custo_MI_Device!$B$2:$E$102,3,FALSE),0)</f>
        <v>0</v>
      </c>
      <c r="N1667" s="27">
        <f t="shared" ref="N1667:N1730" si="79">ROUNDUP(M1667*G1667,0)</f>
        <v>0</v>
      </c>
      <c r="O1667" s="178">
        <f t="shared" ref="O1667:O1730" si="80">N1667*J1667</f>
        <v>0</v>
      </c>
    </row>
    <row r="1668" spans="1:15" ht="12.75" hidden="1">
      <c r="A1668" s="25">
        <v>83</v>
      </c>
      <c r="B1668" s="25" t="s">
        <v>104</v>
      </c>
      <c r="C1668" s="26" t="s">
        <v>105</v>
      </c>
      <c r="D1668" s="27"/>
      <c r="E1668" s="28" t="s">
        <v>150</v>
      </c>
      <c r="F1668" s="29" t="s">
        <v>148</v>
      </c>
      <c r="G1668" s="30">
        <v>1</v>
      </c>
      <c r="H1668" s="27" t="s">
        <v>137</v>
      </c>
      <c r="I1668" s="26" t="s">
        <v>149</v>
      </c>
      <c r="J1668" s="31">
        <v>4.8</v>
      </c>
      <c r="K1668" s="32">
        <f t="shared" si="78"/>
        <v>4.8</v>
      </c>
      <c r="L1668" s="29" t="s">
        <v>148</v>
      </c>
      <c r="M1668" s="27">
        <f>IFERROR(VLOOKUP(C1668,Custo_MI_Device!$B$2:$E$102,3,FALSE),0)</f>
        <v>0</v>
      </c>
      <c r="N1668" s="27">
        <f t="shared" si="79"/>
        <v>0</v>
      </c>
      <c r="O1668" s="178">
        <f t="shared" si="80"/>
        <v>0</v>
      </c>
    </row>
    <row r="1669" spans="1:15" ht="38.25" hidden="1">
      <c r="A1669" s="25">
        <v>3585</v>
      </c>
      <c r="B1669" s="25" t="s">
        <v>104</v>
      </c>
      <c r="C1669" s="26" t="s">
        <v>105</v>
      </c>
      <c r="D1669" s="27">
        <v>85444900</v>
      </c>
      <c r="E1669" s="28" t="s">
        <v>328</v>
      </c>
      <c r="F1669" s="29">
        <v>900400</v>
      </c>
      <c r="G1669" s="30">
        <v>50</v>
      </c>
      <c r="H1669" s="27" t="s">
        <v>158</v>
      </c>
      <c r="I1669" s="26" t="s">
        <v>164</v>
      </c>
      <c r="J1669" s="31">
        <v>1.7</v>
      </c>
      <c r="K1669" s="32">
        <f t="shared" si="78"/>
        <v>85</v>
      </c>
      <c r="L1669" s="29">
        <v>900400</v>
      </c>
      <c r="M1669" s="27">
        <f>IFERROR(VLOOKUP(C1669,Custo_MI_Device!$B$2:$E$102,3,FALSE),0)</f>
        <v>0</v>
      </c>
      <c r="N1669" s="27">
        <f t="shared" si="79"/>
        <v>0</v>
      </c>
      <c r="O1669" s="178">
        <f t="shared" si="80"/>
        <v>0</v>
      </c>
    </row>
    <row r="1670" spans="1:15" ht="12.75" hidden="1">
      <c r="A1670" s="25">
        <v>2805</v>
      </c>
      <c r="B1670" s="25" t="s">
        <v>104</v>
      </c>
      <c r="C1670" s="26" t="s">
        <v>105</v>
      </c>
      <c r="D1670" s="27">
        <v>72162100</v>
      </c>
      <c r="E1670" s="28" t="s">
        <v>174</v>
      </c>
      <c r="F1670" s="29">
        <v>0</v>
      </c>
      <c r="G1670" s="30">
        <v>2.9</v>
      </c>
      <c r="H1670" s="27" t="s">
        <v>175</v>
      </c>
      <c r="I1670" s="26" t="s">
        <v>176</v>
      </c>
      <c r="J1670" s="31">
        <v>4.22</v>
      </c>
      <c r="K1670" s="32">
        <f t="shared" si="78"/>
        <v>12.238</v>
      </c>
      <c r="L1670" s="29" t="s">
        <v>177</v>
      </c>
      <c r="M1670" s="27">
        <f>IFERROR(VLOOKUP(C1670,Custo_MI_Device!$B$2:$E$102,3,FALSE),0)</f>
        <v>0</v>
      </c>
      <c r="N1670" s="27">
        <f t="shared" si="79"/>
        <v>0</v>
      </c>
      <c r="O1670" s="178">
        <f t="shared" si="80"/>
        <v>0</v>
      </c>
    </row>
    <row r="1671" spans="1:15" ht="25.5" hidden="1">
      <c r="A1671" s="25">
        <v>3738</v>
      </c>
      <c r="B1671" s="25" t="s">
        <v>104</v>
      </c>
      <c r="C1671" s="26" t="s">
        <v>105</v>
      </c>
      <c r="D1671" s="27">
        <v>73071100</v>
      </c>
      <c r="E1671" s="28" t="s">
        <v>205</v>
      </c>
      <c r="F1671" s="29" t="s">
        <v>206</v>
      </c>
      <c r="G1671" s="30">
        <v>0.75</v>
      </c>
      <c r="H1671" s="27" t="s">
        <v>137</v>
      </c>
      <c r="I1671" s="26" t="s">
        <v>149</v>
      </c>
      <c r="J1671" s="31">
        <v>27</v>
      </c>
      <c r="K1671" s="32">
        <f t="shared" si="78"/>
        <v>20.25</v>
      </c>
      <c r="L1671" s="29" t="s">
        <v>206</v>
      </c>
      <c r="M1671" s="27">
        <f>IFERROR(VLOOKUP(C1671,Custo_MI_Device!$B$2:$E$102,3,FALSE),0)</f>
        <v>0</v>
      </c>
      <c r="N1671" s="27">
        <f t="shared" si="79"/>
        <v>0</v>
      </c>
      <c r="O1671" s="178">
        <f t="shared" si="80"/>
        <v>0</v>
      </c>
    </row>
    <row r="1672" spans="1:15" ht="25.5" hidden="1">
      <c r="A1672" s="25">
        <v>1710</v>
      </c>
      <c r="B1672" s="25" t="s">
        <v>104</v>
      </c>
      <c r="C1672" s="26" t="s">
        <v>105</v>
      </c>
      <c r="D1672" s="27">
        <v>73071100</v>
      </c>
      <c r="E1672" s="28" t="s">
        <v>207</v>
      </c>
      <c r="F1672" s="29" t="s">
        <v>208</v>
      </c>
      <c r="G1672" s="30">
        <v>0.75</v>
      </c>
      <c r="H1672" s="27" t="s">
        <v>137</v>
      </c>
      <c r="I1672" s="26" t="s">
        <v>149</v>
      </c>
      <c r="J1672" s="31">
        <v>27</v>
      </c>
      <c r="K1672" s="32">
        <f t="shared" si="78"/>
        <v>20.25</v>
      </c>
      <c r="L1672" s="29" t="s">
        <v>208</v>
      </c>
      <c r="M1672" s="27">
        <f>IFERROR(VLOOKUP(C1672,Custo_MI_Device!$B$2:$E$102,3,FALSE),0)</f>
        <v>0</v>
      </c>
      <c r="N1672" s="27">
        <f t="shared" si="79"/>
        <v>0</v>
      </c>
      <c r="O1672" s="178">
        <f t="shared" si="80"/>
        <v>0</v>
      </c>
    </row>
    <row r="1673" spans="1:15" ht="25.5" hidden="1">
      <c r="A1673" s="25">
        <v>1715</v>
      </c>
      <c r="B1673" s="25" t="s">
        <v>104</v>
      </c>
      <c r="C1673" s="26" t="s">
        <v>105</v>
      </c>
      <c r="D1673" s="27">
        <v>73071100</v>
      </c>
      <c r="E1673" s="28" t="s">
        <v>209</v>
      </c>
      <c r="F1673" s="29" t="s">
        <v>210</v>
      </c>
      <c r="G1673" s="30">
        <v>0.75</v>
      </c>
      <c r="H1673" s="27" t="s">
        <v>137</v>
      </c>
      <c r="I1673" s="26" t="s">
        <v>149</v>
      </c>
      <c r="J1673" s="31">
        <v>27</v>
      </c>
      <c r="K1673" s="32">
        <f t="shared" si="78"/>
        <v>20.25</v>
      </c>
      <c r="L1673" s="29" t="s">
        <v>210</v>
      </c>
      <c r="M1673" s="27">
        <f>IFERROR(VLOOKUP(C1673,Custo_MI_Device!$B$2:$E$102,3,FALSE),0)</f>
        <v>0</v>
      </c>
      <c r="N1673" s="27">
        <f t="shared" si="79"/>
        <v>0</v>
      </c>
      <c r="O1673" s="178">
        <f t="shared" si="80"/>
        <v>0</v>
      </c>
    </row>
    <row r="1674" spans="1:15" ht="25.5" hidden="1">
      <c r="A1674" s="25">
        <v>3417</v>
      </c>
      <c r="B1674" s="25" t="s">
        <v>104</v>
      </c>
      <c r="C1674" s="26" t="s">
        <v>105</v>
      </c>
      <c r="D1674" s="27">
        <v>73063000</v>
      </c>
      <c r="E1674" s="28" t="s">
        <v>231</v>
      </c>
      <c r="F1674" s="29">
        <v>0</v>
      </c>
      <c r="G1674" s="30">
        <v>2</v>
      </c>
      <c r="H1674" s="27" t="s">
        <v>232</v>
      </c>
      <c r="I1674" s="26" t="s">
        <v>233</v>
      </c>
      <c r="J1674" s="31">
        <v>33.47</v>
      </c>
      <c r="K1674" s="32">
        <f t="shared" si="78"/>
        <v>66.94</v>
      </c>
      <c r="L1674" s="29" t="s">
        <v>234</v>
      </c>
      <c r="M1674" s="27">
        <f>IFERROR(VLOOKUP(C1674,Custo_MI_Device!$B$2:$E$102,3,FALSE),0)</f>
        <v>0</v>
      </c>
      <c r="N1674" s="27">
        <f t="shared" si="79"/>
        <v>0</v>
      </c>
      <c r="O1674" s="178">
        <f t="shared" si="80"/>
        <v>0</v>
      </c>
    </row>
    <row r="1675" spans="1:15" ht="12.75" hidden="1">
      <c r="A1675" s="25">
        <v>1965</v>
      </c>
      <c r="B1675" s="25" t="s">
        <v>104</v>
      </c>
      <c r="C1675" s="26" t="s">
        <v>105</v>
      </c>
      <c r="D1675" s="27">
        <v>73071100</v>
      </c>
      <c r="E1675" s="28" t="s">
        <v>251</v>
      </c>
      <c r="F1675" s="29" t="s">
        <v>252</v>
      </c>
      <c r="G1675" s="30">
        <v>1</v>
      </c>
      <c r="H1675" s="27" t="s">
        <v>137</v>
      </c>
      <c r="I1675" s="26" t="s">
        <v>253</v>
      </c>
      <c r="J1675" s="31">
        <v>5.5</v>
      </c>
      <c r="K1675" s="32">
        <f t="shared" si="78"/>
        <v>5.5</v>
      </c>
      <c r="L1675" s="29" t="s">
        <v>252</v>
      </c>
      <c r="M1675" s="27">
        <f>IFERROR(VLOOKUP(C1675,Custo_MI_Device!$B$2:$E$102,3,FALSE),0)</f>
        <v>0</v>
      </c>
      <c r="N1675" s="27">
        <f t="shared" si="79"/>
        <v>0</v>
      </c>
      <c r="O1675" s="178">
        <f t="shared" si="80"/>
        <v>0</v>
      </c>
    </row>
    <row r="1676" spans="1:15" ht="12.75" hidden="1">
      <c r="A1676" s="25">
        <v>3274</v>
      </c>
      <c r="B1676" s="25" t="s">
        <v>104</v>
      </c>
      <c r="C1676" s="26" t="s">
        <v>105</v>
      </c>
      <c r="D1676" s="27">
        <v>73181500</v>
      </c>
      <c r="E1676" s="28" t="s">
        <v>265</v>
      </c>
      <c r="F1676" s="29" t="s">
        <v>266</v>
      </c>
      <c r="G1676" s="30">
        <v>24</v>
      </c>
      <c r="H1676" s="27" t="s">
        <v>137</v>
      </c>
      <c r="I1676" s="26" t="s">
        <v>256</v>
      </c>
      <c r="J1676" s="31">
        <v>0.06</v>
      </c>
      <c r="K1676" s="32">
        <f t="shared" si="78"/>
        <v>1.44</v>
      </c>
      <c r="L1676" s="29" t="s">
        <v>266</v>
      </c>
      <c r="M1676" s="27">
        <f>IFERROR(VLOOKUP(C1676,Custo_MI_Device!$B$2:$E$102,3,FALSE),0)</f>
        <v>0</v>
      </c>
      <c r="N1676" s="27">
        <f t="shared" si="79"/>
        <v>0</v>
      </c>
      <c r="O1676" s="178">
        <f t="shared" si="80"/>
        <v>0</v>
      </c>
    </row>
    <row r="1677" spans="1:15" ht="25.5" hidden="1">
      <c r="A1677" s="25">
        <v>5147</v>
      </c>
      <c r="B1677" s="25" t="s">
        <v>104</v>
      </c>
      <c r="C1677" s="26" t="s">
        <v>105</v>
      </c>
      <c r="D1677" s="27">
        <v>83079000</v>
      </c>
      <c r="E1677" s="28" t="s">
        <v>293</v>
      </c>
      <c r="F1677" s="29" t="s">
        <v>294</v>
      </c>
      <c r="G1677" s="30">
        <v>1</v>
      </c>
      <c r="H1677" s="27" t="s">
        <v>137</v>
      </c>
      <c r="I1677" s="26" t="s">
        <v>180</v>
      </c>
      <c r="J1677" s="31">
        <v>155</v>
      </c>
      <c r="K1677" s="32">
        <f t="shared" si="78"/>
        <v>155</v>
      </c>
      <c r="L1677" s="29" t="s">
        <v>294</v>
      </c>
      <c r="M1677" s="27">
        <f>IFERROR(VLOOKUP(C1677,Custo_MI_Device!$B$2:$E$102,3,FALSE),0)</f>
        <v>0</v>
      </c>
      <c r="N1677" s="27">
        <f t="shared" si="79"/>
        <v>0</v>
      </c>
      <c r="O1677" s="178">
        <f t="shared" si="80"/>
        <v>0</v>
      </c>
    </row>
    <row r="1678" spans="1:15" ht="25.5" hidden="1">
      <c r="A1678" s="25">
        <v>4834</v>
      </c>
      <c r="B1678" s="25" t="s">
        <v>104</v>
      </c>
      <c r="C1678" s="26" t="s">
        <v>105</v>
      </c>
      <c r="D1678" s="27">
        <v>73071100</v>
      </c>
      <c r="E1678" s="28" t="s">
        <v>299</v>
      </c>
      <c r="F1678" s="29" t="s">
        <v>300</v>
      </c>
      <c r="G1678" s="30">
        <v>1</v>
      </c>
      <c r="H1678" s="27" t="s">
        <v>137</v>
      </c>
      <c r="I1678" s="26" t="s">
        <v>149</v>
      </c>
      <c r="J1678" s="31">
        <v>28</v>
      </c>
      <c r="K1678" s="32">
        <f t="shared" si="78"/>
        <v>28</v>
      </c>
      <c r="L1678" s="29" t="s">
        <v>300</v>
      </c>
      <c r="M1678" s="27">
        <f>IFERROR(VLOOKUP(C1678,Custo_MI_Device!$B$2:$E$102,3,FALSE),0)</f>
        <v>0</v>
      </c>
      <c r="N1678" s="27">
        <f t="shared" si="79"/>
        <v>0</v>
      </c>
      <c r="O1678" s="178">
        <f t="shared" si="80"/>
        <v>0</v>
      </c>
    </row>
    <row r="1679" spans="1:15" ht="12.75" hidden="1">
      <c r="A1679" s="25">
        <v>2534</v>
      </c>
      <c r="B1679" s="25" t="s">
        <v>104</v>
      </c>
      <c r="C1679" s="26" t="s">
        <v>106</v>
      </c>
      <c r="D1679" s="27">
        <v>73072900</v>
      </c>
      <c r="E1679" s="28" t="s">
        <v>314</v>
      </c>
      <c r="F1679" s="29" t="s">
        <v>315</v>
      </c>
      <c r="G1679" s="30">
        <v>12</v>
      </c>
      <c r="H1679" s="27" t="s">
        <v>137</v>
      </c>
      <c r="I1679" s="26" t="s">
        <v>256</v>
      </c>
      <c r="J1679" s="31">
        <v>1.2</v>
      </c>
      <c r="K1679" s="32">
        <f t="shared" si="78"/>
        <v>14.399999999999999</v>
      </c>
      <c r="L1679" s="29" t="s">
        <v>315</v>
      </c>
      <c r="M1679" s="27">
        <f>IFERROR(VLOOKUP(C1679,Custo_MI_Device!$B$2:$E$102,3,FALSE),0)</f>
        <v>0</v>
      </c>
      <c r="N1679" s="27">
        <f t="shared" si="79"/>
        <v>0</v>
      </c>
      <c r="O1679" s="178">
        <f t="shared" si="80"/>
        <v>0</v>
      </c>
    </row>
    <row r="1680" spans="1:15" ht="12.75" hidden="1">
      <c r="A1680" s="25">
        <v>1669</v>
      </c>
      <c r="B1680" s="25" t="s">
        <v>104</v>
      </c>
      <c r="C1680" s="26" t="s">
        <v>106</v>
      </c>
      <c r="D1680" s="27">
        <v>39269090</v>
      </c>
      <c r="E1680" s="28" t="s">
        <v>316</v>
      </c>
      <c r="F1680" s="29" t="s">
        <v>317</v>
      </c>
      <c r="G1680" s="30">
        <v>3</v>
      </c>
      <c r="H1680" s="27" t="s">
        <v>137</v>
      </c>
      <c r="I1680" s="26" t="s">
        <v>318</v>
      </c>
      <c r="J1680" s="31">
        <v>0.04</v>
      </c>
      <c r="K1680" s="32">
        <f t="shared" si="78"/>
        <v>0.12</v>
      </c>
      <c r="L1680" s="29" t="s">
        <v>317</v>
      </c>
      <c r="M1680" s="27">
        <f>IFERROR(VLOOKUP(C1680,Custo_MI_Device!$B$2:$E$102,3,FALSE),0)</f>
        <v>0</v>
      </c>
      <c r="N1680" s="27">
        <f t="shared" si="79"/>
        <v>0</v>
      </c>
      <c r="O1680" s="178">
        <f t="shared" si="80"/>
        <v>0</v>
      </c>
    </row>
    <row r="1681" spans="1:15" ht="12.75" hidden="1">
      <c r="A1681" s="25">
        <v>5091</v>
      </c>
      <c r="B1681" s="25" t="s">
        <v>104</v>
      </c>
      <c r="C1681" s="26" t="s">
        <v>106</v>
      </c>
      <c r="D1681" s="27">
        <v>73181500</v>
      </c>
      <c r="E1681" s="28" t="s">
        <v>323</v>
      </c>
      <c r="F1681" s="29" t="s">
        <v>324</v>
      </c>
      <c r="G1681" s="30">
        <v>24</v>
      </c>
      <c r="H1681" s="27" t="s">
        <v>137</v>
      </c>
      <c r="I1681" s="26" t="s">
        <v>256</v>
      </c>
      <c r="J1681" s="31">
        <v>0.04</v>
      </c>
      <c r="K1681" s="32">
        <f t="shared" si="78"/>
        <v>0.96</v>
      </c>
      <c r="L1681" s="29" t="s">
        <v>324</v>
      </c>
      <c r="M1681" s="27">
        <f>IFERROR(VLOOKUP(C1681,Custo_MI_Device!$B$2:$E$102,3,FALSE),0)</f>
        <v>0</v>
      </c>
      <c r="N1681" s="27">
        <f t="shared" si="79"/>
        <v>0</v>
      </c>
      <c r="O1681" s="178">
        <f t="shared" si="80"/>
        <v>0</v>
      </c>
    </row>
    <row r="1682" spans="1:15" ht="12.75" hidden="1">
      <c r="A1682" s="25">
        <v>83</v>
      </c>
      <c r="B1682" s="25" t="s">
        <v>104</v>
      </c>
      <c r="C1682" s="26" t="s">
        <v>106</v>
      </c>
      <c r="D1682" s="27"/>
      <c r="E1682" s="28" t="s">
        <v>150</v>
      </c>
      <c r="F1682" s="29" t="s">
        <v>148</v>
      </c>
      <c r="G1682" s="30">
        <v>1</v>
      </c>
      <c r="H1682" s="27" t="s">
        <v>137</v>
      </c>
      <c r="I1682" s="26" t="s">
        <v>149</v>
      </c>
      <c r="J1682" s="31">
        <v>4.8</v>
      </c>
      <c r="K1682" s="32">
        <f t="shared" si="78"/>
        <v>4.8</v>
      </c>
      <c r="L1682" s="29" t="s">
        <v>148</v>
      </c>
      <c r="M1682" s="27">
        <f>IFERROR(VLOOKUP(C1682,Custo_MI_Device!$B$2:$E$102,3,FALSE),0)</f>
        <v>0</v>
      </c>
      <c r="N1682" s="27">
        <f t="shared" si="79"/>
        <v>0</v>
      </c>
      <c r="O1682" s="178">
        <f t="shared" si="80"/>
        <v>0</v>
      </c>
    </row>
    <row r="1683" spans="1:15" ht="25.5" hidden="1">
      <c r="A1683" s="25">
        <v>5139</v>
      </c>
      <c r="B1683" s="25" t="s">
        <v>104</v>
      </c>
      <c r="C1683" s="26" t="s">
        <v>106</v>
      </c>
      <c r="D1683" s="27">
        <v>85444900</v>
      </c>
      <c r="E1683" s="28" t="s">
        <v>170</v>
      </c>
      <c r="F1683" s="29" t="s">
        <v>171</v>
      </c>
      <c r="G1683" s="30">
        <v>15</v>
      </c>
      <c r="H1683" s="27" t="s">
        <v>158</v>
      </c>
      <c r="I1683" s="26" t="s">
        <v>172</v>
      </c>
      <c r="J1683" s="31">
        <v>7.5</v>
      </c>
      <c r="K1683" s="32">
        <f t="shared" si="78"/>
        <v>112.5</v>
      </c>
      <c r="L1683" s="29" t="s">
        <v>173</v>
      </c>
      <c r="M1683" s="27">
        <f>IFERROR(VLOOKUP(C1683,Custo_MI_Device!$B$2:$E$102,3,FALSE),0)</f>
        <v>0</v>
      </c>
      <c r="N1683" s="27">
        <f t="shared" si="79"/>
        <v>0</v>
      </c>
      <c r="O1683" s="178">
        <f t="shared" si="80"/>
        <v>0</v>
      </c>
    </row>
    <row r="1684" spans="1:15" ht="12.75" hidden="1">
      <c r="A1684" s="25">
        <v>2805</v>
      </c>
      <c r="B1684" s="25" t="s">
        <v>104</v>
      </c>
      <c r="C1684" s="26" t="s">
        <v>106</v>
      </c>
      <c r="D1684" s="27">
        <v>72162100</v>
      </c>
      <c r="E1684" s="28" t="s">
        <v>174</v>
      </c>
      <c r="F1684" s="29">
        <v>0</v>
      </c>
      <c r="G1684" s="30">
        <v>2.9</v>
      </c>
      <c r="H1684" s="27" t="s">
        <v>175</v>
      </c>
      <c r="I1684" s="26" t="s">
        <v>176</v>
      </c>
      <c r="J1684" s="31">
        <v>4.22</v>
      </c>
      <c r="K1684" s="32">
        <f t="shared" si="78"/>
        <v>12.238</v>
      </c>
      <c r="L1684" s="29" t="s">
        <v>177</v>
      </c>
      <c r="M1684" s="27">
        <f>IFERROR(VLOOKUP(C1684,Custo_MI_Device!$B$2:$E$102,3,FALSE),0)</f>
        <v>0</v>
      </c>
      <c r="N1684" s="27">
        <f t="shared" si="79"/>
        <v>0</v>
      </c>
      <c r="O1684" s="178">
        <f t="shared" si="80"/>
        <v>0</v>
      </c>
    </row>
    <row r="1685" spans="1:15" ht="25.5" hidden="1">
      <c r="A1685" s="25">
        <v>3738</v>
      </c>
      <c r="B1685" s="25" t="s">
        <v>104</v>
      </c>
      <c r="C1685" s="26" t="s">
        <v>106</v>
      </c>
      <c r="D1685" s="27">
        <v>73071100</v>
      </c>
      <c r="E1685" s="28" t="s">
        <v>205</v>
      </c>
      <c r="F1685" s="29" t="s">
        <v>206</v>
      </c>
      <c r="G1685" s="30">
        <v>0.75</v>
      </c>
      <c r="H1685" s="27" t="s">
        <v>137</v>
      </c>
      <c r="I1685" s="26" t="s">
        <v>149</v>
      </c>
      <c r="J1685" s="31">
        <v>27</v>
      </c>
      <c r="K1685" s="32">
        <f t="shared" si="78"/>
        <v>20.25</v>
      </c>
      <c r="L1685" s="29" t="s">
        <v>206</v>
      </c>
      <c r="M1685" s="27">
        <f>IFERROR(VLOOKUP(C1685,Custo_MI_Device!$B$2:$E$102,3,FALSE),0)</f>
        <v>0</v>
      </c>
      <c r="N1685" s="27">
        <f t="shared" si="79"/>
        <v>0</v>
      </c>
      <c r="O1685" s="178">
        <f t="shared" si="80"/>
        <v>0</v>
      </c>
    </row>
    <row r="1686" spans="1:15" ht="25.5" hidden="1">
      <c r="A1686" s="25">
        <v>1710</v>
      </c>
      <c r="B1686" s="25" t="s">
        <v>104</v>
      </c>
      <c r="C1686" s="26" t="s">
        <v>106</v>
      </c>
      <c r="D1686" s="27">
        <v>73071100</v>
      </c>
      <c r="E1686" s="28" t="s">
        <v>207</v>
      </c>
      <c r="F1686" s="29" t="s">
        <v>208</v>
      </c>
      <c r="G1686" s="30">
        <v>0.75</v>
      </c>
      <c r="H1686" s="27" t="s">
        <v>137</v>
      </c>
      <c r="I1686" s="26" t="s">
        <v>149</v>
      </c>
      <c r="J1686" s="31">
        <v>27</v>
      </c>
      <c r="K1686" s="32">
        <f t="shared" si="78"/>
        <v>20.25</v>
      </c>
      <c r="L1686" s="29" t="s">
        <v>208</v>
      </c>
      <c r="M1686" s="27">
        <f>IFERROR(VLOOKUP(C1686,Custo_MI_Device!$B$2:$E$102,3,FALSE),0)</f>
        <v>0</v>
      </c>
      <c r="N1686" s="27">
        <f t="shared" si="79"/>
        <v>0</v>
      </c>
      <c r="O1686" s="178">
        <f t="shared" si="80"/>
        <v>0</v>
      </c>
    </row>
    <row r="1687" spans="1:15" ht="25.5" hidden="1">
      <c r="A1687" s="25">
        <v>1715</v>
      </c>
      <c r="B1687" s="25" t="s">
        <v>104</v>
      </c>
      <c r="C1687" s="26" t="s">
        <v>106</v>
      </c>
      <c r="D1687" s="27">
        <v>73071100</v>
      </c>
      <c r="E1687" s="28" t="s">
        <v>209</v>
      </c>
      <c r="F1687" s="29" t="s">
        <v>210</v>
      </c>
      <c r="G1687" s="30">
        <v>0.75</v>
      </c>
      <c r="H1687" s="27" t="s">
        <v>137</v>
      </c>
      <c r="I1687" s="26" t="s">
        <v>149</v>
      </c>
      <c r="J1687" s="31">
        <v>27</v>
      </c>
      <c r="K1687" s="32">
        <f t="shared" si="78"/>
        <v>20.25</v>
      </c>
      <c r="L1687" s="29" t="s">
        <v>210</v>
      </c>
      <c r="M1687" s="27">
        <f>IFERROR(VLOOKUP(C1687,Custo_MI_Device!$B$2:$E$102,3,FALSE),0)</f>
        <v>0</v>
      </c>
      <c r="N1687" s="27">
        <f t="shared" si="79"/>
        <v>0</v>
      </c>
      <c r="O1687" s="178">
        <f t="shared" si="80"/>
        <v>0</v>
      </c>
    </row>
    <row r="1688" spans="1:15" ht="25.5" hidden="1">
      <c r="A1688" s="25">
        <v>3417</v>
      </c>
      <c r="B1688" s="25" t="s">
        <v>104</v>
      </c>
      <c r="C1688" s="26" t="s">
        <v>106</v>
      </c>
      <c r="D1688" s="27">
        <v>73063000</v>
      </c>
      <c r="E1688" s="28" t="s">
        <v>231</v>
      </c>
      <c r="F1688" s="29">
        <v>0</v>
      </c>
      <c r="G1688" s="30">
        <v>2</v>
      </c>
      <c r="H1688" s="27" t="s">
        <v>232</v>
      </c>
      <c r="I1688" s="26" t="s">
        <v>233</v>
      </c>
      <c r="J1688" s="31">
        <v>33.47</v>
      </c>
      <c r="K1688" s="32">
        <f t="shared" si="78"/>
        <v>66.94</v>
      </c>
      <c r="L1688" s="29" t="s">
        <v>234</v>
      </c>
      <c r="M1688" s="27">
        <f>IFERROR(VLOOKUP(C1688,Custo_MI_Device!$B$2:$E$102,3,FALSE),0)</f>
        <v>0</v>
      </c>
      <c r="N1688" s="27">
        <f t="shared" si="79"/>
        <v>0</v>
      </c>
      <c r="O1688" s="178">
        <f t="shared" si="80"/>
        <v>0</v>
      </c>
    </row>
    <row r="1689" spans="1:15" ht="12.75" hidden="1">
      <c r="A1689" s="25">
        <v>1965</v>
      </c>
      <c r="B1689" s="25" t="s">
        <v>104</v>
      </c>
      <c r="C1689" s="26" t="s">
        <v>106</v>
      </c>
      <c r="D1689" s="27">
        <v>73071100</v>
      </c>
      <c r="E1689" s="28" t="s">
        <v>251</v>
      </c>
      <c r="F1689" s="29" t="s">
        <v>252</v>
      </c>
      <c r="G1689" s="30">
        <v>1</v>
      </c>
      <c r="H1689" s="27" t="s">
        <v>137</v>
      </c>
      <c r="I1689" s="26" t="s">
        <v>253</v>
      </c>
      <c r="J1689" s="31">
        <v>5.5</v>
      </c>
      <c r="K1689" s="32">
        <f t="shared" si="78"/>
        <v>5.5</v>
      </c>
      <c r="L1689" s="29" t="s">
        <v>252</v>
      </c>
      <c r="M1689" s="27">
        <f>IFERROR(VLOOKUP(C1689,Custo_MI_Device!$B$2:$E$102,3,FALSE),0)</f>
        <v>0</v>
      </c>
      <c r="N1689" s="27">
        <f t="shared" si="79"/>
        <v>0</v>
      </c>
      <c r="O1689" s="178">
        <f t="shared" si="80"/>
        <v>0</v>
      </c>
    </row>
    <row r="1690" spans="1:15" ht="12.75" hidden="1">
      <c r="A1690" s="25">
        <v>3274</v>
      </c>
      <c r="B1690" s="25" t="s">
        <v>104</v>
      </c>
      <c r="C1690" s="26" t="s">
        <v>106</v>
      </c>
      <c r="D1690" s="27">
        <v>73181500</v>
      </c>
      <c r="E1690" s="28" t="s">
        <v>265</v>
      </c>
      <c r="F1690" s="29" t="s">
        <v>266</v>
      </c>
      <c r="G1690" s="30">
        <v>24</v>
      </c>
      <c r="H1690" s="27" t="s">
        <v>137</v>
      </c>
      <c r="I1690" s="26" t="s">
        <v>256</v>
      </c>
      <c r="J1690" s="31">
        <v>0.06</v>
      </c>
      <c r="K1690" s="32">
        <f t="shared" si="78"/>
        <v>1.44</v>
      </c>
      <c r="L1690" s="29" t="s">
        <v>266</v>
      </c>
      <c r="M1690" s="27">
        <f>IFERROR(VLOOKUP(C1690,Custo_MI_Device!$B$2:$E$102,3,FALSE),0)</f>
        <v>0</v>
      </c>
      <c r="N1690" s="27">
        <f t="shared" si="79"/>
        <v>0</v>
      </c>
      <c r="O1690" s="178">
        <f t="shared" si="80"/>
        <v>0</v>
      </c>
    </row>
    <row r="1691" spans="1:15" ht="25.5" hidden="1">
      <c r="A1691" s="25">
        <v>5147</v>
      </c>
      <c r="B1691" s="25" t="s">
        <v>104</v>
      </c>
      <c r="C1691" s="26" t="s">
        <v>106</v>
      </c>
      <c r="D1691" s="27">
        <v>83079000</v>
      </c>
      <c r="E1691" s="28" t="s">
        <v>293</v>
      </c>
      <c r="F1691" s="29" t="s">
        <v>294</v>
      </c>
      <c r="G1691" s="30">
        <v>1</v>
      </c>
      <c r="H1691" s="27" t="s">
        <v>137</v>
      </c>
      <c r="I1691" s="26" t="s">
        <v>180</v>
      </c>
      <c r="J1691" s="31">
        <v>155</v>
      </c>
      <c r="K1691" s="32">
        <f t="shared" si="78"/>
        <v>155</v>
      </c>
      <c r="L1691" s="29" t="s">
        <v>294</v>
      </c>
      <c r="M1691" s="27">
        <f>IFERROR(VLOOKUP(C1691,Custo_MI_Device!$B$2:$E$102,3,FALSE),0)</f>
        <v>0</v>
      </c>
      <c r="N1691" s="27">
        <f t="shared" si="79"/>
        <v>0</v>
      </c>
      <c r="O1691" s="178">
        <f t="shared" si="80"/>
        <v>0</v>
      </c>
    </row>
    <row r="1692" spans="1:15" ht="25.5" hidden="1">
      <c r="A1692" s="25">
        <v>4834</v>
      </c>
      <c r="B1692" s="25" t="s">
        <v>104</v>
      </c>
      <c r="C1692" s="26" t="s">
        <v>106</v>
      </c>
      <c r="D1692" s="27">
        <v>73071100</v>
      </c>
      <c r="E1692" s="28" t="s">
        <v>299</v>
      </c>
      <c r="F1692" s="29" t="s">
        <v>300</v>
      </c>
      <c r="G1692" s="30">
        <v>1</v>
      </c>
      <c r="H1692" s="27" t="s">
        <v>137</v>
      </c>
      <c r="I1692" s="26" t="s">
        <v>149</v>
      </c>
      <c r="J1692" s="31">
        <v>28</v>
      </c>
      <c r="K1692" s="32">
        <f t="shared" si="78"/>
        <v>28</v>
      </c>
      <c r="L1692" s="29" t="s">
        <v>300</v>
      </c>
      <c r="M1692" s="27">
        <f>IFERROR(VLOOKUP(C1692,Custo_MI_Device!$B$2:$E$102,3,FALSE),0)</f>
        <v>0</v>
      </c>
      <c r="N1692" s="27">
        <f t="shared" si="79"/>
        <v>0</v>
      </c>
      <c r="O1692" s="178">
        <f t="shared" si="80"/>
        <v>0</v>
      </c>
    </row>
    <row r="1693" spans="1:15" ht="12.75" hidden="1">
      <c r="A1693" s="25">
        <v>2534</v>
      </c>
      <c r="B1693" s="25" t="s">
        <v>104</v>
      </c>
      <c r="C1693" s="26" t="s">
        <v>107</v>
      </c>
      <c r="D1693" s="27">
        <v>73072900</v>
      </c>
      <c r="E1693" s="28" t="s">
        <v>314</v>
      </c>
      <c r="F1693" s="29" t="s">
        <v>315</v>
      </c>
      <c r="G1693" s="30">
        <v>18</v>
      </c>
      <c r="H1693" s="27" t="s">
        <v>137</v>
      </c>
      <c r="I1693" s="26" t="s">
        <v>256</v>
      </c>
      <c r="J1693" s="31">
        <v>1.2</v>
      </c>
      <c r="K1693" s="32">
        <f t="shared" si="78"/>
        <v>21.599999999999998</v>
      </c>
      <c r="L1693" s="29" t="s">
        <v>315</v>
      </c>
      <c r="M1693" s="27">
        <f>IFERROR(VLOOKUP(C1693,Custo_MI_Device!$B$2:$E$102,3,FALSE),0)</f>
        <v>0</v>
      </c>
      <c r="N1693" s="27">
        <f t="shared" si="79"/>
        <v>0</v>
      </c>
      <c r="O1693" s="178">
        <f t="shared" si="80"/>
        <v>0</v>
      </c>
    </row>
    <row r="1694" spans="1:15" ht="12.75" hidden="1">
      <c r="A1694" s="25">
        <v>1669</v>
      </c>
      <c r="B1694" s="25" t="s">
        <v>104</v>
      </c>
      <c r="C1694" s="26" t="s">
        <v>107</v>
      </c>
      <c r="D1694" s="27">
        <v>39269090</v>
      </c>
      <c r="E1694" s="28" t="s">
        <v>316</v>
      </c>
      <c r="F1694" s="29" t="s">
        <v>317</v>
      </c>
      <c r="G1694" s="30">
        <v>3</v>
      </c>
      <c r="H1694" s="27" t="s">
        <v>137</v>
      </c>
      <c r="I1694" s="26" t="s">
        <v>318</v>
      </c>
      <c r="J1694" s="31">
        <v>0.04</v>
      </c>
      <c r="K1694" s="32">
        <f t="shared" si="78"/>
        <v>0.12</v>
      </c>
      <c r="L1694" s="29" t="s">
        <v>317</v>
      </c>
      <c r="M1694" s="27">
        <f>IFERROR(VLOOKUP(C1694,Custo_MI_Device!$B$2:$E$102,3,FALSE),0)</f>
        <v>0</v>
      </c>
      <c r="N1694" s="27">
        <f t="shared" si="79"/>
        <v>0</v>
      </c>
      <c r="O1694" s="178">
        <f t="shared" si="80"/>
        <v>0</v>
      </c>
    </row>
    <row r="1695" spans="1:15" ht="12.75" hidden="1">
      <c r="A1695" s="25">
        <v>5091</v>
      </c>
      <c r="B1695" s="25" t="s">
        <v>104</v>
      </c>
      <c r="C1695" s="26" t="s">
        <v>107</v>
      </c>
      <c r="D1695" s="27">
        <v>73181500</v>
      </c>
      <c r="E1695" s="28" t="s">
        <v>323</v>
      </c>
      <c r="F1695" s="29" t="s">
        <v>324</v>
      </c>
      <c r="G1695" s="30">
        <v>36</v>
      </c>
      <c r="H1695" s="27" t="s">
        <v>137</v>
      </c>
      <c r="I1695" s="26" t="s">
        <v>256</v>
      </c>
      <c r="J1695" s="31">
        <v>0.04</v>
      </c>
      <c r="K1695" s="32">
        <f t="shared" si="78"/>
        <v>1.44</v>
      </c>
      <c r="L1695" s="29" t="s">
        <v>324</v>
      </c>
      <c r="M1695" s="27">
        <f>IFERROR(VLOOKUP(C1695,Custo_MI_Device!$B$2:$E$102,3,FALSE),0)</f>
        <v>0</v>
      </c>
      <c r="N1695" s="27">
        <f t="shared" si="79"/>
        <v>0</v>
      </c>
      <c r="O1695" s="178">
        <f t="shared" si="80"/>
        <v>0</v>
      </c>
    </row>
    <row r="1696" spans="1:15" ht="12.75" hidden="1">
      <c r="A1696" s="25">
        <v>1117</v>
      </c>
      <c r="B1696" s="25" t="s">
        <v>104</v>
      </c>
      <c r="C1696" s="26" t="s">
        <v>107</v>
      </c>
      <c r="D1696" s="27"/>
      <c r="E1696" s="28" t="s">
        <v>145</v>
      </c>
      <c r="F1696" s="29" t="s">
        <v>146</v>
      </c>
      <c r="G1696" s="30">
        <v>1</v>
      </c>
      <c r="H1696" s="27" t="s">
        <v>137</v>
      </c>
      <c r="I1696" s="26" t="s">
        <v>138</v>
      </c>
      <c r="J1696" s="31">
        <v>1.95</v>
      </c>
      <c r="K1696" s="32">
        <f t="shared" si="78"/>
        <v>1.95</v>
      </c>
      <c r="L1696" s="29" t="s">
        <v>146</v>
      </c>
      <c r="M1696" s="27">
        <f>IFERROR(VLOOKUP(C1696,Custo_MI_Device!$B$2:$E$102,3,FALSE),0)</f>
        <v>0</v>
      </c>
      <c r="N1696" s="27">
        <f t="shared" si="79"/>
        <v>0</v>
      </c>
      <c r="O1696" s="178">
        <f t="shared" si="80"/>
        <v>0</v>
      </c>
    </row>
    <row r="1697" spans="1:15" ht="38.25" hidden="1">
      <c r="A1697" s="25">
        <v>3585</v>
      </c>
      <c r="B1697" s="25" t="s">
        <v>104</v>
      </c>
      <c r="C1697" s="26" t="s">
        <v>107</v>
      </c>
      <c r="D1697" s="27">
        <v>85444900</v>
      </c>
      <c r="E1697" s="28" t="s">
        <v>328</v>
      </c>
      <c r="F1697" s="29">
        <v>900400</v>
      </c>
      <c r="G1697" s="30">
        <v>50</v>
      </c>
      <c r="H1697" s="27" t="s">
        <v>158</v>
      </c>
      <c r="I1697" s="26" t="s">
        <v>164</v>
      </c>
      <c r="J1697" s="31">
        <v>1.7</v>
      </c>
      <c r="K1697" s="32">
        <f t="shared" si="78"/>
        <v>85</v>
      </c>
      <c r="L1697" s="29">
        <v>900400</v>
      </c>
      <c r="M1697" s="27">
        <f>IFERROR(VLOOKUP(C1697,Custo_MI_Device!$B$2:$E$102,3,FALSE),0)</f>
        <v>0</v>
      </c>
      <c r="N1697" s="27">
        <f t="shared" si="79"/>
        <v>0</v>
      </c>
      <c r="O1697" s="178">
        <f t="shared" si="80"/>
        <v>0</v>
      </c>
    </row>
    <row r="1698" spans="1:15" ht="12.75" hidden="1">
      <c r="A1698" s="25">
        <v>2805</v>
      </c>
      <c r="B1698" s="25" t="s">
        <v>104</v>
      </c>
      <c r="C1698" s="26" t="s">
        <v>107</v>
      </c>
      <c r="D1698" s="27">
        <v>72162100</v>
      </c>
      <c r="E1698" s="28" t="s">
        <v>174</v>
      </c>
      <c r="F1698" s="29">
        <v>0</v>
      </c>
      <c r="G1698" s="30">
        <v>2.9</v>
      </c>
      <c r="H1698" s="27" t="s">
        <v>175</v>
      </c>
      <c r="I1698" s="26" t="s">
        <v>176</v>
      </c>
      <c r="J1698" s="31">
        <v>4.22</v>
      </c>
      <c r="K1698" s="32">
        <f t="shared" si="78"/>
        <v>12.238</v>
      </c>
      <c r="L1698" s="29" t="s">
        <v>177</v>
      </c>
      <c r="M1698" s="27">
        <f>IFERROR(VLOOKUP(C1698,Custo_MI_Device!$B$2:$E$102,3,FALSE),0)</f>
        <v>0</v>
      </c>
      <c r="N1698" s="27">
        <f t="shared" si="79"/>
        <v>0</v>
      </c>
      <c r="O1698" s="178">
        <f t="shared" si="80"/>
        <v>0</v>
      </c>
    </row>
    <row r="1699" spans="1:15" ht="12.75" hidden="1">
      <c r="A1699" s="25">
        <v>4823</v>
      </c>
      <c r="B1699" s="25" t="s">
        <v>104</v>
      </c>
      <c r="C1699" s="26" t="s">
        <v>107</v>
      </c>
      <c r="D1699" s="27">
        <v>76090000</v>
      </c>
      <c r="E1699" s="28" t="s">
        <v>199</v>
      </c>
      <c r="F1699" s="29" t="s">
        <v>200</v>
      </c>
      <c r="G1699" s="30">
        <v>0.75</v>
      </c>
      <c r="H1699" s="27" t="s">
        <v>137</v>
      </c>
      <c r="I1699" s="26" t="s">
        <v>138</v>
      </c>
      <c r="J1699" s="31">
        <v>6.7</v>
      </c>
      <c r="K1699" s="32">
        <f t="shared" si="78"/>
        <v>5.0250000000000004</v>
      </c>
      <c r="L1699" s="29" t="s">
        <v>200</v>
      </c>
      <c r="M1699" s="27">
        <f>IFERROR(VLOOKUP(C1699,Custo_MI_Device!$B$2:$E$102,3,FALSE),0)</f>
        <v>0</v>
      </c>
      <c r="N1699" s="27">
        <f t="shared" si="79"/>
        <v>0</v>
      </c>
      <c r="O1699" s="178">
        <f t="shared" si="80"/>
        <v>0</v>
      </c>
    </row>
    <row r="1700" spans="1:15" ht="12.75" hidden="1">
      <c r="A1700" s="25">
        <v>2912</v>
      </c>
      <c r="B1700" s="25" t="s">
        <v>104</v>
      </c>
      <c r="C1700" s="26" t="s">
        <v>107</v>
      </c>
      <c r="D1700" s="27">
        <v>76090000</v>
      </c>
      <c r="E1700" s="28" t="s">
        <v>201</v>
      </c>
      <c r="F1700" s="29" t="s">
        <v>202</v>
      </c>
      <c r="G1700" s="30">
        <v>0.5</v>
      </c>
      <c r="H1700" s="27" t="s">
        <v>137</v>
      </c>
      <c r="I1700" s="26" t="s">
        <v>138</v>
      </c>
      <c r="J1700" s="31">
        <v>7.5</v>
      </c>
      <c r="K1700" s="32">
        <f t="shared" si="78"/>
        <v>3.75</v>
      </c>
      <c r="L1700" s="29" t="s">
        <v>202</v>
      </c>
      <c r="M1700" s="27">
        <f>IFERROR(VLOOKUP(C1700,Custo_MI_Device!$B$2:$E$102,3,FALSE),0)</f>
        <v>0</v>
      </c>
      <c r="N1700" s="27">
        <f t="shared" si="79"/>
        <v>0</v>
      </c>
      <c r="O1700" s="178">
        <f t="shared" si="80"/>
        <v>0</v>
      </c>
    </row>
    <row r="1701" spans="1:15" ht="25.5" hidden="1">
      <c r="A1701" s="25">
        <v>3436</v>
      </c>
      <c r="B1701" s="25" t="s">
        <v>104</v>
      </c>
      <c r="C1701" s="26" t="s">
        <v>107</v>
      </c>
      <c r="D1701" s="27">
        <v>76090000</v>
      </c>
      <c r="E1701" s="28" t="s">
        <v>193</v>
      </c>
      <c r="F1701" s="29" t="s">
        <v>194</v>
      </c>
      <c r="G1701" s="30">
        <v>1</v>
      </c>
      <c r="H1701" s="27" t="s">
        <v>137</v>
      </c>
      <c r="I1701" s="26" t="s">
        <v>138</v>
      </c>
      <c r="J1701" s="31">
        <v>6.7</v>
      </c>
      <c r="K1701" s="32">
        <f t="shared" si="78"/>
        <v>6.7</v>
      </c>
      <c r="L1701" s="29" t="s">
        <v>194</v>
      </c>
      <c r="M1701" s="27">
        <f>IFERROR(VLOOKUP(C1701,Custo_MI_Device!$B$2:$E$102,3,FALSE),0)</f>
        <v>0</v>
      </c>
      <c r="N1701" s="27">
        <f t="shared" si="79"/>
        <v>0</v>
      </c>
      <c r="O1701" s="178">
        <f t="shared" si="80"/>
        <v>0</v>
      </c>
    </row>
    <row r="1702" spans="1:15" ht="25.5" hidden="1">
      <c r="A1702" s="25">
        <v>4306</v>
      </c>
      <c r="B1702" s="25" t="s">
        <v>104</v>
      </c>
      <c r="C1702" s="26" t="s">
        <v>107</v>
      </c>
      <c r="D1702" s="27">
        <v>73063000</v>
      </c>
      <c r="E1702" s="28" t="s">
        <v>239</v>
      </c>
      <c r="F1702" s="29">
        <v>0</v>
      </c>
      <c r="G1702" s="30">
        <v>3</v>
      </c>
      <c r="H1702" s="27" t="s">
        <v>232</v>
      </c>
      <c r="I1702" s="26" t="s">
        <v>233</v>
      </c>
      <c r="J1702" s="31">
        <v>32</v>
      </c>
      <c r="K1702" s="32">
        <f t="shared" si="78"/>
        <v>96</v>
      </c>
      <c r="L1702" s="29" t="s">
        <v>240</v>
      </c>
      <c r="M1702" s="27">
        <f>IFERROR(VLOOKUP(C1702,Custo_MI_Device!$B$2:$E$102,3,FALSE),0)</f>
        <v>0</v>
      </c>
      <c r="N1702" s="27">
        <f t="shared" si="79"/>
        <v>0</v>
      </c>
      <c r="O1702" s="178">
        <f t="shared" si="80"/>
        <v>0</v>
      </c>
    </row>
    <row r="1703" spans="1:15" ht="12.75" hidden="1">
      <c r="A1703" s="25">
        <v>4867</v>
      </c>
      <c r="B1703" s="25" t="s">
        <v>104</v>
      </c>
      <c r="C1703" s="26" t="s">
        <v>107</v>
      </c>
      <c r="D1703" s="27">
        <v>73072900</v>
      </c>
      <c r="E1703" s="28" t="s">
        <v>244</v>
      </c>
      <c r="F1703" s="29">
        <v>0</v>
      </c>
      <c r="G1703" s="30">
        <v>1</v>
      </c>
      <c r="H1703" s="27" t="s">
        <v>137</v>
      </c>
      <c r="I1703" s="26" t="s">
        <v>233</v>
      </c>
      <c r="J1703" s="31">
        <v>2.15</v>
      </c>
      <c r="K1703" s="32">
        <f t="shared" si="78"/>
        <v>2.15</v>
      </c>
      <c r="L1703" s="29" t="s">
        <v>245</v>
      </c>
      <c r="M1703" s="27">
        <f>IFERROR(VLOOKUP(C1703,Custo_MI_Device!$B$2:$E$102,3,FALSE),0)</f>
        <v>0</v>
      </c>
      <c r="N1703" s="27">
        <f t="shared" si="79"/>
        <v>0</v>
      </c>
      <c r="O1703" s="178">
        <f t="shared" si="80"/>
        <v>0</v>
      </c>
    </row>
    <row r="1704" spans="1:15" ht="12.75" hidden="1">
      <c r="A1704" s="25">
        <v>3316</v>
      </c>
      <c r="B1704" s="25" t="s">
        <v>104</v>
      </c>
      <c r="C1704" s="26" t="s">
        <v>107</v>
      </c>
      <c r="D1704" s="27">
        <v>0</v>
      </c>
      <c r="E1704" s="28" t="s">
        <v>246</v>
      </c>
      <c r="F1704" s="29" t="s">
        <v>247</v>
      </c>
      <c r="G1704" s="30">
        <v>1</v>
      </c>
      <c r="H1704" s="27" t="s">
        <v>137</v>
      </c>
      <c r="I1704" s="26" t="s">
        <v>248</v>
      </c>
      <c r="J1704" s="31">
        <v>5.5</v>
      </c>
      <c r="K1704" s="32">
        <f t="shared" si="78"/>
        <v>5.5</v>
      </c>
      <c r="L1704" s="29" t="s">
        <v>247</v>
      </c>
      <c r="M1704" s="27">
        <f>IFERROR(VLOOKUP(C1704,Custo_MI_Device!$B$2:$E$102,3,FALSE),0)</f>
        <v>0</v>
      </c>
      <c r="N1704" s="27">
        <f t="shared" si="79"/>
        <v>0</v>
      </c>
      <c r="O1704" s="178">
        <f t="shared" si="80"/>
        <v>0</v>
      </c>
    </row>
    <row r="1705" spans="1:15" ht="12.75" hidden="1">
      <c r="A1705" s="25">
        <v>3274</v>
      </c>
      <c r="B1705" s="25" t="s">
        <v>104</v>
      </c>
      <c r="C1705" s="26" t="s">
        <v>107</v>
      </c>
      <c r="D1705" s="27">
        <v>73181500</v>
      </c>
      <c r="E1705" s="28" t="s">
        <v>265</v>
      </c>
      <c r="F1705" s="29" t="s">
        <v>266</v>
      </c>
      <c r="G1705" s="30">
        <v>36</v>
      </c>
      <c r="H1705" s="27" t="s">
        <v>137</v>
      </c>
      <c r="I1705" s="26" t="s">
        <v>256</v>
      </c>
      <c r="J1705" s="31">
        <v>0.06</v>
      </c>
      <c r="K1705" s="32">
        <f t="shared" si="78"/>
        <v>2.16</v>
      </c>
      <c r="L1705" s="29" t="s">
        <v>266</v>
      </c>
      <c r="M1705" s="27">
        <f>IFERROR(VLOOKUP(C1705,Custo_MI_Device!$B$2:$E$102,3,FALSE),0)</f>
        <v>0</v>
      </c>
      <c r="N1705" s="27">
        <f t="shared" si="79"/>
        <v>0</v>
      </c>
      <c r="O1705" s="178">
        <f t="shared" si="80"/>
        <v>0</v>
      </c>
    </row>
    <row r="1706" spans="1:15" ht="25.5" hidden="1">
      <c r="A1706" s="25">
        <v>1611</v>
      </c>
      <c r="B1706" s="25" t="s">
        <v>104</v>
      </c>
      <c r="C1706" s="26" t="s">
        <v>107</v>
      </c>
      <c r="D1706" s="27">
        <v>39174090</v>
      </c>
      <c r="E1706" s="28" t="s">
        <v>275</v>
      </c>
      <c r="F1706" s="29" t="s">
        <v>276</v>
      </c>
      <c r="G1706" s="30">
        <v>2</v>
      </c>
      <c r="H1706" s="27" t="s">
        <v>137</v>
      </c>
      <c r="I1706" s="26" t="s">
        <v>277</v>
      </c>
      <c r="J1706" s="31">
        <v>7.8</v>
      </c>
      <c r="K1706" s="32">
        <f t="shared" si="78"/>
        <v>15.6</v>
      </c>
      <c r="L1706" s="29" t="s">
        <v>276</v>
      </c>
      <c r="M1706" s="27">
        <f>IFERROR(VLOOKUP(C1706,Custo_MI_Device!$B$2:$E$102,3,FALSE),0)</f>
        <v>0</v>
      </c>
      <c r="N1706" s="27">
        <f t="shared" si="79"/>
        <v>0</v>
      </c>
      <c r="O1706" s="178">
        <f t="shared" si="80"/>
        <v>0</v>
      </c>
    </row>
    <row r="1707" spans="1:15" ht="12.75" hidden="1">
      <c r="A1707" s="25">
        <v>2534</v>
      </c>
      <c r="B1707" s="25" t="s">
        <v>104</v>
      </c>
      <c r="C1707" s="26" t="s">
        <v>108</v>
      </c>
      <c r="D1707" s="27">
        <v>73072900</v>
      </c>
      <c r="E1707" s="28" t="s">
        <v>314</v>
      </c>
      <c r="F1707" s="29" t="s">
        <v>315</v>
      </c>
      <c r="G1707" s="30">
        <v>18</v>
      </c>
      <c r="H1707" s="27" t="s">
        <v>137</v>
      </c>
      <c r="I1707" s="26" t="s">
        <v>256</v>
      </c>
      <c r="J1707" s="31">
        <v>1.2</v>
      </c>
      <c r="K1707" s="32">
        <f t="shared" si="78"/>
        <v>21.599999999999998</v>
      </c>
      <c r="L1707" s="29" t="s">
        <v>315</v>
      </c>
      <c r="M1707" s="27">
        <f>IFERROR(VLOOKUP(C1707,Custo_MI_Device!$B$2:$E$102,3,FALSE),0)</f>
        <v>0</v>
      </c>
      <c r="N1707" s="27">
        <f t="shared" si="79"/>
        <v>0</v>
      </c>
      <c r="O1707" s="178">
        <f t="shared" si="80"/>
        <v>0</v>
      </c>
    </row>
    <row r="1708" spans="1:15" ht="12.75" hidden="1">
      <c r="A1708" s="25">
        <v>1669</v>
      </c>
      <c r="B1708" s="25" t="s">
        <v>104</v>
      </c>
      <c r="C1708" s="26" t="s">
        <v>108</v>
      </c>
      <c r="D1708" s="27">
        <v>39269090</v>
      </c>
      <c r="E1708" s="28" t="s">
        <v>316</v>
      </c>
      <c r="F1708" s="29" t="s">
        <v>317</v>
      </c>
      <c r="G1708" s="30">
        <v>3</v>
      </c>
      <c r="H1708" s="27" t="s">
        <v>137</v>
      </c>
      <c r="I1708" s="26" t="s">
        <v>318</v>
      </c>
      <c r="J1708" s="31">
        <v>0.04</v>
      </c>
      <c r="K1708" s="32">
        <f t="shared" si="78"/>
        <v>0.12</v>
      </c>
      <c r="L1708" s="29" t="s">
        <v>317</v>
      </c>
      <c r="M1708" s="27">
        <f>IFERROR(VLOOKUP(C1708,Custo_MI_Device!$B$2:$E$102,3,FALSE),0)</f>
        <v>0</v>
      </c>
      <c r="N1708" s="27">
        <f t="shared" si="79"/>
        <v>0</v>
      </c>
      <c r="O1708" s="178">
        <f t="shared" si="80"/>
        <v>0</v>
      </c>
    </row>
    <row r="1709" spans="1:15" ht="12.75" hidden="1">
      <c r="A1709" s="25">
        <v>5091</v>
      </c>
      <c r="B1709" s="25" t="s">
        <v>104</v>
      </c>
      <c r="C1709" s="26" t="s">
        <v>108</v>
      </c>
      <c r="D1709" s="27">
        <v>73181500</v>
      </c>
      <c r="E1709" s="28" t="s">
        <v>323</v>
      </c>
      <c r="F1709" s="29" t="s">
        <v>324</v>
      </c>
      <c r="G1709" s="30">
        <v>36</v>
      </c>
      <c r="H1709" s="27" t="s">
        <v>137</v>
      </c>
      <c r="I1709" s="26" t="s">
        <v>256</v>
      </c>
      <c r="J1709" s="31">
        <v>0.04</v>
      </c>
      <c r="K1709" s="32">
        <f t="shared" si="78"/>
        <v>1.44</v>
      </c>
      <c r="L1709" s="29" t="s">
        <v>324</v>
      </c>
      <c r="M1709" s="27">
        <f>IFERROR(VLOOKUP(C1709,Custo_MI_Device!$B$2:$E$102,3,FALSE),0)</f>
        <v>0</v>
      </c>
      <c r="N1709" s="27">
        <f t="shared" si="79"/>
        <v>0</v>
      </c>
      <c r="O1709" s="178">
        <f t="shared" si="80"/>
        <v>0</v>
      </c>
    </row>
    <row r="1710" spans="1:15" ht="12.75" hidden="1">
      <c r="A1710" s="25">
        <v>1117</v>
      </c>
      <c r="B1710" s="25" t="s">
        <v>104</v>
      </c>
      <c r="C1710" s="26" t="s">
        <v>108</v>
      </c>
      <c r="D1710" s="27"/>
      <c r="E1710" s="28" t="s">
        <v>145</v>
      </c>
      <c r="F1710" s="29" t="s">
        <v>146</v>
      </c>
      <c r="G1710" s="30">
        <v>1</v>
      </c>
      <c r="H1710" s="27" t="s">
        <v>137</v>
      </c>
      <c r="I1710" s="26" t="s">
        <v>138</v>
      </c>
      <c r="J1710" s="31">
        <v>1.95</v>
      </c>
      <c r="K1710" s="32">
        <f t="shared" si="78"/>
        <v>1.95</v>
      </c>
      <c r="L1710" s="29" t="s">
        <v>146</v>
      </c>
      <c r="M1710" s="27">
        <f>IFERROR(VLOOKUP(C1710,Custo_MI_Device!$B$2:$E$102,3,FALSE),0)</f>
        <v>0</v>
      </c>
      <c r="N1710" s="27">
        <f t="shared" si="79"/>
        <v>0</v>
      </c>
      <c r="O1710" s="178">
        <f t="shared" si="80"/>
        <v>0</v>
      </c>
    </row>
    <row r="1711" spans="1:15" ht="25.5" hidden="1">
      <c r="A1711" s="25">
        <v>5139</v>
      </c>
      <c r="B1711" s="25" t="s">
        <v>104</v>
      </c>
      <c r="C1711" s="26" t="s">
        <v>108</v>
      </c>
      <c r="D1711" s="27">
        <v>85444900</v>
      </c>
      <c r="E1711" s="28" t="s">
        <v>170</v>
      </c>
      <c r="F1711" s="29" t="s">
        <v>171</v>
      </c>
      <c r="G1711" s="30">
        <v>15</v>
      </c>
      <c r="H1711" s="27" t="s">
        <v>158</v>
      </c>
      <c r="I1711" s="26" t="s">
        <v>172</v>
      </c>
      <c r="J1711" s="31">
        <v>7.5</v>
      </c>
      <c r="K1711" s="32">
        <f t="shared" si="78"/>
        <v>112.5</v>
      </c>
      <c r="L1711" s="29" t="s">
        <v>173</v>
      </c>
      <c r="M1711" s="27">
        <f>IFERROR(VLOOKUP(C1711,Custo_MI_Device!$B$2:$E$102,3,FALSE),0)</f>
        <v>0</v>
      </c>
      <c r="N1711" s="27">
        <f t="shared" si="79"/>
        <v>0</v>
      </c>
      <c r="O1711" s="178">
        <f t="shared" si="80"/>
        <v>0</v>
      </c>
    </row>
    <row r="1712" spans="1:15" ht="12.75" hidden="1">
      <c r="A1712" s="25">
        <v>2805</v>
      </c>
      <c r="B1712" s="25" t="s">
        <v>104</v>
      </c>
      <c r="C1712" s="26" t="s">
        <v>108</v>
      </c>
      <c r="D1712" s="27">
        <v>72162100</v>
      </c>
      <c r="E1712" s="28" t="s">
        <v>174</v>
      </c>
      <c r="F1712" s="29">
        <v>0</v>
      </c>
      <c r="G1712" s="30">
        <v>2.9</v>
      </c>
      <c r="H1712" s="27" t="s">
        <v>175</v>
      </c>
      <c r="I1712" s="26" t="s">
        <v>176</v>
      </c>
      <c r="J1712" s="31">
        <v>4.22</v>
      </c>
      <c r="K1712" s="32">
        <f t="shared" si="78"/>
        <v>12.238</v>
      </c>
      <c r="L1712" s="29" t="s">
        <v>177</v>
      </c>
      <c r="M1712" s="27">
        <f>IFERROR(VLOOKUP(C1712,Custo_MI_Device!$B$2:$E$102,3,FALSE),0)</f>
        <v>0</v>
      </c>
      <c r="N1712" s="27">
        <f t="shared" si="79"/>
        <v>0</v>
      </c>
      <c r="O1712" s="178">
        <f t="shared" si="80"/>
        <v>0</v>
      </c>
    </row>
    <row r="1713" spans="1:15" ht="12.75" hidden="1">
      <c r="A1713" s="25">
        <v>4823</v>
      </c>
      <c r="B1713" s="25" t="s">
        <v>104</v>
      </c>
      <c r="C1713" s="26" t="s">
        <v>108</v>
      </c>
      <c r="D1713" s="27">
        <v>76090000</v>
      </c>
      <c r="E1713" s="28" t="s">
        <v>199</v>
      </c>
      <c r="F1713" s="29" t="s">
        <v>200</v>
      </c>
      <c r="G1713" s="30">
        <v>0.75</v>
      </c>
      <c r="H1713" s="27" t="s">
        <v>137</v>
      </c>
      <c r="I1713" s="26" t="s">
        <v>138</v>
      </c>
      <c r="J1713" s="31">
        <v>6.7</v>
      </c>
      <c r="K1713" s="32">
        <f t="shared" si="78"/>
        <v>5.0250000000000004</v>
      </c>
      <c r="L1713" s="29" t="s">
        <v>200</v>
      </c>
      <c r="M1713" s="27">
        <f>IFERROR(VLOOKUP(C1713,Custo_MI_Device!$B$2:$E$102,3,FALSE),0)</f>
        <v>0</v>
      </c>
      <c r="N1713" s="27">
        <f t="shared" si="79"/>
        <v>0</v>
      </c>
      <c r="O1713" s="178">
        <f t="shared" si="80"/>
        <v>0</v>
      </c>
    </row>
    <row r="1714" spans="1:15" ht="12.75" hidden="1">
      <c r="A1714" s="25">
        <v>2912</v>
      </c>
      <c r="B1714" s="25" t="s">
        <v>104</v>
      </c>
      <c r="C1714" s="26" t="s">
        <v>108</v>
      </c>
      <c r="D1714" s="27">
        <v>76090000</v>
      </c>
      <c r="E1714" s="28" t="s">
        <v>201</v>
      </c>
      <c r="F1714" s="29" t="s">
        <v>202</v>
      </c>
      <c r="G1714" s="30">
        <v>0.5</v>
      </c>
      <c r="H1714" s="27" t="s">
        <v>137</v>
      </c>
      <c r="I1714" s="26" t="s">
        <v>138</v>
      </c>
      <c r="J1714" s="31">
        <v>7.5</v>
      </c>
      <c r="K1714" s="32">
        <f t="shared" si="78"/>
        <v>3.75</v>
      </c>
      <c r="L1714" s="29" t="s">
        <v>202</v>
      </c>
      <c r="M1714" s="27">
        <f>IFERROR(VLOOKUP(C1714,Custo_MI_Device!$B$2:$E$102,3,FALSE),0)</f>
        <v>0</v>
      </c>
      <c r="N1714" s="27">
        <f t="shared" si="79"/>
        <v>0</v>
      </c>
      <c r="O1714" s="178">
        <f t="shared" si="80"/>
        <v>0</v>
      </c>
    </row>
    <row r="1715" spans="1:15" ht="25.5" hidden="1">
      <c r="A1715" s="25">
        <v>3436</v>
      </c>
      <c r="B1715" s="25" t="s">
        <v>104</v>
      </c>
      <c r="C1715" s="26" t="s">
        <v>108</v>
      </c>
      <c r="D1715" s="27">
        <v>76090000</v>
      </c>
      <c r="E1715" s="28" t="s">
        <v>193</v>
      </c>
      <c r="F1715" s="29" t="s">
        <v>194</v>
      </c>
      <c r="G1715" s="30">
        <v>1</v>
      </c>
      <c r="H1715" s="27" t="s">
        <v>137</v>
      </c>
      <c r="I1715" s="26" t="s">
        <v>138</v>
      </c>
      <c r="J1715" s="31">
        <v>6.7</v>
      </c>
      <c r="K1715" s="32">
        <f t="shared" si="78"/>
        <v>6.7</v>
      </c>
      <c r="L1715" s="29" t="s">
        <v>194</v>
      </c>
      <c r="M1715" s="27">
        <f>IFERROR(VLOOKUP(C1715,Custo_MI_Device!$B$2:$E$102,3,FALSE),0)</f>
        <v>0</v>
      </c>
      <c r="N1715" s="27">
        <f t="shared" si="79"/>
        <v>0</v>
      </c>
      <c r="O1715" s="178">
        <f t="shared" si="80"/>
        <v>0</v>
      </c>
    </row>
    <row r="1716" spans="1:15" ht="25.5" hidden="1">
      <c r="A1716" s="25">
        <v>4306</v>
      </c>
      <c r="B1716" s="25" t="s">
        <v>104</v>
      </c>
      <c r="C1716" s="26" t="s">
        <v>108</v>
      </c>
      <c r="D1716" s="27">
        <v>73063000</v>
      </c>
      <c r="E1716" s="28" t="s">
        <v>239</v>
      </c>
      <c r="F1716" s="29">
        <v>0</v>
      </c>
      <c r="G1716" s="30">
        <v>3</v>
      </c>
      <c r="H1716" s="27" t="s">
        <v>232</v>
      </c>
      <c r="I1716" s="26" t="s">
        <v>233</v>
      </c>
      <c r="J1716" s="31">
        <v>32</v>
      </c>
      <c r="K1716" s="32">
        <f t="shared" si="78"/>
        <v>96</v>
      </c>
      <c r="L1716" s="29" t="s">
        <v>240</v>
      </c>
      <c r="M1716" s="27">
        <f>IFERROR(VLOOKUP(C1716,Custo_MI_Device!$B$2:$E$102,3,FALSE),0)</f>
        <v>0</v>
      </c>
      <c r="N1716" s="27">
        <f t="shared" si="79"/>
        <v>0</v>
      </c>
      <c r="O1716" s="178">
        <f t="shared" si="80"/>
        <v>0</v>
      </c>
    </row>
    <row r="1717" spans="1:15" ht="12.75" hidden="1">
      <c r="A1717" s="25">
        <v>4867</v>
      </c>
      <c r="B1717" s="25" t="s">
        <v>104</v>
      </c>
      <c r="C1717" s="26" t="s">
        <v>108</v>
      </c>
      <c r="D1717" s="27">
        <v>73072900</v>
      </c>
      <c r="E1717" s="28" t="s">
        <v>244</v>
      </c>
      <c r="F1717" s="29">
        <v>0</v>
      </c>
      <c r="G1717" s="30">
        <v>1</v>
      </c>
      <c r="H1717" s="27" t="s">
        <v>137</v>
      </c>
      <c r="I1717" s="26" t="s">
        <v>233</v>
      </c>
      <c r="J1717" s="31">
        <v>2.15</v>
      </c>
      <c r="K1717" s="32">
        <f t="shared" si="78"/>
        <v>2.15</v>
      </c>
      <c r="L1717" s="29" t="s">
        <v>245</v>
      </c>
      <c r="M1717" s="27">
        <f>IFERROR(VLOOKUP(C1717,Custo_MI_Device!$B$2:$E$102,3,FALSE),0)</f>
        <v>0</v>
      </c>
      <c r="N1717" s="27">
        <f t="shared" si="79"/>
        <v>0</v>
      </c>
      <c r="O1717" s="178">
        <f t="shared" si="80"/>
        <v>0</v>
      </c>
    </row>
    <row r="1718" spans="1:15" ht="12.75" hidden="1">
      <c r="A1718" s="25">
        <v>3316</v>
      </c>
      <c r="B1718" s="25" t="s">
        <v>104</v>
      </c>
      <c r="C1718" s="26" t="s">
        <v>108</v>
      </c>
      <c r="D1718" s="27">
        <v>0</v>
      </c>
      <c r="E1718" s="28" t="s">
        <v>246</v>
      </c>
      <c r="F1718" s="29" t="s">
        <v>247</v>
      </c>
      <c r="G1718" s="30">
        <v>1</v>
      </c>
      <c r="H1718" s="27" t="s">
        <v>137</v>
      </c>
      <c r="I1718" s="26" t="s">
        <v>248</v>
      </c>
      <c r="J1718" s="31">
        <v>5.5</v>
      </c>
      <c r="K1718" s="32">
        <f t="shared" si="78"/>
        <v>5.5</v>
      </c>
      <c r="L1718" s="29" t="s">
        <v>247</v>
      </c>
      <c r="M1718" s="27">
        <f>IFERROR(VLOOKUP(C1718,Custo_MI_Device!$B$2:$E$102,3,FALSE),0)</f>
        <v>0</v>
      </c>
      <c r="N1718" s="27">
        <f t="shared" si="79"/>
        <v>0</v>
      </c>
      <c r="O1718" s="178">
        <f t="shared" si="80"/>
        <v>0</v>
      </c>
    </row>
    <row r="1719" spans="1:15" ht="12.75" hidden="1">
      <c r="A1719" s="25">
        <v>3274</v>
      </c>
      <c r="B1719" s="25" t="s">
        <v>104</v>
      </c>
      <c r="C1719" s="26" t="s">
        <v>108</v>
      </c>
      <c r="D1719" s="27">
        <v>73181500</v>
      </c>
      <c r="E1719" s="28" t="s">
        <v>265</v>
      </c>
      <c r="F1719" s="29" t="s">
        <v>266</v>
      </c>
      <c r="G1719" s="30">
        <v>36</v>
      </c>
      <c r="H1719" s="27" t="s">
        <v>137</v>
      </c>
      <c r="I1719" s="26" t="s">
        <v>256</v>
      </c>
      <c r="J1719" s="31">
        <v>0.06</v>
      </c>
      <c r="K1719" s="32">
        <f t="shared" si="78"/>
        <v>2.16</v>
      </c>
      <c r="L1719" s="29" t="s">
        <v>266</v>
      </c>
      <c r="M1719" s="27">
        <f>IFERROR(VLOOKUP(C1719,Custo_MI_Device!$B$2:$E$102,3,FALSE),0)</f>
        <v>0</v>
      </c>
      <c r="N1719" s="27">
        <f t="shared" si="79"/>
        <v>0</v>
      </c>
      <c r="O1719" s="178">
        <f t="shared" si="80"/>
        <v>0</v>
      </c>
    </row>
    <row r="1720" spans="1:15" ht="25.5" hidden="1">
      <c r="A1720" s="25">
        <v>1611</v>
      </c>
      <c r="B1720" s="25" t="s">
        <v>104</v>
      </c>
      <c r="C1720" s="26" t="s">
        <v>108</v>
      </c>
      <c r="D1720" s="27">
        <v>39174090</v>
      </c>
      <c r="E1720" s="28" t="s">
        <v>275</v>
      </c>
      <c r="F1720" s="29" t="s">
        <v>276</v>
      </c>
      <c r="G1720" s="30">
        <v>2</v>
      </c>
      <c r="H1720" s="27" t="s">
        <v>137</v>
      </c>
      <c r="I1720" s="26" t="s">
        <v>277</v>
      </c>
      <c r="J1720" s="31">
        <v>7.8</v>
      </c>
      <c r="K1720" s="32">
        <f t="shared" si="78"/>
        <v>15.6</v>
      </c>
      <c r="L1720" s="29" t="s">
        <v>276</v>
      </c>
      <c r="M1720" s="27">
        <f>IFERROR(VLOOKUP(C1720,Custo_MI_Device!$B$2:$E$102,3,FALSE),0)</f>
        <v>0</v>
      </c>
      <c r="N1720" s="27">
        <f t="shared" si="79"/>
        <v>0</v>
      </c>
      <c r="O1720" s="178">
        <f t="shared" si="80"/>
        <v>0</v>
      </c>
    </row>
    <row r="1721" spans="1:15" ht="12.75" hidden="1">
      <c r="A1721" s="25">
        <v>117</v>
      </c>
      <c r="B1721" s="25" t="s">
        <v>12</v>
      </c>
      <c r="C1721" s="26" t="s">
        <v>13</v>
      </c>
      <c r="D1721" s="27">
        <v>73072900</v>
      </c>
      <c r="E1721" s="28" t="s">
        <v>308</v>
      </c>
      <c r="F1721" s="29" t="s">
        <v>309</v>
      </c>
      <c r="G1721" s="30">
        <v>24</v>
      </c>
      <c r="H1721" s="27" t="s">
        <v>137</v>
      </c>
      <c r="I1721" s="26" t="s">
        <v>256</v>
      </c>
      <c r="J1721" s="31">
        <v>0.95</v>
      </c>
      <c r="K1721" s="32">
        <f t="shared" si="78"/>
        <v>22.799999999999997</v>
      </c>
      <c r="L1721" s="29" t="s">
        <v>309</v>
      </c>
      <c r="M1721" s="27">
        <f>IFERROR(VLOOKUP(C1721,Custo_MI_Device!$B$2:$E$102,3,FALSE),0)</f>
        <v>0</v>
      </c>
      <c r="N1721" s="27">
        <f t="shared" si="79"/>
        <v>0</v>
      </c>
      <c r="O1721" s="178">
        <f t="shared" si="80"/>
        <v>0</v>
      </c>
    </row>
    <row r="1722" spans="1:15" ht="12.75" hidden="1">
      <c r="A1722" s="25">
        <v>2534</v>
      </c>
      <c r="B1722" s="25" t="s">
        <v>12</v>
      </c>
      <c r="C1722" s="26" t="s">
        <v>13</v>
      </c>
      <c r="D1722" s="27">
        <v>73072900</v>
      </c>
      <c r="E1722" s="28" t="s">
        <v>314</v>
      </c>
      <c r="F1722" s="29" t="s">
        <v>315</v>
      </c>
      <c r="G1722" s="30">
        <v>24</v>
      </c>
      <c r="H1722" s="27" t="s">
        <v>137</v>
      </c>
      <c r="I1722" s="26" t="s">
        <v>256</v>
      </c>
      <c r="J1722" s="31">
        <v>1.2</v>
      </c>
      <c r="K1722" s="32">
        <f t="shared" si="78"/>
        <v>28.799999999999997</v>
      </c>
      <c r="L1722" s="29" t="s">
        <v>315</v>
      </c>
      <c r="M1722" s="27">
        <f>IFERROR(VLOOKUP(C1722,Custo_MI_Device!$B$2:$E$102,3,FALSE),0)</f>
        <v>0</v>
      </c>
      <c r="N1722" s="27">
        <f t="shared" si="79"/>
        <v>0</v>
      </c>
      <c r="O1722" s="178">
        <f t="shared" si="80"/>
        <v>0</v>
      </c>
    </row>
    <row r="1723" spans="1:15" ht="12.75" hidden="1">
      <c r="A1723" s="25">
        <v>1669</v>
      </c>
      <c r="B1723" s="25" t="s">
        <v>12</v>
      </c>
      <c r="C1723" s="26" t="s">
        <v>13</v>
      </c>
      <c r="D1723" s="27">
        <v>39269090</v>
      </c>
      <c r="E1723" s="28" t="s">
        <v>316</v>
      </c>
      <c r="F1723" s="29" t="s">
        <v>317</v>
      </c>
      <c r="G1723" s="30">
        <v>3</v>
      </c>
      <c r="H1723" s="27" t="s">
        <v>137</v>
      </c>
      <c r="I1723" s="26" t="s">
        <v>318</v>
      </c>
      <c r="J1723" s="31">
        <v>0.04</v>
      </c>
      <c r="K1723" s="32">
        <f t="shared" si="78"/>
        <v>0.12</v>
      </c>
      <c r="L1723" s="29" t="s">
        <v>317</v>
      </c>
      <c r="M1723" s="27">
        <f>IFERROR(VLOOKUP(C1723,Custo_MI_Device!$B$2:$E$102,3,FALSE),0)</f>
        <v>0</v>
      </c>
      <c r="N1723" s="27">
        <f t="shared" si="79"/>
        <v>0</v>
      </c>
      <c r="O1723" s="178">
        <f t="shared" si="80"/>
        <v>0</v>
      </c>
    </row>
    <row r="1724" spans="1:15" ht="12.75" hidden="1">
      <c r="A1724" s="25">
        <v>5091</v>
      </c>
      <c r="B1724" s="25" t="s">
        <v>12</v>
      </c>
      <c r="C1724" s="26" t="s">
        <v>13</v>
      </c>
      <c r="D1724" s="27">
        <v>73181500</v>
      </c>
      <c r="E1724" s="28" t="s">
        <v>323</v>
      </c>
      <c r="F1724" s="29" t="s">
        <v>324</v>
      </c>
      <c r="G1724" s="30">
        <v>48</v>
      </c>
      <c r="H1724" s="27" t="s">
        <v>137</v>
      </c>
      <c r="I1724" s="26" t="s">
        <v>256</v>
      </c>
      <c r="J1724" s="31">
        <v>0.04</v>
      </c>
      <c r="K1724" s="32">
        <f t="shared" si="78"/>
        <v>1.92</v>
      </c>
      <c r="L1724" s="29" t="s">
        <v>324</v>
      </c>
      <c r="M1724" s="27">
        <f>IFERROR(VLOOKUP(C1724,Custo_MI_Device!$B$2:$E$102,3,FALSE),0)</f>
        <v>0</v>
      </c>
      <c r="N1724" s="27">
        <f t="shared" si="79"/>
        <v>0</v>
      </c>
      <c r="O1724" s="178">
        <f t="shared" si="80"/>
        <v>0</v>
      </c>
    </row>
    <row r="1725" spans="1:15" ht="12.75" hidden="1">
      <c r="A1725" s="25">
        <v>1117</v>
      </c>
      <c r="B1725" s="25" t="s">
        <v>12</v>
      </c>
      <c r="C1725" s="26" t="s">
        <v>13</v>
      </c>
      <c r="D1725" s="27"/>
      <c r="E1725" s="28" t="s">
        <v>145</v>
      </c>
      <c r="F1725" s="29" t="s">
        <v>146</v>
      </c>
      <c r="G1725" s="30">
        <v>1</v>
      </c>
      <c r="H1725" s="27" t="s">
        <v>137</v>
      </c>
      <c r="I1725" s="26" t="s">
        <v>138</v>
      </c>
      <c r="J1725" s="31">
        <v>1.95</v>
      </c>
      <c r="K1725" s="32">
        <f t="shared" si="78"/>
        <v>1.95</v>
      </c>
      <c r="L1725" s="29" t="s">
        <v>146</v>
      </c>
      <c r="M1725" s="27">
        <f>IFERROR(VLOOKUP(C1725,Custo_MI_Device!$B$2:$E$102,3,FALSE),0)</f>
        <v>0</v>
      </c>
      <c r="N1725" s="27">
        <f t="shared" si="79"/>
        <v>0</v>
      </c>
      <c r="O1725" s="178">
        <f t="shared" si="80"/>
        <v>0</v>
      </c>
    </row>
    <row r="1726" spans="1:15" ht="38.25" hidden="1">
      <c r="A1726" s="25">
        <v>3585</v>
      </c>
      <c r="B1726" s="25" t="s">
        <v>12</v>
      </c>
      <c r="C1726" s="26" t="s">
        <v>13</v>
      </c>
      <c r="D1726" s="27">
        <v>85444900</v>
      </c>
      <c r="E1726" s="28" t="s">
        <v>328</v>
      </c>
      <c r="F1726" s="29">
        <v>900400</v>
      </c>
      <c r="G1726" s="30">
        <v>50</v>
      </c>
      <c r="H1726" s="27" t="s">
        <v>158</v>
      </c>
      <c r="I1726" s="26" t="s">
        <v>164</v>
      </c>
      <c r="J1726" s="31">
        <v>1.7</v>
      </c>
      <c r="K1726" s="32">
        <f t="shared" si="78"/>
        <v>85</v>
      </c>
      <c r="L1726" s="29">
        <v>900400</v>
      </c>
      <c r="M1726" s="27">
        <f>IFERROR(VLOOKUP(C1726,Custo_MI_Device!$B$2:$E$102,3,FALSE),0)</f>
        <v>0</v>
      </c>
      <c r="N1726" s="27">
        <f t="shared" si="79"/>
        <v>0</v>
      </c>
      <c r="O1726" s="178">
        <f t="shared" si="80"/>
        <v>0</v>
      </c>
    </row>
    <row r="1727" spans="1:15" ht="12.75" hidden="1">
      <c r="A1727" s="25">
        <v>2805</v>
      </c>
      <c r="B1727" s="25" t="s">
        <v>12</v>
      </c>
      <c r="C1727" s="26" t="s">
        <v>13</v>
      </c>
      <c r="D1727" s="27">
        <v>72162100</v>
      </c>
      <c r="E1727" s="28" t="s">
        <v>174</v>
      </c>
      <c r="F1727" s="29">
        <v>0</v>
      </c>
      <c r="G1727" s="30">
        <v>2.9</v>
      </c>
      <c r="H1727" s="27" t="s">
        <v>175</v>
      </c>
      <c r="I1727" s="26" t="s">
        <v>176</v>
      </c>
      <c r="J1727" s="31">
        <v>4.22</v>
      </c>
      <c r="K1727" s="32">
        <f t="shared" si="78"/>
        <v>12.238</v>
      </c>
      <c r="L1727" s="29" t="s">
        <v>177</v>
      </c>
      <c r="M1727" s="27">
        <f>IFERROR(VLOOKUP(C1727,Custo_MI_Device!$B$2:$E$102,3,FALSE),0)</f>
        <v>0</v>
      </c>
      <c r="N1727" s="27">
        <f t="shared" si="79"/>
        <v>0</v>
      </c>
      <c r="O1727" s="178">
        <f t="shared" si="80"/>
        <v>0</v>
      </c>
    </row>
    <row r="1728" spans="1:15" ht="12.75" hidden="1">
      <c r="A1728" s="25">
        <v>4823</v>
      </c>
      <c r="B1728" s="25" t="s">
        <v>12</v>
      </c>
      <c r="C1728" s="26" t="s">
        <v>13</v>
      </c>
      <c r="D1728" s="27">
        <v>76090000</v>
      </c>
      <c r="E1728" s="28" t="s">
        <v>199</v>
      </c>
      <c r="F1728" s="29" t="s">
        <v>200</v>
      </c>
      <c r="G1728" s="30">
        <v>0.75</v>
      </c>
      <c r="H1728" s="27" t="s">
        <v>137</v>
      </c>
      <c r="I1728" s="26" t="s">
        <v>138</v>
      </c>
      <c r="J1728" s="31">
        <v>6.7</v>
      </c>
      <c r="K1728" s="32">
        <f t="shared" si="78"/>
        <v>5.0250000000000004</v>
      </c>
      <c r="L1728" s="29" t="s">
        <v>200</v>
      </c>
      <c r="M1728" s="27">
        <f>IFERROR(VLOOKUP(C1728,Custo_MI_Device!$B$2:$E$102,3,FALSE),0)</f>
        <v>0</v>
      </c>
      <c r="N1728" s="27">
        <f t="shared" si="79"/>
        <v>0</v>
      </c>
      <c r="O1728" s="178">
        <f t="shared" si="80"/>
        <v>0</v>
      </c>
    </row>
    <row r="1729" spans="1:15" ht="12.75" hidden="1">
      <c r="A1729" s="25">
        <v>2912</v>
      </c>
      <c r="B1729" s="25" t="s">
        <v>12</v>
      </c>
      <c r="C1729" s="26" t="s">
        <v>13</v>
      </c>
      <c r="D1729" s="27">
        <v>76090000</v>
      </c>
      <c r="E1729" s="28" t="s">
        <v>201</v>
      </c>
      <c r="F1729" s="29" t="s">
        <v>202</v>
      </c>
      <c r="G1729" s="30">
        <v>1</v>
      </c>
      <c r="H1729" s="27" t="s">
        <v>137</v>
      </c>
      <c r="I1729" s="26" t="s">
        <v>138</v>
      </c>
      <c r="J1729" s="31">
        <v>7.5</v>
      </c>
      <c r="K1729" s="32">
        <f t="shared" si="78"/>
        <v>7.5</v>
      </c>
      <c r="L1729" s="29" t="s">
        <v>202</v>
      </c>
      <c r="M1729" s="27">
        <f>IFERROR(VLOOKUP(C1729,Custo_MI_Device!$B$2:$E$102,3,FALSE),0)</f>
        <v>0</v>
      </c>
      <c r="N1729" s="27">
        <f t="shared" si="79"/>
        <v>0</v>
      </c>
      <c r="O1729" s="178">
        <f t="shared" si="80"/>
        <v>0</v>
      </c>
    </row>
    <row r="1730" spans="1:15" ht="25.5" hidden="1">
      <c r="A1730" s="25">
        <v>3436</v>
      </c>
      <c r="B1730" s="25" t="s">
        <v>12</v>
      </c>
      <c r="C1730" s="26" t="s">
        <v>13</v>
      </c>
      <c r="D1730" s="27">
        <v>76090000</v>
      </c>
      <c r="E1730" s="28" t="s">
        <v>193</v>
      </c>
      <c r="F1730" s="29" t="s">
        <v>194</v>
      </c>
      <c r="G1730" s="30">
        <v>1</v>
      </c>
      <c r="H1730" s="27" t="s">
        <v>137</v>
      </c>
      <c r="I1730" s="26" t="s">
        <v>138</v>
      </c>
      <c r="J1730" s="31">
        <v>6.7</v>
      </c>
      <c r="K1730" s="32">
        <f t="shared" si="78"/>
        <v>6.7</v>
      </c>
      <c r="L1730" s="29" t="s">
        <v>194</v>
      </c>
      <c r="M1730" s="27">
        <f>IFERROR(VLOOKUP(C1730,Custo_MI_Device!$B$2:$E$102,3,FALSE),0)</f>
        <v>0</v>
      </c>
      <c r="N1730" s="27">
        <f t="shared" si="79"/>
        <v>0</v>
      </c>
      <c r="O1730" s="178">
        <f t="shared" si="80"/>
        <v>0</v>
      </c>
    </row>
    <row r="1731" spans="1:15" ht="25.5" hidden="1">
      <c r="A1731" s="25">
        <v>3566</v>
      </c>
      <c r="B1731" s="25" t="s">
        <v>12</v>
      </c>
      <c r="C1731" s="26" t="s">
        <v>13</v>
      </c>
      <c r="D1731" s="27">
        <v>74122000</v>
      </c>
      <c r="E1731" s="28" t="s">
        <v>211</v>
      </c>
      <c r="F1731" s="29" t="s">
        <v>212</v>
      </c>
      <c r="G1731" s="30">
        <v>1</v>
      </c>
      <c r="H1731" s="27" t="s">
        <v>137</v>
      </c>
      <c r="I1731" s="26" t="s">
        <v>155</v>
      </c>
      <c r="J1731" s="31">
        <v>4</v>
      </c>
      <c r="K1731" s="32">
        <f t="shared" ref="K1731:K1794" si="81">G1731*J1731</f>
        <v>4</v>
      </c>
      <c r="L1731" s="29" t="s">
        <v>212</v>
      </c>
      <c r="M1731" s="27">
        <f>IFERROR(VLOOKUP(C1731,Custo_MI_Device!$B$2:$E$102,3,FALSE),0)</f>
        <v>0</v>
      </c>
      <c r="N1731" s="27">
        <f t="shared" ref="N1731:N1794" si="82">ROUNDUP(M1731*G1731,0)</f>
        <v>0</v>
      </c>
      <c r="O1731" s="178">
        <f t="shared" ref="O1731:O1794" si="83">N1731*J1731</f>
        <v>0</v>
      </c>
    </row>
    <row r="1732" spans="1:15" ht="25.5" hidden="1">
      <c r="A1732" s="25">
        <v>3566</v>
      </c>
      <c r="B1732" s="25" t="s">
        <v>12</v>
      </c>
      <c r="C1732" s="26" t="s">
        <v>13</v>
      </c>
      <c r="D1732" s="27">
        <v>74122000</v>
      </c>
      <c r="E1732" s="28" t="s">
        <v>211</v>
      </c>
      <c r="F1732" s="29" t="s">
        <v>213</v>
      </c>
      <c r="G1732" s="30">
        <v>1</v>
      </c>
      <c r="H1732" s="27" t="s">
        <v>137</v>
      </c>
      <c r="I1732" s="26" t="s">
        <v>155</v>
      </c>
      <c r="J1732" s="31">
        <v>4</v>
      </c>
      <c r="K1732" s="32">
        <f t="shared" si="81"/>
        <v>4</v>
      </c>
      <c r="L1732" s="29" t="s">
        <v>213</v>
      </c>
      <c r="M1732" s="27">
        <f>IFERROR(VLOOKUP(C1732,Custo_MI_Device!$B$2:$E$102,3,FALSE),0)</f>
        <v>0</v>
      </c>
      <c r="N1732" s="27">
        <f t="shared" si="82"/>
        <v>0</v>
      </c>
      <c r="O1732" s="178">
        <f t="shared" si="83"/>
        <v>0</v>
      </c>
    </row>
    <row r="1733" spans="1:15" ht="25.5" hidden="1">
      <c r="A1733" s="25">
        <v>4306</v>
      </c>
      <c r="B1733" s="25" t="s">
        <v>12</v>
      </c>
      <c r="C1733" s="26" t="s">
        <v>13</v>
      </c>
      <c r="D1733" s="27">
        <v>73063000</v>
      </c>
      <c r="E1733" s="28" t="s">
        <v>239</v>
      </c>
      <c r="F1733" s="29">
        <v>0</v>
      </c>
      <c r="G1733" s="30">
        <v>3</v>
      </c>
      <c r="H1733" s="27" t="s">
        <v>232</v>
      </c>
      <c r="I1733" s="26" t="s">
        <v>233</v>
      </c>
      <c r="J1733" s="31">
        <v>32</v>
      </c>
      <c r="K1733" s="32">
        <f t="shared" si="81"/>
        <v>96</v>
      </c>
      <c r="L1733" s="29" t="s">
        <v>240</v>
      </c>
      <c r="M1733" s="27">
        <f>IFERROR(VLOOKUP(C1733,Custo_MI_Device!$B$2:$E$102,3,FALSE),0)</f>
        <v>0</v>
      </c>
      <c r="N1733" s="27">
        <f t="shared" si="82"/>
        <v>0</v>
      </c>
      <c r="O1733" s="178">
        <f t="shared" si="83"/>
        <v>0</v>
      </c>
    </row>
    <row r="1734" spans="1:15" ht="12.75" hidden="1">
      <c r="A1734" s="25">
        <v>3274</v>
      </c>
      <c r="B1734" s="25" t="s">
        <v>12</v>
      </c>
      <c r="C1734" s="26" t="s">
        <v>13</v>
      </c>
      <c r="D1734" s="27">
        <v>73181500</v>
      </c>
      <c r="E1734" s="28" t="s">
        <v>265</v>
      </c>
      <c r="F1734" s="29" t="s">
        <v>266</v>
      </c>
      <c r="G1734" s="30">
        <v>48</v>
      </c>
      <c r="H1734" s="27" t="s">
        <v>137</v>
      </c>
      <c r="I1734" s="26" t="s">
        <v>256</v>
      </c>
      <c r="J1734" s="31">
        <v>0.06</v>
      </c>
      <c r="K1734" s="32">
        <f t="shared" si="81"/>
        <v>2.88</v>
      </c>
      <c r="L1734" s="29" t="s">
        <v>266</v>
      </c>
      <c r="M1734" s="27">
        <f>IFERROR(VLOOKUP(C1734,Custo_MI_Device!$B$2:$E$102,3,FALSE),0)</f>
        <v>0</v>
      </c>
      <c r="N1734" s="27">
        <f t="shared" si="82"/>
        <v>0</v>
      </c>
      <c r="O1734" s="178">
        <f t="shared" si="83"/>
        <v>0</v>
      </c>
    </row>
    <row r="1735" spans="1:15" ht="25.5" hidden="1">
      <c r="A1735" s="25">
        <v>1611</v>
      </c>
      <c r="B1735" s="25" t="s">
        <v>12</v>
      </c>
      <c r="C1735" s="26" t="s">
        <v>13</v>
      </c>
      <c r="D1735" s="27">
        <v>39174090</v>
      </c>
      <c r="E1735" s="28" t="s">
        <v>275</v>
      </c>
      <c r="F1735" s="29" t="s">
        <v>276</v>
      </c>
      <c r="G1735" s="30">
        <v>3</v>
      </c>
      <c r="H1735" s="27" t="s">
        <v>137</v>
      </c>
      <c r="I1735" s="26" t="s">
        <v>277</v>
      </c>
      <c r="J1735" s="31">
        <v>7.8</v>
      </c>
      <c r="K1735" s="32">
        <f t="shared" si="81"/>
        <v>23.4</v>
      </c>
      <c r="L1735" s="29" t="s">
        <v>276</v>
      </c>
      <c r="M1735" s="27">
        <f>IFERROR(VLOOKUP(C1735,Custo_MI_Device!$B$2:$E$102,3,FALSE),0)</f>
        <v>0</v>
      </c>
      <c r="N1735" s="27">
        <f t="shared" si="82"/>
        <v>0</v>
      </c>
      <c r="O1735" s="178">
        <f t="shared" si="83"/>
        <v>0</v>
      </c>
    </row>
    <row r="1736" spans="1:15" ht="25.5" hidden="1">
      <c r="A1736" s="25">
        <v>1611</v>
      </c>
      <c r="B1736" s="25" t="s">
        <v>12</v>
      </c>
      <c r="C1736" s="26" t="s">
        <v>13</v>
      </c>
      <c r="D1736" s="27">
        <v>39174090</v>
      </c>
      <c r="E1736" s="28" t="s">
        <v>275</v>
      </c>
      <c r="F1736" s="29" t="s">
        <v>276</v>
      </c>
      <c r="G1736" s="30">
        <v>2</v>
      </c>
      <c r="H1736" s="27" t="s">
        <v>137</v>
      </c>
      <c r="I1736" s="26" t="s">
        <v>277</v>
      </c>
      <c r="J1736" s="31">
        <v>7.8</v>
      </c>
      <c r="K1736" s="32">
        <f t="shared" si="81"/>
        <v>15.6</v>
      </c>
      <c r="L1736" s="29" t="s">
        <v>276</v>
      </c>
      <c r="M1736" s="27">
        <f>IFERROR(VLOOKUP(C1736,Custo_MI_Device!$B$2:$E$102,3,FALSE),0)</f>
        <v>0</v>
      </c>
      <c r="N1736" s="27">
        <f t="shared" si="82"/>
        <v>0</v>
      </c>
      <c r="O1736" s="178">
        <f t="shared" si="83"/>
        <v>0</v>
      </c>
    </row>
    <row r="1737" spans="1:15" ht="25.5" hidden="1">
      <c r="A1737" s="25">
        <v>2538</v>
      </c>
      <c r="B1737" s="25" t="s">
        <v>12</v>
      </c>
      <c r="C1737" s="26" t="s">
        <v>13</v>
      </c>
      <c r="D1737" s="27">
        <v>73063000</v>
      </c>
      <c r="E1737" s="28" t="s">
        <v>287</v>
      </c>
      <c r="F1737" s="29">
        <v>0</v>
      </c>
      <c r="G1737" s="30">
        <v>2</v>
      </c>
      <c r="H1737" s="27" t="s">
        <v>232</v>
      </c>
      <c r="I1737" s="26" t="s">
        <v>233</v>
      </c>
      <c r="J1737" s="31">
        <v>49.5</v>
      </c>
      <c r="K1737" s="32">
        <f t="shared" si="81"/>
        <v>99</v>
      </c>
      <c r="L1737" s="29" t="s">
        <v>288</v>
      </c>
      <c r="M1737" s="27">
        <f>IFERROR(VLOOKUP(C1737,Custo_MI_Device!$B$2:$E$102,3,FALSE),0)</f>
        <v>0</v>
      </c>
      <c r="N1737" s="27">
        <f t="shared" si="82"/>
        <v>0</v>
      </c>
      <c r="O1737" s="178">
        <f t="shared" si="83"/>
        <v>0</v>
      </c>
    </row>
    <row r="1738" spans="1:15" ht="25.5" hidden="1">
      <c r="A1738" s="25">
        <v>2844</v>
      </c>
      <c r="B1738" s="25" t="s">
        <v>12</v>
      </c>
      <c r="C1738" s="26" t="s">
        <v>13</v>
      </c>
      <c r="D1738" s="27">
        <v>73069090</v>
      </c>
      <c r="E1738" s="28" t="s">
        <v>291</v>
      </c>
      <c r="F1738" s="29" t="s">
        <v>292</v>
      </c>
      <c r="G1738" s="30">
        <v>2</v>
      </c>
      <c r="H1738" s="27" t="s">
        <v>158</v>
      </c>
      <c r="I1738" s="26" t="s">
        <v>155</v>
      </c>
      <c r="J1738" s="31">
        <v>1.8</v>
      </c>
      <c r="K1738" s="32">
        <f t="shared" si="81"/>
        <v>3.6</v>
      </c>
      <c r="L1738" s="29" t="s">
        <v>292</v>
      </c>
      <c r="M1738" s="27">
        <f>IFERROR(VLOOKUP(C1738,Custo_MI_Device!$B$2:$E$102,3,FALSE),0)</f>
        <v>0</v>
      </c>
      <c r="N1738" s="27">
        <f t="shared" si="82"/>
        <v>0</v>
      </c>
      <c r="O1738" s="178">
        <f t="shared" si="83"/>
        <v>0</v>
      </c>
    </row>
    <row r="1739" spans="1:15" ht="25.5" hidden="1">
      <c r="A1739" s="25">
        <v>2567</v>
      </c>
      <c r="B1739" s="25" t="s">
        <v>12</v>
      </c>
      <c r="C1739" s="26" t="s">
        <v>13</v>
      </c>
      <c r="D1739" s="27">
        <v>84818095</v>
      </c>
      <c r="E1739" s="28" t="s">
        <v>303</v>
      </c>
      <c r="F1739" s="29">
        <v>0</v>
      </c>
      <c r="G1739" s="30">
        <v>1</v>
      </c>
      <c r="H1739" s="27" t="s">
        <v>137</v>
      </c>
      <c r="I1739" s="26" t="s">
        <v>304</v>
      </c>
      <c r="J1739" s="31">
        <v>27</v>
      </c>
      <c r="K1739" s="32">
        <f t="shared" si="81"/>
        <v>27</v>
      </c>
      <c r="L1739" s="29" t="s">
        <v>305</v>
      </c>
      <c r="M1739" s="27">
        <f>IFERROR(VLOOKUP(C1739,Custo_MI_Device!$B$2:$E$102,3,FALSE),0)</f>
        <v>0</v>
      </c>
      <c r="N1739" s="27">
        <f t="shared" si="82"/>
        <v>0</v>
      </c>
      <c r="O1739" s="178">
        <f t="shared" si="83"/>
        <v>0</v>
      </c>
    </row>
    <row r="1740" spans="1:15" ht="12.75" hidden="1">
      <c r="A1740" s="25">
        <v>117</v>
      </c>
      <c r="B1740" s="25" t="s">
        <v>12</v>
      </c>
      <c r="C1740" s="26" t="s">
        <v>14</v>
      </c>
      <c r="D1740" s="27">
        <v>73072900</v>
      </c>
      <c r="E1740" s="28" t="s">
        <v>308</v>
      </c>
      <c r="F1740" s="29" t="s">
        <v>309</v>
      </c>
      <c r="G1740" s="30">
        <v>24</v>
      </c>
      <c r="H1740" s="27" t="s">
        <v>137</v>
      </c>
      <c r="I1740" s="26" t="s">
        <v>256</v>
      </c>
      <c r="J1740" s="31">
        <v>0.95</v>
      </c>
      <c r="K1740" s="32">
        <f t="shared" si="81"/>
        <v>22.799999999999997</v>
      </c>
      <c r="L1740" s="29" t="s">
        <v>309</v>
      </c>
      <c r="M1740" s="27">
        <f>IFERROR(VLOOKUP(C1740,Custo_MI_Device!$B$2:$E$102,3,FALSE),0)</f>
        <v>0</v>
      </c>
      <c r="N1740" s="27">
        <f t="shared" si="82"/>
        <v>0</v>
      </c>
      <c r="O1740" s="178">
        <f t="shared" si="83"/>
        <v>0</v>
      </c>
    </row>
    <row r="1741" spans="1:15" ht="12.75" hidden="1">
      <c r="A1741" s="25">
        <v>2534</v>
      </c>
      <c r="B1741" s="25" t="s">
        <v>12</v>
      </c>
      <c r="C1741" s="26" t="s">
        <v>14</v>
      </c>
      <c r="D1741" s="27">
        <v>73072900</v>
      </c>
      <c r="E1741" s="28" t="s">
        <v>314</v>
      </c>
      <c r="F1741" s="29" t="s">
        <v>315</v>
      </c>
      <c r="G1741" s="30">
        <v>24</v>
      </c>
      <c r="H1741" s="27" t="s">
        <v>137</v>
      </c>
      <c r="I1741" s="26" t="s">
        <v>256</v>
      </c>
      <c r="J1741" s="31">
        <v>1.2</v>
      </c>
      <c r="K1741" s="32">
        <f t="shared" si="81"/>
        <v>28.799999999999997</v>
      </c>
      <c r="L1741" s="29" t="s">
        <v>315</v>
      </c>
      <c r="M1741" s="27">
        <f>IFERROR(VLOOKUP(C1741,Custo_MI_Device!$B$2:$E$102,3,FALSE),0)</f>
        <v>0</v>
      </c>
      <c r="N1741" s="27">
        <f t="shared" si="82"/>
        <v>0</v>
      </c>
      <c r="O1741" s="178">
        <f t="shared" si="83"/>
        <v>0</v>
      </c>
    </row>
    <row r="1742" spans="1:15" ht="12.75" hidden="1">
      <c r="A1742" s="25">
        <v>1669</v>
      </c>
      <c r="B1742" s="25" t="s">
        <v>12</v>
      </c>
      <c r="C1742" s="26" t="s">
        <v>14</v>
      </c>
      <c r="D1742" s="27">
        <v>39269090</v>
      </c>
      <c r="E1742" s="28" t="s">
        <v>316</v>
      </c>
      <c r="F1742" s="29" t="s">
        <v>317</v>
      </c>
      <c r="G1742" s="30">
        <v>3</v>
      </c>
      <c r="H1742" s="27" t="s">
        <v>137</v>
      </c>
      <c r="I1742" s="26" t="s">
        <v>318</v>
      </c>
      <c r="J1742" s="31">
        <v>0.04</v>
      </c>
      <c r="K1742" s="32">
        <f t="shared" si="81"/>
        <v>0.12</v>
      </c>
      <c r="L1742" s="29" t="s">
        <v>317</v>
      </c>
      <c r="M1742" s="27">
        <f>IFERROR(VLOOKUP(C1742,Custo_MI_Device!$B$2:$E$102,3,FALSE),0)</f>
        <v>0</v>
      </c>
      <c r="N1742" s="27">
        <f t="shared" si="82"/>
        <v>0</v>
      </c>
      <c r="O1742" s="178">
        <f t="shared" si="83"/>
        <v>0</v>
      </c>
    </row>
    <row r="1743" spans="1:15" ht="12.75" hidden="1">
      <c r="A1743" s="25">
        <v>5091</v>
      </c>
      <c r="B1743" s="25" t="s">
        <v>12</v>
      </c>
      <c r="C1743" s="26" t="s">
        <v>14</v>
      </c>
      <c r="D1743" s="27">
        <v>73181500</v>
      </c>
      <c r="E1743" s="28" t="s">
        <v>323</v>
      </c>
      <c r="F1743" s="29" t="s">
        <v>324</v>
      </c>
      <c r="G1743" s="30">
        <v>48</v>
      </c>
      <c r="H1743" s="27" t="s">
        <v>137</v>
      </c>
      <c r="I1743" s="26" t="s">
        <v>256</v>
      </c>
      <c r="J1743" s="31">
        <v>0.04</v>
      </c>
      <c r="K1743" s="32">
        <f t="shared" si="81"/>
        <v>1.92</v>
      </c>
      <c r="L1743" s="29" t="s">
        <v>324</v>
      </c>
      <c r="M1743" s="27">
        <f>IFERROR(VLOOKUP(C1743,Custo_MI_Device!$B$2:$E$102,3,FALSE),0)</f>
        <v>0</v>
      </c>
      <c r="N1743" s="27">
        <f t="shared" si="82"/>
        <v>0</v>
      </c>
      <c r="O1743" s="178">
        <f t="shared" si="83"/>
        <v>0</v>
      </c>
    </row>
    <row r="1744" spans="1:15" ht="12.75" hidden="1">
      <c r="A1744" s="25">
        <v>1117</v>
      </c>
      <c r="B1744" s="25" t="s">
        <v>12</v>
      </c>
      <c r="C1744" s="26" t="s">
        <v>14</v>
      </c>
      <c r="D1744" s="27"/>
      <c r="E1744" s="28" t="s">
        <v>145</v>
      </c>
      <c r="F1744" s="29" t="s">
        <v>146</v>
      </c>
      <c r="G1744" s="30">
        <v>1</v>
      </c>
      <c r="H1744" s="27" t="s">
        <v>137</v>
      </c>
      <c r="I1744" s="26" t="s">
        <v>138</v>
      </c>
      <c r="J1744" s="31">
        <v>1.95</v>
      </c>
      <c r="K1744" s="32">
        <f t="shared" si="81"/>
        <v>1.95</v>
      </c>
      <c r="L1744" s="29" t="s">
        <v>146</v>
      </c>
      <c r="M1744" s="27">
        <f>IFERROR(VLOOKUP(C1744,Custo_MI_Device!$B$2:$E$102,3,FALSE),0)</f>
        <v>0</v>
      </c>
      <c r="N1744" s="27">
        <f t="shared" si="82"/>
        <v>0</v>
      </c>
      <c r="O1744" s="178">
        <f t="shared" si="83"/>
        <v>0</v>
      </c>
    </row>
    <row r="1745" spans="1:15" ht="38.25" hidden="1">
      <c r="A1745" s="25">
        <v>3585</v>
      </c>
      <c r="B1745" s="25" t="s">
        <v>12</v>
      </c>
      <c r="C1745" s="26" t="s">
        <v>14</v>
      </c>
      <c r="D1745" s="27">
        <v>85444900</v>
      </c>
      <c r="E1745" s="28" t="s">
        <v>328</v>
      </c>
      <c r="F1745" s="29">
        <v>900400</v>
      </c>
      <c r="G1745" s="33">
        <v>0</v>
      </c>
      <c r="H1745" s="27" t="s">
        <v>158</v>
      </c>
      <c r="I1745" s="26" t="s">
        <v>164</v>
      </c>
      <c r="J1745" s="31">
        <v>1.7</v>
      </c>
      <c r="K1745" s="32">
        <f t="shared" si="81"/>
        <v>0</v>
      </c>
      <c r="L1745" s="29">
        <v>900400</v>
      </c>
      <c r="M1745" s="27">
        <f>IFERROR(VLOOKUP(C1745,Custo_MI_Device!$B$2:$E$102,3,FALSE),0)</f>
        <v>0</v>
      </c>
      <c r="N1745" s="27">
        <f t="shared" si="82"/>
        <v>0</v>
      </c>
      <c r="O1745" s="178">
        <f t="shared" si="83"/>
        <v>0</v>
      </c>
    </row>
    <row r="1746" spans="1:15" ht="25.5" hidden="1">
      <c r="A1746" s="25">
        <v>5139</v>
      </c>
      <c r="B1746" s="25" t="s">
        <v>12</v>
      </c>
      <c r="C1746" s="26" t="s">
        <v>14</v>
      </c>
      <c r="D1746" s="27">
        <v>85444900</v>
      </c>
      <c r="E1746" s="28" t="s">
        <v>170</v>
      </c>
      <c r="F1746" s="29" t="s">
        <v>171</v>
      </c>
      <c r="G1746" s="30">
        <v>15</v>
      </c>
      <c r="H1746" s="27" t="s">
        <v>158</v>
      </c>
      <c r="I1746" s="26" t="s">
        <v>172</v>
      </c>
      <c r="J1746" s="31">
        <v>7.5</v>
      </c>
      <c r="K1746" s="32">
        <f t="shared" si="81"/>
        <v>112.5</v>
      </c>
      <c r="L1746" s="29" t="s">
        <v>173</v>
      </c>
      <c r="M1746" s="27">
        <f>IFERROR(VLOOKUP(C1746,Custo_MI_Device!$B$2:$E$102,3,FALSE),0)</f>
        <v>0</v>
      </c>
      <c r="N1746" s="27">
        <f t="shared" si="82"/>
        <v>0</v>
      </c>
      <c r="O1746" s="178">
        <f t="shared" si="83"/>
        <v>0</v>
      </c>
    </row>
    <row r="1747" spans="1:15" ht="12.75" hidden="1">
      <c r="A1747" s="25">
        <v>2805</v>
      </c>
      <c r="B1747" s="25" t="s">
        <v>12</v>
      </c>
      <c r="C1747" s="26" t="s">
        <v>14</v>
      </c>
      <c r="D1747" s="27">
        <v>72162100</v>
      </c>
      <c r="E1747" s="28" t="s">
        <v>174</v>
      </c>
      <c r="F1747" s="29">
        <v>0</v>
      </c>
      <c r="G1747" s="30">
        <v>2.9</v>
      </c>
      <c r="H1747" s="27" t="s">
        <v>175</v>
      </c>
      <c r="I1747" s="26" t="s">
        <v>176</v>
      </c>
      <c r="J1747" s="31">
        <v>4.22</v>
      </c>
      <c r="K1747" s="32">
        <f t="shared" si="81"/>
        <v>12.238</v>
      </c>
      <c r="L1747" s="29" t="s">
        <v>177</v>
      </c>
      <c r="M1747" s="27">
        <f>IFERROR(VLOOKUP(C1747,Custo_MI_Device!$B$2:$E$102,3,FALSE),0)</f>
        <v>0</v>
      </c>
      <c r="N1747" s="27">
        <f t="shared" si="82"/>
        <v>0</v>
      </c>
      <c r="O1747" s="178">
        <f t="shared" si="83"/>
        <v>0</v>
      </c>
    </row>
    <row r="1748" spans="1:15" ht="12.75" hidden="1">
      <c r="A1748" s="25">
        <v>4823</v>
      </c>
      <c r="B1748" s="25" t="s">
        <v>12</v>
      </c>
      <c r="C1748" s="26" t="s">
        <v>14</v>
      </c>
      <c r="D1748" s="27">
        <v>76090000</v>
      </c>
      <c r="E1748" s="28" t="s">
        <v>199</v>
      </c>
      <c r="F1748" s="29" t="s">
        <v>200</v>
      </c>
      <c r="G1748" s="30">
        <v>0.75</v>
      </c>
      <c r="H1748" s="27" t="s">
        <v>137</v>
      </c>
      <c r="I1748" s="26" t="s">
        <v>138</v>
      </c>
      <c r="J1748" s="31">
        <v>6.7</v>
      </c>
      <c r="K1748" s="32">
        <f t="shared" si="81"/>
        <v>5.0250000000000004</v>
      </c>
      <c r="L1748" s="29" t="s">
        <v>200</v>
      </c>
      <c r="M1748" s="27">
        <f>IFERROR(VLOOKUP(C1748,Custo_MI_Device!$B$2:$E$102,3,FALSE),0)</f>
        <v>0</v>
      </c>
      <c r="N1748" s="27">
        <f t="shared" si="82"/>
        <v>0</v>
      </c>
      <c r="O1748" s="178">
        <f t="shared" si="83"/>
        <v>0</v>
      </c>
    </row>
    <row r="1749" spans="1:15" ht="12.75" hidden="1">
      <c r="A1749" s="25">
        <v>2912</v>
      </c>
      <c r="B1749" s="25" t="s">
        <v>12</v>
      </c>
      <c r="C1749" s="26" t="s">
        <v>14</v>
      </c>
      <c r="D1749" s="27">
        <v>76090000</v>
      </c>
      <c r="E1749" s="28" t="s">
        <v>201</v>
      </c>
      <c r="F1749" s="29" t="s">
        <v>202</v>
      </c>
      <c r="G1749" s="30">
        <v>1</v>
      </c>
      <c r="H1749" s="27" t="s">
        <v>137</v>
      </c>
      <c r="I1749" s="26" t="s">
        <v>138</v>
      </c>
      <c r="J1749" s="31">
        <v>7.5</v>
      </c>
      <c r="K1749" s="32">
        <f t="shared" si="81"/>
        <v>7.5</v>
      </c>
      <c r="L1749" s="29" t="s">
        <v>202</v>
      </c>
      <c r="M1749" s="27">
        <f>IFERROR(VLOOKUP(C1749,Custo_MI_Device!$B$2:$E$102,3,FALSE),0)</f>
        <v>0</v>
      </c>
      <c r="N1749" s="27">
        <f t="shared" si="82"/>
        <v>0</v>
      </c>
      <c r="O1749" s="178">
        <f t="shared" si="83"/>
        <v>0</v>
      </c>
    </row>
    <row r="1750" spans="1:15" ht="25.5" hidden="1">
      <c r="A1750" s="25">
        <v>3436</v>
      </c>
      <c r="B1750" s="25" t="s">
        <v>12</v>
      </c>
      <c r="C1750" s="26" t="s">
        <v>14</v>
      </c>
      <c r="D1750" s="27">
        <v>76090000</v>
      </c>
      <c r="E1750" s="28" t="s">
        <v>193</v>
      </c>
      <c r="F1750" s="29" t="s">
        <v>194</v>
      </c>
      <c r="G1750" s="30">
        <v>1</v>
      </c>
      <c r="H1750" s="27" t="s">
        <v>137</v>
      </c>
      <c r="I1750" s="26" t="s">
        <v>138</v>
      </c>
      <c r="J1750" s="31">
        <v>6.7</v>
      </c>
      <c r="K1750" s="32">
        <f t="shared" si="81"/>
        <v>6.7</v>
      </c>
      <c r="L1750" s="29" t="s">
        <v>194</v>
      </c>
      <c r="M1750" s="27">
        <f>IFERROR(VLOOKUP(C1750,Custo_MI_Device!$B$2:$E$102,3,FALSE),0)</f>
        <v>0</v>
      </c>
      <c r="N1750" s="27">
        <f t="shared" si="82"/>
        <v>0</v>
      </c>
      <c r="O1750" s="178">
        <f t="shared" si="83"/>
        <v>0</v>
      </c>
    </row>
    <row r="1751" spans="1:15" ht="25.5" hidden="1">
      <c r="A1751" s="25">
        <v>3566</v>
      </c>
      <c r="B1751" s="25" t="s">
        <v>12</v>
      </c>
      <c r="C1751" s="26" t="s">
        <v>14</v>
      </c>
      <c r="D1751" s="27">
        <v>74122000</v>
      </c>
      <c r="E1751" s="28" t="s">
        <v>211</v>
      </c>
      <c r="F1751" s="29" t="s">
        <v>212</v>
      </c>
      <c r="G1751" s="30">
        <v>1</v>
      </c>
      <c r="H1751" s="27" t="s">
        <v>137</v>
      </c>
      <c r="I1751" s="26" t="s">
        <v>155</v>
      </c>
      <c r="J1751" s="31">
        <v>4</v>
      </c>
      <c r="K1751" s="32">
        <f t="shared" si="81"/>
        <v>4</v>
      </c>
      <c r="L1751" s="29" t="s">
        <v>212</v>
      </c>
      <c r="M1751" s="27">
        <f>IFERROR(VLOOKUP(C1751,Custo_MI_Device!$B$2:$E$102,3,FALSE),0)</f>
        <v>0</v>
      </c>
      <c r="N1751" s="27">
        <f t="shared" si="82"/>
        <v>0</v>
      </c>
      <c r="O1751" s="178">
        <f t="shared" si="83"/>
        <v>0</v>
      </c>
    </row>
    <row r="1752" spans="1:15" ht="25.5" hidden="1">
      <c r="A1752" s="25">
        <v>3566</v>
      </c>
      <c r="B1752" s="25" t="s">
        <v>12</v>
      </c>
      <c r="C1752" s="26" t="s">
        <v>14</v>
      </c>
      <c r="D1752" s="27">
        <v>74122000</v>
      </c>
      <c r="E1752" s="28" t="s">
        <v>211</v>
      </c>
      <c r="F1752" s="29" t="s">
        <v>213</v>
      </c>
      <c r="G1752" s="30">
        <v>1</v>
      </c>
      <c r="H1752" s="27" t="s">
        <v>137</v>
      </c>
      <c r="I1752" s="26" t="s">
        <v>155</v>
      </c>
      <c r="J1752" s="31">
        <v>4</v>
      </c>
      <c r="K1752" s="32">
        <f t="shared" si="81"/>
        <v>4</v>
      </c>
      <c r="L1752" s="29" t="s">
        <v>213</v>
      </c>
      <c r="M1752" s="27">
        <f>IFERROR(VLOOKUP(C1752,Custo_MI_Device!$B$2:$E$102,3,FALSE),0)</f>
        <v>0</v>
      </c>
      <c r="N1752" s="27">
        <f t="shared" si="82"/>
        <v>0</v>
      </c>
      <c r="O1752" s="178">
        <f t="shared" si="83"/>
        <v>0</v>
      </c>
    </row>
    <row r="1753" spans="1:15" ht="25.5" hidden="1">
      <c r="A1753" s="25">
        <v>4306</v>
      </c>
      <c r="B1753" s="25" t="s">
        <v>12</v>
      </c>
      <c r="C1753" s="26" t="s">
        <v>14</v>
      </c>
      <c r="D1753" s="27">
        <v>73063000</v>
      </c>
      <c r="E1753" s="28" t="s">
        <v>239</v>
      </c>
      <c r="F1753" s="29">
        <v>0</v>
      </c>
      <c r="G1753" s="30">
        <v>3</v>
      </c>
      <c r="H1753" s="27" t="s">
        <v>232</v>
      </c>
      <c r="I1753" s="26" t="s">
        <v>233</v>
      </c>
      <c r="J1753" s="31">
        <v>32</v>
      </c>
      <c r="K1753" s="32">
        <f t="shared" si="81"/>
        <v>96</v>
      </c>
      <c r="L1753" s="29" t="s">
        <v>240</v>
      </c>
      <c r="M1753" s="27">
        <f>IFERROR(VLOOKUP(C1753,Custo_MI_Device!$B$2:$E$102,3,FALSE),0)</f>
        <v>0</v>
      </c>
      <c r="N1753" s="27">
        <f t="shared" si="82"/>
        <v>0</v>
      </c>
      <c r="O1753" s="178">
        <f t="shared" si="83"/>
        <v>0</v>
      </c>
    </row>
    <row r="1754" spans="1:15" ht="12.75" hidden="1">
      <c r="A1754" s="25">
        <v>3274</v>
      </c>
      <c r="B1754" s="25" t="s">
        <v>12</v>
      </c>
      <c r="C1754" s="26" t="s">
        <v>14</v>
      </c>
      <c r="D1754" s="27">
        <v>73181500</v>
      </c>
      <c r="E1754" s="28" t="s">
        <v>265</v>
      </c>
      <c r="F1754" s="29" t="s">
        <v>266</v>
      </c>
      <c r="G1754" s="30">
        <v>48</v>
      </c>
      <c r="H1754" s="27" t="s">
        <v>137</v>
      </c>
      <c r="I1754" s="26" t="s">
        <v>256</v>
      </c>
      <c r="J1754" s="31">
        <v>0.06</v>
      </c>
      <c r="K1754" s="32">
        <f t="shared" si="81"/>
        <v>2.88</v>
      </c>
      <c r="L1754" s="29" t="s">
        <v>266</v>
      </c>
      <c r="M1754" s="27">
        <f>IFERROR(VLOOKUP(C1754,Custo_MI_Device!$B$2:$E$102,3,FALSE),0)</f>
        <v>0</v>
      </c>
      <c r="N1754" s="27">
        <f t="shared" si="82"/>
        <v>0</v>
      </c>
      <c r="O1754" s="178">
        <f t="shared" si="83"/>
        <v>0</v>
      </c>
    </row>
    <row r="1755" spans="1:15" ht="25.5" hidden="1">
      <c r="A1755" s="25">
        <v>1611</v>
      </c>
      <c r="B1755" s="25" t="s">
        <v>12</v>
      </c>
      <c r="C1755" s="26" t="s">
        <v>14</v>
      </c>
      <c r="D1755" s="27">
        <v>39174090</v>
      </c>
      <c r="E1755" s="28" t="s">
        <v>275</v>
      </c>
      <c r="F1755" s="29" t="s">
        <v>276</v>
      </c>
      <c r="G1755" s="30">
        <v>3</v>
      </c>
      <c r="H1755" s="27" t="s">
        <v>137</v>
      </c>
      <c r="I1755" s="26" t="s">
        <v>277</v>
      </c>
      <c r="J1755" s="31">
        <v>7.8</v>
      </c>
      <c r="K1755" s="32">
        <f t="shared" si="81"/>
        <v>23.4</v>
      </c>
      <c r="L1755" s="29" t="s">
        <v>276</v>
      </c>
      <c r="M1755" s="27">
        <f>IFERROR(VLOOKUP(C1755,Custo_MI_Device!$B$2:$E$102,3,FALSE),0)</f>
        <v>0</v>
      </c>
      <c r="N1755" s="27">
        <f t="shared" si="82"/>
        <v>0</v>
      </c>
      <c r="O1755" s="178">
        <f t="shared" si="83"/>
        <v>0</v>
      </c>
    </row>
    <row r="1756" spans="1:15" ht="25.5" hidden="1">
      <c r="A1756" s="25">
        <v>1611</v>
      </c>
      <c r="B1756" s="25" t="s">
        <v>12</v>
      </c>
      <c r="C1756" s="26" t="s">
        <v>14</v>
      </c>
      <c r="D1756" s="27">
        <v>39174090</v>
      </c>
      <c r="E1756" s="28" t="s">
        <v>275</v>
      </c>
      <c r="F1756" s="29" t="s">
        <v>276</v>
      </c>
      <c r="G1756" s="30">
        <v>2</v>
      </c>
      <c r="H1756" s="27" t="s">
        <v>137</v>
      </c>
      <c r="I1756" s="26" t="s">
        <v>277</v>
      </c>
      <c r="J1756" s="31">
        <v>7.8</v>
      </c>
      <c r="K1756" s="32">
        <f t="shared" si="81"/>
        <v>15.6</v>
      </c>
      <c r="L1756" s="29" t="s">
        <v>276</v>
      </c>
      <c r="M1756" s="27">
        <f>IFERROR(VLOOKUP(C1756,Custo_MI_Device!$B$2:$E$102,3,FALSE),0)</f>
        <v>0</v>
      </c>
      <c r="N1756" s="27">
        <f t="shared" si="82"/>
        <v>0</v>
      </c>
      <c r="O1756" s="178">
        <f t="shared" si="83"/>
        <v>0</v>
      </c>
    </row>
    <row r="1757" spans="1:15" ht="25.5" hidden="1">
      <c r="A1757" s="25">
        <v>2538</v>
      </c>
      <c r="B1757" s="25" t="s">
        <v>12</v>
      </c>
      <c r="C1757" s="26" t="s">
        <v>14</v>
      </c>
      <c r="D1757" s="27">
        <v>73063000</v>
      </c>
      <c r="E1757" s="28" t="s">
        <v>287</v>
      </c>
      <c r="F1757" s="29">
        <v>0</v>
      </c>
      <c r="G1757" s="30">
        <v>2</v>
      </c>
      <c r="H1757" s="27" t="s">
        <v>232</v>
      </c>
      <c r="I1757" s="26" t="s">
        <v>233</v>
      </c>
      <c r="J1757" s="31">
        <v>49.5</v>
      </c>
      <c r="K1757" s="32">
        <f t="shared" si="81"/>
        <v>99</v>
      </c>
      <c r="L1757" s="29" t="s">
        <v>288</v>
      </c>
      <c r="M1757" s="27">
        <f>IFERROR(VLOOKUP(C1757,Custo_MI_Device!$B$2:$E$102,3,FALSE),0)</f>
        <v>0</v>
      </c>
      <c r="N1757" s="27">
        <f t="shared" si="82"/>
        <v>0</v>
      </c>
      <c r="O1757" s="178">
        <f t="shared" si="83"/>
        <v>0</v>
      </c>
    </row>
    <row r="1758" spans="1:15" ht="25.5" hidden="1">
      <c r="A1758" s="25">
        <v>2844</v>
      </c>
      <c r="B1758" s="25" t="s">
        <v>12</v>
      </c>
      <c r="C1758" s="26" t="s">
        <v>14</v>
      </c>
      <c r="D1758" s="27">
        <v>73069090</v>
      </c>
      <c r="E1758" s="28" t="s">
        <v>291</v>
      </c>
      <c r="F1758" s="29" t="s">
        <v>292</v>
      </c>
      <c r="G1758" s="30">
        <v>2</v>
      </c>
      <c r="H1758" s="27" t="s">
        <v>158</v>
      </c>
      <c r="I1758" s="26" t="s">
        <v>155</v>
      </c>
      <c r="J1758" s="31">
        <v>1.8</v>
      </c>
      <c r="K1758" s="32">
        <f t="shared" si="81"/>
        <v>3.6</v>
      </c>
      <c r="L1758" s="29" t="s">
        <v>292</v>
      </c>
      <c r="M1758" s="27">
        <f>IFERROR(VLOOKUP(C1758,Custo_MI_Device!$B$2:$E$102,3,FALSE),0)</f>
        <v>0</v>
      </c>
      <c r="N1758" s="27">
        <f t="shared" si="82"/>
        <v>0</v>
      </c>
      <c r="O1758" s="178">
        <f t="shared" si="83"/>
        <v>0</v>
      </c>
    </row>
    <row r="1759" spans="1:15" ht="25.5" hidden="1">
      <c r="A1759" s="25">
        <v>2567</v>
      </c>
      <c r="B1759" s="25" t="s">
        <v>12</v>
      </c>
      <c r="C1759" s="26" t="s">
        <v>14</v>
      </c>
      <c r="D1759" s="27">
        <v>84818095</v>
      </c>
      <c r="E1759" s="28" t="s">
        <v>303</v>
      </c>
      <c r="F1759" s="29">
        <v>0</v>
      </c>
      <c r="G1759" s="30">
        <v>1</v>
      </c>
      <c r="H1759" s="27" t="s">
        <v>137</v>
      </c>
      <c r="I1759" s="26" t="s">
        <v>304</v>
      </c>
      <c r="J1759" s="31">
        <v>27</v>
      </c>
      <c r="K1759" s="32">
        <f t="shared" si="81"/>
        <v>27</v>
      </c>
      <c r="L1759" s="29" t="s">
        <v>305</v>
      </c>
      <c r="M1759" s="27">
        <f>IFERROR(VLOOKUP(C1759,Custo_MI_Device!$B$2:$E$102,3,FALSE),0)</f>
        <v>0</v>
      </c>
      <c r="N1759" s="27">
        <f t="shared" si="82"/>
        <v>0</v>
      </c>
      <c r="O1759" s="178">
        <f t="shared" si="83"/>
        <v>0</v>
      </c>
    </row>
    <row r="1760" spans="1:15" ht="12.75" hidden="1">
      <c r="A1760" s="25">
        <v>2534</v>
      </c>
      <c r="B1760" s="25" t="s">
        <v>12</v>
      </c>
      <c r="C1760" s="26" t="s">
        <v>117</v>
      </c>
      <c r="D1760" s="27">
        <v>73072900</v>
      </c>
      <c r="E1760" s="28" t="s">
        <v>314</v>
      </c>
      <c r="F1760" s="29" t="s">
        <v>315</v>
      </c>
      <c r="G1760" s="30">
        <v>12</v>
      </c>
      <c r="H1760" s="27" t="s">
        <v>137</v>
      </c>
      <c r="I1760" s="26" t="s">
        <v>256</v>
      </c>
      <c r="J1760" s="31">
        <v>1.2</v>
      </c>
      <c r="K1760" s="32">
        <f t="shared" si="81"/>
        <v>14.399999999999999</v>
      </c>
      <c r="L1760" s="29" t="s">
        <v>315</v>
      </c>
      <c r="M1760" s="27">
        <f>IFERROR(VLOOKUP(C1760,Custo_MI_Device!$B$2:$E$102,3,FALSE),0)</f>
        <v>0</v>
      </c>
      <c r="N1760" s="27">
        <f t="shared" si="82"/>
        <v>0</v>
      </c>
      <c r="O1760" s="178">
        <f t="shared" si="83"/>
        <v>0</v>
      </c>
    </row>
    <row r="1761" spans="1:15" ht="12.75" hidden="1">
      <c r="A1761" s="25">
        <v>1669</v>
      </c>
      <c r="B1761" s="25" t="s">
        <v>12</v>
      </c>
      <c r="C1761" s="26" t="s">
        <v>117</v>
      </c>
      <c r="D1761" s="27">
        <v>39269090</v>
      </c>
      <c r="E1761" s="28" t="s">
        <v>316</v>
      </c>
      <c r="F1761" s="29" t="s">
        <v>317</v>
      </c>
      <c r="G1761" s="30">
        <v>10</v>
      </c>
      <c r="H1761" s="27" t="s">
        <v>137</v>
      </c>
      <c r="I1761" s="26" t="s">
        <v>318</v>
      </c>
      <c r="J1761" s="31">
        <v>0.04</v>
      </c>
      <c r="K1761" s="32">
        <f t="shared" si="81"/>
        <v>0.4</v>
      </c>
      <c r="L1761" s="29" t="s">
        <v>317</v>
      </c>
      <c r="M1761" s="27">
        <f>IFERROR(VLOOKUP(C1761,Custo_MI_Device!$B$2:$E$102,3,FALSE),0)</f>
        <v>0</v>
      </c>
      <c r="N1761" s="27">
        <f t="shared" si="82"/>
        <v>0</v>
      </c>
      <c r="O1761" s="178">
        <f t="shared" si="83"/>
        <v>0</v>
      </c>
    </row>
    <row r="1762" spans="1:15" ht="12.75" hidden="1">
      <c r="A1762" s="25">
        <v>5091</v>
      </c>
      <c r="B1762" s="25" t="s">
        <v>12</v>
      </c>
      <c r="C1762" s="26" t="s">
        <v>117</v>
      </c>
      <c r="D1762" s="27">
        <v>73181500</v>
      </c>
      <c r="E1762" s="28" t="s">
        <v>323</v>
      </c>
      <c r="F1762" s="29" t="s">
        <v>324</v>
      </c>
      <c r="G1762" s="30">
        <v>24</v>
      </c>
      <c r="H1762" s="27" t="s">
        <v>137</v>
      </c>
      <c r="I1762" s="26" t="s">
        <v>256</v>
      </c>
      <c r="J1762" s="31">
        <v>0.04</v>
      </c>
      <c r="K1762" s="32">
        <f t="shared" si="81"/>
        <v>0.96</v>
      </c>
      <c r="L1762" s="29" t="s">
        <v>324</v>
      </c>
      <c r="M1762" s="27">
        <f>IFERROR(VLOOKUP(C1762,Custo_MI_Device!$B$2:$E$102,3,FALSE),0)</f>
        <v>0</v>
      </c>
      <c r="N1762" s="27">
        <f t="shared" si="82"/>
        <v>0</v>
      </c>
      <c r="O1762" s="178">
        <f t="shared" si="83"/>
        <v>0</v>
      </c>
    </row>
    <row r="1763" spans="1:15" ht="12.75" hidden="1">
      <c r="A1763" s="25">
        <v>1117</v>
      </c>
      <c r="B1763" s="25" t="s">
        <v>12</v>
      </c>
      <c r="C1763" s="26" t="s">
        <v>117</v>
      </c>
      <c r="D1763" s="27"/>
      <c r="E1763" s="28" t="s">
        <v>145</v>
      </c>
      <c r="F1763" s="29" t="s">
        <v>146</v>
      </c>
      <c r="G1763" s="30">
        <v>1</v>
      </c>
      <c r="H1763" s="27" t="s">
        <v>137</v>
      </c>
      <c r="I1763" s="26" t="s">
        <v>138</v>
      </c>
      <c r="J1763" s="31">
        <v>1.95</v>
      </c>
      <c r="K1763" s="32">
        <f t="shared" si="81"/>
        <v>1.95</v>
      </c>
      <c r="L1763" s="29" t="s">
        <v>146</v>
      </c>
      <c r="M1763" s="27">
        <f>IFERROR(VLOOKUP(C1763,Custo_MI_Device!$B$2:$E$102,3,FALSE),0)</f>
        <v>0</v>
      </c>
      <c r="N1763" s="27">
        <f t="shared" si="82"/>
        <v>0</v>
      </c>
      <c r="O1763" s="178">
        <f t="shared" si="83"/>
        <v>0</v>
      </c>
    </row>
    <row r="1764" spans="1:15" ht="25.5" hidden="1">
      <c r="A1764" s="25">
        <v>3369</v>
      </c>
      <c r="B1764" s="25" t="s">
        <v>12</v>
      </c>
      <c r="C1764" s="26" t="s">
        <v>117</v>
      </c>
      <c r="D1764" s="27">
        <v>85444900</v>
      </c>
      <c r="E1764" s="28" t="s">
        <v>332</v>
      </c>
      <c r="F1764" s="29">
        <v>5000005853</v>
      </c>
      <c r="G1764" s="30">
        <v>10</v>
      </c>
      <c r="H1764" s="27" t="s">
        <v>158</v>
      </c>
      <c r="I1764" s="26" t="s">
        <v>333</v>
      </c>
      <c r="J1764" s="31">
        <v>7.1</v>
      </c>
      <c r="K1764" s="32">
        <f t="shared" si="81"/>
        <v>71</v>
      </c>
      <c r="L1764" s="29">
        <v>5000005853</v>
      </c>
      <c r="M1764" s="27">
        <f>IFERROR(VLOOKUP(C1764,Custo_MI_Device!$B$2:$E$102,3,FALSE),0)</f>
        <v>0</v>
      </c>
      <c r="N1764" s="27">
        <f t="shared" si="82"/>
        <v>0</v>
      </c>
      <c r="O1764" s="178">
        <f t="shared" si="83"/>
        <v>0</v>
      </c>
    </row>
    <row r="1765" spans="1:15" ht="12.75" hidden="1">
      <c r="A1765" s="25">
        <v>2805</v>
      </c>
      <c r="B1765" s="25" t="s">
        <v>12</v>
      </c>
      <c r="C1765" s="26" t="s">
        <v>117</v>
      </c>
      <c r="D1765" s="27">
        <v>72162100</v>
      </c>
      <c r="E1765" s="28" t="s">
        <v>174</v>
      </c>
      <c r="F1765" s="29">
        <v>0</v>
      </c>
      <c r="G1765" s="30">
        <v>2.9</v>
      </c>
      <c r="H1765" s="27" t="s">
        <v>175</v>
      </c>
      <c r="I1765" s="26" t="s">
        <v>176</v>
      </c>
      <c r="J1765" s="31">
        <v>4.22</v>
      </c>
      <c r="K1765" s="32">
        <f t="shared" si="81"/>
        <v>12.238</v>
      </c>
      <c r="L1765" s="29" t="s">
        <v>177</v>
      </c>
      <c r="M1765" s="27">
        <f>IFERROR(VLOOKUP(C1765,Custo_MI_Device!$B$2:$E$102,3,FALSE),0)</f>
        <v>0</v>
      </c>
      <c r="N1765" s="27">
        <f t="shared" si="82"/>
        <v>0</v>
      </c>
      <c r="O1765" s="178">
        <f t="shared" si="83"/>
        <v>0</v>
      </c>
    </row>
    <row r="1766" spans="1:15" ht="12.75" hidden="1">
      <c r="A1766" s="25">
        <v>4823</v>
      </c>
      <c r="B1766" s="25" t="s">
        <v>12</v>
      </c>
      <c r="C1766" s="26" t="s">
        <v>117</v>
      </c>
      <c r="D1766" s="27">
        <v>76090000</v>
      </c>
      <c r="E1766" s="28" t="s">
        <v>199</v>
      </c>
      <c r="F1766" s="29" t="s">
        <v>200</v>
      </c>
      <c r="G1766" s="30">
        <v>0.75</v>
      </c>
      <c r="H1766" s="27" t="s">
        <v>137</v>
      </c>
      <c r="I1766" s="26" t="s">
        <v>138</v>
      </c>
      <c r="J1766" s="31">
        <v>6.7</v>
      </c>
      <c r="K1766" s="32">
        <f t="shared" si="81"/>
        <v>5.0250000000000004</v>
      </c>
      <c r="L1766" s="29" t="s">
        <v>200</v>
      </c>
      <c r="M1766" s="27">
        <f>IFERROR(VLOOKUP(C1766,Custo_MI_Device!$B$2:$E$102,3,FALSE),0)</f>
        <v>0</v>
      </c>
      <c r="N1766" s="27">
        <f t="shared" si="82"/>
        <v>0</v>
      </c>
      <c r="O1766" s="178">
        <f t="shared" si="83"/>
        <v>0</v>
      </c>
    </row>
    <row r="1767" spans="1:15" ht="12.75" hidden="1">
      <c r="A1767" s="25">
        <v>2912</v>
      </c>
      <c r="B1767" s="25" t="s">
        <v>12</v>
      </c>
      <c r="C1767" s="26" t="s">
        <v>117</v>
      </c>
      <c r="D1767" s="27">
        <v>76090000</v>
      </c>
      <c r="E1767" s="28" t="s">
        <v>201</v>
      </c>
      <c r="F1767" s="29" t="s">
        <v>202</v>
      </c>
      <c r="G1767" s="30">
        <v>0.5</v>
      </c>
      <c r="H1767" s="27" t="s">
        <v>137</v>
      </c>
      <c r="I1767" s="26" t="s">
        <v>138</v>
      </c>
      <c r="J1767" s="31">
        <v>7.5</v>
      </c>
      <c r="K1767" s="32">
        <f t="shared" si="81"/>
        <v>3.75</v>
      </c>
      <c r="L1767" s="29" t="s">
        <v>202</v>
      </c>
      <c r="M1767" s="27">
        <f>IFERROR(VLOOKUP(C1767,Custo_MI_Device!$B$2:$E$102,3,FALSE),0)</f>
        <v>0</v>
      </c>
      <c r="N1767" s="27">
        <f t="shared" si="82"/>
        <v>0</v>
      </c>
      <c r="O1767" s="178">
        <f t="shared" si="83"/>
        <v>0</v>
      </c>
    </row>
    <row r="1768" spans="1:15" ht="25.5" hidden="1">
      <c r="A1768" s="25">
        <v>3436</v>
      </c>
      <c r="B1768" s="25" t="s">
        <v>12</v>
      </c>
      <c r="C1768" s="26" t="s">
        <v>117</v>
      </c>
      <c r="D1768" s="27">
        <v>76090000</v>
      </c>
      <c r="E1768" s="28" t="s">
        <v>193</v>
      </c>
      <c r="F1768" s="29" t="s">
        <v>194</v>
      </c>
      <c r="G1768" s="30">
        <v>1</v>
      </c>
      <c r="H1768" s="27" t="s">
        <v>137</v>
      </c>
      <c r="I1768" s="26" t="s">
        <v>138</v>
      </c>
      <c r="J1768" s="31">
        <v>6.7</v>
      </c>
      <c r="K1768" s="32">
        <f t="shared" si="81"/>
        <v>6.7</v>
      </c>
      <c r="L1768" s="29" t="s">
        <v>194</v>
      </c>
      <c r="M1768" s="27">
        <f>IFERROR(VLOOKUP(C1768,Custo_MI_Device!$B$2:$E$102,3,FALSE),0)</f>
        <v>0</v>
      </c>
      <c r="N1768" s="27">
        <f t="shared" si="82"/>
        <v>0</v>
      </c>
      <c r="O1768" s="178">
        <f t="shared" si="83"/>
        <v>0</v>
      </c>
    </row>
    <row r="1769" spans="1:15" ht="25.5" hidden="1">
      <c r="A1769" s="25">
        <v>3566</v>
      </c>
      <c r="B1769" s="25" t="s">
        <v>12</v>
      </c>
      <c r="C1769" s="26" t="s">
        <v>117</v>
      </c>
      <c r="D1769" s="27">
        <v>74122000</v>
      </c>
      <c r="E1769" s="28" t="s">
        <v>211</v>
      </c>
      <c r="F1769" s="29" t="s">
        <v>212</v>
      </c>
      <c r="G1769" s="30">
        <v>1</v>
      </c>
      <c r="H1769" s="27" t="s">
        <v>137</v>
      </c>
      <c r="I1769" s="26" t="s">
        <v>155</v>
      </c>
      <c r="J1769" s="31">
        <v>4</v>
      </c>
      <c r="K1769" s="32">
        <f t="shared" si="81"/>
        <v>4</v>
      </c>
      <c r="L1769" s="29" t="s">
        <v>212</v>
      </c>
      <c r="M1769" s="27">
        <f>IFERROR(VLOOKUP(C1769,Custo_MI_Device!$B$2:$E$102,3,FALSE),0)</f>
        <v>0</v>
      </c>
      <c r="N1769" s="27">
        <f t="shared" si="82"/>
        <v>0</v>
      </c>
      <c r="O1769" s="178">
        <f t="shared" si="83"/>
        <v>0</v>
      </c>
    </row>
    <row r="1770" spans="1:15" ht="25.5" hidden="1">
      <c r="A1770" s="25">
        <v>3566</v>
      </c>
      <c r="B1770" s="25" t="s">
        <v>12</v>
      </c>
      <c r="C1770" s="26" t="s">
        <v>117</v>
      </c>
      <c r="D1770" s="27">
        <v>74122000</v>
      </c>
      <c r="E1770" s="28" t="s">
        <v>211</v>
      </c>
      <c r="F1770" s="29" t="s">
        <v>213</v>
      </c>
      <c r="G1770" s="30">
        <v>1</v>
      </c>
      <c r="H1770" s="27" t="s">
        <v>137</v>
      </c>
      <c r="I1770" s="26" t="s">
        <v>155</v>
      </c>
      <c r="J1770" s="31">
        <v>4</v>
      </c>
      <c r="K1770" s="32">
        <f t="shared" si="81"/>
        <v>4</v>
      </c>
      <c r="L1770" s="29" t="s">
        <v>213</v>
      </c>
      <c r="M1770" s="27">
        <f>IFERROR(VLOOKUP(C1770,Custo_MI_Device!$B$2:$E$102,3,FALSE),0)</f>
        <v>0</v>
      </c>
      <c r="N1770" s="27">
        <f t="shared" si="82"/>
        <v>0</v>
      </c>
      <c r="O1770" s="178">
        <f t="shared" si="83"/>
        <v>0</v>
      </c>
    </row>
    <row r="1771" spans="1:15" ht="25.5" hidden="1">
      <c r="A1771" s="25">
        <v>4306</v>
      </c>
      <c r="B1771" s="25" t="s">
        <v>12</v>
      </c>
      <c r="C1771" s="26" t="s">
        <v>117</v>
      </c>
      <c r="D1771" s="27">
        <v>73063000</v>
      </c>
      <c r="E1771" s="28" t="s">
        <v>239</v>
      </c>
      <c r="F1771" s="29">
        <v>0</v>
      </c>
      <c r="G1771" s="30">
        <v>3</v>
      </c>
      <c r="H1771" s="27" t="s">
        <v>232</v>
      </c>
      <c r="I1771" s="26" t="s">
        <v>233</v>
      </c>
      <c r="J1771" s="31">
        <v>32</v>
      </c>
      <c r="K1771" s="32">
        <f t="shared" si="81"/>
        <v>96</v>
      </c>
      <c r="L1771" s="29" t="s">
        <v>240</v>
      </c>
      <c r="M1771" s="27">
        <f>IFERROR(VLOOKUP(C1771,Custo_MI_Device!$B$2:$E$102,3,FALSE),0)</f>
        <v>0</v>
      </c>
      <c r="N1771" s="27">
        <f t="shared" si="82"/>
        <v>0</v>
      </c>
      <c r="O1771" s="178">
        <f t="shared" si="83"/>
        <v>0</v>
      </c>
    </row>
    <row r="1772" spans="1:15" ht="12.75" hidden="1">
      <c r="A1772" s="25">
        <v>3274</v>
      </c>
      <c r="B1772" s="25" t="s">
        <v>12</v>
      </c>
      <c r="C1772" s="26" t="s">
        <v>117</v>
      </c>
      <c r="D1772" s="27">
        <v>73181500</v>
      </c>
      <c r="E1772" s="28" t="s">
        <v>265</v>
      </c>
      <c r="F1772" s="29" t="s">
        <v>266</v>
      </c>
      <c r="G1772" s="30">
        <v>24</v>
      </c>
      <c r="H1772" s="27" t="s">
        <v>137</v>
      </c>
      <c r="I1772" s="26" t="s">
        <v>256</v>
      </c>
      <c r="J1772" s="31">
        <v>0.06</v>
      </c>
      <c r="K1772" s="32">
        <f t="shared" si="81"/>
        <v>1.44</v>
      </c>
      <c r="L1772" s="29" t="s">
        <v>266</v>
      </c>
      <c r="M1772" s="27">
        <f>IFERROR(VLOOKUP(C1772,Custo_MI_Device!$B$2:$E$102,3,FALSE),0)</f>
        <v>0</v>
      </c>
      <c r="N1772" s="27">
        <f t="shared" si="82"/>
        <v>0</v>
      </c>
      <c r="O1772" s="178">
        <f t="shared" si="83"/>
        <v>0</v>
      </c>
    </row>
    <row r="1773" spans="1:15" ht="25.5" hidden="1">
      <c r="A1773" s="25">
        <v>1611</v>
      </c>
      <c r="B1773" s="25" t="s">
        <v>12</v>
      </c>
      <c r="C1773" s="26" t="s">
        <v>117</v>
      </c>
      <c r="D1773" s="27">
        <v>39174090</v>
      </c>
      <c r="E1773" s="28" t="s">
        <v>275</v>
      </c>
      <c r="F1773" s="29" t="s">
        <v>276</v>
      </c>
      <c r="G1773" s="30">
        <v>2</v>
      </c>
      <c r="H1773" s="27" t="s">
        <v>137</v>
      </c>
      <c r="I1773" s="26" t="s">
        <v>277</v>
      </c>
      <c r="J1773" s="31">
        <v>7.8</v>
      </c>
      <c r="K1773" s="32">
        <f t="shared" si="81"/>
        <v>15.6</v>
      </c>
      <c r="L1773" s="29" t="s">
        <v>276</v>
      </c>
      <c r="M1773" s="27">
        <f>IFERROR(VLOOKUP(C1773,Custo_MI_Device!$B$2:$E$102,3,FALSE),0)</f>
        <v>0</v>
      </c>
      <c r="N1773" s="27">
        <f t="shared" si="82"/>
        <v>0</v>
      </c>
      <c r="O1773" s="178">
        <f t="shared" si="83"/>
        <v>0</v>
      </c>
    </row>
    <row r="1774" spans="1:15" ht="25.5" hidden="1">
      <c r="A1774" s="25">
        <v>2844</v>
      </c>
      <c r="B1774" s="25" t="s">
        <v>12</v>
      </c>
      <c r="C1774" s="26" t="s">
        <v>117</v>
      </c>
      <c r="D1774" s="27">
        <v>73069090</v>
      </c>
      <c r="E1774" s="28" t="s">
        <v>291</v>
      </c>
      <c r="F1774" s="29" t="s">
        <v>292</v>
      </c>
      <c r="G1774" s="30">
        <v>2</v>
      </c>
      <c r="H1774" s="27" t="s">
        <v>158</v>
      </c>
      <c r="I1774" s="26" t="s">
        <v>155</v>
      </c>
      <c r="J1774" s="31">
        <v>1.8</v>
      </c>
      <c r="K1774" s="32">
        <f t="shared" si="81"/>
        <v>3.6</v>
      </c>
      <c r="L1774" s="29" t="s">
        <v>292</v>
      </c>
      <c r="M1774" s="27">
        <f>IFERROR(VLOOKUP(C1774,Custo_MI_Device!$B$2:$E$102,3,FALSE),0)</f>
        <v>0</v>
      </c>
      <c r="N1774" s="27">
        <f t="shared" si="82"/>
        <v>0</v>
      </c>
      <c r="O1774" s="178">
        <f t="shared" si="83"/>
        <v>0</v>
      </c>
    </row>
    <row r="1775" spans="1:15" ht="25.5" hidden="1">
      <c r="A1775" s="25">
        <v>2567</v>
      </c>
      <c r="B1775" s="25" t="s">
        <v>12</v>
      </c>
      <c r="C1775" s="26" t="s">
        <v>117</v>
      </c>
      <c r="D1775" s="27">
        <v>84818095</v>
      </c>
      <c r="E1775" s="28" t="s">
        <v>303</v>
      </c>
      <c r="F1775" s="29">
        <v>0</v>
      </c>
      <c r="G1775" s="30">
        <v>1</v>
      </c>
      <c r="H1775" s="27" t="s">
        <v>137</v>
      </c>
      <c r="I1775" s="26" t="s">
        <v>304</v>
      </c>
      <c r="J1775" s="31">
        <v>27</v>
      </c>
      <c r="K1775" s="32">
        <f t="shared" si="81"/>
        <v>27</v>
      </c>
      <c r="L1775" s="29" t="s">
        <v>305</v>
      </c>
      <c r="M1775" s="27">
        <f>IFERROR(VLOOKUP(C1775,Custo_MI_Device!$B$2:$E$102,3,FALSE),0)</f>
        <v>0</v>
      </c>
      <c r="N1775" s="27">
        <f t="shared" si="82"/>
        <v>0</v>
      </c>
      <c r="O1775" s="178">
        <f t="shared" si="83"/>
        <v>0</v>
      </c>
    </row>
    <row r="1776" spans="1:15" ht="12.75" hidden="1">
      <c r="A1776" s="25">
        <v>2534</v>
      </c>
      <c r="B1776" s="25" t="s">
        <v>12</v>
      </c>
      <c r="C1776" s="26" t="s">
        <v>118</v>
      </c>
      <c r="D1776" s="27">
        <v>73072900</v>
      </c>
      <c r="E1776" s="28" t="s">
        <v>314</v>
      </c>
      <c r="F1776" s="29" t="s">
        <v>315</v>
      </c>
      <c r="G1776" s="30">
        <v>12</v>
      </c>
      <c r="H1776" s="27" t="s">
        <v>137</v>
      </c>
      <c r="I1776" s="26" t="s">
        <v>256</v>
      </c>
      <c r="J1776" s="31">
        <v>1.2</v>
      </c>
      <c r="K1776" s="32">
        <f t="shared" si="81"/>
        <v>14.399999999999999</v>
      </c>
      <c r="L1776" s="29" t="s">
        <v>315</v>
      </c>
      <c r="M1776" s="27">
        <f>IFERROR(VLOOKUP(C1776,Custo_MI_Device!$B$2:$E$102,3,FALSE),0)</f>
        <v>0</v>
      </c>
      <c r="N1776" s="27">
        <f t="shared" si="82"/>
        <v>0</v>
      </c>
      <c r="O1776" s="178">
        <f t="shared" si="83"/>
        <v>0</v>
      </c>
    </row>
    <row r="1777" spans="1:27" ht="12.75" hidden="1">
      <c r="A1777" s="25">
        <v>1669</v>
      </c>
      <c r="B1777" s="25" t="s">
        <v>12</v>
      </c>
      <c r="C1777" s="26" t="s">
        <v>118</v>
      </c>
      <c r="D1777" s="27">
        <v>39269090</v>
      </c>
      <c r="E1777" s="28" t="s">
        <v>316</v>
      </c>
      <c r="F1777" s="29" t="s">
        <v>317</v>
      </c>
      <c r="G1777" s="30">
        <v>3</v>
      </c>
      <c r="H1777" s="27" t="s">
        <v>137</v>
      </c>
      <c r="I1777" s="26" t="s">
        <v>318</v>
      </c>
      <c r="J1777" s="31">
        <v>0.04</v>
      </c>
      <c r="K1777" s="32">
        <f t="shared" si="81"/>
        <v>0.12</v>
      </c>
      <c r="L1777" s="29" t="s">
        <v>317</v>
      </c>
      <c r="M1777" s="27">
        <f>IFERROR(VLOOKUP(C1777,Custo_MI_Device!$B$2:$E$102,3,FALSE),0)</f>
        <v>0</v>
      </c>
      <c r="N1777" s="27">
        <f t="shared" si="82"/>
        <v>0</v>
      </c>
      <c r="O1777" s="178">
        <f t="shared" si="83"/>
        <v>0</v>
      </c>
    </row>
    <row r="1778" spans="1:27" ht="12.75" hidden="1">
      <c r="A1778" s="25">
        <v>5091</v>
      </c>
      <c r="B1778" s="25" t="s">
        <v>12</v>
      </c>
      <c r="C1778" s="26" t="s">
        <v>118</v>
      </c>
      <c r="D1778" s="27">
        <v>73181500</v>
      </c>
      <c r="E1778" s="28" t="s">
        <v>323</v>
      </c>
      <c r="F1778" s="29" t="s">
        <v>324</v>
      </c>
      <c r="G1778" s="30">
        <v>24</v>
      </c>
      <c r="H1778" s="27" t="s">
        <v>137</v>
      </c>
      <c r="I1778" s="26" t="s">
        <v>256</v>
      </c>
      <c r="J1778" s="31">
        <v>0.04</v>
      </c>
      <c r="K1778" s="32">
        <f t="shared" si="81"/>
        <v>0.96</v>
      </c>
      <c r="L1778" s="29" t="s">
        <v>324</v>
      </c>
      <c r="M1778" s="27">
        <f>IFERROR(VLOOKUP(C1778,Custo_MI_Device!$B$2:$E$102,3,FALSE),0)</f>
        <v>0</v>
      </c>
      <c r="N1778" s="27">
        <f t="shared" si="82"/>
        <v>0</v>
      </c>
      <c r="O1778" s="178">
        <f t="shared" si="83"/>
        <v>0</v>
      </c>
    </row>
    <row r="1779" spans="1:27" ht="12.75" hidden="1">
      <c r="A1779" s="25">
        <v>83</v>
      </c>
      <c r="B1779" s="25" t="s">
        <v>12</v>
      </c>
      <c r="C1779" s="26" t="s">
        <v>118</v>
      </c>
      <c r="D1779" s="27"/>
      <c r="E1779" s="28" t="s">
        <v>150</v>
      </c>
      <c r="F1779" s="29" t="s">
        <v>148</v>
      </c>
      <c r="G1779" s="30">
        <v>1</v>
      </c>
      <c r="H1779" s="27" t="s">
        <v>137</v>
      </c>
      <c r="I1779" s="26" t="s">
        <v>149</v>
      </c>
      <c r="J1779" s="31">
        <v>4.8</v>
      </c>
      <c r="K1779" s="32">
        <f t="shared" si="81"/>
        <v>4.8</v>
      </c>
      <c r="L1779" s="29" t="s">
        <v>148</v>
      </c>
      <c r="M1779" s="27">
        <f>IFERROR(VLOOKUP(C1779,Custo_MI_Device!$B$2:$E$102,3,FALSE),0)</f>
        <v>0</v>
      </c>
      <c r="N1779" s="27">
        <f t="shared" si="82"/>
        <v>0</v>
      </c>
      <c r="O1779" s="178">
        <f t="shared" si="83"/>
        <v>0</v>
      </c>
    </row>
    <row r="1780" spans="1:27" ht="25.5" hidden="1">
      <c r="A1780" s="25">
        <v>3369</v>
      </c>
      <c r="B1780" s="25" t="s">
        <v>12</v>
      </c>
      <c r="C1780" s="26" t="s">
        <v>118</v>
      </c>
      <c r="D1780" s="27">
        <v>85444900</v>
      </c>
      <c r="E1780" s="28" t="s">
        <v>332</v>
      </c>
      <c r="F1780" s="29">
        <v>5000005853</v>
      </c>
      <c r="G1780" s="30">
        <v>10</v>
      </c>
      <c r="H1780" s="27" t="s">
        <v>158</v>
      </c>
      <c r="I1780" s="26" t="s">
        <v>333</v>
      </c>
      <c r="J1780" s="31">
        <v>7.1</v>
      </c>
      <c r="K1780" s="32">
        <f t="shared" si="81"/>
        <v>71</v>
      </c>
      <c r="L1780" s="29">
        <v>5000005853</v>
      </c>
      <c r="M1780" s="27">
        <f>IFERROR(VLOOKUP(C1780,Custo_MI_Device!$B$2:$E$102,3,FALSE),0)</f>
        <v>0</v>
      </c>
      <c r="N1780" s="27">
        <f t="shared" si="82"/>
        <v>0</v>
      </c>
      <c r="O1780" s="178">
        <f t="shared" si="83"/>
        <v>0</v>
      </c>
    </row>
    <row r="1781" spans="1:27" ht="12.75" hidden="1">
      <c r="A1781" s="25">
        <v>2805</v>
      </c>
      <c r="B1781" s="25" t="s">
        <v>12</v>
      </c>
      <c r="C1781" s="26" t="s">
        <v>118</v>
      </c>
      <c r="D1781" s="27">
        <v>72162100</v>
      </c>
      <c r="E1781" s="28" t="s">
        <v>174</v>
      </c>
      <c r="F1781" s="29">
        <v>0</v>
      </c>
      <c r="G1781" s="30">
        <v>2.9</v>
      </c>
      <c r="H1781" s="27" t="s">
        <v>175</v>
      </c>
      <c r="I1781" s="26" t="s">
        <v>176</v>
      </c>
      <c r="J1781" s="31">
        <v>4.22</v>
      </c>
      <c r="K1781" s="32">
        <f t="shared" si="81"/>
        <v>12.238</v>
      </c>
      <c r="L1781" s="29" t="s">
        <v>177</v>
      </c>
      <c r="M1781" s="27">
        <f>IFERROR(VLOOKUP(C1781,Custo_MI_Device!$B$2:$E$102,3,FALSE),0)</f>
        <v>0</v>
      </c>
      <c r="N1781" s="27">
        <f t="shared" si="82"/>
        <v>0</v>
      </c>
      <c r="O1781" s="178">
        <f t="shared" si="83"/>
        <v>0</v>
      </c>
    </row>
    <row r="1782" spans="1:27" ht="25.5" hidden="1">
      <c r="A1782" s="25">
        <v>3738</v>
      </c>
      <c r="B1782" s="25" t="s">
        <v>12</v>
      </c>
      <c r="C1782" s="26" t="s">
        <v>118</v>
      </c>
      <c r="D1782" s="27">
        <v>73071100</v>
      </c>
      <c r="E1782" s="28" t="s">
        <v>205</v>
      </c>
      <c r="F1782" s="29" t="s">
        <v>206</v>
      </c>
      <c r="G1782" s="30">
        <v>0.75</v>
      </c>
      <c r="H1782" s="27" t="s">
        <v>137</v>
      </c>
      <c r="I1782" s="26" t="s">
        <v>149</v>
      </c>
      <c r="J1782" s="31">
        <v>27</v>
      </c>
      <c r="K1782" s="32">
        <f t="shared" si="81"/>
        <v>20.25</v>
      </c>
      <c r="L1782" s="29" t="s">
        <v>206</v>
      </c>
      <c r="M1782" s="27">
        <f>IFERROR(VLOOKUP(C1782,Custo_MI_Device!$B$2:$E$102,3,FALSE),0)</f>
        <v>0</v>
      </c>
      <c r="N1782" s="27">
        <f t="shared" si="82"/>
        <v>0</v>
      </c>
      <c r="O1782" s="178">
        <f t="shared" si="83"/>
        <v>0</v>
      </c>
    </row>
    <row r="1783" spans="1:27" ht="25.5" hidden="1">
      <c r="A1783" s="25">
        <v>1710</v>
      </c>
      <c r="B1783" s="25" t="s">
        <v>12</v>
      </c>
      <c r="C1783" s="26" t="s">
        <v>118</v>
      </c>
      <c r="D1783" s="27">
        <v>73071100</v>
      </c>
      <c r="E1783" s="28" t="s">
        <v>207</v>
      </c>
      <c r="F1783" s="29" t="s">
        <v>208</v>
      </c>
      <c r="G1783" s="30">
        <v>0.75</v>
      </c>
      <c r="H1783" s="27" t="s">
        <v>137</v>
      </c>
      <c r="I1783" s="26" t="s">
        <v>149</v>
      </c>
      <c r="J1783" s="31">
        <v>27</v>
      </c>
      <c r="K1783" s="32">
        <f t="shared" si="81"/>
        <v>20.25</v>
      </c>
      <c r="L1783" s="29" t="s">
        <v>208</v>
      </c>
      <c r="M1783" s="27">
        <f>IFERROR(VLOOKUP(C1783,Custo_MI_Device!$B$2:$E$102,3,FALSE),0)</f>
        <v>0</v>
      </c>
      <c r="N1783" s="27">
        <f t="shared" si="82"/>
        <v>0</v>
      </c>
      <c r="O1783" s="178">
        <f t="shared" si="83"/>
        <v>0</v>
      </c>
    </row>
    <row r="1784" spans="1:27" ht="25.5" hidden="1">
      <c r="A1784" s="25">
        <v>1715</v>
      </c>
      <c r="B1784" s="25" t="s">
        <v>12</v>
      </c>
      <c r="C1784" s="26" t="s">
        <v>118</v>
      </c>
      <c r="D1784" s="27">
        <v>73071100</v>
      </c>
      <c r="E1784" s="28" t="s">
        <v>209</v>
      </c>
      <c r="F1784" s="29" t="s">
        <v>210</v>
      </c>
      <c r="G1784" s="30">
        <v>0.75</v>
      </c>
      <c r="H1784" s="27" t="s">
        <v>137</v>
      </c>
      <c r="I1784" s="26" t="s">
        <v>149</v>
      </c>
      <c r="J1784" s="31">
        <v>27</v>
      </c>
      <c r="K1784" s="32">
        <f t="shared" si="81"/>
        <v>20.25</v>
      </c>
      <c r="L1784" s="29" t="s">
        <v>210</v>
      </c>
      <c r="M1784" s="27">
        <f>IFERROR(VLOOKUP(C1784,Custo_MI_Device!$B$2:$E$102,3,FALSE),0)</f>
        <v>0</v>
      </c>
      <c r="N1784" s="27">
        <f t="shared" si="82"/>
        <v>0</v>
      </c>
      <c r="O1784" s="178">
        <f t="shared" si="83"/>
        <v>0</v>
      </c>
    </row>
    <row r="1785" spans="1:27" ht="25.5" hidden="1">
      <c r="A1785" s="25">
        <v>3566</v>
      </c>
      <c r="B1785" s="25" t="s">
        <v>12</v>
      </c>
      <c r="C1785" s="26" t="s">
        <v>118</v>
      </c>
      <c r="D1785" s="27">
        <v>74122000</v>
      </c>
      <c r="E1785" s="28" t="s">
        <v>211</v>
      </c>
      <c r="F1785" s="29" t="s">
        <v>212</v>
      </c>
      <c r="G1785" s="30">
        <v>1</v>
      </c>
      <c r="H1785" s="27" t="s">
        <v>137</v>
      </c>
      <c r="I1785" s="26" t="s">
        <v>155</v>
      </c>
      <c r="J1785" s="31">
        <v>4</v>
      </c>
      <c r="K1785" s="32">
        <f t="shared" si="81"/>
        <v>4</v>
      </c>
      <c r="L1785" s="29" t="s">
        <v>212</v>
      </c>
      <c r="M1785" s="27">
        <f>IFERROR(VLOOKUP(C1785,Custo_MI_Device!$B$2:$E$102,3,FALSE),0)</f>
        <v>0</v>
      </c>
      <c r="N1785" s="27">
        <f t="shared" si="82"/>
        <v>0</v>
      </c>
      <c r="O1785" s="178">
        <f t="shared" si="83"/>
        <v>0</v>
      </c>
    </row>
    <row r="1786" spans="1:27" ht="25.5" hidden="1">
      <c r="A1786" s="25">
        <v>3566</v>
      </c>
      <c r="B1786" s="25" t="s">
        <v>12</v>
      </c>
      <c r="C1786" s="26" t="s">
        <v>118</v>
      </c>
      <c r="D1786" s="27">
        <v>74122000</v>
      </c>
      <c r="E1786" s="28" t="s">
        <v>211</v>
      </c>
      <c r="F1786" s="29" t="s">
        <v>213</v>
      </c>
      <c r="G1786" s="30">
        <v>1</v>
      </c>
      <c r="H1786" s="27" t="s">
        <v>137</v>
      </c>
      <c r="I1786" s="26" t="s">
        <v>155</v>
      </c>
      <c r="J1786" s="31">
        <v>4</v>
      </c>
      <c r="K1786" s="32">
        <f t="shared" si="81"/>
        <v>4</v>
      </c>
      <c r="L1786" s="29" t="s">
        <v>213</v>
      </c>
      <c r="M1786" s="27">
        <f>IFERROR(VLOOKUP(C1786,Custo_MI_Device!$B$2:$E$102,3,FALSE),0)</f>
        <v>0</v>
      </c>
      <c r="N1786" s="27">
        <f t="shared" si="82"/>
        <v>0</v>
      </c>
      <c r="O1786" s="178">
        <f t="shared" si="83"/>
        <v>0</v>
      </c>
      <c r="AA1786" s="16" t="e">
        <v>#REF!</v>
      </c>
    </row>
    <row r="1787" spans="1:27" ht="25.5" hidden="1">
      <c r="A1787" s="25">
        <v>3417</v>
      </c>
      <c r="B1787" s="25" t="s">
        <v>12</v>
      </c>
      <c r="C1787" s="26" t="s">
        <v>118</v>
      </c>
      <c r="D1787" s="27">
        <v>73063000</v>
      </c>
      <c r="E1787" s="28" t="s">
        <v>231</v>
      </c>
      <c r="F1787" s="29">
        <v>0</v>
      </c>
      <c r="G1787" s="30">
        <v>2</v>
      </c>
      <c r="H1787" s="27" t="s">
        <v>232</v>
      </c>
      <c r="I1787" s="26" t="s">
        <v>233</v>
      </c>
      <c r="J1787" s="31">
        <v>33.47</v>
      </c>
      <c r="K1787" s="32">
        <f t="shared" si="81"/>
        <v>66.94</v>
      </c>
      <c r="L1787" s="29" t="s">
        <v>234</v>
      </c>
      <c r="M1787" s="27">
        <f>IFERROR(VLOOKUP(C1787,Custo_MI_Device!$B$2:$E$102,3,FALSE),0)</f>
        <v>0</v>
      </c>
      <c r="N1787" s="27">
        <f t="shared" si="82"/>
        <v>0</v>
      </c>
      <c r="O1787" s="178">
        <f t="shared" si="83"/>
        <v>0</v>
      </c>
    </row>
    <row r="1788" spans="1:27" ht="12.75" hidden="1">
      <c r="A1788" s="25">
        <v>1965</v>
      </c>
      <c r="B1788" s="25" t="s">
        <v>12</v>
      </c>
      <c r="C1788" s="26" t="s">
        <v>118</v>
      </c>
      <c r="D1788" s="27">
        <v>73071100</v>
      </c>
      <c r="E1788" s="28" t="s">
        <v>251</v>
      </c>
      <c r="F1788" s="29" t="s">
        <v>252</v>
      </c>
      <c r="G1788" s="30">
        <v>1</v>
      </c>
      <c r="H1788" s="27" t="s">
        <v>137</v>
      </c>
      <c r="I1788" s="26" t="s">
        <v>253</v>
      </c>
      <c r="J1788" s="31">
        <v>5.5</v>
      </c>
      <c r="K1788" s="32">
        <f t="shared" si="81"/>
        <v>5.5</v>
      </c>
      <c r="L1788" s="29" t="s">
        <v>252</v>
      </c>
      <c r="M1788" s="27">
        <f>IFERROR(VLOOKUP(C1788,Custo_MI_Device!$B$2:$E$102,3,FALSE),0)</f>
        <v>0</v>
      </c>
      <c r="N1788" s="27">
        <f t="shared" si="82"/>
        <v>0</v>
      </c>
      <c r="O1788" s="178">
        <f t="shared" si="83"/>
        <v>0</v>
      </c>
    </row>
    <row r="1789" spans="1:27" ht="12.75" hidden="1">
      <c r="A1789" s="25">
        <v>3274</v>
      </c>
      <c r="B1789" s="25" t="s">
        <v>12</v>
      </c>
      <c r="C1789" s="26" t="s">
        <v>118</v>
      </c>
      <c r="D1789" s="27">
        <v>73181500</v>
      </c>
      <c r="E1789" s="28" t="s">
        <v>265</v>
      </c>
      <c r="F1789" s="29" t="s">
        <v>266</v>
      </c>
      <c r="G1789" s="30">
        <v>24</v>
      </c>
      <c r="H1789" s="27" t="s">
        <v>137</v>
      </c>
      <c r="I1789" s="26" t="s">
        <v>256</v>
      </c>
      <c r="J1789" s="31">
        <v>0.06</v>
      </c>
      <c r="K1789" s="32">
        <f t="shared" si="81"/>
        <v>1.44</v>
      </c>
      <c r="L1789" s="29" t="s">
        <v>266</v>
      </c>
      <c r="M1789" s="27">
        <f>IFERROR(VLOOKUP(C1789,Custo_MI_Device!$B$2:$E$102,3,FALSE),0)</f>
        <v>0</v>
      </c>
      <c r="N1789" s="27">
        <f t="shared" si="82"/>
        <v>0</v>
      </c>
      <c r="O1789" s="178">
        <f t="shared" si="83"/>
        <v>0</v>
      </c>
    </row>
    <row r="1790" spans="1:27" ht="25.5" hidden="1">
      <c r="A1790" s="25">
        <v>2844</v>
      </c>
      <c r="B1790" s="25" t="s">
        <v>12</v>
      </c>
      <c r="C1790" s="26" t="s">
        <v>118</v>
      </c>
      <c r="D1790" s="27">
        <v>73069090</v>
      </c>
      <c r="E1790" s="28" t="s">
        <v>291</v>
      </c>
      <c r="F1790" s="29" t="s">
        <v>292</v>
      </c>
      <c r="G1790" s="30">
        <v>2</v>
      </c>
      <c r="H1790" s="27" t="s">
        <v>158</v>
      </c>
      <c r="I1790" s="26" t="s">
        <v>155</v>
      </c>
      <c r="J1790" s="31">
        <v>1.8</v>
      </c>
      <c r="K1790" s="32">
        <f t="shared" si="81"/>
        <v>3.6</v>
      </c>
      <c r="L1790" s="29" t="s">
        <v>292</v>
      </c>
      <c r="M1790" s="27">
        <f>IFERROR(VLOOKUP(C1790,Custo_MI_Device!$B$2:$E$102,3,FALSE),0)</f>
        <v>0</v>
      </c>
      <c r="N1790" s="27">
        <f t="shared" si="82"/>
        <v>0</v>
      </c>
      <c r="O1790" s="178">
        <f t="shared" si="83"/>
        <v>0</v>
      </c>
    </row>
    <row r="1791" spans="1:27" ht="25.5" hidden="1">
      <c r="A1791" s="25">
        <v>5147</v>
      </c>
      <c r="B1791" s="25" t="s">
        <v>12</v>
      </c>
      <c r="C1791" s="26" t="s">
        <v>118</v>
      </c>
      <c r="D1791" s="27">
        <v>83079000</v>
      </c>
      <c r="E1791" s="28" t="s">
        <v>293</v>
      </c>
      <c r="F1791" s="29" t="s">
        <v>294</v>
      </c>
      <c r="G1791" s="30">
        <v>1</v>
      </c>
      <c r="H1791" s="27" t="s">
        <v>137</v>
      </c>
      <c r="I1791" s="26" t="s">
        <v>180</v>
      </c>
      <c r="J1791" s="31">
        <v>155</v>
      </c>
      <c r="K1791" s="32">
        <f t="shared" si="81"/>
        <v>155</v>
      </c>
      <c r="L1791" s="29" t="s">
        <v>294</v>
      </c>
      <c r="M1791" s="27">
        <f>IFERROR(VLOOKUP(C1791,Custo_MI_Device!$B$2:$E$102,3,FALSE),0)</f>
        <v>0</v>
      </c>
      <c r="N1791" s="27">
        <f t="shared" si="82"/>
        <v>0</v>
      </c>
      <c r="O1791" s="178">
        <f t="shared" si="83"/>
        <v>0</v>
      </c>
    </row>
    <row r="1792" spans="1:27" ht="25.5" hidden="1">
      <c r="A1792" s="25">
        <v>4834</v>
      </c>
      <c r="B1792" s="25" t="s">
        <v>12</v>
      </c>
      <c r="C1792" s="26" t="s">
        <v>118</v>
      </c>
      <c r="D1792" s="27">
        <v>73071100</v>
      </c>
      <c r="E1792" s="28" t="s">
        <v>299</v>
      </c>
      <c r="F1792" s="29" t="s">
        <v>300</v>
      </c>
      <c r="G1792" s="30">
        <v>1</v>
      </c>
      <c r="H1792" s="27" t="s">
        <v>137</v>
      </c>
      <c r="I1792" s="26" t="s">
        <v>149</v>
      </c>
      <c r="J1792" s="31">
        <v>28</v>
      </c>
      <c r="K1792" s="32">
        <f t="shared" si="81"/>
        <v>28</v>
      </c>
      <c r="L1792" s="29" t="s">
        <v>300</v>
      </c>
      <c r="M1792" s="27">
        <f>IFERROR(VLOOKUP(C1792,Custo_MI_Device!$B$2:$E$102,3,FALSE),0)</f>
        <v>0</v>
      </c>
      <c r="N1792" s="27">
        <f t="shared" si="82"/>
        <v>0</v>
      </c>
      <c r="O1792" s="178">
        <f t="shared" si="83"/>
        <v>0</v>
      </c>
    </row>
    <row r="1793" spans="1:15" ht="25.5" hidden="1">
      <c r="A1793" s="25">
        <v>2567</v>
      </c>
      <c r="B1793" s="25" t="s">
        <v>12</v>
      </c>
      <c r="C1793" s="26" t="s">
        <v>118</v>
      </c>
      <c r="D1793" s="27">
        <v>84818095</v>
      </c>
      <c r="E1793" s="28" t="s">
        <v>303</v>
      </c>
      <c r="F1793" s="29">
        <v>0</v>
      </c>
      <c r="G1793" s="30">
        <v>1</v>
      </c>
      <c r="H1793" s="27" t="s">
        <v>137</v>
      </c>
      <c r="I1793" s="26" t="s">
        <v>304</v>
      </c>
      <c r="J1793" s="31">
        <v>27</v>
      </c>
      <c r="K1793" s="32">
        <f t="shared" si="81"/>
        <v>27</v>
      </c>
      <c r="L1793" s="29" t="s">
        <v>305</v>
      </c>
      <c r="M1793" s="27">
        <f>IFERROR(VLOOKUP(C1793,Custo_MI_Device!$B$2:$E$102,3,FALSE),0)</f>
        <v>0</v>
      </c>
      <c r="N1793" s="27">
        <f t="shared" si="82"/>
        <v>0</v>
      </c>
      <c r="O1793" s="178">
        <f t="shared" si="83"/>
        <v>0</v>
      </c>
    </row>
    <row r="1794" spans="1:15" ht="12.75">
      <c r="A1794" s="25">
        <v>2534</v>
      </c>
      <c r="B1794" s="25" t="s">
        <v>12</v>
      </c>
      <c r="C1794" s="26" t="s">
        <v>119</v>
      </c>
      <c r="D1794" s="27">
        <v>73072900</v>
      </c>
      <c r="E1794" s="28" t="s">
        <v>314</v>
      </c>
      <c r="F1794" s="29" t="s">
        <v>315</v>
      </c>
      <c r="G1794" s="30">
        <v>12</v>
      </c>
      <c r="H1794" s="27" t="s">
        <v>137</v>
      </c>
      <c r="I1794" s="26" t="s">
        <v>256</v>
      </c>
      <c r="J1794" s="191">
        <v>2.02</v>
      </c>
      <c r="K1794" s="32">
        <f t="shared" si="81"/>
        <v>24.240000000000002</v>
      </c>
      <c r="L1794" s="29" t="s">
        <v>315</v>
      </c>
      <c r="M1794" s="27">
        <f>IFERROR(VLOOKUP(C1794,Custo_MI_Device!$B$2:$E$102,3,FALSE),0)</f>
        <v>281</v>
      </c>
      <c r="N1794" s="27">
        <f t="shared" si="82"/>
        <v>3372</v>
      </c>
      <c r="O1794" s="178">
        <f t="shared" si="83"/>
        <v>6811.4400000000005</v>
      </c>
    </row>
    <row r="1795" spans="1:15" ht="12.75">
      <c r="A1795" s="25">
        <v>1669</v>
      </c>
      <c r="B1795" s="25" t="s">
        <v>12</v>
      </c>
      <c r="C1795" s="26" t="s">
        <v>119</v>
      </c>
      <c r="D1795" s="27">
        <v>39269090</v>
      </c>
      <c r="E1795" s="28" t="s">
        <v>316</v>
      </c>
      <c r="F1795" s="29" t="s">
        <v>317</v>
      </c>
      <c r="G1795" s="30">
        <v>3</v>
      </c>
      <c r="H1795" s="27" t="s">
        <v>137</v>
      </c>
      <c r="I1795" s="26" t="s">
        <v>318</v>
      </c>
      <c r="J1795" s="191">
        <v>0.1</v>
      </c>
      <c r="K1795" s="32">
        <f t="shared" ref="K1795:K1854" si="84">G1795*J1795</f>
        <v>0.30000000000000004</v>
      </c>
      <c r="L1795" s="29" t="s">
        <v>317</v>
      </c>
      <c r="M1795" s="27">
        <f>IFERROR(VLOOKUP(C1795,Custo_MI_Device!$B$2:$E$102,3,FALSE),0)</f>
        <v>281</v>
      </c>
      <c r="N1795" s="27">
        <f t="shared" ref="N1795:N1854" si="85">ROUNDUP(M1795*G1795,0)</f>
        <v>843</v>
      </c>
      <c r="O1795" s="178">
        <f t="shared" ref="O1795:O1854" si="86">N1795*J1795</f>
        <v>84.300000000000011</v>
      </c>
    </row>
    <row r="1796" spans="1:15" ht="12.75">
      <c r="A1796" s="25">
        <v>5091</v>
      </c>
      <c r="B1796" s="25" t="s">
        <v>12</v>
      </c>
      <c r="C1796" s="26" t="s">
        <v>119</v>
      </c>
      <c r="D1796" s="27">
        <v>73181500</v>
      </c>
      <c r="E1796" s="28" t="s">
        <v>323</v>
      </c>
      <c r="F1796" s="29" t="s">
        <v>324</v>
      </c>
      <c r="G1796" s="30">
        <v>24</v>
      </c>
      <c r="H1796" s="27" t="s">
        <v>137</v>
      </c>
      <c r="I1796" s="26" t="s">
        <v>256</v>
      </c>
      <c r="J1796" s="191">
        <v>0.1</v>
      </c>
      <c r="K1796" s="32">
        <f t="shared" si="84"/>
        <v>2.4000000000000004</v>
      </c>
      <c r="L1796" s="29" t="s">
        <v>324</v>
      </c>
      <c r="M1796" s="27">
        <f>IFERROR(VLOOKUP(C1796,Custo_MI_Device!$B$2:$E$102,3,FALSE),0)</f>
        <v>281</v>
      </c>
      <c r="N1796" s="27">
        <f t="shared" si="85"/>
        <v>6744</v>
      </c>
      <c r="O1796" s="178">
        <f t="shared" si="86"/>
        <v>674.40000000000009</v>
      </c>
    </row>
    <row r="1797" spans="1:15" ht="12.75">
      <c r="A1797" s="25">
        <v>1117</v>
      </c>
      <c r="B1797" s="25" t="s">
        <v>12</v>
      </c>
      <c r="C1797" s="26" t="s">
        <v>119</v>
      </c>
      <c r="D1797" s="27"/>
      <c r="E1797" s="28" t="s">
        <v>145</v>
      </c>
      <c r="F1797" s="29" t="s">
        <v>146</v>
      </c>
      <c r="G1797" s="30">
        <v>1</v>
      </c>
      <c r="H1797" s="27" t="s">
        <v>137</v>
      </c>
      <c r="I1797" s="26" t="s">
        <v>138</v>
      </c>
      <c r="J1797" s="191">
        <v>1.95</v>
      </c>
      <c r="K1797" s="190">
        <v>4.8499999999999996</v>
      </c>
      <c r="L1797" s="29" t="s">
        <v>146</v>
      </c>
      <c r="M1797" s="27">
        <f>IFERROR(VLOOKUP(C1797,Custo_MI_Device!$B$2:$E$102,3,FALSE),0)</f>
        <v>281</v>
      </c>
      <c r="N1797" s="27">
        <f t="shared" si="85"/>
        <v>281</v>
      </c>
      <c r="O1797" s="178">
        <f t="shared" si="86"/>
        <v>547.94999999999993</v>
      </c>
    </row>
    <row r="1798" spans="1:15" ht="25.5">
      <c r="A1798" s="25">
        <v>4087</v>
      </c>
      <c r="B1798" s="25" t="s">
        <v>12</v>
      </c>
      <c r="C1798" s="26" t="s">
        <v>119</v>
      </c>
      <c r="D1798" s="27">
        <v>85444900</v>
      </c>
      <c r="E1798" s="28" t="s">
        <v>165</v>
      </c>
      <c r="F1798" s="29">
        <v>900402</v>
      </c>
      <c r="G1798" s="33">
        <v>0</v>
      </c>
      <c r="H1798" s="27" t="s">
        <v>158</v>
      </c>
      <c r="I1798" s="26" t="s">
        <v>164</v>
      </c>
      <c r="J1798" s="191">
        <v>3.7</v>
      </c>
      <c r="K1798" s="32">
        <f t="shared" si="84"/>
        <v>0</v>
      </c>
      <c r="L1798" s="29">
        <v>900402</v>
      </c>
      <c r="M1798" s="27">
        <f>IFERROR(VLOOKUP(C1798,Custo_MI_Device!$B$2:$E$102,3,FALSE),0)</f>
        <v>281</v>
      </c>
      <c r="N1798" s="27">
        <f t="shared" si="85"/>
        <v>0</v>
      </c>
      <c r="O1798" s="178">
        <f t="shared" si="86"/>
        <v>0</v>
      </c>
    </row>
    <row r="1799" spans="1:15" ht="12.75">
      <c r="A1799" s="25">
        <v>2805</v>
      </c>
      <c r="B1799" s="25" t="s">
        <v>12</v>
      </c>
      <c r="C1799" s="26" t="s">
        <v>119</v>
      </c>
      <c r="D1799" s="27">
        <v>72162100</v>
      </c>
      <c r="E1799" s="28" t="s">
        <v>174</v>
      </c>
      <c r="F1799" s="29">
        <v>0</v>
      </c>
      <c r="G1799" s="33">
        <v>0</v>
      </c>
      <c r="H1799" s="27" t="s">
        <v>175</v>
      </c>
      <c r="I1799" s="26" t="s">
        <v>176</v>
      </c>
      <c r="J1799" s="191">
        <v>4.22</v>
      </c>
      <c r="K1799" s="32">
        <f t="shared" si="84"/>
        <v>0</v>
      </c>
      <c r="L1799" s="29" t="s">
        <v>177</v>
      </c>
      <c r="M1799" s="27">
        <f>IFERROR(VLOOKUP(C1799,Custo_MI_Device!$B$2:$E$102,3,FALSE),0)</f>
        <v>281</v>
      </c>
      <c r="N1799" s="27">
        <f t="shared" si="85"/>
        <v>0</v>
      </c>
      <c r="O1799" s="178">
        <f t="shared" si="86"/>
        <v>0</v>
      </c>
    </row>
    <row r="1800" spans="1:15" ht="12.75">
      <c r="A1800" s="25">
        <v>4823</v>
      </c>
      <c r="B1800" s="25" t="s">
        <v>12</v>
      </c>
      <c r="C1800" s="26" t="s">
        <v>119</v>
      </c>
      <c r="D1800" s="27">
        <v>76090000</v>
      </c>
      <c r="E1800" s="28" t="s">
        <v>199</v>
      </c>
      <c r="F1800" s="29" t="s">
        <v>200</v>
      </c>
      <c r="G1800" s="30">
        <v>2</v>
      </c>
      <c r="H1800" s="27" t="s">
        <v>137</v>
      </c>
      <c r="I1800" s="26" t="s">
        <v>138</v>
      </c>
      <c r="J1800" s="31">
        <v>26.06</v>
      </c>
      <c r="K1800" s="32">
        <f t="shared" si="84"/>
        <v>52.12</v>
      </c>
      <c r="L1800" s="29" t="s">
        <v>200</v>
      </c>
      <c r="M1800" s="27">
        <f>IFERROR(VLOOKUP(C1800,Custo_MI_Device!$B$2:$E$102,3,FALSE),0)</f>
        <v>281</v>
      </c>
      <c r="N1800" s="27">
        <f t="shared" si="85"/>
        <v>562</v>
      </c>
      <c r="O1800" s="178">
        <f t="shared" si="86"/>
        <v>14645.72</v>
      </c>
    </row>
    <row r="1801" spans="1:15" ht="12.75">
      <c r="A1801" s="25">
        <v>2912</v>
      </c>
      <c r="B1801" s="25" t="s">
        <v>12</v>
      </c>
      <c r="C1801" s="26" t="s">
        <v>119</v>
      </c>
      <c r="D1801" s="27">
        <v>76090000</v>
      </c>
      <c r="E1801" s="28" t="s">
        <v>201</v>
      </c>
      <c r="F1801" s="29" t="s">
        <v>202</v>
      </c>
      <c r="G1801" s="30">
        <v>2</v>
      </c>
      <c r="H1801" s="27" t="s">
        <v>137</v>
      </c>
      <c r="I1801" s="26" t="s">
        <v>138</v>
      </c>
      <c r="J1801" s="31"/>
      <c r="K1801" s="32">
        <f t="shared" si="84"/>
        <v>0</v>
      </c>
      <c r="L1801" s="29" t="s">
        <v>202</v>
      </c>
      <c r="M1801" s="27">
        <f>IFERROR(VLOOKUP(C1801,Custo_MI_Device!$B$2:$E$102,3,FALSE),0)</f>
        <v>281</v>
      </c>
      <c r="N1801" s="27">
        <f t="shared" si="85"/>
        <v>562</v>
      </c>
      <c r="O1801" s="178">
        <f t="shared" si="86"/>
        <v>0</v>
      </c>
    </row>
    <row r="1802" spans="1:15" ht="25.5">
      <c r="A1802" s="25">
        <v>3436</v>
      </c>
      <c r="B1802" s="25" t="s">
        <v>12</v>
      </c>
      <c r="C1802" s="26" t="s">
        <v>119</v>
      </c>
      <c r="D1802" s="27">
        <v>76090000</v>
      </c>
      <c r="E1802" s="28" t="s">
        <v>193</v>
      </c>
      <c r="F1802" s="29" t="s">
        <v>194</v>
      </c>
      <c r="G1802" s="30">
        <v>2</v>
      </c>
      <c r="H1802" s="27" t="s">
        <v>137</v>
      </c>
      <c r="I1802" s="26" t="s">
        <v>138</v>
      </c>
      <c r="J1802" s="31">
        <v>26.06</v>
      </c>
      <c r="K1802" s="32">
        <f t="shared" si="84"/>
        <v>52.12</v>
      </c>
      <c r="L1802" s="29" t="s">
        <v>194</v>
      </c>
      <c r="M1802" s="27">
        <f>IFERROR(VLOOKUP(C1802,Custo_MI_Device!$B$2:$E$102,3,FALSE),0)</f>
        <v>281</v>
      </c>
      <c r="N1802" s="27">
        <f t="shared" si="85"/>
        <v>562</v>
      </c>
      <c r="O1802" s="178">
        <f t="shared" si="86"/>
        <v>14645.72</v>
      </c>
    </row>
    <row r="1803" spans="1:15" ht="25.5">
      <c r="A1803" s="25">
        <v>3566</v>
      </c>
      <c r="B1803" s="25" t="s">
        <v>12</v>
      </c>
      <c r="C1803" s="26" t="s">
        <v>119</v>
      </c>
      <c r="D1803" s="27">
        <v>74122000</v>
      </c>
      <c r="E1803" s="28" t="s">
        <v>211</v>
      </c>
      <c r="F1803" s="29" t="s">
        <v>212</v>
      </c>
      <c r="G1803" s="30">
        <v>1</v>
      </c>
      <c r="H1803" s="27" t="s">
        <v>137</v>
      </c>
      <c r="I1803" s="26" t="s">
        <v>155</v>
      </c>
      <c r="J1803" s="191">
        <v>4</v>
      </c>
      <c r="K1803" s="32">
        <f t="shared" si="84"/>
        <v>4</v>
      </c>
      <c r="L1803" s="29" t="s">
        <v>212</v>
      </c>
      <c r="M1803" s="27">
        <f>IFERROR(VLOOKUP(C1803,Custo_MI_Device!$B$2:$E$102,3,FALSE),0)</f>
        <v>281</v>
      </c>
      <c r="N1803" s="27">
        <f t="shared" si="85"/>
        <v>281</v>
      </c>
      <c r="O1803" s="178">
        <f t="shared" si="86"/>
        <v>1124</v>
      </c>
    </row>
    <row r="1804" spans="1:15" ht="25.5">
      <c r="A1804" s="25">
        <v>3566</v>
      </c>
      <c r="B1804" s="25" t="s">
        <v>12</v>
      </c>
      <c r="C1804" s="26" t="s">
        <v>119</v>
      </c>
      <c r="D1804" s="27">
        <v>74122000</v>
      </c>
      <c r="E1804" s="28" t="s">
        <v>211</v>
      </c>
      <c r="F1804" s="29" t="s">
        <v>213</v>
      </c>
      <c r="G1804" s="30">
        <v>1</v>
      </c>
      <c r="H1804" s="27" t="s">
        <v>137</v>
      </c>
      <c r="I1804" s="26" t="s">
        <v>155</v>
      </c>
      <c r="J1804" s="191">
        <v>4</v>
      </c>
      <c r="K1804" s="32">
        <f t="shared" si="84"/>
        <v>4</v>
      </c>
      <c r="L1804" s="29" t="s">
        <v>213</v>
      </c>
      <c r="M1804" s="27">
        <f>IFERROR(VLOOKUP(C1804,Custo_MI_Device!$B$2:$E$102,3,FALSE),0)</f>
        <v>281</v>
      </c>
      <c r="N1804" s="27">
        <f t="shared" si="85"/>
        <v>281</v>
      </c>
      <c r="O1804" s="178">
        <f t="shared" si="86"/>
        <v>1124</v>
      </c>
    </row>
    <row r="1805" spans="1:15" ht="25.5">
      <c r="A1805" s="25">
        <v>4306</v>
      </c>
      <c r="B1805" s="25" t="s">
        <v>12</v>
      </c>
      <c r="C1805" s="26" t="s">
        <v>119</v>
      </c>
      <c r="D1805" s="27">
        <v>73063000</v>
      </c>
      <c r="E1805" s="28" t="s">
        <v>239</v>
      </c>
      <c r="F1805" s="29">
        <v>0</v>
      </c>
      <c r="G1805" s="30">
        <v>0</v>
      </c>
      <c r="H1805" s="27" t="s">
        <v>232</v>
      </c>
      <c r="I1805" s="26" t="s">
        <v>233</v>
      </c>
      <c r="J1805" s="191">
        <v>32</v>
      </c>
      <c r="K1805" s="32">
        <f t="shared" si="84"/>
        <v>0</v>
      </c>
      <c r="L1805" s="29" t="s">
        <v>240</v>
      </c>
      <c r="M1805" s="27">
        <f>IFERROR(VLOOKUP(C1805,Custo_MI_Device!$B$2:$E$102,3,FALSE),0)</f>
        <v>281</v>
      </c>
      <c r="N1805" s="27">
        <f t="shared" si="85"/>
        <v>0</v>
      </c>
      <c r="O1805" s="178">
        <f t="shared" si="86"/>
        <v>0</v>
      </c>
    </row>
    <row r="1806" spans="1:15" ht="12.75">
      <c r="A1806" s="25">
        <v>3274</v>
      </c>
      <c r="B1806" s="25" t="s">
        <v>12</v>
      </c>
      <c r="C1806" s="26" t="s">
        <v>119</v>
      </c>
      <c r="D1806" s="27">
        <v>73181500</v>
      </c>
      <c r="E1806" s="28" t="s">
        <v>265</v>
      </c>
      <c r="F1806" s="29" t="s">
        <v>266</v>
      </c>
      <c r="G1806" s="30">
        <v>24</v>
      </c>
      <c r="H1806" s="27" t="s">
        <v>137</v>
      </c>
      <c r="I1806" s="26" t="s">
        <v>256</v>
      </c>
      <c r="J1806" s="191">
        <v>0.11</v>
      </c>
      <c r="K1806" s="32">
        <f t="shared" si="84"/>
        <v>2.64</v>
      </c>
      <c r="L1806" s="29" t="s">
        <v>266</v>
      </c>
      <c r="M1806" s="27">
        <f>IFERROR(VLOOKUP(C1806,Custo_MI_Device!$B$2:$E$102,3,FALSE),0)</f>
        <v>281</v>
      </c>
      <c r="N1806" s="27">
        <f t="shared" si="85"/>
        <v>6744</v>
      </c>
      <c r="O1806" s="178">
        <f t="shared" si="86"/>
        <v>741.84</v>
      </c>
    </row>
    <row r="1807" spans="1:15" ht="25.5">
      <c r="A1807" s="25">
        <v>1611</v>
      </c>
      <c r="B1807" s="25" t="s">
        <v>12</v>
      </c>
      <c r="C1807" s="26" t="s">
        <v>119</v>
      </c>
      <c r="D1807" s="27">
        <v>39174090</v>
      </c>
      <c r="E1807" s="28" t="s">
        <v>275</v>
      </c>
      <c r="F1807" s="29" t="s">
        <v>276</v>
      </c>
      <c r="G1807" s="30">
        <v>2</v>
      </c>
      <c r="H1807" s="27" t="s">
        <v>137</v>
      </c>
      <c r="I1807" s="26" t="s">
        <v>277</v>
      </c>
      <c r="J1807" s="191">
        <v>7.8</v>
      </c>
      <c r="K1807" s="32">
        <f t="shared" si="84"/>
        <v>15.6</v>
      </c>
      <c r="L1807" s="29" t="s">
        <v>276</v>
      </c>
      <c r="M1807" s="27">
        <f>IFERROR(VLOOKUP(C1807,Custo_MI_Device!$B$2:$E$102,3,FALSE),0)</f>
        <v>281</v>
      </c>
      <c r="N1807" s="27">
        <f t="shared" si="85"/>
        <v>562</v>
      </c>
      <c r="O1807" s="178">
        <f t="shared" si="86"/>
        <v>4383.5999999999995</v>
      </c>
    </row>
    <row r="1808" spans="1:15" ht="25.5">
      <c r="A1808" s="25">
        <v>2844</v>
      </c>
      <c r="B1808" s="25" t="s">
        <v>12</v>
      </c>
      <c r="C1808" s="26" t="s">
        <v>119</v>
      </c>
      <c r="D1808" s="27">
        <v>73069090</v>
      </c>
      <c r="E1808" s="28" t="s">
        <v>291</v>
      </c>
      <c r="F1808" s="29" t="s">
        <v>292</v>
      </c>
      <c r="G1808" s="30">
        <v>2</v>
      </c>
      <c r="H1808" s="27" t="s">
        <v>158</v>
      </c>
      <c r="I1808" s="26" t="s">
        <v>155</v>
      </c>
      <c r="J1808" s="191">
        <v>5.0999999999999996</v>
      </c>
      <c r="K1808" s="32">
        <f t="shared" si="84"/>
        <v>10.199999999999999</v>
      </c>
      <c r="L1808" s="29" t="s">
        <v>292</v>
      </c>
      <c r="M1808" s="27">
        <f>IFERROR(VLOOKUP(C1808,Custo_MI_Device!$B$2:$E$102,3,FALSE),0)</f>
        <v>281</v>
      </c>
      <c r="N1808" s="27">
        <f t="shared" si="85"/>
        <v>562</v>
      </c>
      <c r="O1808" s="178">
        <f t="shared" si="86"/>
        <v>2866.2</v>
      </c>
    </row>
    <row r="1809" spans="1:15" ht="25.5">
      <c r="A1809" s="25">
        <v>2567</v>
      </c>
      <c r="B1809" s="25" t="s">
        <v>12</v>
      </c>
      <c r="C1809" s="26" t="s">
        <v>119</v>
      </c>
      <c r="D1809" s="27">
        <v>84818095</v>
      </c>
      <c r="E1809" s="28" t="s">
        <v>303</v>
      </c>
      <c r="F1809" s="29">
        <v>0</v>
      </c>
      <c r="G1809" s="30">
        <v>1</v>
      </c>
      <c r="H1809" s="27" t="s">
        <v>137</v>
      </c>
      <c r="I1809" s="26" t="s">
        <v>304</v>
      </c>
      <c r="J1809" s="191">
        <v>56</v>
      </c>
      <c r="K1809" s="32">
        <f t="shared" si="84"/>
        <v>56</v>
      </c>
      <c r="L1809" s="29" t="s">
        <v>305</v>
      </c>
      <c r="M1809" s="27">
        <f>IFERROR(VLOOKUP(C1809,Custo_MI_Device!$B$2:$E$102,3,FALSE),0)</f>
        <v>281</v>
      </c>
      <c r="N1809" s="27">
        <f t="shared" si="85"/>
        <v>281</v>
      </c>
      <c r="O1809" s="178">
        <f t="shared" si="86"/>
        <v>15736</v>
      </c>
    </row>
    <row r="1810" spans="1:15" ht="12.75" hidden="1">
      <c r="A1810" s="25">
        <v>2534</v>
      </c>
      <c r="B1810" s="25" t="s">
        <v>12</v>
      </c>
      <c r="C1810" s="26" t="s">
        <v>120</v>
      </c>
      <c r="D1810" s="27">
        <v>73072900</v>
      </c>
      <c r="E1810" s="28" t="s">
        <v>314</v>
      </c>
      <c r="F1810" s="29" t="s">
        <v>315</v>
      </c>
      <c r="G1810" s="30">
        <v>12</v>
      </c>
      <c r="H1810" s="27" t="s">
        <v>137</v>
      </c>
      <c r="I1810" s="26" t="s">
        <v>256</v>
      </c>
      <c r="J1810" s="31">
        <v>1.2</v>
      </c>
      <c r="K1810" s="32">
        <f t="shared" si="84"/>
        <v>14.399999999999999</v>
      </c>
      <c r="L1810" s="29" t="s">
        <v>315</v>
      </c>
      <c r="M1810" s="27">
        <f>IFERROR(VLOOKUP(C1810,Custo_MI_Device!$B$2:$E$102,3,FALSE),0)</f>
        <v>0</v>
      </c>
      <c r="N1810" s="27">
        <f t="shared" si="85"/>
        <v>0</v>
      </c>
      <c r="O1810" s="178">
        <f t="shared" si="86"/>
        <v>0</v>
      </c>
    </row>
    <row r="1811" spans="1:15" ht="12.75" hidden="1">
      <c r="A1811" s="25">
        <v>1669</v>
      </c>
      <c r="B1811" s="25" t="s">
        <v>12</v>
      </c>
      <c r="C1811" s="26" t="s">
        <v>120</v>
      </c>
      <c r="D1811" s="27">
        <v>39269090</v>
      </c>
      <c r="E1811" s="28" t="s">
        <v>316</v>
      </c>
      <c r="F1811" s="29" t="s">
        <v>317</v>
      </c>
      <c r="G1811" s="30">
        <v>3</v>
      </c>
      <c r="H1811" s="27" t="s">
        <v>137</v>
      </c>
      <c r="I1811" s="26" t="s">
        <v>318</v>
      </c>
      <c r="J1811" s="31">
        <v>0.04</v>
      </c>
      <c r="K1811" s="32">
        <f t="shared" si="84"/>
        <v>0.12</v>
      </c>
      <c r="L1811" s="29" t="s">
        <v>317</v>
      </c>
      <c r="M1811" s="27">
        <f>IFERROR(VLOOKUP(C1811,Custo_MI_Device!$B$2:$E$102,3,FALSE),0)</f>
        <v>0</v>
      </c>
      <c r="N1811" s="27">
        <f t="shared" si="85"/>
        <v>0</v>
      </c>
      <c r="O1811" s="178">
        <f t="shared" si="86"/>
        <v>0</v>
      </c>
    </row>
    <row r="1812" spans="1:15" ht="12.75" hidden="1">
      <c r="A1812" s="25">
        <v>5091</v>
      </c>
      <c r="B1812" s="25" t="s">
        <v>12</v>
      </c>
      <c r="C1812" s="26" t="s">
        <v>120</v>
      </c>
      <c r="D1812" s="27">
        <v>73181500</v>
      </c>
      <c r="E1812" s="28" t="s">
        <v>323</v>
      </c>
      <c r="F1812" s="29" t="s">
        <v>324</v>
      </c>
      <c r="G1812" s="30">
        <v>24</v>
      </c>
      <c r="H1812" s="27" t="s">
        <v>137</v>
      </c>
      <c r="I1812" s="26" t="s">
        <v>256</v>
      </c>
      <c r="J1812" s="31">
        <v>0.04</v>
      </c>
      <c r="K1812" s="32">
        <f t="shared" si="84"/>
        <v>0.96</v>
      </c>
      <c r="L1812" s="29" t="s">
        <v>324</v>
      </c>
      <c r="M1812" s="27">
        <f>IFERROR(VLOOKUP(C1812,Custo_MI_Device!$B$2:$E$102,3,FALSE),0)</f>
        <v>0</v>
      </c>
      <c r="N1812" s="27">
        <f t="shared" si="85"/>
        <v>0</v>
      </c>
      <c r="O1812" s="178">
        <f t="shared" si="86"/>
        <v>0</v>
      </c>
    </row>
    <row r="1813" spans="1:15" ht="12.75" hidden="1">
      <c r="A1813" s="25">
        <v>83</v>
      </c>
      <c r="B1813" s="25" t="s">
        <v>12</v>
      </c>
      <c r="C1813" s="26" t="s">
        <v>120</v>
      </c>
      <c r="D1813" s="27"/>
      <c r="E1813" s="28" t="s">
        <v>147</v>
      </c>
      <c r="F1813" s="29" t="s">
        <v>148</v>
      </c>
      <c r="G1813" s="30">
        <v>1</v>
      </c>
      <c r="H1813" s="27" t="s">
        <v>137</v>
      </c>
      <c r="I1813" s="26" t="s">
        <v>149</v>
      </c>
      <c r="J1813" s="31">
        <v>4.8</v>
      </c>
      <c r="K1813" s="32">
        <f t="shared" si="84"/>
        <v>4.8</v>
      </c>
      <c r="L1813" s="29" t="s">
        <v>148</v>
      </c>
      <c r="M1813" s="27">
        <f>IFERROR(VLOOKUP(C1813,Custo_MI_Device!$B$2:$E$102,3,FALSE),0)</f>
        <v>0</v>
      </c>
      <c r="N1813" s="27">
        <f t="shared" si="85"/>
        <v>0</v>
      </c>
      <c r="O1813" s="178">
        <f t="shared" si="86"/>
        <v>0</v>
      </c>
    </row>
    <row r="1814" spans="1:15" ht="25.5" hidden="1">
      <c r="A1814" s="25">
        <v>4087</v>
      </c>
      <c r="B1814" s="25" t="s">
        <v>12</v>
      </c>
      <c r="C1814" s="26" t="s">
        <v>120</v>
      </c>
      <c r="D1814" s="27">
        <v>85444900</v>
      </c>
      <c r="E1814" s="28" t="s">
        <v>165</v>
      </c>
      <c r="F1814" s="29">
        <v>900402</v>
      </c>
      <c r="G1814" s="33">
        <v>0</v>
      </c>
      <c r="H1814" s="27" t="s">
        <v>158</v>
      </c>
      <c r="I1814" s="26" t="s">
        <v>164</v>
      </c>
      <c r="J1814" s="31">
        <v>3.7</v>
      </c>
      <c r="K1814" s="32">
        <f t="shared" si="84"/>
        <v>0</v>
      </c>
      <c r="L1814" s="29">
        <v>900402</v>
      </c>
      <c r="M1814" s="27">
        <f>IFERROR(VLOOKUP(C1814,Custo_MI_Device!$B$2:$E$102,3,FALSE),0)</f>
        <v>0</v>
      </c>
      <c r="N1814" s="27">
        <f t="shared" si="85"/>
        <v>0</v>
      </c>
      <c r="O1814" s="178">
        <f t="shared" si="86"/>
        <v>0</v>
      </c>
    </row>
    <row r="1815" spans="1:15" ht="12.75" hidden="1">
      <c r="A1815" s="25">
        <v>2805</v>
      </c>
      <c r="B1815" s="25" t="s">
        <v>12</v>
      </c>
      <c r="C1815" s="26" t="s">
        <v>120</v>
      </c>
      <c r="D1815" s="27">
        <v>72162100</v>
      </c>
      <c r="E1815" s="28" t="s">
        <v>174</v>
      </c>
      <c r="F1815" s="29">
        <v>0</v>
      </c>
      <c r="G1815" s="30">
        <v>2.9</v>
      </c>
      <c r="H1815" s="27" t="s">
        <v>175</v>
      </c>
      <c r="I1815" s="26" t="s">
        <v>176</v>
      </c>
      <c r="J1815" s="31">
        <v>4.22</v>
      </c>
      <c r="K1815" s="32">
        <f t="shared" si="84"/>
        <v>12.238</v>
      </c>
      <c r="L1815" s="29" t="s">
        <v>177</v>
      </c>
      <c r="M1815" s="27">
        <f>IFERROR(VLOOKUP(C1815,Custo_MI_Device!$B$2:$E$102,3,FALSE),0)</f>
        <v>0</v>
      </c>
      <c r="N1815" s="27">
        <f t="shared" si="85"/>
        <v>0</v>
      </c>
      <c r="O1815" s="178">
        <f t="shared" si="86"/>
        <v>0</v>
      </c>
    </row>
    <row r="1816" spans="1:15" ht="25.5" hidden="1">
      <c r="A1816" s="25">
        <v>3738</v>
      </c>
      <c r="B1816" s="25" t="s">
        <v>12</v>
      </c>
      <c r="C1816" s="26" t="s">
        <v>120</v>
      </c>
      <c r="D1816" s="27">
        <v>73071100</v>
      </c>
      <c r="E1816" s="28" t="s">
        <v>205</v>
      </c>
      <c r="F1816" s="29" t="s">
        <v>206</v>
      </c>
      <c r="G1816" s="30">
        <v>0.75</v>
      </c>
      <c r="H1816" s="27" t="s">
        <v>137</v>
      </c>
      <c r="I1816" s="26" t="s">
        <v>149</v>
      </c>
      <c r="J1816" s="31">
        <v>27</v>
      </c>
      <c r="K1816" s="32">
        <f t="shared" si="84"/>
        <v>20.25</v>
      </c>
      <c r="L1816" s="29" t="s">
        <v>206</v>
      </c>
      <c r="M1816" s="27">
        <f>IFERROR(VLOOKUP(C1816,Custo_MI_Device!$B$2:$E$102,3,FALSE),0)</f>
        <v>0</v>
      </c>
      <c r="N1816" s="27">
        <f t="shared" si="85"/>
        <v>0</v>
      </c>
      <c r="O1816" s="178">
        <f t="shared" si="86"/>
        <v>0</v>
      </c>
    </row>
    <row r="1817" spans="1:15" ht="25.5" hidden="1">
      <c r="A1817" s="25">
        <v>1710</v>
      </c>
      <c r="B1817" s="25" t="s">
        <v>12</v>
      </c>
      <c r="C1817" s="26" t="s">
        <v>120</v>
      </c>
      <c r="D1817" s="27">
        <v>73071100</v>
      </c>
      <c r="E1817" s="28" t="s">
        <v>207</v>
      </c>
      <c r="F1817" s="29" t="s">
        <v>208</v>
      </c>
      <c r="G1817" s="30">
        <v>0.75</v>
      </c>
      <c r="H1817" s="27" t="s">
        <v>137</v>
      </c>
      <c r="I1817" s="26" t="s">
        <v>149</v>
      </c>
      <c r="J1817" s="31">
        <v>27</v>
      </c>
      <c r="K1817" s="32">
        <f t="shared" si="84"/>
        <v>20.25</v>
      </c>
      <c r="L1817" s="29" t="s">
        <v>208</v>
      </c>
      <c r="M1817" s="27">
        <f>IFERROR(VLOOKUP(C1817,Custo_MI_Device!$B$2:$E$102,3,FALSE),0)</f>
        <v>0</v>
      </c>
      <c r="N1817" s="27">
        <f t="shared" si="85"/>
        <v>0</v>
      </c>
      <c r="O1817" s="178">
        <f t="shared" si="86"/>
        <v>0</v>
      </c>
    </row>
    <row r="1818" spans="1:15" ht="25.5" hidden="1">
      <c r="A1818" s="25">
        <v>1715</v>
      </c>
      <c r="B1818" s="25" t="s">
        <v>12</v>
      </c>
      <c r="C1818" s="26" t="s">
        <v>120</v>
      </c>
      <c r="D1818" s="27">
        <v>73071100</v>
      </c>
      <c r="E1818" s="28" t="s">
        <v>209</v>
      </c>
      <c r="F1818" s="29" t="s">
        <v>210</v>
      </c>
      <c r="G1818" s="30">
        <v>0.75</v>
      </c>
      <c r="H1818" s="27" t="s">
        <v>137</v>
      </c>
      <c r="I1818" s="26" t="s">
        <v>149</v>
      </c>
      <c r="J1818" s="31">
        <v>27</v>
      </c>
      <c r="K1818" s="32">
        <f t="shared" si="84"/>
        <v>20.25</v>
      </c>
      <c r="L1818" s="29" t="s">
        <v>210</v>
      </c>
      <c r="M1818" s="27">
        <f>IFERROR(VLOOKUP(C1818,Custo_MI_Device!$B$2:$E$102,3,FALSE),0)</f>
        <v>0</v>
      </c>
      <c r="N1818" s="27">
        <f t="shared" si="85"/>
        <v>0</v>
      </c>
      <c r="O1818" s="178">
        <f t="shared" si="86"/>
        <v>0</v>
      </c>
    </row>
    <row r="1819" spans="1:15" ht="25.5" hidden="1">
      <c r="A1819" s="25">
        <v>3566</v>
      </c>
      <c r="B1819" s="25" t="s">
        <v>12</v>
      </c>
      <c r="C1819" s="26" t="s">
        <v>120</v>
      </c>
      <c r="D1819" s="27">
        <v>74122000</v>
      </c>
      <c r="E1819" s="28" t="s">
        <v>211</v>
      </c>
      <c r="F1819" s="29" t="s">
        <v>212</v>
      </c>
      <c r="G1819" s="30">
        <v>1</v>
      </c>
      <c r="H1819" s="27" t="s">
        <v>137</v>
      </c>
      <c r="I1819" s="26" t="s">
        <v>155</v>
      </c>
      <c r="J1819" s="31">
        <v>4</v>
      </c>
      <c r="K1819" s="32">
        <f t="shared" si="84"/>
        <v>4</v>
      </c>
      <c r="L1819" s="29" t="s">
        <v>212</v>
      </c>
      <c r="M1819" s="27">
        <f>IFERROR(VLOOKUP(C1819,Custo_MI_Device!$B$2:$E$102,3,FALSE),0)</f>
        <v>0</v>
      </c>
      <c r="N1819" s="27">
        <f t="shared" si="85"/>
        <v>0</v>
      </c>
      <c r="O1819" s="178">
        <f t="shared" si="86"/>
        <v>0</v>
      </c>
    </row>
    <row r="1820" spans="1:15" ht="25.5" hidden="1">
      <c r="A1820" s="25">
        <v>3566</v>
      </c>
      <c r="B1820" s="25" t="s">
        <v>12</v>
      </c>
      <c r="C1820" s="26" t="s">
        <v>120</v>
      </c>
      <c r="D1820" s="27">
        <v>74122000</v>
      </c>
      <c r="E1820" s="28" t="s">
        <v>211</v>
      </c>
      <c r="F1820" s="29" t="s">
        <v>213</v>
      </c>
      <c r="G1820" s="30">
        <v>1</v>
      </c>
      <c r="H1820" s="27" t="s">
        <v>137</v>
      </c>
      <c r="I1820" s="26" t="s">
        <v>155</v>
      </c>
      <c r="J1820" s="31">
        <v>4</v>
      </c>
      <c r="K1820" s="32">
        <f t="shared" si="84"/>
        <v>4</v>
      </c>
      <c r="L1820" s="29" t="s">
        <v>213</v>
      </c>
      <c r="M1820" s="27">
        <f>IFERROR(VLOOKUP(C1820,Custo_MI_Device!$B$2:$E$102,3,FALSE),0)</f>
        <v>0</v>
      </c>
      <c r="N1820" s="27">
        <f t="shared" si="85"/>
        <v>0</v>
      </c>
      <c r="O1820" s="178">
        <f t="shared" si="86"/>
        <v>0</v>
      </c>
    </row>
    <row r="1821" spans="1:15" ht="25.5" hidden="1">
      <c r="A1821" s="25">
        <v>3417</v>
      </c>
      <c r="B1821" s="25" t="s">
        <v>12</v>
      </c>
      <c r="C1821" s="26" t="s">
        <v>120</v>
      </c>
      <c r="D1821" s="27">
        <v>73063000</v>
      </c>
      <c r="E1821" s="28" t="s">
        <v>231</v>
      </c>
      <c r="F1821" s="29">
        <v>0</v>
      </c>
      <c r="G1821" s="30">
        <v>2</v>
      </c>
      <c r="H1821" s="27" t="s">
        <v>232</v>
      </c>
      <c r="I1821" s="26" t="s">
        <v>233</v>
      </c>
      <c r="J1821" s="31">
        <v>33.47</v>
      </c>
      <c r="K1821" s="32">
        <f t="shared" si="84"/>
        <v>66.94</v>
      </c>
      <c r="L1821" s="29" t="s">
        <v>234</v>
      </c>
      <c r="M1821" s="27">
        <f>IFERROR(VLOOKUP(C1821,Custo_MI_Device!$B$2:$E$102,3,FALSE),0)</f>
        <v>0</v>
      </c>
      <c r="N1821" s="27">
        <f t="shared" si="85"/>
        <v>0</v>
      </c>
      <c r="O1821" s="178">
        <f t="shared" si="86"/>
        <v>0</v>
      </c>
    </row>
    <row r="1822" spans="1:15" ht="12.75" hidden="1">
      <c r="A1822" s="25">
        <v>1965</v>
      </c>
      <c r="B1822" s="25" t="s">
        <v>12</v>
      </c>
      <c r="C1822" s="26" t="s">
        <v>120</v>
      </c>
      <c r="D1822" s="27">
        <v>73071100</v>
      </c>
      <c r="E1822" s="28" t="s">
        <v>251</v>
      </c>
      <c r="F1822" s="29" t="s">
        <v>252</v>
      </c>
      <c r="G1822" s="30">
        <v>1</v>
      </c>
      <c r="H1822" s="27" t="s">
        <v>137</v>
      </c>
      <c r="I1822" s="26" t="s">
        <v>253</v>
      </c>
      <c r="J1822" s="31">
        <v>5.5</v>
      </c>
      <c r="K1822" s="32">
        <f t="shared" si="84"/>
        <v>5.5</v>
      </c>
      <c r="L1822" s="29" t="s">
        <v>252</v>
      </c>
      <c r="M1822" s="27">
        <f>IFERROR(VLOOKUP(C1822,Custo_MI_Device!$B$2:$E$102,3,FALSE),0)</f>
        <v>0</v>
      </c>
      <c r="N1822" s="27">
        <f t="shared" si="85"/>
        <v>0</v>
      </c>
      <c r="O1822" s="178">
        <f t="shared" si="86"/>
        <v>0</v>
      </c>
    </row>
    <row r="1823" spans="1:15" ht="12.75" hidden="1">
      <c r="A1823" s="25">
        <v>3274</v>
      </c>
      <c r="B1823" s="25" t="s">
        <v>12</v>
      </c>
      <c r="C1823" s="26" t="s">
        <v>120</v>
      </c>
      <c r="D1823" s="27">
        <v>73181500</v>
      </c>
      <c r="E1823" s="28" t="s">
        <v>265</v>
      </c>
      <c r="F1823" s="29" t="s">
        <v>266</v>
      </c>
      <c r="G1823" s="30">
        <v>24</v>
      </c>
      <c r="H1823" s="27" t="s">
        <v>137</v>
      </c>
      <c r="I1823" s="26" t="s">
        <v>256</v>
      </c>
      <c r="J1823" s="31">
        <v>0.06</v>
      </c>
      <c r="K1823" s="32">
        <f t="shared" si="84"/>
        <v>1.44</v>
      </c>
      <c r="L1823" s="29" t="s">
        <v>266</v>
      </c>
      <c r="M1823" s="27">
        <f>IFERROR(VLOOKUP(C1823,Custo_MI_Device!$B$2:$E$102,3,FALSE),0)</f>
        <v>0</v>
      </c>
      <c r="N1823" s="27">
        <f t="shared" si="85"/>
        <v>0</v>
      </c>
      <c r="O1823" s="178">
        <f t="shared" si="86"/>
        <v>0</v>
      </c>
    </row>
    <row r="1824" spans="1:15" ht="25.5" hidden="1">
      <c r="A1824" s="25">
        <v>2844</v>
      </c>
      <c r="B1824" s="25" t="s">
        <v>12</v>
      </c>
      <c r="C1824" s="26" t="s">
        <v>120</v>
      </c>
      <c r="D1824" s="27">
        <v>73069090</v>
      </c>
      <c r="E1824" s="28" t="s">
        <v>291</v>
      </c>
      <c r="F1824" s="29" t="s">
        <v>292</v>
      </c>
      <c r="G1824" s="30">
        <v>2</v>
      </c>
      <c r="H1824" s="27" t="s">
        <v>158</v>
      </c>
      <c r="I1824" s="26" t="s">
        <v>155</v>
      </c>
      <c r="J1824" s="31">
        <v>1.8</v>
      </c>
      <c r="K1824" s="32">
        <f t="shared" si="84"/>
        <v>3.6</v>
      </c>
      <c r="L1824" s="29" t="s">
        <v>292</v>
      </c>
      <c r="M1824" s="27">
        <f>IFERROR(VLOOKUP(C1824,Custo_MI_Device!$B$2:$E$102,3,FALSE),0)</f>
        <v>0</v>
      </c>
      <c r="N1824" s="27">
        <f t="shared" si="85"/>
        <v>0</v>
      </c>
      <c r="O1824" s="178">
        <f t="shared" si="86"/>
        <v>0</v>
      </c>
    </row>
    <row r="1825" spans="1:15" ht="25.5" hidden="1">
      <c r="A1825" s="25">
        <v>5147</v>
      </c>
      <c r="B1825" s="25" t="s">
        <v>12</v>
      </c>
      <c r="C1825" s="26" t="s">
        <v>120</v>
      </c>
      <c r="D1825" s="27">
        <v>83079000</v>
      </c>
      <c r="E1825" s="28" t="s">
        <v>293</v>
      </c>
      <c r="F1825" s="29" t="s">
        <v>294</v>
      </c>
      <c r="G1825" s="30">
        <v>1</v>
      </c>
      <c r="H1825" s="27" t="s">
        <v>137</v>
      </c>
      <c r="I1825" s="26" t="s">
        <v>180</v>
      </c>
      <c r="J1825" s="31">
        <v>155</v>
      </c>
      <c r="K1825" s="32">
        <f t="shared" si="84"/>
        <v>155</v>
      </c>
      <c r="L1825" s="29" t="s">
        <v>294</v>
      </c>
      <c r="M1825" s="27">
        <f>IFERROR(VLOOKUP(C1825,Custo_MI_Device!$B$2:$E$102,3,FALSE),0)</f>
        <v>0</v>
      </c>
      <c r="N1825" s="27">
        <f t="shared" si="85"/>
        <v>0</v>
      </c>
      <c r="O1825" s="178">
        <f t="shared" si="86"/>
        <v>0</v>
      </c>
    </row>
    <row r="1826" spans="1:15" ht="25.5" hidden="1">
      <c r="A1826" s="25">
        <v>4834</v>
      </c>
      <c r="B1826" s="25" t="s">
        <v>12</v>
      </c>
      <c r="C1826" s="26" t="s">
        <v>120</v>
      </c>
      <c r="D1826" s="27">
        <v>73071100</v>
      </c>
      <c r="E1826" s="28" t="s">
        <v>299</v>
      </c>
      <c r="F1826" s="29" t="s">
        <v>300</v>
      </c>
      <c r="G1826" s="30">
        <v>1</v>
      </c>
      <c r="H1826" s="27" t="s">
        <v>137</v>
      </c>
      <c r="I1826" s="26" t="s">
        <v>149</v>
      </c>
      <c r="J1826" s="31">
        <v>28</v>
      </c>
      <c r="K1826" s="32">
        <f t="shared" si="84"/>
        <v>28</v>
      </c>
      <c r="L1826" s="29" t="s">
        <v>300</v>
      </c>
      <c r="M1826" s="27">
        <f>IFERROR(VLOOKUP(C1826,Custo_MI_Device!$B$2:$E$102,3,FALSE),0)</f>
        <v>0</v>
      </c>
      <c r="N1826" s="27">
        <f t="shared" si="85"/>
        <v>0</v>
      </c>
      <c r="O1826" s="178">
        <f t="shared" si="86"/>
        <v>0</v>
      </c>
    </row>
    <row r="1827" spans="1:15" ht="25.5" hidden="1">
      <c r="A1827" s="25">
        <v>2567</v>
      </c>
      <c r="B1827" s="25" t="s">
        <v>12</v>
      </c>
      <c r="C1827" s="26" t="s">
        <v>120</v>
      </c>
      <c r="D1827" s="27">
        <v>84818095</v>
      </c>
      <c r="E1827" s="28" t="s">
        <v>303</v>
      </c>
      <c r="F1827" s="29">
        <v>0</v>
      </c>
      <c r="G1827" s="30">
        <v>1</v>
      </c>
      <c r="H1827" s="27" t="s">
        <v>137</v>
      </c>
      <c r="I1827" s="26" t="s">
        <v>304</v>
      </c>
      <c r="J1827" s="31">
        <v>27</v>
      </c>
      <c r="K1827" s="32">
        <f t="shared" si="84"/>
        <v>27</v>
      </c>
      <c r="L1827" s="29" t="s">
        <v>305</v>
      </c>
      <c r="M1827" s="27">
        <f>IFERROR(VLOOKUP(C1827,Custo_MI_Device!$B$2:$E$102,3,FALSE),0)</f>
        <v>0</v>
      </c>
      <c r="N1827" s="27">
        <f t="shared" si="85"/>
        <v>0</v>
      </c>
      <c r="O1827" s="178">
        <f t="shared" si="86"/>
        <v>0</v>
      </c>
    </row>
    <row r="1828" spans="1:15" ht="12.75">
      <c r="A1828" s="25">
        <v>2534</v>
      </c>
      <c r="B1828" s="25" t="s">
        <v>96</v>
      </c>
      <c r="C1828" s="26" t="s">
        <v>97</v>
      </c>
      <c r="D1828" s="27">
        <v>73072900</v>
      </c>
      <c r="E1828" s="28" t="s">
        <v>314</v>
      </c>
      <c r="F1828" s="29" t="s">
        <v>315</v>
      </c>
      <c r="G1828" s="30">
        <v>12</v>
      </c>
      <c r="H1828" s="27" t="s">
        <v>137</v>
      </c>
      <c r="I1828" s="26" t="s">
        <v>256</v>
      </c>
      <c r="J1828" s="191">
        <v>2.02</v>
      </c>
      <c r="K1828" s="32">
        <f t="shared" si="84"/>
        <v>24.240000000000002</v>
      </c>
      <c r="L1828" s="29" t="s">
        <v>315</v>
      </c>
      <c r="M1828" s="27">
        <f>IFERROR(VLOOKUP(C1828,Custo_MI_Device!$B$2:$E$102,3,FALSE),0)</f>
        <v>59</v>
      </c>
      <c r="N1828" s="27">
        <f t="shared" si="85"/>
        <v>708</v>
      </c>
      <c r="O1828" s="178">
        <f t="shared" si="86"/>
        <v>1430.16</v>
      </c>
    </row>
    <row r="1829" spans="1:15" ht="12.75">
      <c r="A1829" s="25">
        <v>1669</v>
      </c>
      <c r="B1829" s="25" t="s">
        <v>96</v>
      </c>
      <c r="C1829" s="26" t="s">
        <v>97</v>
      </c>
      <c r="D1829" s="27">
        <v>39269090</v>
      </c>
      <c r="E1829" s="28" t="s">
        <v>316</v>
      </c>
      <c r="F1829" s="29" t="s">
        <v>317</v>
      </c>
      <c r="G1829" s="30">
        <v>3</v>
      </c>
      <c r="H1829" s="27" t="s">
        <v>137</v>
      </c>
      <c r="I1829" s="26" t="s">
        <v>318</v>
      </c>
      <c r="J1829" s="191">
        <v>0.1</v>
      </c>
      <c r="K1829" s="32">
        <f t="shared" si="84"/>
        <v>0.30000000000000004</v>
      </c>
      <c r="L1829" s="29" t="s">
        <v>317</v>
      </c>
      <c r="M1829" s="27">
        <f>IFERROR(VLOOKUP(C1829,Custo_MI_Device!$B$2:$E$102,3,FALSE),0)</f>
        <v>59</v>
      </c>
      <c r="N1829" s="27">
        <f t="shared" si="85"/>
        <v>177</v>
      </c>
      <c r="O1829" s="178">
        <f t="shared" si="86"/>
        <v>17.7</v>
      </c>
    </row>
    <row r="1830" spans="1:15" ht="12.75">
      <c r="A1830" s="25">
        <v>5091</v>
      </c>
      <c r="B1830" s="25" t="s">
        <v>96</v>
      </c>
      <c r="C1830" s="26" t="s">
        <v>97</v>
      </c>
      <c r="D1830" s="27">
        <v>73181500</v>
      </c>
      <c r="E1830" s="28" t="s">
        <v>323</v>
      </c>
      <c r="F1830" s="29" t="s">
        <v>324</v>
      </c>
      <c r="G1830" s="30">
        <v>24</v>
      </c>
      <c r="H1830" s="27" t="s">
        <v>137</v>
      </c>
      <c r="I1830" s="26" t="s">
        <v>256</v>
      </c>
      <c r="J1830" s="191">
        <v>0.1</v>
      </c>
      <c r="K1830" s="32">
        <f t="shared" si="84"/>
        <v>2.4000000000000004</v>
      </c>
      <c r="L1830" s="29" t="s">
        <v>324</v>
      </c>
      <c r="M1830" s="27">
        <f>IFERROR(VLOOKUP(C1830,Custo_MI_Device!$B$2:$E$102,3,FALSE),0)</f>
        <v>59</v>
      </c>
      <c r="N1830" s="27">
        <f t="shared" si="85"/>
        <v>1416</v>
      </c>
      <c r="O1830" s="178">
        <f t="shared" si="86"/>
        <v>141.6</v>
      </c>
    </row>
    <row r="1831" spans="1:15" ht="12.75">
      <c r="A1831" s="25">
        <v>1117</v>
      </c>
      <c r="B1831" s="25" t="s">
        <v>96</v>
      </c>
      <c r="C1831" s="26" t="s">
        <v>97</v>
      </c>
      <c r="D1831" s="27"/>
      <c r="E1831" s="28" t="s">
        <v>145</v>
      </c>
      <c r="F1831" s="29" t="s">
        <v>146</v>
      </c>
      <c r="G1831" s="30">
        <v>1</v>
      </c>
      <c r="H1831" s="27" t="s">
        <v>137</v>
      </c>
      <c r="I1831" s="26" t="s">
        <v>138</v>
      </c>
      <c r="J1831" s="191">
        <v>1.95</v>
      </c>
      <c r="K1831" s="190">
        <v>4.8499999999999996</v>
      </c>
      <c r="L1831" s="29" t="s">
        <v>146</v>
      </c>
      <c r="M1831" s="27">
        <f>IFERROR(VLOOKUP(C1831,Custo_MI_Device!$B$2:$E$102,3,FALSE),0)</f>
        <v>59</v>
      </c>
      <c r="N1831" s="27">
        <f t="shared" si="85"/>
        <v>59</v>
      </c>
      <c r="O1831" s="178">
        <f t="shared" si="86"/>
        <v>115.05</v>
      </c>
    </row>
    <row r="1832" spans="1:15" ht="38.25">
      <c r="A1832" s="25">
        <v>3585</v>
      </c>
      <c r="B1832" s="25" t="s">
        <v>96</v>
      </c>
      <c r="C1832" s="26" t="s">
        <v>97</v>
      </c>
      <c r="D1832" s="27">
        <v>85444900</v>
      </c>
      <c r="E1832" s="28" t="s">
        <v>328</v>
      </c>
      <c r="F1832" s="29">
        <v>900400</v>
      </c>
      <c r="G1832" s="33">
        <v>0</v>
      </c>
      <c r="H1832" s="27" t="s">
        <v>158</v>
      </c>
      <c r="I1832" s="26" t="s">
        <v>164</v>
      </c>
      <c r="J1832" s="191">
        <v>1.7</v>
      </c>
      <c r="K1832" s="32">
        <f t="shared" si="84"/>
        <v>0</v>
      </c>
      <c r="L1832" s="29">
        <v>900400</v>
      </c>
      <c r="M1832" s="27">
        <f>IFERROR(VLOOKUP(C1832,Custo_MI_Device!$B$2:$E$102,3,FALSE),0)</f>
        <v>59</v>
      </c>
      <c r="N1832" s="27">
        <f t="shared" si="85"/>
        <v>0</v>
      </c>
      <c r="O1832" s="178">
        <f t="shared" si="86"/>
        <v>0</v>
      </c>
    </row>
    <row r="1833" spans="1:15" ht="12.75">
      <c r="A1833" s="25">
        <v>2805</v>
      </c>
      <c r="B1833" s="25" t="s">
        <v>96</v>
      </c>
      <c r="C1833" s="26" t="s">
        <v>97</v>
      </c>
      <c r="D1833" s="27">
        <v>72162100</v>
      </c>
      <c r="E1833" s="28" t="s">
        <v>174</v>
      </c>
      <c r="F1833" s="29">
        <v>0</v>
      </c>
      <c r="G1833" s="33">
        <v>0</v>
      </c>
      <c r="H1833" s="27" t="s">
        <v>175</v>
      </c>
      <c r="I1833" s="26" t="s">
        <v>176</v>
      </c>
      <c r="J1833" s="191">
        <v>11</v>
      </c>
      <c r="K1833" s="32">
        <f t="shared" si="84"/>
        <v>0</v>
      </c>
      <c r="L1833" s="29" t="s">
        <v>177</v>
      </c>
      <c r="M1833" s="27">
        <f>IFERROR(VLOOKUP(C1833,Custo_MI_Device!$B$2:$E$102,3,FALSE),0)</f>
        <v>59</v>
      </c>
      <c r="N1833" s="27">
        <f t="shared" si="85"/>
        <v>0</v>
      </c>
      <c r="O1833" s="178">
        <f t="shared" si="86"/>
        <v>0</v>
      </c>
    </row>
    <row r="1834" spans="1:15" ht="12.75">
      <c r="A1834" s="25">
        <v>2904</v>
      </c>
      <c r="B1834" s="25" t="s">
        <v>96</v>
      </c>
      <c r="C1834" s="26" t="s">
        <v>97</v>
      </c>
      <c r="D1834" s="27">
        <v>76090000</v>
      </c>
      <c r="E1834" s="28" t="s">
        <v>195</v>
      </c>
      <c r="F1834" s="29" t="s">
        <v>196</v>
      </c>
      <c r="G1834" s="30">
        <v>2</v>
      </c>
      <c r="H1834" s="27" t="s">
        <v>137</v>
      </c>
      <c r="I1834" s="26" t="s">
        <v>138</v>
      </c>
      <c r="J1834" s="31">
        <v>26.06</v>
      </c>
      <c r="K1834" s="32">
        <f t="shared" si="84"/>
        <v>52.12</v>
      </c>
      <c r="L1834" s="29" t="s">
        <v>196</v>
      </c>
      <c r="M1834" s="27">
        <f>IFERROR(VLOOKUP(C1834,Custo_MI_Device!$B$2:$E$102,3,FALSE),0)</f>
        <v>59</v>
      </c>
      <c r="N1834" s="27">
        <f t="shared" si="85"/>
        <v>118</v>
      </c>
      <c r="O1834" s="178">
        <f t="shared" si="86"/>
        <v>3075.08</v>
      </c>
    </row>
    <row r="1835" spans="1:15" ht="12.75">
      <c r="A1835" s="25">
        <v>2911</v>
      </c>
      <c r="B1835" s="25" t="s">
        <v>96</v>
      </c>
      <c r="C1835" s="26" t="s">
        <v>97</v>
      </c>
      <c r="D1835" s="27">
        <v>76090000</v>
      </c>
      <c r="E1835" s="28" t="s">
        <v>197</v>
      </c>
      <c r="F1835" s="29" t="s">
        <v>198</v>
      </c>
      <c r="G1835" s="30">
        <v>2</v>
      </c>
      <c r="H1835" s="27" t="s">
        <v>137</v>
      </c>
      <c r="I1835" s="26" t="s">
        <v>138</v>
      </c>
      <c r="J1835" s="31">
        <v>26.06</v>
      </c>
      <c r="K1835" s="32">
        <f t="shared" si="84"/>
        <v>52.12</v>
      </c>
      <c r="L1835" s="29" t="s">
        <v>198</v>
      </c>
      <c r="M1835" s="27">
        <f>IFERROR(VLOOKUP(C1835,Custo_MI_Device!$B$2:$E$102,3,FALSE),0)</f>
        <v>59</v>
      </c>
      <c r="N1835" s="27">
        <f t="shared" si="85"/>
        <v>118</v>
      </c>
      <c r="O1835" s="178">
        <f t="shared" si="86"/>
        <v>3075.08</v>
      </c>
    </row>
    <row r="1836" spans="1:15" ht="12.75">
      <c r="A1836" s="25">
        <v>4823</v>
      </c>
      <c r="B1836" s="25" t="s">
        <v>96</v>
      </c>
      <c r="C1836" s="26" t="s">
        <v>97</v>
      </c>
      <c r="D1836" s="27">
        <v>76090000</v>
      </c>
      <c r="E1836" s="28" t="s">
        <v>199</v>
      </c>
      <c r="F1836" s="29" t="s">
        <v>200</v>
      </c>
      <c r="G1836" s="30">
        <v>2</v>
      </c>
      <c r="H1836" s="27" t="s">
        <v>137</v>
      </c>
      <c r="I1836" s="26" t="s">
        <v>138</v>
      </c>
      <c r="J1836" s="31">
        <v>26.06</v>
      </c>
      <c r="K1836" s="32">
        <f t="shared" si="84"/>
        <v>52.12</v>
      </c>
      <c r="L1836" s="29" t="s">
        <v>200</v>
      </c>
      <c r="M1836" s="27">
        <f>IFERROR(VLOOKUP(C1836,Custo_MI_Device!$B$2:$E$102,3,FALSE),0)</f>
        <v>59</v>
      </c>
      <c r="N1836" s="27">
        <f t="shared" si="85"/>
        <v>118</v>
      </c>
      <c r="O1836" s="178">
        <f t="shared" si="86"/>
        <v>3075.08</v>
      </c>
    </row>
    <row r="1837" spans="1:15" ht="25.5">
      <c r="A1837" s="25">
        <v>4306</v>
      </c>
      <c r="B1837" s="25" t="s">
        <v>96</v>
      </c>
      <c r="C1837" s="26" t="s">
        <v>97</v>
      </c>
      <c r="D1837" s="27">
        <v>73063000</v>
      </c>
      <c r="E1837" s="28" t="s">
        <v>239</v>
      </c>
      <c r="F1837" s="29">
        <v>0</v>
      </c>
      <c r="G1837" s="30">
        <v>0</v>
      </c>
      <c r="H1837" s="27" t="s">
        <v>232</v>
      </c>
      <c r="I1837" s="26" t="s">
        <v>233</v>
      </c>
      <c r="J1837" s="191">
        <v>54</v>
      </c>
      <c r="K1837" s="32">
        <f t="shared" si="84"/>
        <v>0</v>
      </c>
      <c r="L1837" s="29" t="s">
        <v>240</v>
      </c>
      <c r="M1837" s="27">
        <f>IFERROR(VLOOKUP(C1837,Custo_MI_Device!$B$2:$E$102,3,FALSE),0)</f>
        <v>59</v>
      </c>
      <c r="N1837" s="27">
        <f t="shared" si="85"/>
        <v>0</v>
      </c>
      <c r="O1837" s="178">
        <f t="shared" si="86"/>
        <v>0</v>
      </c>
    </row>
    <row r="1838" spans="1:15" ht="12.75">
      <c r="A1838" s="25">
        <v>3274</v>
      </c>
      <c r="B1838" s="25" t="s">
        <v>96</v>
      </c>
      <c r="C1838" s="26" t="s">
        <v>97</v>
      </c>
      <c r="D1838" s="27">
        <v>73181500</v>
      </c>
      <c r="E1838" s="28" t="s">
        <v>265</v>
      </c>
      <c r="F1838" s="29" t="s">
        <v>266</v>
      </c>
      <c r="G1838" s="30">
        <v>24</v>
      </c>
      <c r="H1838" s="27" t="s">
        <v>137</v>
      </c>
      <c r="I1838" s="26" t="s">
        <v>256</v>
      </c>
      <c r="J1838" s="191">
        <v>0.11</v>
      </c>
      <c r="K1838" s="32">
        <f t="shared" si="84"/>
        <v>2.64</v>
      </c>
      <c r="L1838" s="29" t="s">
        <v>266</v>
      </c>
      <c r="M1838" s="27">
        <f>IFERROR(VLOOKUP(C1838,Custo_MI_Device!$B$2:$E$102,3,FALSE),0)</f>
        <v>59</v>
      </c>
      <c r="N1838" s="27">
        <f t="shared" si="85"/>
        <v>1416</v>
      </c>
      <c r="O1838" s="178">
        <f t="shared" si="86"/>
        <v>155.76</v>
      </c>
    </row>
    <row r="1839" spans="1:15" ht="25.5">
      <c r="A1839" s="25">
        <v>1611</v>
      </c>
      <c r="B1839" s="25" t="s">
        <v>96</v>
      </c>
      <c r="C1839" s="26" t="s">
        <v>97</v>
      </c>
      <c r="D1839" s="27">
        <v>39174090</v>
      </c>
      <c r="E1839" s="28" t="s">
        <v>275</v>
      </c>
      <c r="F1839" s="29" t="s">
        <v>276</v>
      </c>
      <c r="G1839" s="30">
        <v>2</v>
      </c>
      <c r="H1839" s="27" t="s">
        <v>137</v>
      </c>
      <c r="I1839" s="26" t="s">
        <v>277</v>
      </c>
      <c r="J1839" s="191">
        <v>7.8</v>
      </c>
      <c r="K1839" s="32">
        <f t="shared" si="84"/>
        <v>15.6</v>
      </c>
      <c r="L1839" s="29" t="s">
        <v>276</v>
      </c>
      <c r="M1839" s="27">
        <f>IFERROR(VLOOKUP(C1839,Custo_MI_Device!$B$2:$E$102,3,FALSE),0)</f>
        <v>59</v>
      </c>
      <c r="N1839" s="27">
        <f t="shared" si="85"/>
        <v>118</v>
      </c>
      <c r="O1839" s="178">
        <f t="shared" si="86"/>
        <v>920.4</v>
      </c>
    </row>
    <row r="1840" spans="1:15" ht="12.75" hidden="1">
      <c r="A1840" s="25">
        <v>2534</v>
      </c>
      <c r="B1840" s="25" t="s">
        <v>96</v>
      </c>
      <c r="C1840" s="26" t="s">
        <v>98</v>
      </c>
      <c r="D1840" s="27">
        <v>73072900</v>
      </c>
      <c r="E1840" s="28" t="s">
        <v>314</v>
      </c>
      <c r="F1840" s="29" t="s">
        <v>315</v>
      </c>
      <c r="G1840" s="30">
        <v>12</v>
      </c>
      <c r="H1840" s="27" t="s">
        <v>137</v>
      </c>
      <c r="I1840" s="26" t="s">
        <v>256</v>
      </c>
      <c r="J1840" s="31">
        <v>1.2</v>
      </c>
      <c r="K1840" s="32">
        <f t="shared" si="84"/>
        <v>14.399999999999999</v>
      </c>
      <c r="L1840" s="29" t="s">
        <v>315</v>
      </c>
      <c r="M1840" s="27">
        <f>IFERROR(VLOOKUP(C1840,Custo_MI_Device!$B$2:$E$102,3,FALSE),0)</f>
        <v>0</v>
      </c>
      <c r="N1840" s="27">
        <f t="shared" si="85"/>
        <v>0</v>
      </c>
      <c r="O1840" s="178">
        <f t="shared" si="86"/>
        <v>0</v>
      </c>
    </row>
    <row r="1841" spans="1:15" ht="12.75" hidden="1">
      <c r="A1841" s="25">
        <v>1669</v>
      </c>
      <c r="B1841" s="25" t="s">
        <v>96</v>
      </c>
      <c r="C1841" s="26" t="s">
        <v>98</v>
      </c>
      <c r="D1841" s="27">
        <v>39269090</v>
      </c>
      <c r="E1841" s="28" t="s">
        <v>316</v>
      </c>
      <c r="F1841" s="29" t="s">
        <v>317</v>
      </c>
      <c r="G1841" s="30">
        <v>3</v>
      </c>
      <c r="H1841" s="27" t="s">
        <v>137</v>
      </c>
      <c r="I1841" s="26" t="s">
        <v>318</v>
      </c>
      <c r="J1841" s="31">
        <v>0.04</v>
      </c>
      <c r="K1841" s="32">
        <f t="shared" si="84"/>
        <v>0.12</v>
      </c>
      <c r="L1841" s="29" t="s">
        <v>317</v>
      </c>
      <c r="M1841" s="27">
        <f>IFERROR(VLOOKUP(C1841,Custo_MI_Device!$B$2:$E$102,3,FALSE),0)</f>
        <v>0</v>
      </c>
      <c r="N1841" s="27">
        <f t="shared" si="85"/>
        <v>0</v>
      </c>
      <c r="O1841" s="178">
        <f t="shared" si="86"/>
        <v>0</v>
      </c>
    </row>
    <row r="1842" spans="1:15" ht="12.75" hidden="1">
      <c r="A1842" s="25">
        <v>5091</v>
      </c>
      <c r="B1842" s="25" t="s">
        <v>96</v>
      </c>
      <c r="C1842" s="26" t="s">
        <v>98</v>
      </c>
      <c r="D1842" s="27">
        <v>73181500</v>
      </c>
      <c r="E1842" s="28" t="s">
        <v>323</v>
      </c>
      <c r="F1842" s="29" t="s">
        <v>324</v>
      </c>
      <c r="G1842" s="30">
        <v>24</v>
      </c>
      <c r="H1842" s="27" t="s">
        <v>137</v>
      </c>
      <c r="I1842" s="26" t="s">
        <v>256</v>
      </c>
      <c r="J1842" s="31">
        <v>0.04</v>
      </c>
      <c r="K1842" s="32">
        <f t="shared" si="84"/>
        <v>0.96</v>
      </c>
      <c r="L1842" s="29" t="s">
        <v>324</v>
      </c>
      <c r="M1842" s="27">
        <f>IFERROR(VLOOKUP(C1842,Custo_MI_Device!$B$2:$E$102,3,FALSE),0)</f>
        <v>0</v>
      </c>
      <c r="N1842" s="27">
        <f t="shared" si="85"/>
        <v>0</v>
      </c>
      <c r="O1842" s="178">
        <f t="shared" si="86"/>
        <v>0</v>
      </c>
    </row>
    <row r="1843" spans="1:15" ht="12.75" hidden="1">
      <c r="A1843" s="25">
        <v>83</v>
      </c>
      <c r="B1843" s="25" t="s">
        <v>96</v>
      </c>
      <c r="C1843" s="26" t="s">
        <v>98</v>
      </c>
      <c r="D1843" s="27"/>
      <c r="E1843" s="28" t="s">
        <v>150</v>
      </c>
      <c r="F1843" s="29" t="s">
        <v>148</v>
      </c>
      <c r="G1843" s="30">
        <v>1</v>
      </c>
      <c r="H1843" s="27" t="s">
        <v>137</v>
      </c>
      <c r="I1843" s="26" t="s">
        <v>149</v>
      </c>
      <c r="J1843" s="31">
        <v>4.8</v>
      </c>
      <c r="K1843" s="32">
        <f t="shared" si="84"/>
        <v>4.8</v>
      </c>
      <c r="L1843" s="29" t="s">
        <v>148</v>
      </c>
      <c r="M1843" s="27">
        <f>IFERROR(VLOOKUP(C1843,Custo_MI_Device!$B$2:$E$102,3,FALSE),0)</f>
        <v>0</v>
      </c>
      <c r="N1843" s="27">
        <f t="shared" si="85"/>
        <v>0</v>
      </c>
      <c r="O1843" s="178">
        <f t="shared" si="86"/>
        <v>0</v>
      </c>
    </row>
    <row r="1844" spans="1:15" ht="38.25" hidden="1">
      <c r="A1844" s="25">
        <v>3585</v>
      </c>
      <c r="B1844" s="25" t="s">
        <v>96</v>
      </c>
      <c r="C1844" s="26" t="s">
        <v>98</v>
      </c>
      <c r="D1844" s="27">
        <v>85444900</v>
      </c>
      <c r="E1844" s="28" t="s">
        <v>328</v>
      </c>
      <c r="F1844" s="29">
        <v>900400</v>
      </c>
      <c r="G1844" s="33">
        <v>0</v>
      </c>
      <c r="H1844" s="27" t="s">
        <v>158</v>
      </c>
      <c r="I1844" s="26" t="s">
        <v>164</v>
      </c>
      <c r="J1844" s="31">
        <v>1.7</v>
      </c>
      <c r="K1844" s="32">
        <f t="shared" si="84"/>
        <v>0</v>
      </c>
      <c r="L1844" s="29">
        <v>900400</v>
      </c>
      <c r="M1844" s="27">
        <f>IFERROR(VLOOKUP(C1844,Custo_MI_Device!$B$2:$E$102,3,FALSE),0)</f>
        <v>0</v>
      </c>
      <c r="N1844" s="27">
        <f t="shared" si="85"/>
        <v>0</v>
      </c>
      <c r="O1844" s="178">
        <f t="shared" si="86"/>
        <v>0</v>
      </c>
    </row>
    <row r="1845" spans="1:15" ht="12.75" hidden="1">
      <c r="A1845" s="25">
        <v>2805</v>
      </c>
      <c r="B1845" s="25" t="s">
        <v>96</v>
      </c>
      <c r="C1845" s="26" t="s">
        <v>98</v>
      </c>
      <c r="D1845" s="27">
        <v>72162100</v>
      </c>
      <c r="E1845" s="28" t="s">
        <v>174</v>
      </c>
      <c r="F1845" s="29">
        <v>0</v>
      </c>
      <c r="G1845" s="30">
        <v>2.9</v>
      </c>
      <c r="H1845" s="27" t="s">
        <v>175</v>
      </c>
      <c r="I1845" s="26" t="s">
        <v>176</v>
      </c>
      <c r="J1845" s="31">
        <v>4.22</v>
      </c>
      <c r="K1845" s="32">
        <f t="shared" si="84"/>
        <v>12.238</v>
      </c>
      <c r="L1845" s="29" t="s">
        <v>177</v>
      </c>
      <c r="M1845" s="27">
        <f>IFERROR(VLOOKUP(C1845,Custo_MI_Device!$B$2:$E$102,3,FALSE),0)</f>
        <v>0</v>
      </c>
      <c r="N1845" s="27">
        <f t="shared" si="85"/>
        <v>0</v>
      </c>
      <c r="O1845" s="178">
        <f t="shared" si="86"/>
        <v>0</v>
      </c>
    </row>
    <row r="1846" spans="1:15" ht="25.5" hidden="1">
      <c r="A1846" s="25">
        <v>3738</v>
      </c>
      <c r="B1846" s="25" t="s">
        <v>96</v>
      </c>
      <c r="C1846" s="26" t="s">
        <v>98</v>
      </c>
      <c r="D1846" s="27">
        <v>73071100</v>
      </c>
      <c r="E1846" s="28" t="s">
        <v>205</v>
      </c>
      <c r="F1846" s="29" t="s">
        <v>206</v>
      </c>
      <c r="G1846" s="30">
        <v>0.75</v>
      </c>
      <c r="H1846" s="27" t="s">
        <v>137</v>
      </c>
      <c r="I1846" s="26" t="s">
        <v>149</v>
      </c>
      <c r="J1846" s="31">
        <v>27</v>
      </c>
      <c r="K1846" s="32">
        <f t="shared" si="84"/>
        <v>20.25</v>
      </c>
      <c r="L1846" s="29" t="s">
        <v>206</v>
      </c>
      <c r="M1846" s="27">
        <f>IFERROR(VLOOKUP(C1846,Custo_MI_Device!$B$2:$E$102,3,FALSE),0)</f>
        <v>0</v>
      </c>
      <c r="N1846" s="27">
        <f t="shared" si="85"/>
        <v>0</v>
      </c>
      <c r="O1846" s="178">
        <f t="shared" si="86"/>
        <v>0</v>
      </c>
    </row>
    <row r="1847" spans="1:15" ht="25.5" hidden="1">
      <c r="A1847" s="25">
        <v>1710</v>
      </c>
      <c r="B1847" s="25" t="s">
        <v>96</v>
      </c>
      <c r="C1847" s="26" t="s">
        <v>98</v>
      </c>
      <c r="D1847" s="27">
        <v>73071100</v>
      </c>
      <c r="E1847" s="28" t="s">
        <v>207</v>
      </c>
      <c r="F1847" s="29" t="s">
        <v>208</v>
      </c>
      <c r="G1847" s="30">
        <v>0.75</v>
      </c>
      <c r="H1847" s="27" t="s">
        <v>137</v>
      </c>
      <c r="I1847" s="26" t="s">
        <v>149</v>
      </c>
      <c r="J1847" s="31">
        <v>27</v>
      </c>
      <c r="K1847" s="32">
        <f t="shared" si="84"/>
        <v>20.25</v>
      </c>
      <c r="L1847" s="29" t="s">
        <v>208</v>
      </c>
      <c r="M1847" s="27">
        <f>IFERROR(VLOOKUP(C1847,Custo_MI_Device!$B$2:$E$102,3,FALSE),0)</f>
        <v>0</v>
      </c>
      <c r="N1847" s="27">
        <f t="shared" si="85"/>
        <v>0</v>
      </c>
      <c r="O1847" s="178">
        <f t="shared" si="86"/>
        <v>0</v>
      </c>
    </row>
    <row r="1848" spans="1:15" ht="25.5" hidden="1">
      <c r="A1848" s="25">
        <v>1715</v>
      </c>
      <c r="B1848" s="25" t="s">
        <v>96</v>
      </c>
      <c r="C1848" s="26" t="s">
        <v>98</v>
      </c>
      <c r="D1848" s="27">
        <v>73071100</v>
      </c>
      <c r="E1848" s="28" t="s">
        <v>209</v>
      </c>
      <c r="F1848" s="29" t="s">
        <v>210</v>
      </c>
      <c r="G1848" s="30">
        <v>0.75</v>
      </c>
      <c r="H1848" s="27" t="s">
        <v>137</v>
      </c>
      <c r="I1848" s="26" t="s">
        <v>149</v>
      </c>
      <c r="J1848" s="31">
        <v>27</v>
      </c>
      <c r="K1848" s="32">
        <f t="shared" si="84"/>
        <v>20.25</v>
      </c>
      <c r="L1848" s="29" t="s">
        <v>210</v>
      </c>
      <c r="M1848" s="27">
        <f>IFERROR(VLOOKUP(C1848,Custo_MI_Device!$B$2:$E$102,3,FALSE),0)</f>
        <v>0</v>
      </c>
      <c r="N1848" s="27">
        <f t="shared" si="85"/>
        <v>0</v>
      </c>
      <c r="O1848" s="178">
        <f t="shared" si="86"/>
        <v>0</v>
      </c>
    </row>
    <row r="1849" spans="1:15" ht="25.5" hidden="1">
      <c r="A1849" s="25">
        <v>3417</v>
      </c>
      <c r="B1849" s="25" t="s">
        <v>96</v>
      </c>
      <c r="C1849" s="26" t="s">
        <v>98</v>
      </c>
      <c r="D1849" s="27">
        <v>73063000</v>
      </c>
      <c r="E1849" s="28" t="s">
        <v>231</v>
      </c>
      <c r="F1849" s="29">
        <v>0</v>
      </c>
      <c r="G1849" s="30">
        <v>2</v>
      </c>
      <c r="H1849" s="27" t="s">
        <v>232</v>
      </c>
      <c r="I1849" s="26" t="s">
        <v>233</v>
      </c>
      <c r="J1849" s="31">
        <v>33.47</v>
      </c>
      <c r="K1849" s="32">
        <f t="shared" si="84"/>
        <v>66.94</v>
      </c>
      <c r="L1849" s="29" t="s">
        <v>234</v>
      </c>
      <c r="M1849" s="27">
        <f>IFERROR(VLOOKUP(C1849,Custo_MI_Device!$B$2:$E$102,3,FALSE),0)</f>
        <v>0</v>
      </c>
      <c r="N1849" s="27">
        <f t="shared" si="85"/>
        <v>0</v>
      </c>
      <c r="O1849" s="178">
        <f t="shared" si="86"/>
        <v>0</v>
      </c>
    </row>
    <row r="1850" spans="1:15" ht="12.75" hidden="1">
      <c r="A1850" s="25">
        <v>1965</v>
      </c>
      <c r="B1850" s="25" t="s">
        <v>96</v>
      </c>
      <c r="C1850" s="26" t="s">
        <v>98</v>
      </c>
      <c r="D1850" s="27">
        <v>73071100</v>
      </c>
      <c r="E1850" s="28" t="s">
        <v>251</v>
      </c>
      <c r="F1850" s="29" t="s">
        <v>252</v>
      </c>
      <c r="G1850" s="30">
        <v>1</v>
      </c>
      <c r="H1850" s="27" t="s">
        <v>137</v>
      </c>
      <c r="I1850" s="26" t="s">
        <v>253</v>
      </c>
      <c r="J1850" s="31">
        <v>5.5</v>
      </c>
      <c r="K1850" s="32">
        <f t="shared" si="84"/>
        <v>5.5</v>
      </c>
      <c r="L1850" s="29" t="s">
        <v>252</v>
      </c>
      <c r="M1850" s="27">
        <f>IFERROR(VLOOKUP(C1850,Custo_MI_Device!$B$2:$E$102,3,FALSE),0)</f>
        <v>0</v>
      </c>
      <c r="N1850" s="27">
        <f t="shared" si="85"/>
        <v>0</v>
      </c>
      <c r="O1850" s="178">
        <f t="shared" si="86"/>
        <v>0</v>
      </c>
    </row>
    <row r="1851" spans="1:15" ht="12.75" hidden="1">
      <c r="A1851" s="25">
        <v>3274</v>
      </c>
      <c r="B1851" s="25" t="s">
        <v>96</v>
      </c>
      <c r="C1851" s="26" t="s">
        <v>98</v>
      </c>
      <c r="D1851" s="27">
        <v>73181500</v>
      </c>
      <c r="E1851" s="28" t="s">
        <v>265</v>
      </c>
      <c r="F1851" s="29" t="s">
        <v>266</v>
      </c>
      <c r="G1851" s="30">
        <v>24</v>
      </c>
      <c r="H1851" s="27" t="s">
        <v>137</v>
      </c>
      <c r="I1851" s="26" t="s">
        <v>256</v>
      </c>
      <c r="J1851" s="31">
        <v>0.06</v>
      </c>
      <c r="K1851" s="32">
        <f t="shared" si="84"/>
        <v>1.44</v>
      </c>
      <c r="L1851" s="29" t="s">
        <v>266</v>
      </c>
      <c r="M1851" s="27">
        <f>IFERROR(VLOOKUP(C1851,Custo_MI_Device!$B$2:$E$102,3,FALSE),0)</f>
        <v>0</v>
      </c>
      <c r="N1851" s="27">
        <f t="shared" si="85"/>
        <v>0</v>
      </c>
      <c r="O1851" s="178">
        <f t="shared" si="86"/>
        <v>0</v>
      </c>
    </row>
    <row r="1852" spans="1:15" ht="12.75" hidden="1">
      <c r="A1852" s="25">
        <v>5081</v>
      </c>
      <c r="B1852" s="25" t="s">
        <v>96</v>
      </c>
      <c r="C1852" s="26" t="s">
        <v>98</v>
      </c>
      <c r="D1852" s="27">
        <v>73145000</v>
      </c>
      <c r="E1852" s="28" t="s">
        <v>278</v>
      </c>
      <c r="F1852" s="29">
        <v>0</v>
      </c>
      <c r="G1852" s="30">
        <v>1</v>
      </c>
      <c r="H1852" s="27" t="s">
        <v>137</v>
      </c>
      <c r="I1852" s="26" t="s">
        <v>279</v>
      </c>
      <c r="J1852" s="31">
        <v>23</v>
      </c>
      <c r="K1852" s="32">
        <f t="shared" si="84"/>
        <v>23</v>
      </c>
      <c r="L1852" s="29" t="s">
        <v>280</v>
      </c>
      <c r="M1852" s="27">
        <f>IFERROR(VLOOKUP(C1852,Custo_MI_Device!$B$2:$E$102,3,FALSE),0)</f>
        <v>0</v>
      </c>
      <c r="N1852" s="27">
        <f t="shared" si="85"/>
        <v>0</v>
      </c>
      <c r="O1852" s="178">
        <f t="shared" si="86"/>
        <v>0</v>
      </c>
    </row>
    <row r="1853" spans="1:15" ht="25.5" hidden="1">
      <c r="A1853" s="25">
        <v>5147</v>
      </c>
      <c r="B1853" s="25" t="s">
        <v>96</v>
      </c>
      <c r="C1853" s="26" t="s">
        <v>98</v>
      </c>
      <c r="D1853" s="27">
        <v>83079000</v>
      </c>
      <c r="E1853" s="28" t="s">
        <v>293</v>
      </c>
      <c r="F1853" s="29" t="s">
        <v>294</v>
      </c>
      <c r="G1853" s="30">
        <v>1</v>
      </c>
      <c r="H1853" s="27" t="s">
        <v>137</v>
      </c>
      <c r="I1853" s="26" t="s">
        <v>180</v>
      </c>
      <c r="J1853" s="31">
        <v>155</v>
      </c>
      <c r="K1853" s="32">
        <f t="shared" si="84"/>
        <v>155</v>
      </c>
      <c r="L1853" s="29" t="s">
        <v>294</v>
      </c>
      <c r="M1853" s="27">
        <f>IFERROR(VLOOKUP(C1853,Custo_MI_Device!$B$2:$E$102,3,FALSE),0)</f>
        <v>0</v>
      </c>
      <c r="N1853" s="27">
        <f t="shared" si="85"/>
        <v>0</v>
      </c>
      <c r="O1853" s="178">
        <f t="shared" si="86"/>
        <v>0</v>
      </c>
    </row>
    <row r="1854" spans="1:15" ht="25.5" hidden="1">
      <c r="A1854" s="25">
        <v>4834</v>
      </c>
      <c r="B1854" s="25" t="s">
        <v>96</v>
      </c>
      <c r="C1854" s="26" t="s">
        <v>98</v>
      </c>
      <c r="D1854" s="27">
        <v>73071100</v>
      </c>
      <c r="E1854" s="28" t="s">
        <v>299</v>
      </c>
      <c r="F1854" s="29" t="s">
        <v>300</v>
      </c>
      <c r="G1854" s="30">
        <v>1</v>
      </c>
      <c r="H1854" s="27" t="s">
        <v>137</v>
      </c>
      <c r="I1854" s="26" t="s">
        <v>149</v>
      </c>
      <c r="J1854" s="31">
        <v>28</v>
      </c>
      <c r="K1854" s="32">
        <f t="shared" si="84"/>
        <v>28</v>
      </c>
      <c r="L1854" s="29" t="s">
        <v>300</v>
      </c>
      <c r="M1854" s="27">
        <f>IFERROR(VLOOKUP(C1854,Custo_MI_Device!$B$2:$E$102,3,FALSE),0)</f>
        <v>0</v>
      </c>
      <c r="N1854" s="27">
        <f t="shared" si="85"/>
        <v>0</v>
      </c>
      <c r="O1854" s="178">
        <f t="shared" si="86"/>
        <v>0</v>
      </c>
    </row>
    <row r="1855" spans="1:15" ht="12.75">
      <c r="G1855" s="35"/>
      <c r="L1855" s="19"/>
      <c r="M1855" s="15"/>
      <c r="N1855" s="15"/>
      <c r="O1855" s="37"/>
    </row>
    <row r="1856" spans="1:15" ht="12.75">
      <c r="G1856" s="35"/>
      <c r="L1856" s="19"/>
      <c r="M1856" s="15"/>
      <c r="N1856" s="15"/>
      <c r="O1856" s="37"/>
    </row>
    <row r="1857" spans="7:15" ht="12.75">
      <c r="G1857" s="35"/>
      <c r="L1857" s="19"/>
      <c r="M1857" s="15"/>
      <c r="N1857" s="15"/>
      <c r="O1857" s="37"/>
    </row>
    <row r="1858" spans="7:15" ht="12.75">
      <c r="G1858" s="35"/>
      <c r="L1858" s="19"/>
      <c r="M1858" s="15"/>
      <c r="N1858" s="15"/>
      <c r="O1858" s="37"/>
    </row>
    <row r="1859" spans="7:15" ht="12.75">
      <c r="G1859" s="35"/>
      <c r="L1859" s="19"/>
      <c r="M1859" s="15"/>
      <c r="N1859" s="15"/>
      <c r="O1859" s="37"/>
    </row>
    <row r="1860" spans="7:15" ht="12.75">
      <c r="G1860" s="35"/>
      <c r="L1860" s="19"/>
      <c r="M1860" s="15"/>
      <c r="N1860" s="15"/>
      <c r="O1860" s="37"/>
    </row>
    <row r="1861" spans="7:15" ht="12.75">
      <c r="G1861" s="35"/>
      <c r="N1861" s="15"/>
      <c r="O1861" s="37"/>
    </row>
    <row r="1862" spans="7:15" ht="12.75">
      <c r="G1862" s="35"/>
      <c r="N1862" s="15"/>
      <c r="O1862" s="37"/>
    </row>
    <row r="1863" spans="7:15" ht="12.75">
      <c r="G1863" s="35"/>
      <c r="N1863" s="15"/>
      <c r="O1863" s="37"/>
    </row>
    <row r="1864" spans="7:15" ht="12.75">
      <c r="G1864" s="35"/>
      <c r="N1864" s="15"/>
      <c r="O1864" s="37"/>
    </row>
    <row r="1865" spans="7:15" ht="12.75">
      <c r="G1865" s="35"/>
      <c r="N1865" s="15"/>
      <c r="O1865" s="37"/>
    </row>
    <row r="1866" spans="7:15" ht="12.75">
      <c r="G1866" s="35"/>
      <c r="N1866" s="15"/>
      <c r="O1866" s="37"/>
    </row>
    <row r="1867" spans="7:15" ht="12.75">
      <c r="G1867" s="35"/>
      <c r="N1867" s="15"/>
      <c r="O1867" s="37"/>
    </row>
    <row r="1868" spans="7:15" ht="12.75">
      <c r="G1868" s="35"/>
      <c r="N1868" s="15"/>
      <c r="O1868" s="37"/>
    </row>
    <row r="1869" spans="7:15" ht="12.75">
      <c r="G1869" s="35"/>
      <c r="N1869" s="15"/>
      <c r="O1869" s="37"/>
    </row>
    <row r="1870" spans="7:15" ht="12.75">
      <c r="G1870" s="35"/>
      <c r="N1870" s="15"/>
      <c r="O1870" s="37"/>
    </row>
    <row r="1871" spans="7:15" ht="12.75">
      <c r="G1871" s="35"/>
      <c r="N1871" s="15"/>
      <c r="O1871" s="37"/>
    </row>
    <row r="1872" spans="7:15" ht="12.75">
      <c r="G1872" s="35"/>
      <c r="N1872" s="15"/>
      <c r="O1872" s="37"/>
    </row>
    <row r="1873" spans="7:15" ht="12.75">
      <c r="G1873" s="35"/>
      <c r="N1873" s="15"/>
      <c r="O1873" s="37"/>
    </row>
    <row r="1874" spans="7:15" ht="12.75">
      <c r="G1874" s="35"/>
      <c r="N1874" s="15"/>
      <c r="O1874" s="37"/>
    </row>
    <row r="1875" spans="7:15" ht="12.75">
      <c r="G1875" s="35"/>
      <c r="N1875" s="15"/>
      <c r="O1875" s="37"/>
    </row>
    <row r="1876" spans="7:15" ht="12.75">
      <c r="G1876" s="35"/>
      <c r="N1876" s="15"/>
      <c r="O1876" s="37"/>
    </row>
    <row r="1877" spans="7:15" ht="12.75">
      <c r="G1877" s="35"/>
      <c r="N1877" s="15"/>
      <c r="O1877" s="37"/>
    </row>
    <row r="1878" spans="7:15" ht="12.75">
      <c r="G1878" s="35"/>
      <c r="N1878" s="15"/>
      <c r="O1878" s="37"/>
    </row>
    <row r="1879" spans="7:15" ht="12.75">
      <c r="G1879" s="35"/>
      <c r="N1879" s="15"/>
      <c r="O1879" s="37"/>
    </row>
    <row r="1880" spans="7:15" ht="12.75">
      <c r="G1880" s="35"/>
      <c r="N1880" s="15"/>
      <c r="O1880" s="37"/>
    </row>
    <row r="1881" spans="7:15" ht="12.75">
      <c r="G1881" s="35"/>
      <c r="N1881" s="15"/>
      <c r="O1881" s="37"/>
    </row>
    <row r="1882" spans="7:15" ht="12.75">
      <c r="G1882" s="35"/>
      <c r="N1882" s="15"/>
      <c r="O1882" s="37"/>
    </row>
    <row r="1883" spans="7:15" ht="12.75">
      <c r="G1883" s="35"/>
      <c r="N1883" s="15"/>
      <c r="O1883" s="37"/>
    </row>
    <row r="1884" spans="7:15" ht="12.75">
      <c r="G1884" s="35"/>
      <c r="N1884" s="15"/>
      <c r="O1884" s="37"/>
    </row>
    <row r="1885" spans="7:15" ht="12.75">
      <c r="G1885" s="35"/>
      <c r="N1885" s="15"/>
      <c r="O1885" s="37"/>
    </row>
    <row r="1886" spans="7:15" ht="12.75">
      <c r="G1886" s="35"/>
      <c r="N1886" s="15"/>
      <c r="O1886" s="37"/>
    </row>
    <row r="1887" spans="7:15" ht="12.75">
      <c r="G1887" s="35"/>
      <c r="N1887" s="15"/>
      <c r="O1887" s="37"/>
    </row>
    <row r="1888" spans="7:15" ht="12.75">
      <c r="G1888" s="35"/>
      <c r="N1888" s="15"/>
      <c r="O1888" s="37"/>
    </row>
    <row r="1889" spans="7:15" ht="12.75">
      <c r="G1889" s="35"/>
      <c r="N1889" s="15"/>
      <c r="O1889" s="37"/>
    </row>
    <row r="1890" spans="7:15" ht="12.75">
      <c r="G1890" s="35"/>
      <c r="N1890" s="15"/>
      <c r="O1890" s="37"/>
    </row>
    <row r="1891" spans="7:15" ht="12.75">
      <c r="G1891" s="35"/>
      <c r="N1891" s="15"/>
      <c r="O1891" s="37"/>
    </row>
    <row r="1892" spans="7:15" ht="12.75">
      <c r="G1892" s="35"/>
      <c r="N1892" s="15"/>
      <c r="O1892" s="37"/>
    </row>
    <row r="1893" spans="7:15" ht="12.75">
      <c r="G1893" s="35"/>
      <c r="N1893" s="15"/>
      <c r="O1893" s="37"/>
    </row>
    <row r="1894" spans="7:15" ht="12.75">
      <c r="G1894" s="35"/>
      <c r="N1894" s="15"/>
      <c r="O1894" s="37"/>
    </row>
    <row r="1895" spans="7:15" ht="12.75">
      <c r="G1895" s="35"/>
      <c r="N1895" s="15"/>
      <c r="O1895" s="37"/>
    </row>
    <row r="1896" spans="7:15" ht="12.75">
      <c r="G1896" s="35"/>
      <c r="N1896" s="15"/>
      <c r="O1896" s="37"/>
    </row>
    <row r="1897" spans="7:15" ht="12.75">
      <c r="G1897" s="35"/>
      <c r="N1897" s="15"/>
      <c r="O1897" s="37"/>
    </row>
    <row r="1898" spans="7:15" ht="12.75">
      <c r="G1898" s="35"/>
      <c r="N1898" s="15"/>
      <c r="O1898" s="37"/>
    </row>
    <row r="1899" spans="7:15" ht="12.75">
      <c r="G1899" s="35"/>
      <c r="N1899" s="15"/>
      <c r="O1899" s="37"/>
    </row>
    <row r="1900" spans="7:15" ht="12.75">
      <c r="G1900" s="35"/>
      <c r="N1900" s="15"/>
      <c r="O1900" s="37"/>
    </row>
    <row r="1901" spans="7:15" ht="12.75">
      <c r="G1901" s="35"/>
      <c r="N1901" s="15"/>
      <c r="O1901" s="37"/>
    </row>
    <row r="1902" spans="7:15" ht="12.75">
      <c r="G1902" s="35"/>
      <c r="N1902" s="15"/>
      <c r="O1902" s="37"/>
    </row>
    <row r="1903" spans="7:15" ht="12.75">
      <c r="G1903" s="35"/>
      <c r="N1903" s="15"/>
      <c r="O1903" s="37"/>
    </row>
    <row r="1904" spans="7:15" ht="12.75">
      <c r="G1904" s="35"/>
      <c r="N1904" s="15"/>
      <c r="O1904" s="37"/>
    </row>
    <row r="1905" spans="7:15" ht="12.75">
      <c r="G1905" s="35"/>
      <c r="N1905" s="15"/>
      <c r="O1905" s="37"/>
    </row>
    <row r="1906" spans="7:15" ht="12.75">
      <c r="G1906" s="35"/>
      <c r="N1906" s="15"/>
      <c r="O1906" s="37"/>
    </row>
    <row r="1907" spans="7:15" ht="12.75">
      <c r="G1907" s="35"/>
      <c r="N1907" s="15"/>
      <c r="O1907" s="37"/>
    </row>
    <row r="1908" spans="7:15" ht="12.75">
      <c r="G1908" s="35"/>
      <c r="N1908" s="15"/>
      <c r="O1908" s="37"/>
    </row>
    <row r="1909" spans="7:15" ht="12.75">
      <c r="G1909" s="35"/>
      <c r="N1909" s="15"/>
      <c r="O1909" s="37"/>
    </row>
    <row r="1910" spans="7:15" ht="12.75">
      <c r="G1910" s="35"/>
      <c r="N1910" s="15"/>
      <c r="O1910" s="37"/>
    </row>
    <row r="1911" spans="7:15" ht="12.75">
      <c r="G1911" s="35"/>
      <c r="N1911" s="15"/>
      <c r="O1911" s="37"/>
    </row>
    <row r="1912" spans="7:15" ht="12.75">
      <c r="G1912" s="35"/>
      <c r="N1912" s="15"/>
      <c r="O1912" s="37"/>
    </row>
    <row r="1913" spans="7:15" ht="12.75">
      <c r="G1913" s="35"/>
      <c r="N1913" s="15"/>
      <c r="O1913" s="37"/>
    </row>
    <row r="1914" spans="7:15" ht="12.75">
      <c r="G1914" s="35"/>
      <c r="N1914" s="15"/>
      <c r="O1914" s="37"/>
    </row>
    <row r="1915" spans="7:15" ht="12.75">
      <c r="G1915" s="35"/>
      <c r="N1915" s="15"/>
      <c r="O1915" s="37"/>
    </row>
    <row r="1916" spans="7:15" ht="12.75">
      <c r="G1916" s="35"/>
      <c r="N1916" s="15"/>
      <c r="O1916" s="37"/>
    </row>
    <row r="1917" spans="7:15" ht="12.75">
      <c r="G1917" s="35"/>
      <c r="N1917" s="15"/>
      <c r="O1917" s="37"/>
    </row>
    <row r="1918" spans="7:15" ht="12.75">
      <c r="G1918" s="35"/>
      <c r="N1918" s="15"/>
      <c r="O1918" s="37"/>
    </row>
    <row r="1919" spans="7:15" ht="12.75">
      <c r="G1919" s="35"/>
      <c r="N1919" s="15"/>
      <c r="O1919" s="37"/>
    </row>
    <row r="1920" spans="7:15" ht="12.75">
      <c r="G1920" s="35"/>
      <c r="N1920" s="15"/>
      <c r="O1920" s="37"/>
    </row>
    <row r="1921" spans="7:15" ht="12.75">
      <c r="G1921" s="35"/>
      <c r="N1921" s="15"/>
      <c r="O1921" s="37"/>
    </row>
    <row r="1922" spans="7:15" ht="12.75">
      <c r="G1922" s="35"/>
      <c r="N1922" s="15"/>
      <c r="O1922" s="37"/>
    </row>
    <row r="1923" spans="7:15" ht="12.75">
      <c r="G1923" s="35"/>
      <c r="N1923" s="15"/>
      <c r="O1923" s="37"/>
    </row>
    <row r="1924" spans="7:15" ht="12.75">
      <c r="G1924" s="35"/>
      <c r="N1924" s="15"/>
      <c r="O1924" s="37"/>
    </row>
    <row r="1925" spans="7:15" ht="12.75">
      <c r="G1925" s="35"/>
      <c r="N1925" s="15"/>
      <c r="O1925" s="37"/>
    </row>
    <row r="1926" spans="7:15" ht="12.75">
      <c r="G1926" s="35"/>
      <c r="N1926" s="15"/>
      <c r="O1926" s="37"/>
    </row>
    <row r="1927" spans="7:15" ht="12.75">
      <c r="G1927" s="35"/>
      <c r="N1927" s="15"/>
      <c r="O1927" s="37"/>
    </row>
    <row r="1928" spans="7:15" ht="12.75">
      <c r="G1928" s="35"/>
      <c r="N1928" s="15"/>
      <c r="O1928" s="37"/>
    </row>
    <row r="1929" spans="7:15" ht="12.75">
      <c r="G1929" s="35"/>
      <c r="N1929" s="15"/>
      <c r="O1929" s="37"/>
    </row>
    <row r="1930" spans="7:15" ht="12.75">
      <c r="G1930" s="35"/>
      <c r="N1930" s="15"/>
      <c r="O1930" s="37"/>
    </row>
    <row r="1931" spans="7:15" ht="12.75">
      <c r="G1931" s="35"/>
      <c r="N1931" s="15"/>
      <c r="O1931" s="37"/>
    </row>
    <row r="1932" spans="7:15" ht="12.75">
      <c r="G1932" s="35"/>
      <c r="N1932" s="15"/>
      <c r="O1932" s="37"/>
    </row>
    <row r="1933" spans="7:15" ht="12.75">
      <c r="G1933" s="35"/>
      <c r="N1933" s="15"/>
      <c r="O1933" s="37"/>
    </row>
    <row r="1934" spans="7:15" ht="12.75">
      <c r="G1934" s="35"/>
      <c r="N1934" s="15"/>
      <c r="O1934" s="37"/>
    </row>
    <row r="1935" spans="7:15" ht="12.75">
      <c r="G1935" s="35"/>
      <c r="N1935" s="15"/>
      <c r="O1935" s="37"/>
    </row>
    <row r="1936" spans="7:15" ht="12.75">
      <c r="G1936" s="35"/>
      <c r="N1936" s="15"/>
      <c r="O1936" s="37"/>
    </row>
    <row r="1937" spans="7:15" ht="12.75">
      <c r="G1937" s="35"/>
      <c r="N1937" s="15"/>
      <c r="O1937" s="37"/>
    </row>
    <row r="1938" spans="7:15" ht="12.75">
      <c r="G1938" s="35"/>
      <c r="N1938" s="15"/>
      <c r="O1938" s="37"/>
    </row>
    <row r="1939" spans="7:15" ht="12.75">
      <c r="G1939" s="35"/>
      <c r="N1939" s="15"/>
      <c r="O1939" s="37"/>
    </row>
    <row r="1940" spans="7:15" ht="12.75">
      <c r="G1940" s="35"/>
      <c r="N1940" s="15"/>
      <c r="O1940" s="37"/>
    </row>
    <row r="1941" spans="7:15" ht="12.75">
      <c r="G1941" s="35"/>
      <c r="N1941" s="15"/>
      <c r="O1941" s="37"/>
    </row>
    <row r="1942" spans="7:15" ht="12.75">
      <c r="G1942" s="35"/>
      <c r="N1942" s="15"/>
      <c r="O1942" s="37"/>
    </row>
    <row r="1943" spans="7:15" ht="12.75">
      <c r="G1943" s="35"/>
      <c r="N1943" s="15"/>
      <c r="O1943" s="37"/>
    </row>
    <row r="1944" spans="7:15" ht="12.75">
      <c r="G1944" s="35"/>
      <c r="N1944" s="15"/>
      <c r="O1944" s="37"/>
    </row>
    <row r="1945" spans="7:15" ht="12.75">
      <c r="G1945" s="35"/>
      <c r="N1945" s="15"/>
      <c r="O1945" s="37"/>
    </row>
    <row r="1946" spans="7:15" ht="12.75">
      <c r="G1946" s="35"/>
      <c r="N1946" s="15"/>
      <c r="O1946" s="37"/>
    </row>
    <row r="1947" spans="7:15" ht="12.75">
      <c r="G1947" s="35"/>
      <c r="N1947" s="15"/>
      <c r="O1947" s="37"/>
    </row>
    <row r="1948" spans="7:15" ht="12.75">
      <c r="G1948" s="35"/>
      <c r="N1948" s="15"/>
      <c r="O1948" s="37"/>
    </row>
    <row r="1949" spans="7:15" ht="12.75">
      <c r="G1949" s="35"/>
      <c r="N1949" s="15"/>
      <c r="O1949" s="37"/>
    </row>
    <row r="1950" spans="7:15" ht="12.75">
      <c r="G1950" s="35"/>
      <c r="N1950" s="15"/>
      <c r="O1950" s="37"/>
    </row>
    <row r="1951" spans="7:15" ht="12.75">
      <c r="G1951" s="35"/>
      <c r="N1951" s="15"/>
      <c r="O1951" s="37"/>
    </row>
    <row r="1952" spans="7:15" ht="12.75">
      <c r="G1952" s="35"/>
      <c r="N1952" s="15"/>
      <c r="O1952" s="37"/>
    </row>
    <row r="1953" spans="7:15" ht="12.75">
      <c r="G1953" s="35"/>
      <c r="N1953" s="15"/>
      <c r="O1953" s="37"/>
    </row>
    <row r="1954" spans="7:15" ht="12.75">
      <c r="G1954" s="35"/>
      <c r="N1954" s="15"/>
      <c r="O1954" s="37"/>
    </row>
    <row r="1955" spans="7:15" ht="12.75">
      <c r="G1955" s="35"/>
      <c r="N1955" s="15"/>
      <c r="O1955" s="37"/>
    </row>
    <row r="1956" spans="7:15" ht="12.75">
      <c r="G1956" s="35"/>
      <c r="N1956" s="15"/>
      <c r="O1956" s="37"/>
    </row>
    <row r="1957" spans="7:15" ht="12.75">
      <c r="G1957" s="35"/>
      <c r="N1957" s="15"/>
      <c r="O1957" s="37"/>
    </row>
    <row r="1958" spans="7:15" ht="12.75">
      <c r="G1958" s="35"/>
      <c r="N1958" s="15"/>
      <c r="O1958" s="37"/>
    </row>
    <row r="1959" spans="7:15" ht="12.75">
      <c r="G1959" s="35"/>
      <c r="N1959" s="15"/>
      <c r="O1959" s="37"/>
    </row>
    <row r="1960" spans="7:15" ht="12.75">
      <c r="G1960" s="35"/>
      <c r="N1960" s="15"/>
      <c r="O1960" s="37"/>
    </row>
    <row r="1961" spans="7:15" ht="12.75">
      <c r="G1961" s="35"/>
      <c r="N1961" s="15"/>
      <c r="O1961" s="37"/>
    </row>
    <row r="1962" spans="7:15" ht="12.75">
      <c r="G1962" s="35"/>
      <c r="N1962" s="15"/>
      <c r="O1962" s="37"/>
    </row>
    <row r="1963" spans="7:15" ht="12.75">
      <c r="G1963" s="35"/>
      <c r="N1963" s="15"/>
      <c r="O1963" s="37"/>
    </row>
    <row r="1964" spans="7:15" ht="12.75">
      <c r="G1964" s="35"/>
      <c r="N1964" s="15"/>
      <c r="O1964" s="37"/>
    </row>
    <row r="1965" spans="7:15" ht="12.75">
      <c r="G1965" s="35"/>
      <c r="N1965" s="15"/>
      <c r="O1965" s="37"/>
    </row>
    <row r="1966" spans="7:15" ht="12.75">
      <c r="G1966" s="35"/>
      <c r="N1966" s="15"/>
      <c r="O1966" s="37"/>
    </row>
    <row r="1967" spans="7:15" ht="12.75">
      <c r="G1967" s="35"/>
      <c r="N1967" s="15"/>
      <c r="O1967" s="37"/>
    </row>
    <row r="1968" spans="7:15" ht="12.75">
      <c r="G1968" s="35"/>
      <c r="N1968" s="15"/>
      <c r="O1968" s="37"/>
    </row>
    <row r="1969" spans="7:15" ht="12.75">
      <c r="G1969" s="35"/>
      <c r="N1969" s="15"/>
      <c r="O1969" s="37"/>
    </row>
    <row r="1970" spans="7:15" ht="12.75">
      <c r="G1970" s="35"/>
      <c r="N1970" s="15"/>
      <c r="O1970" s="37"/>
    </row>
    <row r="1971" spans="7:15" ht="12.75">
      <c r="G1971" s="35"/>
      <c r="N1971" s="15"/>
      <c r="O1971" s="37"/>
    </row>
    <row r="1972" spans="7:15" ht="12.75">
      <c r="G1972" s="35"/>
      <c r="N1972" s="15"/>
      <c r="O1972" s="37"/>
    </row>
    <row r="1973" spans="7:15" ht="12.75">
      <c r="G1973" s="35"/>
      <c r="N1973" s="15"/>
      <c r="O1973" s="37"/>
    </row>
    <row r="1974" spans="7:15" ht="12.75">
      <c r="G1974" s="35"/>
      <c r="N1974" s="15"/>
      <c r="O1974" s="37"/>
    </row>
    <row r="1975" spans="7:15" ht="12.75">
      <c r="G1975" s="35"/>
      <c r="N1975" s="15"/>
      <c r="O1975" s="37"/>
    </row>
    <row r="1976" spans="7:15" ht="12.75">
      <c r="G1976" s="35"/>
      <c r="N1976" s="15"/>
      <c r="O1976" s="37"/>
    </row>
    <row r="1977" spans="7:15" ht="12.75">
      <c r="G1977" s="35"/>
      <c r="N1977" s="15"/>
      <c r="O1977" s="37"/>
    </row>
    <row r="1978" spans="7:15" ht="12.75">
      <c r="G1978" s="35"/>
      <c r="N1978" s="15"/>
      <c r="O1978" s="37"/>
    </row>
    <row r="1979" spans="7:15" ht="12.75">
      <c r="G1979" s="35"/>
      <c r="N1979" s="15"/>
      <c r="O1979" s="37"/>
    </row>
    <row r="1980" spans="7:15" ht="12.75">
      <c r="G1980" s="35"/>
      <c r="N1980" s="15"/>
      <c r="O1980" s="37"/>
    </row>
    <row r="1981" spans="7:15" ht="12.75">
      <c r="G1981" s="35"/>
      <c r="N1981" s="15"/>
      <c r="O1981" s="37"/>
    </row>
    <row r="1982" spans="7:15" ht="12.75">
      <c r="G1982" s="35"/>
      <c r="N1982" s="15"/>
      <c r="O1982" s="37"/>
    </row>
    <row r="1983" spans="7:15" ht="12.75">
      <c r="G1983" s="35"/>
      <c r="N1983" s="15"/>
      <c r="O1983" s="37"/>
    </row>
    <row r="1984" spans="7:15" ht="12.75">
      <c r="G1984" s="35"/>
      <c r="N1984" s="15"/>
      <c r="O1984" s="37"/>
    </row>
    <row r="1985" spans="7:15" ht="12.75">
      <c r="G1985" s="35"/>
      <c r="N1985" s="15"/>
      <c r="O1985" s="37"/>
    </row>
    <row r="1986" spans="7:15" ht="12.75">
      <c r="G1986" s="35"/>
      <c r="N1986" s="15"/>
      <c r="O1986" s="37"/>
    </row>
    <row r="1987" spans="7:15" ht="12.75">
      <c r="G1987" s="35"/>
      <c r="N1987" s="15"/>
      <c r="O1987" s="37"/>
    </row>
    <row r="1988" spans="7:15" ht="12.75">
      <c r="G1988" s="35"/>
      <c r="N1988" s="15"/>
      <c r="O1988" s="37"/>
    </row>
    <row r="1989" spans="7:15" ht="12.75">
      <c r="G1989" s="35"/>
      <c r="N1989" s="15"/>
      <c r="O1989" s="37"/>
    </row>
    <row r="1990" spans="7:15" ht="12.75">
      <c r="G1990" s="35"/>
      <c r="N1990" s="15"/>
      <c r="O1990" s="37"/>
    </row>
    <row r="1991" spans="7:15" ht="12.75">
      <c r="G1991" s="35"/>
      <c r="N1991" s="15"/>
      <c r="O1991" s="37"/>
    </row>
    <row r="1992" spans="7:15" ht="12.75">
      <c r="G1992" s="35"/>
      <c r="N1992" s="15"/>
      <c r="O1992" s="37"/>
    </row>
    <row r="1993" spans="7:15" ht="12.75">
      <c r="G1993" s="35"/>
      <c r="N1993" s="15"/>
      <c r="O1993" s="37"/>
    </row>
    <row r="1994" spans="7:15" ht="12.75">
      <c r="G1994" s="35"/>
      <c r="N1994" s="15"/>
      <c r="O1994" s="37"/>
    </row>
    <row r="1995" spans="7:15" ht="12.75">
      <c r="G1995" s="35"/>
      <c r="N1995" s="15"/>
      <c r="O1995" s="37"/>
    </row>
    <row r="1996" spans="7:15" ht="12.75">
      <c r="G1996" s="35"/>
      <c r="N1996" s="15"/>
      <c r="O1996" s="37"/>
    </row>
    <row r="1997" spans="7:15" ht="12.75">
      <c r="G1997" s="35"/>
      <c r="N1997" s="15"/>
      <c r="O1997" s="37"/>
    </row>
    <row r="1998" spans="7:15" ht="12.75">
      <c r="G1998" s="35"/>
      <c r="N1998" s="15"/>
      <c r="O1998" s="37"/>
    </row>
    <row r="1999" spans="7:15" ht="12.75">
      <c r="G1999" s="35"/>
      <c r="N1999" s="15"/>
      <c r="O1999" s="37"/>
    </row>
    <row r="2000" spans="7:15" ht="12.75">
      <c r="G2000" s="35"/>
      <c r="N2000" s="15"/>
      <c r="O2000" s="37"/>
    </row>
    <row r="2001" spans="7:15" ht="12.75">
      <c r="G2001" s="35"/>
      <c r="N2001" s="15"/>
      <c r="O2001" s="37"/>
    </row>
    <row r="2002" spans="7:15" ht="12.75">
      <c r="G2002" s="35"/>
      <c r="N2002" s="15"/>
      <c r="O2002" s="37"/>
    </row>
    <row r="2003" spans="7:15" ht="12.75">
      <c r="G2003" s="35"/>
      <c r="N2003" s="15"/>
      <c r="O2003" s="37"/>
    </row>
    <row r="2004" spans="7:15" ht="12.75">
      <c r="G2004" s="35"/>
      <c r="N2004" s="15"/>
      <c r="O2004" s="37"/>
    </row>
    <row r="2005" spans="7:15" ht="12.75">
      <c r="G2005" s="35"/>
      <c r="N2005" s="15"/>
      <c r="O2005" s="37"/>
    </row>
    <row r="2006" spans="7:15" ht="12.75">
      <c r="G2006" s="35"/>
      <c r="N2006" s="15"/>
      <c r="O2006" s="37"/>
    </row>
    <row r="2007" spans="7:15" ht="12.75">
      <c r="G2007" s="35"/>
      <c r="N2007" s="15"/>
      <c r="O2007" s="37"/>
    </row>
    <row r="2008" spans="7:15" ht="12.75">
      <c r="G2008" s="35"/>
      <c r="N2008" s="15"/>
      <c r="O2008" s="37"/>
    </row>
    <row r="2009" spans="7:15" ht="12.75">
      <c r="G2009" s="35"/>
      <c r="N2009" s="15"/>
      <c r="O2009" s="37"/>
    </row>
    <row r="2010" spans="7:15" ht="12.75">
      <c r="G2010" s="35"/>
      <c r="N2010" s="15"/>
      <c r="O2010" s="37"/>
    </row>
    <row r="2011" spans="7:15" ht="12.75">
      <c r="G2011" s="35"/>
      <c r="N2011" s="15"/>
      <c r="O2011" s="37"/>
    </row>
    <row r="2012" spans="7:15" ht="12.75">
      <c r="G2012" s="35"/>
      <c r="N2012" s="15"/>
      <c r="O2012" s="37"/>
    </row>
    <row r="2013" spans="7:15" ht="12.75">
      <c r="G2013" s="35"/>
      <c r="N2013" s="15"/>
      <c r="O2013" s="37"/>
    </row>
    <row r="2014" spans="7:15" ht="12.75">
      <c r="G2014" s="35"/>
      <c r="N2014" s="15"/>
      <c r="O2014" s="37"/>
    </row>
    <row r="2015" spans="7:15" ht="12.75">
      <c r="G2015" s="35"/>
      <c r="N2015" s="15"/>
      <c r="O2015" s="37"/>
    </row>
    <row r="2016" spans="7:15" ht="12.75">
      <c r="G2016" s="35"/>
      <c r="N2016" s="15"/>
      <c r="O2016" s="37"/>
    </row>
    <row r="2017" spans="7:15" ht="12.75">
      <c r="G2017" s="35"/>
      <c r="N2017" s="15"/>
      <c r="O2017" s="37"/>
    </row>
    <row r="2018" spans="7:15" ht="12.75">
      <c r="G2018" s="35"/>
      <c r="N2018" s="15"/>
      <c r="O2018" s="37"/>
    </row>
    <row r="2019" spans="7:15" ht="12.75">
      <c r="G2019" s="35"/>
      <c r="N2019" s="15"/>
      <c r="O2019" s="37"/>
    </row>
    <row r="2020" spans="7:15" ht="12.75">
      <c r="G2020" s="35"/>
      <c r="N2020" s="15"/>
      <c r="O2020" s="37"/>
    </row>
    <row r="2021" spans="7:15" ht="12.75">
      <c r="G2021" s="35"/>
      <c r="N2021" s="15"/>
      <c r="O2021" s="37"/>
    </row>
    <row r="2022" spans="7:15" ht="12.75">
      <c r="G2022" s="35"/>
      <c r="N2022" s="15"/>
      <c r="O2022" s="37"/>
    </row>
    <row r="2023" spans="7:15" ht="12.75">
      <c r="G2023" s="35"/>
      <c r="N2023" s="15"/>
      <c r="O2023" s="37"/>
    </row>
    <row r="2024" spans="7:15" ht="12.75">
      <c r="G2024" s="35"/>
      <c r="N2024" s="15"/>
      <c r="O2024" s="37"/>
    </row>
    <row r="2025" spans="7:15" ht="12.75">
      <c r="G2025" s="35"/>
      <c r="N2025" s="15"/>
      <c r="O2025" s="37"/>
    </row>
    <row r="2026" spans="7:15" ht="12.75">
      <c r="G2026" s="35"/>
      <c r="N2026" s="15"/>
      <c r="O2026" s="37"/>
    </row>
    <row r="2027" spans="7:15" ht="12.75">
      <c r="G2027" s="35"/>
      <c r="N2027" s="15"/>
      <c r="O2027" s="37"/>
    </row>
    <row r="2028" spans="7:15" ht="12.75">
      <c r="G2028" s="35"/>
      <c r="N2028" s="15"/>
      <c r="O2028" s="37"/>
    </row>
    <row r="2029" spans="7:15" ht="12.75">
      <c r="G2029" s="35"/>
      <c r="N2029" s="15"/>
      <c r="O2029" s="37"/>
    </row>
    <row r="2030" spans="7:15" ht="12.75">
      <c r="G2030" s="35"/>
      <c r="N2030" s="15"/>
      <c r="O2030" s="37"/>
    </row>
    <row r="2031" spans="7:15" ht="12.75">
      <c r="G2031" s="35"/>
      <c r="N2031" s="15"/>
      <c r="O2031" s="37"/>
    </row>
    <row r="2032" spans="7:15" ht="12.75">
      <c r="G2032" s="35"/>
      <c r="N2032" s="15"/>
      <c r="O2032" s="37"/>
    </row>
    <row r="2033" spans="7:15" ht="12.75">
      <c r="G2033" s="35"/>
      <c r="N2033" s="15"/>
      <c r="O2033" s="37"/>
    </row>
    <row r="2034" spans="7:15" ht="12.75">
      <c r="G2034" s="35"/>
      <c r="N2034" s="15"/>
      <c r="O2034" s="37"/>
    </row>
    <row r="2035" spans="7:15" ht="12.75">
      <c r="G2035" s="35"/>
      <c r="N2035" s="15"/>
      <c r="O2035" s="37"/>
    </row>
    <row r="2036" spans="7:15" ht="12.75">
      <c r="G2036" s="35"/>
      <c r="N2036" s="15"/>
      <c r="O2036" s="37"/>
    </row>
    <row r="2037" spans="7:15" ht="12.75">
      <c r="G2037" s="35"/>
      <c r="N2037" s="15"/>
      <c r="O2037" s="37"/>
    </row>
    <row r="2038" spans="7:15" ht="12.75">
      <c r="G2038" s="35"/>
      <c r="N2038" s="15"/>
      <c r="O2038" s="37"/>
    </row>
    <row r="2039" spans="7:15" ht="12.75">
      <c r="G2039" s="35"/>
      <c r="N2039" s="15"/>
      <c r="O2039" s="37"/>
    </row>
    <row r="2040" spans="7:15" ht="12.75">
      <c r="G2040" s="35"/>
      <c r="N2040" s="15"/>
      <c r="O2040" s="37"/>
    </row>
    <row r="2041" spans="7:15" ht="12.75">
      <c r="G2041" s="35"/>
      <c r="N2041" s="15"/>
      <c r="O2041" s="37"/>
    </row>
    <row r="2042" spans="7:15" ht="12.75">
      <c r="G2042" s="35"/>
      <c r="N2042" s="15"/>
      <c r="O2042" s="37"/>
    </row>
    <row r="2043" spans="7:15" ht="12.75">
      <c r="G2043" s="35"/>
      <c r="N2043" s="15"/>
      <c r="O2043" s="37"/>
    </row>
    <row r="2044" spans="7:15" ht="12.75">
      <c r="G2044" s="35"/>
      <c r="N2044" s="15"/>
      <c r="O2044" s="37"/>
    </row>
    <row r="2045" spans="7:15" ht="12.75">
      <c r="G2045" s="35"/>
      <c r="N2045" s="15"/>
      <c r="O2045" s="37"/>
    </row>
    <row r="2046" spans="7:15" ht="12.75">
      <c r="G2046" s="35"/>
      <c r="N2046" s="15"/>
      <c r="O2046" s="37"/>
    </row>
    <row r="2047" spans="7:15" ht="12.75">
      <c r="G2047" s="35"/>
      <c r="N2047" s="15"/>
      <c r="O2047" s="37"/>
    </row>
    <row r="2048" spans="7:15" ht="12.75">
      <c r="G2048" s="35"/>
      <c r="N2048" s="15"/>
      <c r="O2048" s="37"/>
    </row>
    <row r="2049" spans="7:15" ht="12.75">
      <c r="G2049" s="35"/>
      <c r="N2049" s="15"/>
      <c r="O2049" s="37"/>
    </row>
    <row r="2050" spans="7:15" ht="12.75">
      <c r="G2050" s="35"/>
      <c r="N2050" s="15"/>
      <c r="O2050" s="37"/>
    </row>
    <row r="2051" spans="7:15" ht="12.75">
      <c r="G2051" s="35"/>
      <c r="N2051" s="15"/>
      <c r="O2051" s="37"/>
    </row>
    <row r="2052" spans="7:15" ht="12.75">
      <c r="G2052" s="35"/>
      <c r="N2052" s="15"/>
      <c r="O2052" s="37"/>
    </row>
    <row r="2053" spans="7:15" ht="12.75">
      <c r="G2053" s="35"/>
      <c r="N2053" s="15"/>
      <c r="O2053" s="37"/>
    </row>
    <row r="2054" spans="7:15" ht="12.75">
      <c r="G2054" s="35"/>
      <c r="N2054" s="15"/>
      <c r="O2054" s="37"/>
    </row>
    <row r="2055" spans="7:15" ht="12.75">
      <c r="G2055" s="35"/>
      <c r="N2055" s="15"/>
      <c r="O2055" s="37"/>
    </row>
    <row r="2056" spans="7:15" ht="12.75">
      <c r="G2056" s="35"/>
      <c r="N2056" s="15"/>
      <c r="O2056" s="37"/>
    </row>
    <row r="2057" spans="7:15" ht="12.75">
      <c r="G2057" s="35"/>
      <c r="N2057" s="15"/>
      <c r="O2057" s="37"/>
    </row>
    <row r="2058" spans="7:15" ht="12.75">
      <c r="N2058" s="15"/>
      <c r="O2058" s="37"/>
    </row>
    <row r="2059" spans="7:15" ht="12.75">
      <c r="N2059" s="15"/>
      <c r="O2059" s="37"/>
    </row>
    <row r="2060" spans="7:15" ht="12.75">
      <c r="N2060" s="15"/>
      <c r="O2060" s="37"/>
    </row>
    <row r="2061" spans="7:15" ht="12.75">
      <c r="N2061" s="15"/>
      <c r="O2061" s="37"/>
    </row>
    <row r="2062" spans="7:15" ht="12.75">
      <c r="N2062" s="15"/>
      <c r="O2062" s="37"/>
    </row>
    <row r="2063" spans="7:15" ht="12.75">
      <c r="N2063" s="15"/>
      <c r="O2063" s="37"/>
    </row>
    <row r="2064" spans="7:15" ht="12.75">
      <c r="N2064" s="15"/>
      <c r="O2064" s="37"/>
    </row>
    <row r="2065" spans="14:15" ht="12.75">
      <c r="N2065" s="15"/>
      <c r="O2065" s="37"/>
    </row>
    <row r="2066" spans="14:15" ht="12.75">
      <c r="N2066" s="15"/>
      <c r="O2066" s="37"/>
    </row>
    <row r="2067" spans="14:15" ht="12.75">
      <c r="N2067" s="15"/>
      <c r="O2067" s="37"/>
    </row>
    <row r="2068" spans="14:15" ht="12.75">
      <c r="N2068" s="15"/>
      <c r="O2068" s="37"/>
    </row>
    <row r="2069" spans="14:15" ht="12.75">
      <c r="N2069" s="15"/>
      <c r="O2069" s="37"/>
    </row>
    <row r="2070" spans="14:15" ht="12.75">
      <c r="N2070" s="15"/>
      <c r="O2070" s="37"/>
    </row>
    <row r="2071" spans="14:15" ht="12.75">
      <c r="N2071" s="15"/>
      <c r="O2071" s="37"/>
    </row>
    <row r="2072" spans="14:15" ht="12.75">
      <c r="N2072" s="15"/>
      <c r="O2072" s="37"/>
    </row>
    <row r="2073" spans="14:15" ht="12.75">
      <c r="N2073" s="15"/>
      <c r="O2073" s="37"/>
    </row>
    <row r="2074" spans="14:15" ht="12.75">
      <c r="N2074" s="15"/>
      <c r="O2074" s="37"/>
    </row>
    <row r="2075" spans="14:15" ht="12.75">
      <c r="N2075" s="15"/>
      <c r="O2075" s="37"/>
    </row>
    <row r="2076" spans="14:15" ht="12.75">
      <c r="N2076" s="15"/>
      <c r="O2076" s="37"/>
    </row>
    <row r="2077" spans="14:15" ht="12.75">
      <c r="N2077" s="15"/>
      <c r="O2077" s="37"/>
    </row>
    <row r="2078" spans="14:15" ht="12.75">
      <c r="N2078" s="15"/>
      <c r="O2078" s="37"/>
    </row>
    <row r="2079" spans="14:15" ht="12.75">
      <c r="N2079" s="15"/>
      <c r="O2079" s="37"/>
    </row>
    <row r="2080" spans="14:15" ht="12.75">
      <c r="N2080" s="15"/>
      <c r="O2080" s="37"/>
    </row>
    <row r="2081" spans="14:15" ht="12.75">
      <c r="N2081" s="15"/>
      <c r="O2081" s="37"/>
    </row>
    <row r="2082" spans="14:15" ht="12.75">
      <c r="N2082" s="15"/>
      <c r="O2082" s="37"/>
    </row>
    <row r="2083" spans="14:15" ht="12.75">
      <c r="N2083" s="15"/>
      <c r="O2083" s="37"/>
    </row>
    <row r="2084" spans="14:15" ht="12.75">
      <c r="N2084" s="15"/>
      <c r="O2084" s="37"/>
    </row>
    <row r="2085" spans="14:15" ht="12.75">
      <c r="N2085" s="15"/>
      <c r="O2085" s="37"/>
    </row>
    <row r="2086" spans="14:15" ht="12.75">
      <c r="N2086" s="15"/>
      <c r="O2086" s="37"/>
    </row>
    <row r="2087" spans="14:15" ht="12.75">
      <c r="N2087" s="15"/>
      <c r="O2087" s="37"/>
    </row>
    <row r="2088" spans="14:15" ht="12.75">
      <c r="N2088" s="15"/>
      <c r="O2088" s="37"/>
    </row>
    <row r="2089" spans="14:15" ht="12.75">
      <c r="N2089" s="15"/>
      <c r="O2089" s="37"/>
    </row>
    <row r="2090" spans="14:15" ht="12.75">
      <c r="N2090" s="15"/>
      <c r="O2090" s="37"/>
    </row>
    <row r="2091" spans="14:15" ht="12.75">
      <c r="N2091" s="15"/>
      <c r="O2091" s="37"/>
    </row>
    <row r="2092" spans="14:15" ht="12.75">
      <c r="N2092" s="15"/>
      <c r="O2092" s="37"/>
    </row>
    <row r="2093" spans="14:15" ht="12.75">
      <c r="N2093" s="15"/>
      <c r="O2093" s="37"/>
    </row>
    <row r="2094" spans="14:15" ht="12.75">
      <c r="N2094" s="15"/>
      <c r="O2094" s="37"/>
    </row>
    <row r="2095" spans="14:15" ht="12.75">
      <c r="N2095" s="15"/>
      <c r="O2095" s="37"/>
    </row>
    <row r="2096" spans="14:15" ht="12.75">
      <c r="N2096" s="15"/>
      <c r="O2096" s="37"/>
    </row>
    <row r="2097" spans="14:15" ht="12.75">
      <c r="N2097" s="15"/>
      <c r="O2097" s="37"/>
    </row>
    <row r="2098" spans="14:15" ht="12.75">
      <c r="N2098" s="15"/>
      <c r="O2098" s="37"/>
    </row>
    <row r="2099" spans="14:15" ht="12.75">
      <c r="N2099" s="15"/>
      <c r="O2099" s="37"/>
    </row>
    <row r="2100" spans="14:15" ht="12.75">
      <c r="N2100" s="15"/>
      <c r="O2100" s="37"/>
    </row>
    <row r="2101" spans="14:15" ht="12.75">
      <c r="N2101" s="15"/>
      <c r="O2101" s="37"/>
    </row>
    <row r="2102" spans="14:15" ht="12.75">
      <c r="N2102" s="15"/>
      <c r="O2102" s="37"/>
    </row>
    <row r="2103" spans="14:15" ht="12.75">
      <c r="N2103" s="15"/>
      <c r="O2103" s="37"/>
    </row>
    <row r="2104" spans="14:15" ht="12.75">
      <c r="N2104" s="15"/>
      <c r="O2104" s="37"/>
    </row>
    <row r="2105" spans="14:15" ht="12.75">
      <c r="N2105" s="15"/>
      <c r="O2105" s="37"/>
    </row>
    <row r="2106" spans="14:15" ht="12.75">
      <c r="N2106" s="15"/>
      <c r="O2106" s="37"/>
    </row>
    <row r="2107" spans="14:15" ht="12.75">
      <c r="N2107" s="15"/>
      <c r="O2107" s="37"/>
    </row>
    <row r="2108" spans="14:15" ht="12.75">
      <c r="N2108" s="15"/>
      <c r="O2108" s="37"/>
    </row>
    <row r="2109" spans="14:15" ht="12.75">
      <c r="N2109" s="15"/>
      <c r="O2109" s="37"/>
    </row>
    <row r="2110" spans="14:15" ht="12.75">
      <c r="N2110" s="15"/>
      <c r="O2110" s="37"/>
    </row>
    <row r="2111" spans="14:15" ht="12.75">
      <c r="N2111" s="15"/>
      <c r="O2111" s="37"/>
    </row>
    <row r="2112" spans="14:15" ht="12.75">
      <c r="N2112" s="15"/>
      <c r="O2112" s="37"/>
    </row>
    <row r="2113" spans="14:15" ht="12.75">
      <c r="N2113" s="15"/>
      <c r="O2113" s="37"/>
    </row>
    <row r="2114" spans="14:15" ht="12.75">
      <c r="N2114" s="15"/>
      <c r="O2114" s="37"/>
    </row>
    <row r="2115" spans="14:15" ht="12.75">
      <c r="N2115" s="15"/>
      <c r="O2115" s="37"/>
    </row>
    <row r="2116" spans="14:15" ht="12.75">
      <c r="N2116" s="15"/>
      <c r="O2116" s="37"/>
    </row>
    <row r="2117" spans="14:15" ht="12.75">
      <c r="N2117" s="15"/>
      <c r="O2117" s="37"/>
    </row>
    <row r="2118" spans="14:15" ht="12.75">
      <c r="N2118" s="15"/>
      <c r="O2118" s="37"/>
    </row>
    <row r="2119" spans="14:15" ht="12.75">
      <c r="N2119" s="15"/>
      <c r="O2119" s="37"/>
    </row>
    <row r="2120" spans="14:15" ht="12.75">
      <c r="N2120" s="15"/>
      <c r="O2120" s="37"/>
    </row>
    <row r="2121" spans="14:15" ht="12.75">
      <c r="N2121" s="15"/>
      <c r="O2121" s="37"/>
    </row>
    <row r="2122" spans="14:15" ht="12.75">
      <c r="N2122" s="15"/>
      <c r="O2122" s="37"/>
    </row>
    <row r="2123" spans="14:15" ht="12.75">
      <c r="N2123" s="15"/>
      <c r="O2123" s="37"/>
    </row>
    <row r="2124" spans="14:15" ht="12.75">
      <c r="N2124" s="15"/>
      <c r="O2124" s="37"/>
    </row>
    <row r="2125" spans="14:15" ht="12.75">
      <c r="N2125" s="15"/>
      <c r="O2125" s="37"/>
    </row>
    <row r="2126" spans="14:15" ht="12.75">
      <c r="N2126" s="15"/>
      <c r="O2126" s="37"/>
    </row>
    <row r="2127" spans="14:15" ht="12.75">
      <c r="N2127" s="15"/>
      <c r="O2127" s="37"/>
    </row>
    <row r="2128" spans="14:15" ht="12.75">
      <c r="N2128" s="15"/>
      <c r="O2128" s="37"/>
    </row>
    <row r="2129" spans="14:15" ht="12.75">
      <c r="N2129" s="15"/>
      <c r="O2129" s="37"/>
    </row>
    <row r="2130" spans="14:15" ht="12.75">
      <c r="N2130" s="15"/>
      <c r="O2130" s="37"/>
    </row>
    <row r="2131" spans="14:15" ht="12.75">
      <c r="N2131" s="15"/>
      <c r="O2131" s="37"/>
    </row>
    <row r="2132" spans="14:15" ht="12.75">
      <c r="N2132" s="15"/>
      <c r="O2132" s="37"/>
    </row>
    <row r="2133" spans="14:15" ht="12.75">
      <c r="N2133" s="15"/>
      <c r="O2133" s="37"/>
    </row>
    <row r="2134" spans="14:15" ht="12.75">
      <c r="N2134" s="15"/>
      <c r="O2134" s="37"/>
    </row>
    <row r="2135" spans="14:15" ht="12.75">
      <c r="N2135" s="15"/>
      <c r="O2135" s="37"/>
    </row>
    <row r="2136" spans="14:15" ht="12.75">
      <c r="N2136" s="15"/>
      <c r="O2136" s="37"/>
    </row>
    <row r="2137" spans="14:15" ht="12.75">
      <c r="N2137" s="15"/>
      <c r="O2137" s="37"/>
    </row>
    <row r="2138" spans="14:15" ht="12.75">
      <c r="N2138" s="15"/>
      <c r="O2138" s="37"/>
    </row>
    <row r="2139" spans="14:15" ht="12.75">
      <c r="N2139" s="15"/>
      <c r="O2139" s="37"/>
    </row>
    <row r="2140" spans="14:15" ht="12.75">
      <c r="N2140" s="15"/>
      <c r="O2140" s="37"/>
    </row>
    <row r="2141" spans="14:15" ht="12.75">
      <c r="N2141" s="15"/>
      <c r="O2141" s="37"/>
    </row>
    <row r="2142" spans="14:15" ht="12.75">
      <c r="N2142" s="15"/>
      <c r="O2142" s="37"/>
    </row>
    <row r="2143" spans="14:15" ht="12.75">
      <c r="N2143" s="15"/>
      <c r="O2143" s="37"/>
    </row>
    <row r="2144" spans="14:15" ht="12.75">
      <c r="N2144" s="15"/>
      <c r="O2144" s="37"/>
    </row>
    <row r="2145" spans="14:15" ht="12.75">
      <c r="N2145" s="15"/>
      <c r="O2145" s="37"/>
    </row>
    <row r="2146" spans="14:15" ht="12.75">
      <c r="N2146" s="15"/>
      <c r="O2146" s="37"/>
    </row>
    <row r="2147" spans="14:15" ht="12.75">
      <c r="N2147" s="15"/>
      <c r="O2147" s="37"/>
    </row>
    <row r="2148" spans="14:15" ht="12.75">
      <c r="N2148" s="15"/>
      <c r="O2148" s="37"/>
    </row>
    <row r="2149" spans="14:15" ht="12.75">
      <c r="N2149" s="15"/>
      <c r="O2149" s="37"/>
    </row>
    <row r="2150" spans="14:15" ht="12.75">
      <c r="N2150" s="15"/>
      <c r="O2150" s="37"/>
    </row>
    <row r="2151" spans="14:15" ht="12.75">
      <c r="N2151" s="15"/>
      <c r="O2151" s="37"/>
    </row>
    <row r="2152" spans="14:15" ht="12.75">
      <c r="N2152" s="15"/>
      <c r="O2152" s="37"/>
    </row>
    <row r="2153" spans="14:15" ht="12.75">
      <c r="N2153" s="15"/>
      <c r="O2153" s="37"/>
    </row>
    <row r="2154" spans="14:15" ht="12.75">
      <c r="N2154" s="15"/>
      <c r="O2154" s="37"/>
    </row>
    <row r="2155" spans="14:15" ht="12.75">
      <c r="N2155" s="15"/>
      <c r="O2155" s="37"/>
    </row>
    <row r="2156" spans="14:15" ht="12.75">
      <c r="N2156" s="15"/>
      <c r="O2156" s="37"/>
    </row>
    <row r="2157" spans="14:15" ht="12.75">
      <c r="N2157" s="15"/>
      <c r="O2157" s="37"/>
    </row>
    <row r="2158" spans="14:15" ht="12.75">
      <c r="N2158" s="15"/>
      <c r="O2158" s="37"/>
    </row>
    <row r="2159" spans="14:15" ht="12.75">
      <c r="N2159" s="15"/>
      <c r="O2159" s="37"/>
    </row>
    <row r="2160" spans="14:15" ht="12.75">
      <c r="N2160" s="15"/>
      <c r="O2160" s="37"/>
    </row>
  </sheetData>
  <autoFilter ref="A2:O1854" xr:uid="{00000000-0009-0000-0000-000001000000}">
    <filterColumn colId="12">
      <filters>
        <filter val="11"/>
        <filter val="21"/>
        <filter val="281"/>
        <filter val="3"/>
        <filter val="41"/>
        <filter val="59"/>
        <filter val="74"/>
        <filter val="9"/>
      </filters>
    </filterColumn>
  </autoFilter>
  <pageMargins left="0.11811023622047245" right="0.11811023622047245" top="0.39370078740157483" bottom="0.39370078740157483" header="0" footer="0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2059"/>
  <sheetViews>
    <sheetView workbookViewId="0">
      <selection activeCell="D14" sqref="D14"/>
    </sheetView>
  </sheetViews>
  <sheetFormatPr defaultRowHeight="15"/>
  <cols>
    <col min="1" max="1" width="13.140625" style="15" customWidth="1"/>
    <col min="2" max="2" width="25" style="16" bestFit="1" customWidth="1"/>
    <col min="3" max="3" width="20.85546875" customWidth="1"/>
    <col min="4" max="4" width="9.85546875" bestFit="1" customWidth="1"/>
    <col min="5" max="5" width="15.42578125" bestFit="1" customWidth="1"/>
    <col min="6" max="11" width="9.140625" customWidth="1"/>
    <col min="12" max="12" width="11.5703125" style="42" customWidth="1"/>
  </cols>
  <sheetData>
    <row r="1" spans="1:12">
      <c r="A1" s="173" t="s">
        <v>0</v>
      </c>
      <c r="B1" s="2" t="s">
        <v>1</v>
      </c>
      <c r="C1" s="3" t="s">
        <v>616</v>
      </c>
      <c r="D1" s="3" t="s">
        <v>3</v>
      </c>
      <c r="E1" s="4" t="s">
        <v>4</v>
      </c>
      <c r="L1" s="5">
        <f>SUM(E:E)</f>
        <v>0</v>
      </c>
    </row>
    <row r="2" spans="1:12">
      <c r="A2" s="174" t="s">
        <v>617</v>
      </c>
      <c r="B2" s="7" t="s">
        <v>349</v>
      </c>
      <c r="C2" s="8">
        <f>SUMIF(Insumos_Infra!$B:$B,Custo_MI_Infra!$B2,Insumos_Infra!$M:$M)</f>
        <v>22.962533333333333</v>
      </c>
      <c r="D2" s="8"/>
      <c r="E2" s="8">
        <f>C2*D2</f>
        <v>0</v>
      </c>
      <c r="L2"/>
    </row>
    <row r="3" spans="1:12">
      <c r="A3" s="175" t="s">
        <v>617</v>
      </c>
      <c r="B3" s="11" t="s">
        <v>357</v>
      </c>
      <c r="C3" s="8">
        <f>SUMIF(Insumos_Infra!$B:$B,Custo_MI_Infra!$B3,Insumos_Infra!$M:$M)</f>
        <v>32.236977777777774</v>
      </c>
      <c r="D3" s="8"/>
      <c r="E3" s="8">
        <f t="shared" ref="E3:E16" si="0">C3*D3</f>
        <v>0</v>
      </c>
      <c r="L3"/>
    </row>
    <row r="4" spans="1:12">
      <c r="A4" s="174" t="s">
        <v>617</v>
      </c>
      <c r="B4" s="7" t="s">
        <v>378</v>
      </c>
      <c r="C4" s="8">
        <f>SUMIF(Insumos_Infra!$B:$B,Custo_MI_Infra!$B4,Insumos_Infra!$M:$M)</f>
        <v>39.480311111111114</v>
      </c>
      <c r="D4" s="8"/>
      <c r="E4" s="8">
        <f t="shared" si="0"/>
        <v>0</v>
      </c>
      <c r="L4"/>
    </row>
    <row r="5" spans="1:12">
      <c r="A5" s="175" t="s">
        <v>617</v>
      </c>
      <c r="B5" s="11" t="s">
        <v>407</v>
      </c>
      <c r="C5" s="8">
        <f>SUMIF(Insumos_Infra!$B:$B,Custo_MI_Infra!$B5,Insumos_Infra!$M:$M)</f>
        <v>59.76253333333333</v>
      </c>
      <c r="D5" s="8"/>
      <c r="E5" s="8">
        <f t="shared" si="0"/>
        <v>0</v>
      </c>
      <c r="L5"/>
    </row>
    <row r="6" spans="1:12">
      <c r="A6" s="174" t="s">
        <v>617</v>
      </c>
      <c r="B6" s="7" t="s">
        <v>428</v>
      </c>
      <c r="C6" s="8">
        <f>SUMIF(Insumos_Infra!$B:$B,Custo_MI_Infra!$B6,Insumos_Infra!$M:$M)</f>
        <v>47.790311111111102</v>
      </c>
      <c r="D6" s="8"/>
      <c r="E6" s="8">
        <f t="shared" si="0"/>
        <v>0</v>
      </c>
      <c r="L6"/>
    </row>
    <row r="7" spans="1:12">
      <c r="A7" s="175" t="s">
        <v>617</v>
      </c>
      <c r="B7" s="11" t="s">
        <v>448</v>
      </c>
      <c r="C7" s="8">
        <f>SUMIF(Insumos_Infra!$B:$B,Custo_MI_Infra!$B7,Insumos_Infra!$M:$M)</f>
        <v>73.621422222222208</v>
      </c>
      <c r="D7" s="8"/>
      <c r="E7" s="8">
        <f t="shared" si="0"/>
        <v>0</v>
      </c>
      <c r="L7"/>
    </row>
    <row r="8" spans="1:12">
      <c r="A8" s="174" t="s">
        <v>617</v>
      </c>
      <c r="B8" s="7" t="s">
        <v>473</v>
      </c>
      <c r="C8" s="8">
        <f>SUMIF(Insumos_Infra!$B:$B,Custo_MI_Infra!$B8,Insumos_Infra!$M:$M)</f>
        <v>18.026422222222216</v>
      </c>
      <c r="D8" s="8"/>
      <c r="E8" s="8">
        <f t="shared" si="0"/>
        <v>0</v>
      </c>
      <c r="L8"/>
    </row>
    <row r="9" spans="1:12">
      <c r="A9" s="175" t="s">
        <v>617</v>
      </c>
      <c r="B9" s="11" t="s">
        <v>479</v>
      </c>
      <c r="C9" s="8">
        <f>SUMIF(Insumos_Infra!$B:$B,Custo_MI_Infra!$B9,Insumos_Infra!$M:$M)</f>
        <v>26.058088888888882</v>
      </c>
      <c r="D9" s="8"/>
      <c r="E9" s="8">
        <f t="shared" si="0"/>
        <v>0</v>
      </c>
      <c r="L9"/>
    </row>
    <row r="10" spans="1:12" ht="25.5">
      <c r="A10" s="174" t="s">
        <v>617</v>
      </c>
      <c r="B10" s="7" t="s">
        <v>488</v>
      </c>
      <c r="C10" s="8">
        <f>SUMIF(Insumos_Infra!$B:$B,Custo_MI_Infra!$B10,Insumos_Infra!$M:$M)</f>
        <v>61.88475555555555</v>
      </c>
      <c r="D10" s="8"/>
      <c r="E10" s="8">
        <f t="shared" si="0"/>
        <v>0</v>
      </c>
      <c r="L10"/>
    </row>
    <row r="11" spans="1:12" ht="25.5">
      <c r="A11" s="175" t="s">
        <v>617</v>
      </c>
      <c r="B11" s="11" t="s">
        <v>513</v>
      </c>
      <c r="C11" s="8">
        <f>SUMIF(Insumos_Infra!$B:$B,Custo_MI_Infra!$B11,Insumos_Infra!$M:$M)</f>
        <v>81.693399999999997</v>
      </c>
      <c r="D11" s="8"/>
      <c r="E11" s="8">
        <f t="shared" si="0"/>
        <v>0</v>
      </c>
      <c r="L11"/>
    </row>
    <row r="12" spans="1:12" ht="25.5">
      <c r="A12" s="174" t="s">
        <v>617</v>
      </c>
      <c r="B12" s="7" t="s">
        <v>521</v>
      </c>
      <c r="C12" s="8">
        <f>SUMIF(Insumos_Infra!$B:$B,Custo_MI_Infra!$B12,Insumos_Infra!$M:$M)</f>
        <v>98.903399999999991</v>
      </c>
      <c r="D12" s="8"/>
      <c r="E12" s="8">
        <f t="shared" si="0"/>
        <v>0</v>
      </c>
      <c r="L12"/>
    </row>
    <row r="13" spans="1:12">
      <c r="A13" s="175" t="s">
        <v>617</v>
      </c>
      <c r="B13" s="11" t="s">
        <v>529</v>
      </c>
      <c r="C13" s="8">
        <f>SUMIF(Insumos_Infra!$B:$B,Custo_MI_Infra!$B13,Insumos_Infra!$M:$M)</f>
        <v>32.56753333333333</v>
      </c>
      <c r="D13" s="8"/>
      <c r="E13" s="8">
        <f t="shared" si="0"/>
        <v>0</v>
      </c>
      <c r="L13"/>
    </row>
    <row r="14" spans="1:12">
      <c r="A14" s="174" t="s">
        <v>617</v>
      </c>
      <c r="B14" s="7" t="s">
        <v>552</v>
      </c>
      <c r="C14" s="8">
        <f>SUMIF(Insumos_Infra!$B:$B,Custo_MI_Infra!$B14,Insumos_Infra!$M:$M)</f>
        <v>18.799199999999999</v>
      </c>
      <c r="D14" s="8"/>
      <c r="E14" s="8">
        <f t="shared" si="0"/>
        <v>0</v>
      </c>
      <c r="L14"/>
    </row>
    <row r="15" spans="1:12">
      <c r="A15" s="175" t="s">
        <v>617</v>
      </c>
      <c r="B15" s="11" t="s">
        <v>569</v>
      </c>
      <c r="C15" s="8">
        <f>SUMIF(Insumos_Infra!$B:$B,Custo_MI_Infra!$B15,Insumos_Infra!$M:$M)</f>
        <v>80.100866666666661</v>
      </c>
      <c r="D15" s="8"/>
      <c r="E15" s="8">
        <f t="shared" si="0"/>
        <v>0</v>
      </c>
      <c r="L15"/>
    </row>
    <row r="16" spans="1:12">
      <c r="A16" s="176" t="s">
        <v>617</v>
      </c>
      <c r="B16" s="13" t="s">
        <v>591</v>
      </c>
      <c r="C16" s="8">
        <f>SUMIF(Insumos_Infra!$B:$B,Custo_MI_Infra!$B16,Insumos_Infra!$M:$M)</f>
        <v>27.043088888888889</v>
      </c>
      <c r="D16" s="8"/>
      <c r="E16" s="8">
        <f t="shared" si="0"/>
        <v>0</v>
      </c>
      <c r="L16"/>
    </row>
    <row r="17" spans="1:12">
      <c r="A17" s="176" t="s">
        <v>617</v>
      </c>
      <c r="B17" s="13" t="s">
        <v>618</v>
      </c>
      <c r="C17" s="8">
        <f>SUMIF(Insumos_Infra!$B:$B,Custo_MI_Infra!$B17,Insumos_Infra!$M:$M)</f>
        <v>0</v>
      </c>
      <c r="D17" s="8"/>
      <c r="E17" s="8">
        <f>C17*D17</f>
        <v>0</v>
      </c>
      <c r="L17"/>
    </row>
    <row r="18" spans="1:12">
      <c r="A18"/>
      <c r="B18"/>
      <c r="L18"/>
    </row>
    <row r="19" spans="1:12">
      <c r="A19"/>
      <c r="B19"/>
      <c r="L19"/>
    </row>
    <row r="20" spans="1:12">
      <c r="A20"/>
      <c r="B20"/>
      <c r="L20"/>
    </row>
    <row r="21" spans="1:12">
      <c r="A21"/>
      <c r="B21"/>
      <c r="L21"/>
    </row>
    <row r="22" spans="1:12">
      <c r="A22"/>
      <c r="B22"/>
      <c r="L22"/>
    </row>
    <row r="23" spans="1:12">
      <c r="A23"/>
      <c r="B23"/>
      <c r="L23"/>
    </row>
    <row r="24" spans="1:12">
      <c r="A24"/>
      <c r="B24"/>
      <c r="L24"/>
    </row>
    <row r="25" spans="1:12">
      <c r="A25"/>
      <c r="B25"/>
      <c r="L25"/>
    </row>
    <row r="26" spans="1:12">
      <c r="A26"/>
      <c r="B26"/>
      <c r="L26"/>
    </row>
    <row r="27" spans="1:12">
      <c r="A27"/>
      <c r="B27"/>
      <c r="L27"/>
    </row>
    <row r="28" spans="1:12">
      <c r="A28"/>
      <c r="B28"/>
      <c r="L28"/>
    </row>
    <row r="29" spans="1:12">
      <c r="A29"/>
      <c r="B29"/>
      <c r="L29"/>
    </row>
    <row r="30" spans="1:12">
      <c r="A30"/>
      <c r="B30"/>
      <c r="L30"/>
    </row>
    <row r="31" spans="1:12">
      <c r="A31"/>
      <c r="B31"/>
      <c r="L31"/>
    </row>
    <row r="32" spans="1:12">
      <c r="A32"/>
      <c r="B32"/>
      <c r="L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295"/>
  <sheetViews>
    <sheetView zoomScale="90" zoomScaleNormal="90" workbookViewId="0">
      <pane ySplit="2" topLeftCell="A3" activePane="bottomLeft" state="frozen"/>
      <selection activeCell="C79" sqref="C79"/>
      <selection pane="bottomLeft" activeCell="A3" sqref="A3"/>
    </sheetView>
  </sheetViews>
  <sheetFormatPr defaultColWidth="9.140625" defaultRowHeight="13.5"/>
  <cols>
    <col min="1" max="1" width="8.42578125" style="41" customWidth="1"/>
    <col min="2" max="2" width="24" style="42" bestFit="1" customWidth="1"/>
    <col min="3" max="3" width="12.85546875" style="42" customWidth="1"/>
    <col min="4" max="4" width="60.140625" style="42" customWidth="1"/>
    <col min="5" max="5" width="12.140625" style="42" bestFit="1" customWidth="1"/>
    <col min="6" max="6" width="7.28515625" style="42" customWidth="1"/>
    <col min="7" max="7" width="7.140625" style="43" customWidth="1"/>
    <col min="8" max="8" width="11.28515625" style="42" customWidth="1"/>
    <col min="9" max="9" width="12.7109375" style="42" customWidth="1"/>
    <col min="10" max="10" width="12.42578125" style="42" customWidth="1"/>
    <col min="11" max="11" width="12.7109375" style="44" customWidth="1"/>
    <col min="12" max="12" width="11" style="45" customWidth="1"/>
    <col min="13" max="13" width="9.85546875" style="46" customWidth="1"/>
    <col min="14" max="14" width="12.42578125" style="46" customWidth="1"/>
    <col min="15" max="15" width="9.28515625" style="47" customWidth="1"/>
    <col min="16" max="16" width="15.42578125" style="46" bestFit="1" customWidth="1"/>
    <col min="17" max="16384" width="9.140625" style="49"/>
  </cols>
  <sheetData>
    <row r="1" spans="1:16" ht="23.25">
      <c r="P1" s="48">
        <f>SUM(P3:P262)</f>
        <v>0</v>
      </c>
    </row>
    <row r="2" spans="1:16" ht="27">
      <c r="A2" s="50" t="s">
        <v>337</v>
      </c>
      <c r="B2" s="50" t="s">
        <v>338</v>
      </c>
      <c r="C2" s="50" t="s">
        <v>125</v>
      </c>
      <c r="D2" s="50" t="s">
        <v>339</v>
      </c>
      <c r="E2" s="50" t="s">
        <v>340</v>
      </c>
      <c r="F2" s="50" t="s">
        <v>128</v>
      </c>
      <c r="G2" s="50" t="s">
        <v>129</v>
      </c>
      <c r="H2" s="50" t="s">
        <v>341</v>
      </c>
      <c r="I2" s="51" t="s">
        <v>342</v>
      </c>
      <c r="J2" s="51" t="s">
        <v>343</v>
      </c>
      <c r="K2" s="50" t="s">
        <v>344</v>
      </c>
      <c r="L2" s="50" t="s">
        <v>345</v>
      </c>
      <c r="M2" s="52" t="s">
        <v>346</v>
      </c>
      <c r="N2" s="52" t="s">
        <v>347</v>
      </c>
      <c r="O2" s="53" t="s">
        <v>348</v>
      </c>
      <c r="P2" s="52" t="s">
        <v>343</v>
      </c>
    </row>
    <row r="3" spans="1:16" ht="13.5" customHeight="1">
      <c r="A3" s="54">
        <v>118</v>
      </c>
      <c r="B3" s="55" t="s">
        <v>349</v>
      </c>
      <c r="C3" s="56">
        <v>73072900</v>
      </c>
      <c r="D3" s="57" t="s">
        <v>350</v>
      </c>
      <c r="E3" s="58" t="s">
        <v>351</v>
      </c>
      <c r="F3" s="54">
        <v>9</v>
      </c>
      <c r="G3" s="54" t="s">
        <v>137</v>
      </c>
      <c r="H3" s="57" t="s">
        <v>256</v>
      </c>
      <c r="I3" s="59">
        <v>1.85</v>
      </c>
      <c r="J3" s="60">
        <f t="shared" ref="J3:J66" si="0">F3*I3</f>
        <v>16.650000000000002</v>
      </c>
      <c r="K3" s="61" t="s">
        <v>351</v>
      </c>
      <c r="L3" s="62">
        <f t="shared" ref="L3:L13" si="1">F3/($F$13*3)</f>
        <v>0.5</v>
      </c>
      <c r="M3" s="59">
        <f>L3*I3</f>
        <v>0.92500000000000004</v>
      </c>
      <c r="N3" s="59">
        <f>IFERROR(VLOOKUP(B3,Custo_MI_Infra!B:E,3,FALSE),0)</f>
        <v>0</v>
      </c>
      <c r="O3" s="59">
        <f>N3*L3</f>
        <v>0</v>
      </c>
      <c r="P3" s="59">
        <f>O3*I3</f>
        <v>0</v>
      </c>
    </row>
    <row r="4" spans="1:16" ht="13.5" customHeight="1">
      <c r="A4" s="54">
        <v>95</v>
      </c>
      <c r="B4" s="55" t="s">
        <v>349</v>
      </c>
      <c r="C4" s="56">
        <v>73072900</v>
      </c>
      <c r="D4" s="57" t="s">
        <v>352</v>
      </c>
      <c r="E4" s="58" t="s">
        <v>320</v>
      </c>
      <c r="F4" s="54">
        <v>1</v>
      </c>
      <c r="G4" s="54" t="s">
        <v>137</v>
      </c>
      <c r="H4" s="57" t="s">
        <v>138</v>
      </c>
      <c r="I4" s="59">
        <v>0.65</v>
      </c>
      <c r="J4" s="60">
        <f t="shared" si="0"/>
        <v>0.65</v>
      </c>
      <c r="K4" s="61" t="s">
        <v>320</v>
      </c>
      <c r="L4" s="62">
        <f t="shared" si="1"/>
        <v>5.5555555555555552E-2</v>
      </c>
      <c r="M4" s="59">
        <f t="shared" ref="M4:M67" si="2">L4*I4</f>
        <v>3.6111111111111108E-2</v>
      </c>
      <c r="N4" s="59">
        <f>IFERROR(VLOOKUP(B4,Custo_MI_Infra!B:E,3,FALSE),0)</f>
        <v>0</v>
      </c>
      <c r="O4" s="59">
        <f t="shared" ref="O4:O67" si="3">N4*L4</f>
        <v>0</v>
      </c>
      <c r="P4" s="59">
        <f t="shared" ref="P4:P67" si="4">O4*I4</f>
        <v>0</v>
      </c>
    </row>
    <row r="5" spans="1:16" ht="13.5" customHeight="1">
      <c r="A5" s="54">
        <v>300</v>
      </c>
      <c r="B5" s="55" t="s">
        <v>349</v>
      </c>
      <c r="C5" s="56">
        <v>73071100</v>
      </c>
      <c r="D5" s="57" t="s">
        <v>353</v>
      </c>
      <c r="E5" s="58" t="s">
        <v>327</v>
      </c>
      <c r="F5" s="54">
        <v>1</v>
      </c>
      <c r="G5" s="54" t="s">
        <v>137</v>
      </c>
      <c r="H5" s="57" t="s">
        <v>138</v>
      </c>
      <c r="I5" s="59">
        <v>0.95</v>
      </c>
      <c r="J5" s="60">
        <f t="shared" si="0"/>
        <v>0.95</v>
      </c>
      <c r="K5" s="61" t="s">
        <v>327</v>
      </c>
      <c r="L5" s="62">
        <f t="shared" si="1"/>
        <v>5.5555555555555552E-2</v>
      </c>
      <c r="M5" s="59">
        <f t="shared" si="2"/>
        <v>5.2777777777777771E-2</v>
      </c>
      <c r="N5" s="59">
        <f>IFERROR(VLOOKUP(B5,Custo_MI_Infra!B:E,3,FALSE),0)</f>
        <v>0</v>
      </c>
      <c r="O5" s="59">
        <f t="shared" si="3"/>
        <v>0</v>
      </c>
      <c r="P5" s="59">
        <f t="shared" si="4"/>
        <v>0</v>
      </c>
    </row>
    <row r="6" spans="1:16" ht="13.5" customHeight="1">
      <c r="A6" s="54">
        <v>2805</v>
      </c>
      <c r="B6" s="55" t="s">
        <v>349</v>
      </c>
      <c r="C6" s="56">
        <v>72162100</v>
      </c>
      <c r="D6" s="57" t="s">
        <v>354</v>
      </c>
      <c r="E6" s="58" t="s">
        <v>355</v>
      </c>
      <c r="F6" s="54">
        <f>0.86*F13*3</f>
        <v>15.48</v>
      </c>
      <c r="G6" s="54" t="s">
        <v>175</v>
      </c>
      <c r="H6" s="57" t="s">
        <v>176</v>
      </c>
      <c r="I6" s="59">
        <v>4.22</v>
      </c>
      <c r="J6" s="60">
        <f t="shared" si="0"/>
        <v>65.325599999999994</v>
      </c>
      <c r="K6" s="61" t="s">
        <v>177</v>
      </c>
      <c r="L6" s="62">
        <f t="shared" si="1"/>
        <v>0.86</v>
      </c>
      <c r="M6" s="59">
        <f t="shared" si="2"/>
        <v>3.6291999999999995</v>
      </c>
      <c r="N6" s="59">
        <f>IFERROR(VLOOKUP(B6,Custo_MI_Infra!B:E,3,FALSE),0)</f>
        <v>0</v>
      </c>
      <c r="O6" s="59">
        <f t="shared" si="3"/>
        <v>0</v>
      </c>
      <c r="P6" s="59">
        <f t="shared" si="4"/>
        <v>0</v>
      </c>
    </row>
    <row r="7" spans="1:16" ht="27" customHeight="1">
      <c r="A7" s="54">
        <v>3500</v>
      </c>
      <c r="B7" s="55" t="s">
        <v>349</v>
      </c>
      <c r="C7" s="56">
        <v>76090000</v>
      </c>
      <c r="D7" s="57" t="s">
        <v>181</v>
      </c>
      <c r="E7" s="58" t="s">
        <v>182</v>
      </c>
      <c r="F7" s="54">
        <v>1</v>
      </c>
      <c r="G7" s="54" t="s">
        <v>137</v>
      </c>
      <c r="H7" s="57" t="s">
        <v>138</v>
      </c>
      <c r="I7" s="59">
        <v>8.1</v>
      </c>
      <c r="J7" s="60">
        <f t="shared" si="0"/>
        <v>8.1</v>
      </c>
      <c r="K7" s="61" t="s">
        <v>182</v>
      </c>
      <c r="L7" s="62">
        <f t="shared" si="1"/>
        <v>5.5555555555555552E-2</v>
      </c>
      <c r="M7" s="59">
        <f t="shared" si="2"/>
        <v>0.44999999999999996</v>
      </c>
      <c r="N7" s="59">
        <f>IFERROR(VLOOKUP(B7,Custo_MI_Infra!B:E,3,FALSE),0)</f>
        <v>0</v>
      </c>
      <c r="O7" s="59">
        <f t="shared" si="3"/>
        <v>0</v>
      </c>
      <c r="P7" s="59">
        <f t="shared" si="4"/>
        <v>0</v>
      </c>
    </row>
    <row r="8" spans="1:16" ht="27" customHeight="1">
      <c r="A8" s="54">
        <v>4869</v>
      </c>
      <c r="B8" s="55" t="s">
        <v>349</v>
      </c>
      <c r="C8" s="56">
        <v>76090000</v>
      </c>
      <c r="D8" s="57" t="s">
        <v>183</v>
      </c>
      <c r="E8" s="58" t="s">
        <v>184</v>
      </c>
      <c r="F8" s="54">
        <v>1</v>
      </c>
      <c r="G8" s="54" t="s">
        <v>137</v>
      </c>
      <c r="H8" s="57" t="s">
        <v>138</v>
      </c>
      <c r="I8" s="59">
        <v>8.1</v>
      </c>
      <c r="J8" s="60">
        <f t="shared" si="0"/>
        <v>8.1</v>
      </c>
      <c r="K8" s="61" t="s">
        <v>184</v>
      </c>
      <c r="L8" s="62">
        <f t="shared" si="1"/>
        <v>5.5555555555555552E-2</v>
      </c>
      <c r="M8" s="59">
        <f t="shared" si="2"/>
        <v>0.44999999999999996</v>
      </c>
      <c r="N8" s="59">
        <f>IFERROR(VLOOKUP(B8,Custo_MI_Infra!B:E,3,FALSE),0)</f>
        <v>0</v>
      </c>
      <c r="O8" s="59">
        <f t="shared" si="3"/>
        <v>0</v>
      </c>
      <c r="P8" s="59">
        <f t="shared" si="4"/>
        <v>0</v>
      </c>
    </row>
    <row r="9" spans="1:16" ht="27" customHeight="1">
      <c r="A9" s="54">
        <v>203</v>
      </c>
      <c r="B9" s="55" t="s">
        <v>349</v>
      </c>
      <c r="C9" s="56">
        <v>76090000</v>
      </c>
      <c r="D9" s="57" t="s">
        <v>185</v>
      </c>
      <c r="E9" s="58" t="s">
        <v>186</v>
      </c>
      <c r="F9" s="54">
        <v>1</v>
      </c>
      <c r="G9" s="54" t="s">
        <v>137</v>
      </c>
      <c r="H9" s="57" t="s">
        <v>138</v>
      </c>
      <c r="I9" s="59">
        <v>8.1</v>
      </c>
      <c r="J9" s="60">
        <f t="shared" si="0"/>
        <v>8.1</v>
      </c>
      <c r="K9" s="61" t="s">
        <v>186</v>
      </c>
      <c r="L9" s="62">
        <f t="shared" si="1"/>
        <v>5.5555555555555552E-2</v>
      </c>
      <c r="M9" s="59">
        <f t="shared" si="2"/>
        <v>0.44999999999999996</v>
      </c>
      <c r="N9" s="59">
        <f>IFERROR(VLOOKUP(B9,Custo_MI_Infra!B:E,3,FALSE),0)</f>
        <v>0</v>
      </c>
      <c r="O9" s="59">
        <f t="shared" si="3"/>
        <v>0</v>
      </c>
      <c r="P9" s="59">
        <f t="shared" si="4"/>
        <v>0</v>
      </c>
    </row>
    <row r="10" spans="1:16" ht="27" customHeight="1">
      <c r="A10" s="54">
        <v>2547</v>
      </c>
      <c r="B10" s="55" t="s">
        <v>349</v>
      </c>
      <c r="C10" s="56">
        <v>76090000</v>
      </c>
      <c r="D10" s="57" t="s">
        <v>187</v>
      </c>
      <c r="E10" s="58" t="s">
        <v>188</v>
      </c>
      <c r="F10" s="54">
        <v>1</v>
      </c>
      <c r="G10" s="54" t="s">
        <v>137</v>
      </c>
      <c r="H10" s="57" t="s">
        <v>138</v>
      </c>
      <c r="I10" s="59">
        <v>8.1</v>
      </c>
      <c r="J10" s="60">
        <f t="shared" si="0"/>
        <v>8.1</v>
      </c>
      <c r="K10" s="61" t="s">
        <v>188</v>
      </c>
      <c r="L10" s="62">
        <f t="shared" si="1"/>
        <v>5.5555555555555552E-2</v>
      </c>
      <c r="M10" s="59">
        <f t="shared" si="2"/>
        <v>0.44999999999999996</v>
      </c>
      <c r="N10" s="59">
        <f>IFERROR(VLOOKUP(B10,Custo_MI_Infra!B:E,3,FALSE),0)</f>
        <v>0</v>
      </c>
      <c r="O10" s="59">
        <f t="shared" si="3"/>
        <v>0</v>
      </c>
      <c r="P10" s="59">
        <f t="shared" si="4"/>
        <v>0</v>
      </c>
    </row>
    <row r="11" spans="1:16" ht="13.5" customHeight="1">
      <c r="A11" s="54">
        <v>4625</v>
      </c>
      <c r="B11" s="55" t="s">
        <v>349</v>
      </c>
      <c r="C11" s="56">
        <v>76090000</v>
      </c>
      <c r="D11" s="57" t="s">
        <v>189</v>
      </c>
      <c r="E11" s="58" t="s">
        <v>190</v>
      </c>
      <c r="F11" s="54">
        <v>1</v>
      </c>
      <c r="G11" s="54" t="s">
        <v>137</v>
      </c>
      <c r="H11" s="57" t="s">
        <v>138</v>
      </c>
      <c r="I11" s="59">
        <v>8.4499999999999993</v>
      </c>
      <c r="J11" s="60">
        <f t="shared" si="0"/>
        <v>8.4499999999999993</v>
      </c>
      <c r="K11" s="61" t="s">
        <v>190</v>
      </c>
      <c r="L11" s="62">
        <f t="shared" si="1"/>
        <v>5.5555555555555552E-2</v>
      </c>
      <c r="M11" s="59">
        <f t="shared" si="2"/>
        <v>0.46944444444444439</v>
      </c>
      <c r="N11" s="59">
        <f>IFERROR(VLOOKUP(B11,Custo_MI_Infra!B:E,3,FALSE),0)</f>
        <v>0</v>
      </c>
      <c r="O11" s="59">
        <f t="shared" si="3"/>
        <v>0</v>
      </c>
      <c r="P11" s="59">
        <f t="shared" si="4"/>
        <v>0</v>
      </c>
    </row>
    <row r="12" spans="1:16" ht="13.5" customHeight="1">
      <c r="A12" s="54">
        <v>2894</v>
      </c>
      <c r="B12" s="55" t="s">
        <v>349</v>
      </c>
      <c r="C12" s="56">
        <v>73063000</v>
      </c>
      <c r="D12" s="57" t="s">
        <v>356</v>
      </c>
      <c r="E12" s="58">
        <v>0</v>
      </c>
      <c r="F12" s="54">
        <v>1</v>
      </c>
      <c r="G12" s="54" t="s">
        <v>137</v>
      </c>
      <c r="H12" s="57" t="s">
        <v>233</v>
      </c>
      <c r="I12" s="59">
        <v>9.3000000000000007</v>
      </c>
      <c r="J12" s="60">
        <f t="shared" si="0"/>
        <v>9.3000000000000007</v>
      </c>
      <c r="K12" s="61" t="s">
        <v>236</v>
      </c>
      <c r="L12" s="62">
        <f t="shared" si="1"/>
        <v>5.5555555555555552E-2</v>
      </c>
      <c r="M12" s="59">
        <f t="shared" si="2"/>
        <v>0.51666666666666672</v>
      </c>
      <c r="N12" s="59">
        <f>IFERROR(VLOOKUP(B12,Custo_MI_Infra!B:E,3,FALSE),0)</f>
        <v>0</v>
      </c>
      <c r="O12" s="59">
        <f t="shared" si="3"/>
        <v>0</v>
      </c>
      <c r="P12" s="59">
        <f t="shared" si="4"/>
        <v>0</v>
      </c>
    </row>
    <row r="13" spans="1:16" ht="15.75" customHeight="1">
      <c r="A13" s="54">
        <v>2894</v>
      </c>
      <c r="B13" s="55" t="s">
        <v>349</v>
      </c>
      <c r="C13" s="56">
        <v>73063000</v>
      </c>
      <c r="D13" s="57" t="s">
        <v>235</v>
      </c>
      <c r="E13" s="58">
        <v>0</v>
      </c>
      <c r="F13" s="63">
        <v>6</v>
      </c>
      <c r="G13" s="54" t="s">
        <v>232</v>
      </c>
      <c r="H13" s="57" t="s">
        <v>233</v>
      </c>
      <c r="I13" s="59">
        <v>46.6</v>
      </c>
      <c r="J13" s="60">
        <f t="shared" si="0"/>
        <v>279.60000000000002</v>
      </c>
      <c r="K13" s="61" t="s">
        <v>236</v>
      </c>
      <c r="L13" s="62">
        <f t="shared" si="1"/>
        <v>0.33333333333333331</v>
      </c>
      <c r="M13" s="59">
        <f t="shared" si="2"/>
        <v>15.533333333333333</v>
      </c>
      <c r="N13" s="59">
        <f>IFERROR(VLOOKUP(B13,Custo_MI_Infra!B:E,3,FALSE),0)</f>
        <v>0</v>
      </c>
      <c r="O13" s="59">
        <f t="shared" si="3"/>
        <v>0</v>
      </c>
      <c r="P13" s="59">
        <f t="shared" si="4"/>
        <v>0</v>
      </c>
    </row>
    <row r="14" spans="1:16" s="73" customFormat="1" ht="15" customHeight="1">
      <c r="A14" s="64">
        <v>118</v>
      </c>
      <c r="B14" s="65" t="s">
        <v>357</v>
      </c>
      <c r="C14" s="66">
        <v>73072900</v>
      </c>
      <c r="D14" s="67" t="s">
        <v>350</v>
      </c>
      <c r="E14" s="68" t="s">
        <v>351</v>
      </c>
      <c r="F14" s="64">
        <v>9</v>
      </c>
      <c r="G14" s="64" t="s">
        <v>137</v>
      </c>
      <c r="H14" s="67" t="s">
        <v>256</v>
      </c>
      <c r="I14" s="69">
        <v>1.85</v>
      </c>
      <c r="J14" s="70">
        <f t="shared" si="0"/>
        <v>16.650000000000002</v>
      </c>
      <c r="K14" s="71" t="s">
        <v>351</v>
      </c>
      <c r="L14" s="72">
        <f t="shared" ref="L14:L25" si="5">F14/($F$25*3)</f>
        <v>0.5</v>
      </c>
      <c r="M14" s="69">
        <f t="shared" si="2"/>
        <v>0.92500000000000004</v>
      </c>
      <c r="N14" s="69">
        <f>IFERROR(VLOOKUP(B14,Custo_MI_Infra!B:E,3,FALSE),0)</f>
        <v>0</v>
      </c>
      <c r="O14" s="69">
        <f t="shared" si="3"/>
        <v>0</v>
      </c>
      <c r="P14" s="69">
        <f t="shared" si="4"/>
        <v>0</v>
      </c>
    </row>
    <row r="15" spans="1:16" s="73" customFormat="1" ht="15" customHeight="1">
      <c r="A15" s="64">
        <v>4928</v>
      </c>
      <c r="B15" s="65" t="s">
        <v>357</v>
      </c>
      <c r="C15" s="66">
        <v>73072900</v>
      </c>
      <c r="D15" s="67" t="s">
        <v>358</v>
      </c>
      <c r="E15" s="68" t="s">
        <v>359</v>
      </c>
      <c r="F15" s="64">
        <v>1</v>
      </c>
      <c r="G15" s="64" t="s">
        <v>137</v>
      </c>
      <c r="H15" s="67" t="s">
        <v>253</v>
      </c>
      <c r="I15" s="69">
        <v>4.4000000000000004</v>
      </c>
      <c r="J15" s="70">
        <f t="shared" si="0"/>
        <v>4.4000000000000004</v>
      </c>
      <c r="K15" s="71" t="s">
        <v>359</v>
      </c>
      <c r="L15" s="72">
        <f t="shared" si="5"/>
        <v>5.5555555555555552E-2</v>
      </c>
      <c r="M15" s="69">
        <f t="shared" si="2"/>
        <v>0.24444444444444446</v>
      </c>
      <c r="N15" s="69">
        <f>IFERROR(VLOOKUP(B15,Custo_MI_Infra!B:E,3,FALSE),0)</f>
        <v>0</v>
      </c>
      <c r="O15" s="69">
        <f t="shared" si="3"/>
        <v>0</v>
      </c>
      <c r="P15" s="69">
        <f t="shared" si="4"/>
        <v>0</v>
      </c>
    </row>
    <row r="16" spans="1:16" s="73" customFormat="1" ht="15" customHeight="1">
      <c r="A16" s="64">
        <v>96</v>
      </c>
      <c r="B16" s="65" t="s">
        <v>357</v>
      </c>
      <c r="C16" s="66">
        <v>73071100</v>
      </c>
      <c r="D16" s="67" t="s">
        <v>360</v>
      </c>
      <c r="E16" s="68" t="s">
        <v>361</v>
      </c>
      <c r="F16" s="64">
        <v>1</v>
      </c>
      <c r="G16" s="64" t="s">
        <v>137</v>
      </c>
      <c r="H16" s="67" t="s">
        <v>253</v>
      </c>
      <c r="I16" s="69">
        <v>5.3</v>
      </c>
      <c r="J16" s="70">
        <f t="shared" si="0"/>
        <v>5.3</v>
      </c>
      <c r="K16" s="71" t="s">
        <v>361</v>
      </c>
      <c r="L16" s="72">
        <f t="shared" si="5"/>
        <v>5.5555555555555552E-2</v>
      </c>
      <c r="M16" s="69">
        <f t="shared" si="2"/>
        <v>0.2944444444444444</v>
      </c>
      <c r="N16" s="69">
        <f>IFERROR(VLOOKUP(B16,Custo_MI_Infra!B:E,3,FALSE),0)</f>
        <v>0</v>
      </c>
      <c r="O16" s="69">
        <f t="shared" si="3"/>
        <v>0</v>
      </c>
      <c r="P16" s="69">
        <f t="shared" si="4"/>
        <v>0</v>
      </c>
    </row>
    <row r="17" spans="1:16" s="73" customFormat="1" ht="15" customHeight="1">
      <c r="A17" s="64">
        <v>74</v>
      </c>
      <c r="B17" s="65" t="s">
        <v>357</v>
      </c>
      <c r="C17" s="66">
        <v>73071100</v>
      </c>
      <c r="D17" s="67" t="s">
        <v>362</v>
      </c>
      <c r="E17" s="68" t="s">
        <v>363</v>
      </c>
      <c r="F17" s="64">
        <v>1</v>
      </c>
      <c r="G17" s="64" t="s">
        <v>137</v>
      </c>
      <c r="H17" s="67" t="s">
        <v>253</v>
      </c>
      <c r="I17" s="69">
        <v>6.95</v>
      </c>
      <c r="J17" s="70">
        <f t="shared" si="0"/>
        <v>6.95</v>
      </c>
      <c r="K17" s="71" t="s">
        <v>363</v>
      </c>
      <c r="L17" s="72">
        <f t="shared" si="5"/>
        <v>5.5555555555555552E-2</v>
      </c>
      <c r="M17" s="69">
        <f t="shared" si="2"/>
        <v>0.38611111111111113</v>
      </c>
      <c r="N17" s="69">
        <f>IFERROR(VLOOKUP(B17,Custo_MI_Infra!B:E,3,FALSE),0)</f>
        <v>0</v>
      </c>
      <c r="O17" s="69">
        <f t="shared" si="3"/>
        <v>0</v>
      </c>
      <c r="P17" s="69">
        <f t="shared" si="4"/>
        <v>0</v>
      </c>
    </row>
    <row r="18" spans="1:16" s="73" customFormat="1" ht="15" customHeight="1">
      <c r="A18" s="64">
        <v>320</v>
      </c>
      <c r="B18" s="65" t="s">
        <v>357</v>
      </c>
      <c r="C18" s="66">
        <v>73071100</v>
      </c>
      <c r="D18" s="67" t="s">
        <v>364</v>
      </c>
      <c r="E18" s="68" t="s">
        <v>365</v>
      </c>
      <c r="F18" s="64">
        <v>1</v>
      </c>
      <c r="G18" s="64" t="s">
        <v>137</v>
      </c>
      <c r="H18" s="67" t="s">
        <v>253</v>
      </c>
      <c r="I18" s="69">
        <v>5.44</v>
      </c>
      <c r="J18" s="70">
        <f t="shared" si="0"/>
        <v>5.44</v>
      </c>
      <c r="K18" s="71" t="s">
        <v>365</v>
      </c>
      <c r="L18" s="72">
        <f t="shared" si="5"/>
        <v>5.5555555555555552E-2</v>
      </c>
      <c r="M18" s="69">
        <f t="shared" si="2"/>
        <v>0.30222222222222223</v>
      </c>
      <c r="N18" s="69">
        <f>IFERROR(VLOOKUP(B18,Custo_MI_Infra!B:E,3,FALSE),0)</f>
        <v>0</v>
      </c>
      <c r="O18" s="69">
        <f t="shared" si="3"/>
        <v>0</v>
      </c>
      <c r="P18" s="69">
        <f t="shared" si="4"/>
        <v>0</v>
      </c>
    </row>
    <row r="19" spans="1:16" s="73" customFormat="1" ht="15" customHeight="1">
      <c r="A19" s="64">
        <v>2805</v>
      </c>
      <c r="B19" s="65" t="s">
        <v>357</v>
      </c>
      <c r="C19" s="66">
        <v>72162100</v>
      </c>
      <c r="D19" s="67" t="s">
        <v>354</v>
      </c>
      <c r="E19" s="68">
        <v>0</v>
      </c>
      <c r="F19" s="64">
        <f>0.86*F25*3</f>
        <v>15.48</v>
      </c>
      <c r="G19" s="64" t="s">
        <v>175</v>
      </c>
      <c r="H19" s="67" t="s">
        <v>176</v>
      </c>
      <c r="I19" s="69">
        <v>4.22</v>
      </c>
      <c r="J19" s="70">
        <f t="shared" si="0"/>
        <v>65.325599999999994</v>
      </c>
      <c r="K19" s="71" t="s">
        <v>177</v>
      </c>
      <c r="L19" s="72">
        <f t="shared" si="5"/>
        <v>0.86</v>
      </c>
      <c r="M19" s="69">
        <f t="shared" si="2"/>
        <v>3.6291999999999995</v>
      </c>
      <c r="N19" s="69">
        <f>IFERROR(VLOOKUP(B19,Custo_MI_Infra!B:E,3,FALSE),0)</f>
        <v>0</v>
      </c>
      <c r="O19" s="69">
        <f t="shared" si="3"/>
        <v>0</v>
      </c>
      <c r="P19" s="69">
        <f t="shared" si="4"/>
        <v>0</v>
      </c>
    </row>
    <row r="20" spans="1:16" s="73" customFormat="1" ht="15" customHeight="1">
      <c r="A20" s="64">
        <v>122</v>
      </c>
      <c r="B20" s="65" t="s">
        <v>357</v>
      </c>
      <c r="C20" s="66">
        <v>73071100</v>
      </c>
      <c r="D20" s="67" t="s">
        <v>366</v>
      </c>
      <c r="E20" s="68" t="s">
        <v>367</v>
      </c>
      <c r="F20" s="64">
        <v>1</v>
      </c>
      <c r="G20" s="64" t="s">
        <v>137</v>
      </c>
      <c r="H20" s="67" t="s">
        <v>149</v>
      </c>
      <c r="I20" s="69">
        <v>38</v>
      </c>
      <c r="J20" s="70">
        <f t="shared" si="0"/>
        <v>38</v>
      </c>
      <c r="K20" s="71" t="s">
        <v>367</v>
      </c>
      <c r="L20" s="72">
        <f t="shared" si="5"/>
        <v>5.5555555555555552E-2</v>
      </c>
      <c r="M20" s="69">
        <f t="shared" si="2"/>
        <v>2.1111111111111112</v>
      </c>
      <c r="N20" s="69">
        <f>IFERROR(VLOOKUP(B20,Custo_MI_Infra!B:E,3,FALSE),0)</f>
        <v>0</v>
      </c>
      <c r="O20" s="69">
        <f t="shared" si="3"/>
        <v>0</v>
      </c>
      <c r="P20" s="69">
        <f t="shared" si="4"/>
        <v>0</v>
      </c>
    </row>
    <row r="21" spans="1:16" s="73" customFormat="1" ht="27" customHeight="1">
      <c r="A21" s="64">
        <v>124</v>
      </c>
      <c r="B21" s="65" t="s">
        <v>357</v>
      </c>
      <c r="C21" s="66">
        <v>73071100</v>
      </c>
      <c r="D21" s="67" t="s">
        <v>368</v>
      </c>
      <c r="E21" s="68" t="s">
        <v>369</v>
      </c>
      <c r="F21" s="64">
        <v>1</v>
      </c>
      <c r="G21" s="64" t="s">
        <v>137</v>
      </c>
      <c r="H21" s="67" t="s">
        <v>149</v>
      </c>
      <c r="I21" s="69">
        <v>38</v>
      </c>
      <c r="J21" s="70">
        <f t="shared" si="0"/>
        <v>38</v>
      </c>
      <c r="K21" s="71" t="s">
        <v>369</v>
      </c>
      <c r="L21" s="72">
        <f t="shared" si="5"/>
        <v>5.5555555555555552E-2</v>
      </c>
      <c r="M21" s="69">
        <f t="shared" si="2"/>
        <v>2.1111111111111112</v>
      </c>
      <c r="N21" s="69">
        <f>IFERROR(VLOOKUP(B21,Custo_MI_Infra!B:E,3,FALSE),0)</f>
        <v>0</v>
      </c>
      <c r="O21" s="69">
        <f t="shared" si="3"/>
        <v>0</v>
      </c>
      <c r="P21" s="69">
        <f t="shared" si="4"/>
        <v>0</v>
      </c>
    </row>
    <row r="22" spans="1:16" s="73" customFormat="1" ht="15" customHeight="1">
      <c r="A22" s="64">
        <v>125</v>
      </c>
      <c r="B22" s="65" t="s">
        <v>357</v>
      </c>
      <c r="C22" s="66">
        <v>73071100</v>
      </c>
      <c r="D22" s="67" t="s">
        <v>370</v>
      </c>
      <c r="E22" s="68" t="s">
        <v>371</v>
      </c>
      <c r="F22" s="64">
        <v>1</v>
      </c>
      <c r="G22" s="64" t="s">
        <v>137</v>
      </c>
      <c r="H22" s="67" t="s">
        <v>149</v>
      </c>
      <c r="I22" s="69">
        <v>38</v>
      </c>
      <c r="J22" s="70">
        <f t="shared" si="0"/>
        <v>38</v>
      </c>
      <c r="K22" s="71" t="s">
        <v>371</v>
      </c>
      <c r="L22" s="72">
        <f t="shared" si="5"/>
        <v>5.5555555555555552E-2</v>
      </c>
      <c r="M22" s="69">
        <f t="shared" si="2"/>
        <v>2.1111111111111112</v>
      </c>
      <c r="N22" s="69">
        <f>IFERROR(VLOOKUP(B22,Custo_MI_Infra!B:E,3,FALSE),0)</f>
        <v>0</v>
      </c>
      <c r="O22" s="69">
        <f t="shared" si="3"/>
        <v>0</v>
      </c>
      <c r="P22" s="69">
        <f t="shared" si="4"/>
        <v>0</v>
      </c>
    </row>
    <row r="23" spans="1:16" s="73" customFormat="1" ht="27" customHeight="1">
      <c r="A23" s="64">
        <v>126</v>
      </c>
      <c r="B23" s="65" t="s">
        <v>357</v>
      </c>
      <c r="C23" s="66">
        <v>73071100</v>
      </c>
      <c r="D23" s="67" t="s">
        <v>372</v>
      </c>
      <c r="E23" s="68" t="s">
        <v>373</v>
      </c>
      <c r="F23" s="64">
        <v>1</v>
      </c>
      <c r="G23" s="64" t="s">
        <v>137</v>
      </c>
      <c r="H23" s="67" t="s">
        <v>149</v>
      </c>
      <c r="I23" s="69">
        <v>38</v>
      </c>
      <c r="J23" s="70">
        <f t="shared" si="0"/>
        <v>38</v>
      </c>
      <c r="K23" s="71" t="s">
        <v>373</v>
      </c>
      <c r="L23" s="72">
        <f t="shared" si="5"/>
        <v>5.5555555555555552E-2</v>
      </c>
      <c r="M23" s="69">
        <f t="shared" si="2"/>
        <v>2.1111111111111112</v>
      </c>
      <c r="N23" s="69">
        <f>IFERROR(VLOOKUP(B23,Custo_MI_Infra!B:E,3,FALSE),0)</f>
        <v>0</v>
      </c>
      <c r="O23" s="69">
        <f t="shared" si="3"/>
        <v>0</v>
      </c>
      <c r="P23" s="69">
        <f t="shared" si="4"/>
        <v>0</v>
      </c>
    </row>
    <row r="24" spans="1:16" s="73" customFormat="1" ht="15" customHeight="1">
      <c r="A24" s="64">
        <v>128</v>
      </c>
      <c r="B24" s="65" t="s">
        <v>357</v>
      </c>
      <c r="C24" s="66">
        <v>73071100</v>
      </c>
      <c r="D24" s="67" t="s">
        <v>374</v>
      </c>
      <c r="E24" s="68" t="s">
        <v>375</v>
      </c>
      <c r="F24" s="64">
        <v>1</v>
      </c>
      <c r="G24" s="64" t="s">
        <v>137</v>
      </c>
      <c r="H24" s="67" t="s">
        <v>149</v>
      </c>
      <c r="I24" s="69">
        <v>38</v>
      </c>
      <c r="J24" s="70">
        <f t="shared" si="0"/>
        <v>38</v>
      </c>
      <c r="K24" s="71" t="s">
        <v>375</v>
      </c>
      <c r="L24" s="72">
        <f t="shared" si="5"/>
        <v>5.5555555555555552E-2</v>
      </c>
      <c r="M24" s="69">
        <f t="shared" si="2"/>
        <v>2.1111111111111112</v>
      </c>
      <c r="N24" s="69">
        <f>IFERROR(VLOOKUP(B24,Custo_MI_Infra!B:E,3,FALSE),0)</f>
        <v>0</v>
      </c>
      <c r="O24" s="69">
        <f t="shared" si="3"/>
        <v>0</v>
      </c>
      <c r="P24" s="69">
        <f t="shared" si="4"/>
        <v>0</v>
      </c>
    </row>
    <row r="25" spans="1:16" s="73" customFormat="1" ht="27" customHeight="1">
      <c r="A25" s="64">
        <v>3609</v>
      </c>
      <c r="B25" s="65" t="s">
        <v>357</v>
      </c>
      <c r="C25" s="66">
        <v>73063000</v>
      </c>
      <c r="D25" s="67" t="s">
        <v>376</v>
      </c>
      <c r="E25" s="68">
        <v>0</v>
      </c>
      <c r="F25" s="63">
        <v>6</v>
      </c>
      <c r="G25" s="64" t="s">
        <v>232</v>
      </c>
      <c r="H25" s="67" t="s">
        <v>233</v>
      </c>
      <c r="I25" s="69">
        <v>47.7</v>
      </c>
      <c r="J25" s="70">
        <f t="shared" si="0"/>
        <v>286.20000000000005</v>
      </c>
      <c r="K25" s="71" t="s">
        <v>377</v>
      </c>
      <c r="L25" s="72">
        <f t="shared" si="5"/>
        <v>0.33333333333333331</v>
      </c>
      <c r="M25" s="69">
        <f t="shared" si="2"/>
        <v>15.9</v>
      </c>
      <c r="N25" s="69">
        <f>IFERROR(VLOOKUP(B25,Custo_MI_Infra!B:E,3,FALSE),0)</f>
        <v>0</v>
      </c>
      <c r="O25" s="69">
        <f t="shared" si="3"/>
        <v>0</v>
      </c>
      <c r="P25" s="69">
        <f t="shared" si="4"/>
        <v>0</v>
      </c>
    </row>
    <row r="26" spans="1:16" s="73" customFormat="1" ht="15" customHeight="1">
      <c r="A26" s="74">
        <v>3182</v>
      </c>
      <c r="B26" s="75" t="s">
        <v>378</v>
      </c>
      <c r="C26" s="76">
        <v>73072900</v>
      </c>
      <c r="D26" s="77" t="s">
        <v>379</v>
      </c>
      <c r="E26" s="78" t="s">
        <v>380</v>
      </c>
      <c r="F26" s="74">
        <v>12</v>
      </c>
      <c r="G26" s="74" t="s">
        <v>137</v>
      </c>
      <c r="H26" s="77" t="s">
        <v>256</v>
      </c>
      <c r="I26" s="79">
        <v>2.1</v>
      </c>
      <c r="J26" s="80">
        <f t="shared" si="0"/>
        <v>25.200000000000003</v>
      </c>
      <c r="K26" s="81" t="s">
        <v>380</v>
      </c>
      <c r="L26" s="82">
        <f>F26/($F$39*3)</f>
        <v>0.66666666666666663</v>
      </c>
      <c r="M26" s="79">
        <f t="shared" si="2"/>
        <v>1.4</v>
      </c>
      <c r="N26" s="79">
        <f>IFERROR(VLOOKUP(B26,Custo_MI_Infra!B:E,3,FALSE),0)</f>
        <v>0</v>
      </c>
      <c r="O26" s="79">
        <f t="shared" si="3"/>
        <v>0</v>
      </c>
      <c r="P26" s="79">
        <f t="shared" si="4"/>
        <v>0</v>
      </c>
    </row>
    <row r="27" spans="1:16" s="73" customFormat="1" ht="15" customHeight="1">
      <c r="A27" s="74">
        <v>2608</v>
      </c>
      <c r="B27" s="83" t="s">
        <v>378</v>
      </c>
      <c r="C27" s="76">
        <v>73072900</v>
      </c>
      <c r="D27" s="77" t="s">
        <v>381</v>
      </c>
      <c r="E27" s="78" t="s">
        <v>382</v>
      </c>
      <c r="F27" s="74">
        <v>1</v>
      </c>
      <c r="G27" s="74" t="s">
        <v>137</v>
      </c>
      <c r="H27" s="77" t="s">
        <v>138</v>
      </c>
      <c r="I27" s="79">
        <v>1.1499999999999999</v>
      </c>
      <c r="J27" s="80">
        <f t="shared" si="0"/>
        <v>1.1499999999999999</v>
      </c>
      <c r="K27" s="81" t="s">
        <v>382</v>
      </c>
      <c r="L27" s="82">
        <f t="shared" ref="L27:L42" si="6">F27/($F$39*3)</f>
        <v>5.5555555555555552E-2</v>
      </c>
      <c r="M27" s="79">
        <f t="shared" si="2"/>
        <v>6.3888888888888884E-2</v>
      </c>
      <c r="N27" s="79">
        <f>IFERROR(VLOOKUP(B27,Custo_MI_Infra!B:E,3,FALSE),0)</f>
        <v>0</v>
      </c>
      <c r="O27" s="79">
        <f t="shared" si="3"/>
        <v>0</v>
      </c>
      <c r="P27" s="79">
        <f t="shared" si="4"/>
        <v>0</v>
      </c>
    </row>
    <row r="28" spans="1:16" s="73" customFormat="1" ht="15" customHeight="1">
      <c r="A28" s="74">
        <v>5091</v>
      </c>
      <c r="B28" s="83" t="s">
        <v>378</v>
      </c>
      <c r="C28" s="76">
        <v>73181500</v>
      </c>
      <c r="D28" s="77" t="s">
        <v>323</v>
      </c>
      <c r="E28" s="78" t="s">
        <v>324</v>
      </c>
      <c r="F28" s="74">
        <v>24</v>
      </c>
      <c r="G28" s="74" t="s">
        <v>137</v>
      </c>
      <c r="H28" s="77" t="s">
        <v>256</v>
      </c>
      <c r="I28" s="79">
        <v>0.04</v>
      </c>
      <c r="J28" s="80">
        <f t="shared" si="0"/>
        <v>0.96</v>
      </c>
      <c r="K28" s="81" t="s">
        <v>324</v>
      </c>
      <c r="L28" s="82">
        <f t="shared" si="6"/>
        <v>1.3333333333333333</v>
      </c>
      <c r="M28" s="79">
        <f t="shared" si="2"/>
        <v>5.333333333333333E-2</v>
      </c>
      <c r="N28" s="79">
        <f>IFERROR(VLOOKUP(B28,Custo_MI_Infra!B:E,3,FALSE),0)</f>
        <v>0</v>
      </c>
      <c r="O28" s="79">
        <f t="shared" si="3"/>
        <v>0</v>
      </c>
      <c r="P28" s="79">
        <f t="shared" si="4"/>
        <v>0</v>
      </c>
    </row>
    <row r="29" spans="1:16" s="73" customFormat="1" ht="15" customHeight="1">
      <c r="A29" s="74">
        <v>2606</v>
      </c>
      <c r="B29" s="83" t="s">
        <v>378</v>
      </c>
      <c r="C29" s="76">
        <v>73071100</v>
      </c>
      <c r="D29" s="77" t="s">
        <v>383</v>
      </c>
      <c r="E29" s="78" t="s">
        <v>384</v>
      </c>
      <c r="F29" s="74">
        <v>2</v>
      </c>
      <c r="G29" s="74" t="s">
        <v>137</v>
      </c>
      <c r="H29" s="77" t="s">
        <v>138</v>
      </c>
      <c r="I29" s="79">
        <v>1.78</v>
      </c>
      <c r="J29" s="80">
        <f t="shared" si="0"/>
        <v>3.56</v>
      </c>
      <c r="K29" s="81" t="s">
        <v>384</v>
      </c>
      <c r="L29" s="82">
        <f t="shared" si="6"/>
        <v>0.1111111111111111</v>
      </c>
      <c r="M29" s="79">
        <f t="shared" si="2"/>
        <v>0.19777777777777777</v>
      </c>
      <c r="N29" s="79">
        <f>IFERROR(VLOOKUP(B29,Custo_MI_Infra!B:E,3,FALSE),0)</f>
        <v>0</v>
      </c>
      <c r="O29" s="79">
        <f t="shared" si="3"/>
        <v>0</v>
      </c>
      <c r="P29" s="79">
        <f t="shared" si="4"/>
        <v>0</v>
      </c>
    </row>
    <row r="30" spans="1:16" s="73" customFormat="1" ht="15" customHeight="1">
      <c r="A30" s="74">
        <v>1119</v>
      </c>
      <c r="B30" s="83" t="s">
        <v>378</v>
      </c>
      <c r="C30" s="76">
        <v>73071910</v>
      </c>
      <c r="D30" s="77" t="s">
        <v>385</v>
      </c>
      <c r="E30" s="78" t="s">
        <v>386</v>
      </c>
      <c r="F30" s="74">
        <v>1</v>
      </c>
      <c r="G30" s="74" t="s">
        <v>137</v>
      </c>
      <c r="H30" s="77" t="s">
        <v>138</v>
      </c>
      <c r="I30" s="79">
        <v>3.95</v>
      </c>
      <c r="J30" s="80">
        <f t="shared" si="0"/>
        <v>3.95</v>
      </c>
      <c r="K30" s="81" t="s">
        <v>386</v>
      </c>
      <c r="L30" s="82">
        <f t="shared" si="6"/>
        <v>5.5555555555555552E-2</v>
      </c>
      <c r="M30" s="79">
        <f t="shared" si="2"/>
        <v>0.21944444444444444</v>
      </c>
      <c r="N30" s="79">
        <f>IFERROR(VLOOKUP(B30,Custo_MI_Infra!B:E,3,FALSE),0)</f>
        <v>0</v>
      </c>
      <c r="O30" s="79">
        <f t="shared" si="3"/>
        <v>0</v>
      </c>
      <c r="P30" s="79">
        <f t="shared" si="4"/>
        <v>0</v>
      </c>
    </row>
    <row r="31" spans="1:16" s="73" customFormat="1" ht="15" customHeight="1">
      <c r="A31" s="74">
        <v>4569</v>
      </c>
      <c r="B31" s="83" t="s">
        <v>378</v>
      </c>
      <c r="C31" s="76">
        <v>73071910</v>
      </c>
      <c r="D31" s="77" t="s">
        <v>387</v>
      </c>
      <c r="E31" s="78" t="s">
        <v>388</v>
      </c>
      <c r="F31" s="74">
        <v>1</v>
      </c>
      <c r="G31" s="74" t="s">
        <v>137</v>
      </c>
      <c r="H31" s="77" t="s">
        <v>138</v>
      </c>
      <c r="I31" s="79">
        <v>4.2</v>
      </c>
      <c r="J31" s="80">
        <f t="shared" si="0"/>
        <v>4.2</v>
      </c>
      <c r="K31" s="81" t="s">
        <v>388</v>
      </c>
      <c r="L31" s="82">
        <f t="shared" si="6"/>
        <v>5.5555555555555552E-2</v>
      </c>
      <c r="M31" s="79">
        <f t="shared" si="2"/>
        <v>0.23333333333333334</v>
      </c>
      <c r="N31" s="79">
        <f>IFERROR(VLOOKUP(B31,Custo_MI_Infra!B:E,3,FALSE),0)</f>
        <v>0</v>
      </c>
      <c r="O31" s="79">
        <f t="shared" si="3"/>
        <v>0</v>
      </c>
      <c r="P31" s="79">
        <f t="shared" si="4"/>
        <v>0</v>
      </c>
    </row>
    <row r="32" spans="1:16" s="73" customFormat="1" ht="15" customHeight="1">
      <c r="A32" s="74">
        <v>3599</v>
      </c>
      <c r="B32" s="75" t="s">
        <v>378</v>
      </c>
      <c r="C32" s="76">
        <v>73071910</v>
      </c>
      <c r="D32" s="77" t="s">
        <v>389</v>
      </c>
      <c r="E32" s="78" t="s">
        <v>390</v>
      </c>
      <c r="F32" s="74">
        <v>2</v>
      </c>
      <c r="G32" s="74" t="s">
        <v>137</v>
      </c>
      <c r="H32" s="77" t="s">
        <v>138</v>
      </c>
      <c r="I32" s="79">
        <v>4.9000000000000004</v>
      </c>
      <c r="J32" s="80">
        <f t="shared" si="0"/>
        <v>9.8000000000000007</v>
      </c>
      <c r="K32" s="81" t="s">
        <v>390</v>
      </c>
      <c r="L32" s="82">
        <f t="shared" si="6"/>
        <v>0.1111111111111111</v>
      </c>
      <c r="M32" s="79">
        <f t="shared" si="2"/>
        <v>0.54444444444444451</v>
      </c>
      <c r="N32" s="79">
        <f>IFERROR(VLOOKUP(B32,Custo_MI_Infra!B:E,3,FALSE),0)</f>
        <v>0</v>
      </c>
      <c r="O32" s="79">
        <f t="shared" si="3"/>
        <v>0</v>
      </c>
      <c r="P32" s="79">
        <f t="shared" si="4"/>
        <v>0</v>
      </c>
    </row>
    <row r="33" spans="1:16" s="73" customFormat="1" ht="15" customHeight="1">
      <c r="A33" s="74">
        <v>2805</v>
      </c>
      <c r="B33" s="83" t="s">
        <v>378</v>
      </c>
      <c r="C33" s="76">
        <v>72162100</v>
      </c>
      <c r="D33" s="77" t="s">
        <v>354</v>
      </c>
      <c r="E33" s="78">
        <v>0</v>
      </c>
      <c r="F33" s="74">
        <f>0.86*F39*3</f>
        <v>15.48</v>
      </c>
      <c r="G33" s="74" t="s">
        <v>175</v>
      </c>
      <c r="H33" s="77" t="s">
        <v>176</v>
      </c>
      <c r="I33" s="79">
        <v>4.22</v>
      </c>
      <c r="J33" s="80">
        <f t="shared" si="0"/>
        <v>65.325599999999994</v>
      </c>
      <c r="K33" s="81" t="s">
        <v>177</v>
      </c>
      <c r="L33" s="82">
        <f t="shared" si="6"/>
        <v>0.86</v>
      </c>
      <c r="M33" s="79">
        <f t="shared" si="2"/>
        <v>3.6291999999999995</v>
      </c>
      <c r="N33" s="79">
        <f>IFERROR(VLOOKUP(B33,Custo_MI_Infra!B:E,3,FALSE),0)</f>
        <v>0</v>
      </c>
      <c r="O33" s="79">
        <f t="shared" si="3"/>
        <v>0</v>
      </c>
      <c r="P33" s="79">
        <f t="shared" si="4"/>
        <v>0</v>
      </c>
    </row>
    <row r="34" spans="1:16" s="73" customFormat="1" ht="27" customHeight="1">
      <c r="A34" s="74">
        <v>4597</v>
      </c>
      <c r="B34" s="83" t="s">
        <v>378</v>
      </c>
      <c r="C34" s="76">
        <v>76090000</v>
      </c>
      <c r="D34" s="77" t="s">
        <v>391</v>
      </c>
      <c r="E34" s="78" t="s">
        <v>392</v>
      </c>
      <c r="F34" s="74">
        <v>2</v>
      </c>
      <c r="G34" s="74" t="s">
        <v>137</v>
      </c>
      <c r="H34" s="77" t="s">
        <v>138</v>
      </c>
      <c r="I34" s="79">
        <v>18.3</v>
      </c>
      <c r="J34" s="80">
        <f t="shared" si="0"/>
        <v>36.6</v>
      </c>
      <c r="K34" s="81" t="s">
        <v>392</v>
      </c>
      <c r="L34" s="82">
        <f t="shared" si="6"/>
        <v>0.1111111111111111</v>
      </c>
      <c r="M34" s="79">
        <f t="shared" si="2"/>
        <v>2.0333333333333332</v>
      </c>
      <c r="N34" s="79">
        <f>IFERROR(VLOOKUP(B34,Custo_MI_Infra!B:E,3,FALSE),0)</f>
        <v>0</v>
      </c>
      <c r="O34" s="79">
        <f t="shared" si="3"/>
        <v>0</v>
      </c>
      <c r="P34" s="79">
        <f t="shared" si="4"/>
        <v>0</v>
      </c>
    </row>
    <row r="35" spans="1:16" s="73" customFormat="1" ht="27" customHeight="1">
      <c r="A35" s="74">
        <v>4648</v>
      </c>
      <c r="B35" s="75" t="s">
        <v>378</v>
      </c>
      <c r="C35" s="76">
        <v>76090000</v>
      </c>
      <c r="D35" s="77" t="s">
        <v>393</v>
      </c>
      <c r="E35" s="78" t="s">
        <v>394</v>
      </c>
      <c r="F35" s="74">
        <v>1</v>
      </c>
      <c r="G35" s="74" t="s">
        <v>137</v>
      </c>
      <c r="H35" s="77" t="s">
        <v>138</v>
      </c>
      <c r="I35" s="79">
        <v>18.3</v>
      </c>
      <c r="J35" s="80">
        <f t="shared" si="0"/>
        <v>18.3</v>
      </c>
      <c r="K35" s="81" t="s">
        <v>394</v>
      </c>
      <c r="L35" s="82">
        <f t="shared" si="6"/>
        <v>5.5555555555555552E-2</v>
      </c>
      <c r="M35" s="79">
        <f t="shared" si="2"/>
        <v>1.0166666666666666</v>
      </c>
      <c r="N35" s="79">
        <f>IFERROR(VLOOKUP(B35,Custo_MI_Infra!B:E,3,FALSE),0)</f>
        <v>0</v>
      </c>
      <c r="O35" s="79">
        <f t="shared" si="3"/>
        <v>0</v>
      </c>
      <c r="P35" s="79">
        <f t="shared" si="4"/>
        <v>0</v>
      </c>
    </row>
    <row r="36" spans="1:16" s="73" customFormat="1" ht="27" customHeight="1">
      <c r="A36" s="74">
        <v>202</v>
      </c>
      <c r="B36" s="83" t="s">
        <v>378</v>
      </c>
      <c r="C36" s="76">
        <v>76090000</v>
      </c>
      <c r="D36" s="77" t="s">
        <v>395</v>
      </c>
      <c r="E36" s="78" t="s">
        <v>396</v>
      </c>
      <c r="F36" s="74">
        <v>1</v>
      </c>
      <c r="G36" s="74" t="s">
        <v>137</v>
      </c>
      <c r="H36" s="77" t="s">
        <v>138</v>
      </c>
      <c r="I36" s="79">
        <v>18.3</v>
      </c>
      <c r="J36" s="80">
        <f t="shared" si="0"/>
        <v>18.3</v>
      </c>
      <c r="K36" s="81" t="s">
        <v>396</v>
      </c>
      <c r="L36" s="82">
        <f t="shared" si="6"/>
        <v>5.5555555555555552E-2</v>
      </c>
      <c r="M36" s="79">
        <f t="shared" si="2"/>
        <v>1.0166666666666666</v>
      </c>
      <c r="N36" s="79">
        <f>IFERROR(VLOOKUP(B36,Custo_MI_Infra!B:E,3,FALSE),0)</f>
        <v>0</v>
      </c>
      <c r="O36" s="79">
        <f t="shared" si="3"/>
        <v>0</v>
      </c>
      <c r="P36" s="79">
        <f t="shared" si="4"/>
        <v>0</v>
      </c>
    </row>
    <row r="37" spans="1:16" s="73" customFormat="1" ht="27" customHeight="1">
      <c r="A37" s="74">
        <v>4584</v>
      </c>
      <c r="B37" s="83" t="s">
        <v>378</v>
      </c>
      <c r="C37" s="76">
        <v>76090000</v>
      </c>
      <c r="D37" s="77" t="s">
        <v>397</v>
      </c>
      <c r="E37" s="78" t="s">
        <v>398</v>
      </c>
      <c r="F37" s="74">
        <v>1</v>
      </c>
      <c r="G37" s="74" t="s">
        <v>137</v>
      </c>
      <c r="H37" s="77" t="s">
        <v>138</v>
      </c>
      <c r="I37" s="79">
        <v>18.3</v>
      </c>
      <c r="J37" s="80">
        <f t="shared" si="0"/>
        <v>18.3</v>
      </c>
      <c r="K37" s="81" t="s">
        <v>398</v>
      </c>
      <c r="L37" s="82">
        <f t="shared" si="6"/>
        <v>5.5555555555555552E-2</v>
      </c>
      <c r="M37" s="79">
        <f t="shared" si="2"/>
        <v>1.0166666666666666</v>
      </c>
      <c r="N37" s="79">
        <f>IFERROR(VLOOKUP(B37,Custo_MI_Infra!B:E,3,FALSE),0)</f>
        <v>0</v>
      </c>
      <c r="O37" s="79">
        <f t="shared" si="3"/>
        <v>0</v>
      </c>
      <c r="P37" s="79">
        <f t="shared" si="4"/>
        <v>0</v>
      </c>
    </row>
    <row r="38" spans="1:16" s="73" customFormat="1" ht="15" customHeight="1">
      <c r="A38" s="74">
        <v>444</v>
      </c>
      <c r="B38" s="75" t="s">
        <v>378</v>
      </c>
      <c r="C38" s="76">
        <v>76090000</v>
      </c>
      <c r="D38" s="77" t="s">
        <v>399</v>
      </c>
      <c r="E38" s="78" t="s">
        <v>400</v>
      </c>
      <c r="F38" s="74">
        <v>1</v>
      </c>
      <c r="G38" s="74" t="s">
        <v>137</v>
      </c>
      <c r="H38" s="77" t="s">
        <v>138</v>
      </c>
      <c r="I38" s="79">
        <v>19.2</v>
      </c>
      <c r="J38" s="80">
        <f t="shared" si="0"/>
        <v>19.2</v>
      </c>
      <c r="K38" s="81" t="s">
        <v>400</v>
      </c>
      <c r="L38" s="82">
        <f t="shared" si="6"/>
        <v>5.5555555555555552E-2</v>
      </c>
      <c r="M38" s="79">
        <f t="shared" si="2"/>
        <v>1.0666666666666667</v>
      </c>
      <c r="N38" s="79">
        <f>IFERROR(VLOOKUP(B38,Custo_MI_Infra!B:E,3,FALSE),0)</f>
        <v>0</v>
      </c>
      <c r="O38" s="79">
        <f t="shared" si="3"/>
        <v>0</v>
      </c>
      <c r="P38" s="79">
        <f t="shared" si="4"/>
        <v>0</v>
      </c>
    </row>
    <row r="39" spans="1:16" s="73" customFormat="1" ht="27" customHeight="1">
      <c r="A39" s="74">
        <v>2833</v>
      </c>
      <c r="B39" s="83" t="s">
        <v>378</v>
      </c>
      <c r="C39" s="76">
        <v>73063000</v>
      </c>
      <c r="D39" s="77" t="s">
        <v>401</v>
      </c>
      <c r="E39" s="78">
        <v>0</v>
      </c>
      <c r="F39" s="63">
        <v>6</v>
      </c>
      <c r="G39" s="74" t="s">
        <v>232</v>
      </c>
      <c r="H39" s="77" t="s">
        <v>233</v>
      </c>
      <c r="I39" s="79">
        <v>79</v>
      </c>
      <c r="J39" s="80">
        <f t="shared" si="0"/>
        <v>474</v>
      </c>
      <c r="K39" s="81" t="s">
        <v>402</v>
      </c>
      <c r="L39" s="82">
        <f t="shared" si="6"/>
        <v>0.33333333333333331</v>
      </c>
      <c r="M39" s="79">
        <f t="shared" si="2"/>
        <v>26.333333333333332</v>
      </c>
      <c r="N39" s="79">
        <f>IFERROR(VLOOKUP(B39,Custo_MI_Infra!B:E,3,FALSE),0)</f>
        <v>0</v>
      </c>
      <c r="O39" s="79">
        <f t="shared" si="3"/>
        <v>0</v>
      </c>
      <c r="P39" s="79">
        <f t="shared" si="4"/>
        <v>0</v>
      </c>
    </row>
    <row r="40" spans="1:16" s="73" customFormat="1" ht="15" customHeight="1">
      <c r="A40" s="74">
        <v>3014</v>
      </c>
      <c r="B40" s="83" t="s">
        <v>378</v>
      </c>
      <c r="C40" s="76">
        <v>73072900</v>
      </c>
      <c r="D40" s="77" t="s">
        <v>403</v>
      </c>
      <c r="E40" s="78">
        <v>0</v>
      </c>
      <c r="F40" s="74">
        <v>2</v>
      </c>
      <c r="G40" s="74" t="s">
        <v>137</v>
      </c>
      <c r="H40" s="77" t="s">
        <v>233</v>
      </c>
      <c r="I40" s="79">
        <v>3.4</v>
      </c>
      <c r="J40" s="80">
        <f t="shared" si="0"/>
        <v>6.8</v>
      </c>
      <c r="K40" s="81" t="s">
        <v>404</v>
      </c>
      <c r="L40" s="82">
        <f t="shared" si="6"/>
        <v>0.1111111111111111</v>
      </c>
      <c r="M40" s="79">
        <f t="shared" si="2"/>
        <v>0.37777777777777777</v>
      </c>
      <c r="N40" s="79">
        <f>IFERROR(VLOOKUP(B40,Custo_MI_Infra!B:E,3,FALSE),0)</f>
        <v>0</v>
      </c>
      <c r="O40" s="79">
        <f t="shared" si="3"/>
        <v>0</v>
      </c>
      <c r="P40" s="79">
        <f t="shared" si="4"/>
        <v>0</v>
      </c>
    </row>
    <row r="41" spans="1:16" s="73" customFormat="1" ht="15" customHeight="1">
      <c r="A41" s="74">
        <v>3666</v>
      </c>
      <c r="B41" s="75" t="s">
        <v>378</v>
      </c>
      <c r="C41" s="76">
        <v>73071910</v>
      </c>
      <c r="D41" s="77" t="s">
        <v>405</v>
      </c>
      <c r="E41" s="78" t="s">
        <v>406</v>
      </c>
      <c r="F41" s="74">
        <v>2</v>
      </c>
      <c r="G41" s="74" t="s">
        <v>137</v>
      </c>
      <c r="H41" s="77" t="s">
        <v>138</v>
      </c>
      <c r="I41" s="79">
        <v>1.78</v>
      </c>
      <c r="J41" s="80">
        <f t="shared" si="0"/>
        <v>3.56</v>
      </c>
      <c r="K41" s="81" t="s">
        <v>406</v>
      </c>
      <c r="L41" s="82">
        <f t="shared" si="6"/>
        <v>0.1111111111111111</v>
      </c>
      <c r="M41" s="79">
        <f t="shared" si="2"/>
        <v>0.19777777777777777</v>
      </c>
      <c r="N41" s="79">
        <f>IFERROR(VLOOKUP(B41,Custo_MI_Infra!B:E,3,FALSE),0)</f>
        <v>0</v>
      </c>
      <c r="O41" s="79">
        <f t="shared" si="3"/>
        <v>0</v>
      </c>
      <c r="P41" s="79">
        <f t="shared" si="4"/>
        <v>0</v>
      </c>
    </row>
    <row r="42" spans="1:16" s="73" customFormat="1" ht="15" customHeight="1">
      <c r="A42" s="74">
        <v>3274</v>
      </c>
      <c r="B42" s="83" t="s">
        <v>378</v>
      </c>
      <c r="C42" s="76">
        <v>73181500</v>
      </c>
      <c r="D42" s="77" t="s">
        <v>265</v>
      </c>
      <c r="E42" s="78" t="s">
        <v>266</v>
      </c>
      <c r="F42" s="74">
        <v>24</v>
      </c>
      <c r="G42" s="74" t="s">
        <v>137</v>
      </c>
      <c r="H42" s="77" t="s">
        <v>256</v>
      </c>
      <c r="I42" s="79">
        <v>0.06</v>
      </c>
      <c r="J42" s="80">
        <f t="shared" si="0"/>
        <v>1.44</v>
      </c>
      <c r="K42" s="81" t="s">
        <v>266</v>
      </c>
      <c r="L42" s="82">
        <f t="shared" si="6"/>
        <v>1.3333333333333333</v>
      </c>
      <c r="M42" s="79">
        <f t="shared" si="2"/>
        <v>7.9999999999999988E-2</v>
      </c>
      <c r="N42" s="79">
        <f>IFERROR(VLOOKUP(B42,Custo_MI_Infra!B:E,3,FALSE),0)</f>
        <v>0</v>
      </c>
      <c r="O42" s="79">
        <f t="shared" si="3"/>
        <v>0</v>
      </c>
      <c r="P42" s="79">
        <f t="shared" si="4"/>
        <v>0</v>
      </c>
    </row>
    <row r="43" spans="1:16" s="73" customFormat="1" ht="15" customHeight="1">
      <c r="A43" s="84">
        <v>3182</v>
      </c>
      <c r="B43" s="85" t="s">
        <v>407</v>
      </c>
      <c r="C43" s="86">
        <v>73072900</v>
      </c>
      <c r="D43" s="87" t="s">
        <v>379</v>
      </c>
      <c r="E43" s="88" t="s">
        <v>380</v>
      </c>
      <c r="F43" s="84">
        <v>12</v>
      </c>
      <c r="G43" s="84" t="s">
        <v>137</v>
      </c>
      <c r="H43" s="87" t="s">
        <v>256</v>
      </c>
      <c r="I43" s="89">
        <v>2.1</v>
      </c>
      <c r="J43" s="90">
        <f t="shared" si="0"/>
        <v>25.200000000000003</v>
      </c>
      <c r="K43" s="91" t="s">
        <v>380</v>
      </c>
      <c r="L43" s="92">
        <f>F43/($F$57*3)</f>
        <v>0.66666666666666663</v>
      </c>
      <c r="M43" s="89">
        <f t="shared" si="2"/>
        <v>1.4</v>
      </c>
      <c r="N43" s="89">
        <f>IFERROR(VLOOKUP(B43,Custo_MI_Infra!B:E,3,FALSE),0)</f>
        <v>0</v>
      </c>
      <c r="O43" s="89">
        <f t="shared" si="3"/>
        <v>0</v>
      </c>
      <c r="P43" s="89">
        <f t="shared" si="4"/>
        <v>0</v>
      </c>
    </row>
    <row r="44" spans="1:16" s="73" customFormat="1" ht="15" customHeight="1">
      <c r="A44" s="84">
        <v>4929</v>
      </c>
      <c r="B44" s="85" t="s">
        <v>407</v>
      </c>
      <c r="C44" s="86">
        <v>73072900</v>
      </c>
      <c r="D44" s="87" t="s">
        <v>408</v>
      </c>
      <c r="E44" s="88" t="s">
        <v>409</v>
      </c>
      <c r="F44" s="84">
        <v>2</v>
      </c>
      <c r="G44" s="84" t="s">
        <v>137</v>
      </c>
      <c r="H44" s="87" t="s">
        <v>253</v>
      </c>
      <c r="I44" s="89">
        <v>6.5</v>
      </c>
      <c r="J44" s="90">
        <f t="shared" si="0"/>
        <v>13</v>
      </c>
      <c r="K44" s="91" t="s">
        <v>409</v>
      </c>
      <c r="L44" s="92">
        <f t="shared" ref="L44:L60" si="7">F44/($F$57*3)</f>
        <v>0.1111111111111111</v>
      </c>
      <c r="M44" s="89">
        <f t="shared" si="2"/>
        <v>0.72222222222222221</v>
      </c>
      <c r="N44" s="89">
        <f>IFERROR(VLOOKUP(B44,Custo_MI_Infra!B:E,3,FALSE),0)</f>
        <v>0</v>
      </c>
      <c r="O44" s="89">
        <f t="shared" si="3"/>
        <v>0</v>
      </c>
      <c r="P44" s="89">
        <f t="shared" si="4"/>
        <v>0</v>
      </c>
    </row>
    <row r="45" spans="1:16" s="73" customFormat="1" ht="15" customHeight="1">
      <c r="A45" s="84">
        <v>5091</v>
      </c>
      <c r="B45" s="85" t="s">
        <v>407</v>
      </c>
      <c r="C45" s="86">
        <v>73181500</v>
      </c>
      <c r="D45" s="87" t="s">
        <v>323</v>
      </c>
      <c r="E45" s="88" t="s">
        <v>324</v>
      </c>
      <c r="F45" s="84">
        <v>24</v>
      </c>
      <c r="G45" s="84" t="s">
        <v>137</v>
      </c>
      <c r="H45" s="87" t="s">
        <v>256</v>
      </c>
      <c r="I45" s="89">
        <v>0.04</v>
      </c>
      <c r="J45" s="90">
        <f t="shared" si="0"/>
        <v>0.96</v>
      </c>
      <c r="K45" s="91" t="s">
        <v>324</v>
      </c>
      <c r="L45" s="92">
        <f t="shared" si="7"/>
        <v>1.3333333333333333</v>
      </c>
      <c r="M45" s="89">
        <f t="shared" si="2"/>
        <v>5.333333333333333E-2</v>
      </c>
      <c r="N45" s="89">
        <f>IFERROR(VLOOKUP(B45,Custo_MI_Infra!B:E,3,FALSE),0)</f>
        <v>0</v>
      </c>
      <c r="O45" s="89">
        <f t="shared" si="3"/>
        <v>0</v>
      </c>
      <c r="P45" s="89">
        <f t="shared" si="4"/>
        <v>0</v>
      </c>
    </row>
    <row r="46" spans="1:16" s="73" customFormat="1" ht="15" customHeight="1">
      <c r="A46" s="84">
        <v>4932</v>
      </c>
      <c r="B46" s="85" t="s">
        <v>407</v>
      </c>
      <c r="C46" s="86">
        <v>73071100</v>
      </c>
      <c r="D46" s="87" t="s">
        <v>410</v>
      </c>
      <c r="E46" s="88" t="s">
        <v>411</v>
      </c>
      <c r="F46" s="84">
        <v>2</v>
      </c>
      <c r="G46" s="84" t="s">
        <v>137</v>
      </c>
      <c r="H46" s="87" t="s">
        <v>253</v>
      </c>
      <c r="I46" s="89">
        <v>7.7</v>
      </c>
      <c r="J46" s="90">
        <f t="shared" si="0"/>
        <v>15.4</v>
      </c>
      <c r="K46" s="91" t="s">
        <v>411</v>
      </c>
      <c r="L46" s="92">
        <f t="shared" si="7"/>
        <v>0.1111111111111111</v>
      </c>
      <c r="M46" s="89">
        <f t="shared" si="2"/>
        <v>0.85555555555555551</v>
      </c>
      <c r="N46" s="89">
        <f>IFERROR(VLOOKUP(B46,Custo_MI_Infra!B:E,3,FALSE),0)</f>
        <v>0</v>
      </c>
      <c r="O46" s="89">
        <f t="shared" si="3"/>
        <v>0</v>
      </c>
      <c r="P46" s="89">
        <f t="shared" si="4"/>
        <v>0</v>
      </c>
    </row>
    <row r="47" spans="1:16" s="73" customFormat="1" ht="15" customHeight="1">
      <c r="A47" s="84">
        <v>4569</v>
      </c>
      <c r="B47" s="85" t="s">
        <v>407</v>
      </c>
      <c r="C47" s="86">
        <v>73071910</v>
      </c>
      <c r="D47" s="87" t="s">
        <v>387</v>
      </c>
      <c r="E47" s="88" t="s">
        <v>388</v>
      </c>
      <c r="F47" s="84">
        <v>1</v>
      </c>
      <c r="G47" s="84" t="s">
        <v>137</v>
      </c>
      <c r="H47" s="87" t="s">
        <v>138</v>
      </c>
      <c r="I47" s="89">
        <v>4.2</v>
      </c>
      <c r="J47" s="90">
        <f t="shared" si="0"/>
        <v>4.2</v>
      </c>
      <c r="K47" s="91" t="s">
        <v>388</v>
      </c>
      <c r="L47" s="92">
        <f t="shared" si="7"/>
        <v>5.5555555555555552E-2</v>
      </c>
      <c r="M47" s="89">
        <f t="shared" si="2"/>
        <v>0.23333333333333334</v>
      </c>
      <c r="N47" s="89">
        <f>IFERROR(VLOOKUP(B47,Custo_MI_Infra!B:E,3,FALSE),0)</f>
        <v>0</v>
      </c>
      <c r="O47" s="89">
        <f t="shared" si="3"/>
        <v>0</v>
      </c>
      <c r="P47" s="89">
        <f t="shared" si="4"/>
        <v>0</v>
      </c>
    </row>
    <row r="48" spans="1:16" s="73" customFormat="1" ht="15" customHeight="1">
      <c r="A48" s="84">
        <v>4849</v>
      </c>
      <c r="B48" s="85" t="s">
        <v>407</v>
      </c>
      <c r="C48" s="86">
        <v>73071100</v>
      </c>
      <c r="D48" s="87" t="s">
        <v>412</v>
      </c>
      <c r="E48" s="88" t="s">
        <v>413</v>
      </c>
      <c r="F48" s="84">
        <v>1</v>
      </c>
      <c r="G48" s="84" t="s">
        <v>137</v>
      </c>
      <c r="H48" s="87" t="s">
        <v>253</v>
      </c>
      <c r="I48" s="89">
        <v>12.4</v>
      </c>
      <c r="J48" s="90">
        <f t="shared" si="0"/>
        <v>12.4</v>
      </c>
      <c r="K48" s="91" t="s">
        <v>413</v>
      </c>
      <c r="L48" s="92">
        <f t="shared" si="7"/>
        <v>5.5555555555555552E-2</v>
      </c>
      <c r="M48" s="89">
        <f t="shared" si="2"/>
        <v>0.68888888888888888</v>
      </c>
      <c r="N48" s="89">
        <f>IFERROR(VLOOKUP(B48,Custo_MI_Infra!B:E,3,FALSE),0)</f>
        <v>0</v>
      </c>
      <c r="O48" s="89">
        <f t="shared" si="3"/>
        <v>0</v>
      </c>
      <c r="P48" s="89">
        <f t="shared" si="4"/>
        <v>0</v>
      </c>
    </row>
    <row r="49" spans="1:16" s="73" customFormat="1" ht="15" customHeight="1">
      <c r="A49" s="84">
        <v>4852</v>
      </c>
      <c r="B49" s="85" t="s">
        <v>407</v>
      </c>
      <c r="C49" s="86">
        <v>73071100</v>
      </c>
      <c r="D49" s="87" t="s">
        <v>414</v>
      </c>
      <c r="E49" s="88" t="s">
        <v>415</v>
      </c>
      <c r="F49" s="84">
        <v>1</v>
      </c>
      <c r="G49" s="84" t="s">
        <v>137</v>
      </c>
      <c r="H49" s="87" t="s">
        <v>253</v>
      </c>
      <c r="I49" s="89">
        <v>15.2</v>
      </c>
      <c r="J49" s="90">
        <f t="shared" si="0"/>
        <v>15.2</v>
      </c>
      <c r="K49" s="91" t="s">
        <v>415</v>
      </c>
      <c r="L49" s="92">
        <f t="shared" si="7"/>
        <v>5.5555555555555552E-2</v>
      </c>
      <c r="M49" s="89">
        <f t="shared" si="2"/>
        <v>0.84444444444444433</v>
      </c>
      <c r="N49" s="89">
        <f>IFERROR(VLOOKUP(B49,Custo_MI_Infra!B:E,3,FALSE),0)</f>
        <v>0</v>
      </c>
      <c r="O49" s="89">
        <f t="shared" si="3"/>
        <v>0</v>
      </c>
      <c r="P49" s="89">
        <f t="shared" si="4"/>
        <v>0</v>
      </c>
    </row>
    <row r="50" spans="1:16" s="73" customFormat="1" ht="15" customHeight="1">
      <c r="A50" s="84">
        <v>4851</v>
      </c>
      <c r="B50" s="85" t="s">
        <v>407</v>
      </c>
      <c r="C50" s="86">
        <v>73071100</v>
      </c>
      <c r="D50" s="87" t="s">
        <v>416</v>
      </c>
      <c r="E50" s="88" t="s">
        <v>417</v>
      </c>
      <c r="F50" s="84">
        <v>2</v>
      </c>
      <c r="G50" s="84" t="s">
        <v>137</v>
      </c>
      <c r="H50" s="87" t="s">
        <v>253</v>
      </c>
      <c r="I50" s="89">
        <v>13.9</v>
      </c>
      <c r="J50" s="90">
        <f t="shared" si="0"/>
        <v>27.8</v>
      </c>
      <c r="K50" s="91" t="s">
        <v>417</v>
      </c>
      <c r="L50" s="92">
        <f t="shared" si="7"/>
        <v>0.1111111111111111</v>
      </c>
      <c r="M50" s="89">
        <f t="shared" si="2"/>
        <v>1.5444444444444445</v>
      </c>
      <c r="N50" s="89">
        <f>IFERROR(VLOOKUP(B50,Custo_MI_Infra!B:E,3,FALSE),0)</f>
        <v>0</v>
      </c>
      <c r="O50" s="89">
        <f t="shared" si="3"/>
        <v>0</v>
      </c>
      <c r="P50" s="89">
        <f t="shared" si="4"/>
        <v>0</v>
      </c>
    </row>
    <row r="51" spans="1:16" s="73" customFormat="1" ht="15" customHeight="1">
      <c r="A51" s="84">
        <v>2805</v>
      </c>
      <c r="B51" s="85" t="s">
        <v>407</v>
      </c>
      <c r="C51" s="86">
        <v>72162100</v>
      </c>
      <c r="D51" s="87" t="s">
        <v>354</v>
      </c>
      <c r="E51" s="88">
        <v>0</v>
      </c>
      <c r="F51" s="84">
        <f>0.86*F57*3</f>
        <v>15.48</v>
      </c>
      <c r="G51" s="84" t="s">
        <v>175</v>
      </c>
      <c r="H51" s="87" t="s">
        <v>176</v>
      </c>
      <c r="I51" s="89">
        <v>4.22</v>
      </c>
      <c r="J51" s="90">
        <f t="shared" si="0"/>
        <v>65.325599999999994</v>
      </c>
      <c r="K51" s="91" t="s">
        <v>177</v>
      </c>
      <c r="L51" s="92">
        <f t="shared" si="7"/>
        <v>0.86</v>
      </c>
      <c r="M51" s="89">
        <f t="shared" si="2"/>
        <v>3.6291999999999995</v>
      </c>
      <c r="N51" s="89">
        <f>IFERROR(VLOOKUP(B51,Custo_MI_Infra!B:E,3,FALSE),0)</f>
        <v>0</v>
      </c>
      <c r="O51" s="89">
        <f t="shared" si="3"/>
        <v>0</v>
      </c>
      <c r="P51" s="89">
        <f t="shared" si="4"/>
        <v>0</v>
      </c>
    </row>
    <row r="52" spans="1:16" s="73" customFormat="1" ht="27" customHeight="1">
      <c r="A52" s="84">
        <v>4597</v>
      </c>
      <c r="B52" s="85" t="s">
        <v>407</v>
      </c>
      <c r="C52" s="86">
        <v>76090000</v>
      </c>
      <c r="D52" s="87" t="s">
        <v>624</v>
      </c>
      <c r="E52" s="88" t="s">
        <v>392</v>
      </c>
      <c r="F52" s="84">
        <v>2</v>
      </c>
      <c r="G52" s="84" t="s">
        <v>137</v>
      </c>
      <c r="H52" s="87" t="s">
        <v>138</v>
      </c>
      <c r="I52" s="89">
        <v>67</v>
      </c>
      <c r="J52" s="90">
        <f t="shared" si="0"/>
        <v>134</v>
      </c>
      <c r="K52" s="91" t="s">
        <v>392</v>
      </c>
      <c r="L52" s="92">
        <f t="shared" si="7"/>
        <v>0.1111111111111111</v>
      </c>
      <c r="M52" s="89">
        <f t="shared" si="2"/>
        <v>7.4444444444444438</v>
      </c>
      <c r="N52" s="89">
        <f>IFERROR(VLOOKUP(B52,Custo_MI_Infra!B:E,3,FALSE),0)</f>
        <v>0</v>
      </c>
      <c r="O52" s="89">
        <f t="shared" si="3"/>
        <v>0</v>
      </c>
      <c r="P52" s="89">
        <f t="shared" si="4"/>
        <v>0</v>
      </c>
    </row>
    <row r="53" spans="1:16" s="73" customFormat="1" ht="27" customHeight="1">
      <c r="A53" s="84">
        <v>134</v>
      </c>
      <c r="B53" s="85" t="s">
        <v>407</v>
      </c>
      <c r="C53" s="86">
        <v>73071100</v>
      </c>
      <c r="D53" s="87" t="s">
        <v>418</v>
      </c>
      <c r="E53" s="88" t="s">
        <v>419</v>
      </c>
      <c r="F53" s="84">
        <v>1</v>
      </c>
      <c r="G53" s="84" t="s">
        <v>137</v>
      </c>
      <c r="H53" s="87" t="s">
        <v>149</v>
      </c>
      <c r="I53" s="89">
        <v>67</v>
      </c>
      <c r="J53" s="90">
        <f t="shared" si="0"/>
        <v>67</v>
      </c>
      <c r="K53" s="91" t="s">
        <v>419</v>
      </c>
      <c r="L53" s="92">
        <f t="shared" si="7"/>
        <v>5.5555555555555552E-2</v>
      </c>
      <c r="M53" s="89">
        <f t="shared" si="2"/>
        <v>3.7222222222222219</v>
      </c>
      <c r="N53" s="89">
        <f>IFERROR(VLOOKUP(B53,Custo_MI_Infra!B:E,3,FALSE),0)</f>
        <v>0</v>
      </c>
      <c r="O53" s="89">
        <f t="shared" si="3"/>
        <v>0</v>
      </c>
      <c r="P53" s="89">
        <f t="shared" si="4"/>
        <v>0</v>
      </c>
    </row>
    <row r="54" spans="1:16" s="73" customFormat="1" ht="27" customHeight="1">
      <c r="A54" s="84">
        <v>146</v>
      </c>
      <c r="B54" s="85" t="s">
        <v>407</v>
      </c>
      <c r="C54" s="86">
        <v>73071100</v>
      </c>
      <c r="D54" s="87" t="s">
        <v>420</v>
      </c>
      <c r="E54" s="88" t="s">
        <v>421</v>
      </c>
      <c r="F54" s="84">
        <v>1</v>
      </c>
      <c r="G54" s="84" t="s">
        <v>137</v>
      </c>
      <c r="H54" s="87" t="s">
        <v>149</v>
      </c>
      <c r="I54" s="89">
        <v>67</v>
      </c>
      <c r="J54" s="90">
        <f t="shared" si="0"/>
        <v>67</v>
      </c>
      <c r="K54" s="91" t="s">
        <v>421</v>
      </c>
      <c r="L54" s="92">
        <f t="shared" si="7"/>
        <v>5.5555555555555552E-2</v>
      </c>
      <c r="M54" s="89">
        <f t="shared" si="2"/>
        <v>3.7222222222222219</v>
      </c>
      <c r="N54" s="89">
        <f>IFERROR(VLOOKUP(B54,Custo_MI_Infra!B:E,3,FALSE),0)</f>
        <v>0</v>
      </c>
      <c r="O54" s="89">
        <f t="shared" si="3"/>
        <v>0</v>
      </c>
      <c r="P54" s="89">
        <f t="shared" si="4"/>
        <v>0</v>
      </c>
    </row>
    <row r="55" spans="1:16" s="73" customFormat="1" ht="27" customHeight="1">
      <c r="A55" s="84">
        <v>147</v>
      </c>
      <c r="B55" s="85" t="s">
        <v>407</v>
      </c>
      <c r="C55" s="86">
        <v>73071100</v>
      </c>
      <c r="D55" s="87" t="s">
        <v>422</v>
      </c>
      <c r="E55" s="88" t="s">
        <v>423</v>
      </c>
      <c r="F55" s="84">
        <v>1</v>
      </c>
      <c r="G55" s="84" t="s">
        <v>137</v>
      </c>
      <c r="H55" s="87" t="s">
        <v>149</v>
      </c>
      <c r="I55" s="89">
        <v>67</v>
      </c>
      <c r="J55" s="90">
        <f t="shared" si="0"/>
        <v>67</v>
      </c>
      <c r="K55" s="91" t="s">
        <v>423</v>
      </c>
      <c r="L55" s="92">
        <f t="shared" si="7"/>
        <v>5.5555555555555552E-2</v>
      </c>
      <c r="M55" s="89">
        <f t="shared" si="2"/>
        <v>3.7222222222222219</v>
      </c>
      <c r="N55" s="89">
        <f>IFERROR(VLOOKUP(B55,Custo_MI_Infra!B:E,3,FALSE),0)</f>
        <v>0</v>
      </c>
      <c r="O55" s="89">
        <f t="shared" si="3"/>
        <v>0</v>
      </c>
      <c r="P55" s="89">
        <f t="shared" si="4"/>
        <v>0</v>
      </c>
    </row>
    <row r="56" spans="1:16" s="73" customFormat="1" ht="27" customHeight="1">
      <c r="A56" s="84">
        <v>150</v>
      </c>
      <c r="B56" s="85" t="s">
        <v>407</v>
      </c>
      <c r="C56" s="86">
        <v>73071100</v>
      </c>
      <c r="D56" s="87" t="s">
        <v>424</v>
      </c>
      <c r="E56" s="88" t="s">
        <v>425</v>
      </c>
      <c r="F56" s="84">
        <v>1</v>
      </c>
      <c r="G56" s="84" t="s">
        <v>137</v>
      </c>
      <c r="H56" s="87" t="s">
        <v>149</v>
      </c>
      <c r="I56" s="89">
        <v>67</v>
      </c>
      <c r="J56" s="90">
        <f t="shared" si="0"/>
        <v>67</v>
      </c>
      <c r="K56" s="91" t="s">
        <v>425</v>
      </c>
      <c r="L56" s="92">
        <f t="shared" si="7"/>
        <v>5.5555555555555552E-2</v>
      </c>
      <c r="M56" s="89">
        <f t="shared" si="2"/>
        <v>3.7222222222222219</v>
      </c>
      <c r="N56" s="89">
        <f>IFERROR(VLOOKUP(B56,Custo_MI_Infra!B:E,3,FALSE),0)</f>
        <v>0</v>
      </c>
      <c r="O56" s="89">
        <f t="shared" si="3"/>
        <v>0</v>
      </c>
      <c r="P56" s="89">
        <f t="shared" si="4"/>
        <v>0</v>
      </c>
    </row>
    <row r="57" spans="1:16" s="73" customFormat="1" ht="27" customHeight="1">
      <c r="A57" s="84">
        <v>3608</v>
      </c>
      <c r="B57" s="85" t="s">
        <v>407</v>
      </c>
      <c r="C57" s="86">
        <v>73063000</v>
      </c>
      <c r="D57" s="87" t="s">
        <v>426</v>
      </c>
      <c r="E57" s="88">
        <v>0</v>
      </c>
      <c r="F57" s="63">
        <v>6</v>
      </c>
      <c r="G57" s="84" t="s">
        <v>232</v>
      </c>
      <c r="H57" s="87" t="s">
        <v>233</v>
      </c>
      <c r="I57" s="89">
        <v>81</v>
      </c>
      <c r="J57" s="90">
        <f t="shared" si="0"/>
        <v>486</v>
      </c>
      <c r="K57" s="91" t="s">
        <v>427</v>
      </c>
      <c r="L57" s="92">
        <f t="shared" si="7"/>
        <v>0.33333333333333331</v>
      </c>
      <c r="M57" s="89">
        <f t="shared" si="2"/>
        <v>27</v>
      </c>
      <c r="N57" s="89">
        <f>IFERROR(VLOOKUP(B57,Custo_MI_Infra!B:E,3,FALSE),0)</f>
        <v>0</v>
      </c>
      <c r="O57" s="89">
        <f t="shared" si="3"/>
        <v>0</v>
      </c>
      <c r="P57" s="89">
        <f t="shared" si="4"/>
        <v>0</v>
      </c>
    </row>
    <row r="58" spans="1:16" s="73" customFormat="1" ht="15" customHeight="1">
      <c r="A58" s="84">
        <v>3014</v>
      </c>
      <c r="B58" s="85" t="s">
        <v>407</v>
      </c>
      <c r="C58" s="86">
        <v>73072900</v>
      </c>
      <c r="D58" s="87" t="s">
        <v>403</v>
      </c>
      <c r="E58" s="88">
        <v>0</v>
      </c>
      <c r="F58" s="84">
        <v>2</v>
      </c>
      <c r="G58" s="84" t="s">
        <v>137</v>
      </c>
      <c r="H58" s="87" t="s">
        <v>233</v>
      </c>
      <c r="I58" s="89">
        <v>3.4</v>
      </c>
      <c r="J58" s="90">
        <f t="shared" si="0"/>
        <v>6.8</v>
      </c>
      <c r="K58" s="91" t="s">
        <v>404</v>
      </c>
      <c r="L58" s="92">
        <f t="shared" si="7"/>
        <v>0.1111111111111111</v>
      </c>
      <c r="M58" s="89">
        <f t="shared" si="2"/>
        <v>0.37777777777777777</v>
      </c>
      <c r="N58" s="89">
        <f>IFERROR(VLOOKUP(B58,Custo_MI_Infra!B:E,3,FALSE),0)</f>
        <v>0</v>
      </c>
      <c r="O58" s="89">
        <f t="shared" si="3"/>
        <v>0</v>
      </c>
      <c r="P58" s="89">
        <f t="shared" si="4"/>
        <v>0</v>
      </c>
    </row>
    <row r="59" spans="1:16" s="73" customFormat="1" ht="15" customHeight="1">
      <c r="A59" s="84">
        <v>3274</v>
      </c>
      <c r="B59" s="85" t="s">
        <v>407</v>
      </c>
      <c r="C59" s="86">
        <v>73181500</v>
      </c>
      <c r="D59" s="87" t="s">
        <v>265</v>
      </c>
      <c r="E59" s="88" t="s">
        <v>266</v>
      </c>
      <c r="F59" s="84">
        <v>24</v>
      </c>
      <c r="G59" s="84" t="s">
        <v>137</v>
      </c>
      <c r="H59" s="87" t="s">
        <v>256</v>
      </c>
      <c r="I59" s="89">
        <v>0.06</v>
      </c>
      <c r="J59" s="90">
        <f t="shared" si="0"/>
        <v>1.44</v>
      </c>
      <c r="K59" s="91" t="s">
        <v>266</v>
      </c>
      <c r="L59" s="92">
        <f t="shared" si="7"/>
        <v>1.3333333333333333</v>
      </c>
      <c r="M59" s="89">
        <f t="shared" si="2"/>
        <v>7.9999999999999988E-2</v>
      </c>
      <c r="N59" s="89">
        <f>IFERROR(VLOOKUP(B59,Custo_MI_Infra!B:E,3,FALSE),0)</f>
        <v>0</v>
      </c>
      <c r="O59" s="89">
        <f t="shared" si="3"/>
        <v>0</v>
      </c>
      <c r="P59" s="89">
        <f t="shared" si="4"/>
        <v>0</v>
      </c>
    </row>
    <row r="60" spans="1:16" ht="13.5" customHeight="1">
      <c r="A60" s="84">
        <v>2566</v>
      </c>
      <c r="B60" s="85" t="s">
        <v>428</v>
      </c>
      <c r="C60" s="86">
        <v>73072900</v>
      </c>
      <c r="D60" s="87" t="s">
        <v>429</v>
      </c>
      <c r="E60" s="88" t="s">
        <v>313</v>
      </c>
      <c r="F60" s="84">
        <v>12</v>
      </c>
      <c r="G60" s="84" t="s">
        <v>137</v>
      </c>
      <c r="H60" s="87" t="s">
        <v>256</v>
      </c>
      <c r="I60" s="89">
        <v>2.8</v>
      </c>
      <c r="J60" s="90">
        <f t="shared" si="0"/>
        <v>33.599999999999994</v>
      </c>
      <c r="K60" s="91" t="s">
        <v>313</v>
      </c>
      <c r="L60" s="92">
        <f t="shared" si="7"/>
        <v>0.66666666666666663</v>
      </c>
      <c r="M60" s="89">
        <f t="shared" si="2"/>
        <v>1.8666666666666665</v>
      </c>
      <c r="N60" s="89">
        <f>IFERROR(VLOOKUP(B60,Custo_MI_Infra!B:E,3,FALSE),0)</f>
        <v>0</v>
      </c>
      <c r="O60" s="89">
        <f t="shared" si="3"/>
        <v>0</v>
      </c>
      <c r="P60" s="89">
        <f t="shared" si="4"/>
        <v>0</v>
      </c>
    </row>
    <row r="61" spans="1:16" ht="13.5" customHeight="1">
      <c r="A61" s="93">
        <v>2058</v>
      </c>
      <c r="B61" s="94" t="s">
        <v>428</v>
      </c>
      <c r="C61" s="95">
        <v>73072900</v>
      </c>
      <c r="D61" s="96" t="s">
        <v>430</v>
      </c>
      <c r="E61" s="97" t="s">
        <v>322</v>
      </c>
      <c r="F61" s="93">
        <v>2</v>
      </c>
      <c r="G61" s="93" t="s">
        <v>137</v>
      </c>
      <c r="H61" s="96" t="s">
        <v>138</v>
      </c>
      <c r="I61" s="98">
        <v>1.8</v>
      </c>
      <c r="J61" s="99">
        <f t="shared" si="0"/>
        <v>3.6</v>
      </c>
      <c r="K61" s="100" t="s">
        <v>322</v>
      </c>
      <c r="L61" s="101">
        <f>F61/($F$74*3)</f>
        <v>0.1111111111111111</v>
      </c>
      <c r="M61" s="98">
        <f t="shared" si="2"/>
        <v>0.19999999999999998</v>
      </c>
      <c r="N61" s="98">
        <f>IFERROR(VLOOKUP(B61,Custo_MI_Infra!B:E,3,FALSE),0)</f>
        <v>0</v>
      </c>
      <c r="O61" s="98">
        <f t="shared" si="3"/>
        <v>0</v>
      </c>
      <c r="P61" s="98">
        <f t="shared" si="4"/>
        <v>0</v>
      </c>
    </row>
    <row r="62" spans="1:16" ht="13.5" customHeight="1">
      <c r="A62" s="93">
        <v>5091</v>
      </c>
      <c r="B62" s="94" t="s">
        <v>428</v>
      </c>
      <c r="C62" s="95">
        <v>73181500</v>
      </c>
      <c r="D62" s="96" t="s">
        <v>323</v>
      </c>
      <c r="E62" s="97" t="s">
        <v>324</v>
      </c>
      <c r="F62" s="93">
        <v>24</v>
      </c>
      <c r="G62" s="93" t="s">
        <v>137</v>
      </c>
      <c r="H62" s="96" t="s">
        <v>256</v>
      </c>
      <c r="I62" s="98">
        <v>0.04</v>
      </c>
      <c r="J62" s="99">
        <f t="shared" si="0"/>
        <v>0.96</v>
      </c>
      <c r="K62" s="100" t="s">
        <v>324</v>
      </c>
      <c r="L62" s="101">
        <f t="shared" ref="L62:L76" si="8">F62/($F$74*3)</f>
        <v>1.3333333333333333</v>
      </c>
      <c r="M62" s="98">
        <f t="shared" si="2"/>
        <v>5.333333333333333E-2</v>
      </c>
      <c r="N62" s="98">
        <f>IFERROR(VLOOKUP(B62,Custo_MI_Infra!B:E,3,FALSE),0)</f>
        <v>0</v>
      </c>
      <c r="O62" s="98">
        <f t="shared" si="3"/>
        <v>0</v>
      </c>
      <c r="P62" s="98">
        <f t="shared" si="4"/>
        <v>0</v>
      </c>
    </row>
    <row r="63" spans="1:16" ht="13.5" customHeight="1">
      <c r="A63" s="93">
        <v>3482</v>
      </c>
      <c r="B63" s="94" t="s">
        <v>428</v>
      </c>
      <c r="C63" s="95">
        <v>73071100</v>
      </c>
      <c r="D63" s="96" t="s">
        <v>431</v>
      </c>
      <c r="E63" s="97" t="s">
        <v>136</v>
      </c>
      <c r="F63" s="93">
        <v>2</v>
      </c>
      <c r="G63" s="93" t="s">
        <v>137</v>
      </c>
      <c r="H63" s="96" t="s">
        <v>138</v>
      </c>
      <c r="I63" s="98">
        <v>2.5</v>
      </c>
      <c r="J63" s="99">
        <f t="shared" si="0"/>
        <v>5</v>
      </c>
      <c r="K63" s="100" t="s">
        <v>136</v>
      </c>
      <c r="L63" s="101">
        <f t="shared" si="8"/>
        <v>0.1111111111111111</v>
      </c>
      <c r="M63" s="98">
        <f t="shared" si="2"/>
        <v>0.27777777777777779</v>
      </c>
      <c r="N63" s="98">
        <f>IFERROR(VLOOKUP(B63,Custo_MI_Infra!B:E,3,FALSE),0)</f>
        <v>0</v>
      </c>
      <c r="O63" s="98">
        <f t="shared" si="3"/>
        <v>0</v>
      </c>
      <c r="P63" s="98">
        <f t="shared" si="4"/>
        <v>0</v>
      </c>
    </row>
    <row r="64" spans="1:16" ht="13.5" customHeight="1">
      <c r="A64" s="93">
        <v>1120</v>
      </c>
      <c r="B64" s="94" t="s">
        <v>428</v>
      </c>
      <c r="C64" s="95">
        <v>73071910</v>
      </c>
      <c r="D64" s="96" t="s">
        <v>432</v>
      </c>
      <c r="E64" s="97" t="s">
        <v>433</v>
      </c>
      <c r="F64" s="93">
        <v>1</v>
      </c>
      <c r="G64" s="93" t="s">
        <v>137</v>
      </c>
      <c r="H64" s="96" t="s">
        <v>138</v>
      </c>
      <c r="I64" s="98">
        <v>7.2</v>
      </c>
      <c r="J64" s="99">
        <f t="shared" si="0"/>
        <v>7.2</v>
      </c>
      <c r="K64" s="100" t="s">
        <v>433</v>
      </c>
      <c r="L64" s="101">
        <f t="shared" si="8"/>
        <v>5.5555555555555552E-2</v>
      </c>
      <c r="M64" s="98">
        <f t="shared" si="2"/>
        <v>0.39999999999999997</v>
      </c>
      <c r="N64" s="98">
        <f>IFERROR(VLOOKUP(B64,Custo_MI_Infra!B:E,3,FALSE),0)</f>
        <v>0</v>
      </c>
      <c r="O64" s="98">
        <f t="shared" si="3"/>
        <v>0</v>
      </c>
      <c r="P64" s="98">
        <f t="shared" si="4"/>
        <v>0</v>
      </c>
    </row>
    <row r="65" spans="1:16" ht="13.5" customHeight="1">
      <c r="A65" s="93">
        <v>1118</v>
      </c>
      <c r="B65" s="94" t="s">
        <v>428</v>
      </c>
      <c r="C65" s="95">
        <v>73071910</v>
      </c>
      <c r="D65" s="96" t="s">
        <v>434</v>
      </c>
      <c r="E65" s="97" t="s">
        <v>435</v>
      </c>
      <c r="F65" s="93">
        <v>1</v>
      </c>
      <c r="G65" s="93" t="s">
        <v>137</v>
      </c>
      <c r="H65" s="96" t="s">
        <v>138</v>
      </c>
      <c r="I65" s="98">
        <v>7.8</v>
      </c>
      <c r="J65" s="99">
        <f t="shared" si="0"/>
        <v>7.8</v>
      </c>
      <c r="K65" s="100" t="s">
        <v>435</v>
      </c>
      <c r="L65" s="101">
        <f t="shared" si="8"/>
        <v>5.5555555555555552E-2</v>
      </c>
      <c r="M65" s="98">
        <f t="shared" si="2"/>
        <v>0.43333333333333329</v>
      </c>
      <c r="N65" s="98">
        <f>IFERROR(VLOOKUP(B65,Custo_MI_Infra!B:E,3,FALSE),0)</f>
        <v>0</v>
      </c>
      <c r="O65" s="98">
        <f t="shared" si="3"/>
        <v>0</v>
      </c>
      <c r="P65" s="98">
        <f t="shared" si="4"/>
        <v>0</v>
      </c>
    </row>
    <row r="66" spans="1:16" ht="13.5" customHeight="1">
      <c r="A66" s="93">
        <v>312</v>
      </c>
      <c r="B66" s="94" t="s">
        <v>428</v>
      </c>
      <c r="C66" s="95">
        <v>73071910</v>
      </c>
      <c r="D66" s="96" t="s">
        <v>436</v>
      </c>
      <c r="E66" s="97" t="s">
        <v>437</v>
      </c>
      <c r="F66" s="93">
        <v>2</v>
      </c>
      <c r="G66" s="93" t="s">
        <v>137</v>
      </c>
      <c r="H66" s="96" t="s">
        <v>138</v>
      </c>
      <c r="I66" s="98">
        <v>14.25</v>
      </c>
      <c r="J66" s="99">
        <f t="shared" si="0"/>
        <v>28.5</v>
      </c>
      <c r="K66" s="100" t="s">
        <v>437</v>
      </c>
      <c r="L66" s="101">
        <f t="shared" si="8"/>
        <v>0.1111111111111111</v>
      </c>
      <c r="M66" s="98">
        <f t="shared" si="2"/>
        <v>1.5833333333333333</v>
      </c>
      <c r="N66" s="98">
        <f>IFERROR(VLOOKUP(B66,Custo_MI_Infra!B:E,3,FALSE),0)</f>
        <v>0</v>
      </c>
      <c r="O66" s="98">
        <f t="shared" si="3"/>
        <v>0</v>
      </c>
      <c r="P66" s="98">
        <f t="shared" si="4"/>
        <v>0</v>
      </c>
    </row>
    <row r="67" spans="1:16" ht="13.5" customHeight="1">
      <c r="A67" s="93">
        <v>120</v>
      </c>
      <c r="B67" s="94" t="s">
        <v>428</v>
      </c>
      <c r="C67" s="95">
        <v>73071910</v>
      </c>
      <c r="D67" s="96" t="s">
        <v>438</v>
      </c>
      <c r="E67" s="97" t="s">
        <v>439</v>
      </c>
      <c r="F67" s="93">
        <v>1</v>
      </c>
      <c r="G67" s="93" t="s">
        <v>137</v>
      </c>
      <c r="H67" s="96" t="s">
        <v>138</v>
      </c>
      <c r="I67" s="98">
        <v>13.2</v>
      </c>
      <c r="J67" s="99">
        <f t="shared" ref="J67:J130" si="9">F67*I67</f>
        <v>13.2</v>
      </c>
      <c r="K67" s="100" t="s">
        <v>439</v>
      </c>
      <c r="L67" s="101">
        <f t="shared" si="8"/>
        <v>5.5555555555555552E-2</v>
      </c>
      <c r="M67" s="98">
        <f t="shared" si="2"/>
        <v>0.73333333333333328</v>
      </c>
      <c r="N67" s="98">
        <f>IFERROR(VLOOKUP(B67,Custo_MI_Infra!B:E,3,FALSE),0)</f>
        <v>0</v>
      </c>
      <c r="O67" s="98">
        <f t="shared" si="3"/>
        <v>0</v>
      </c>
      <c r="P67" s="98">
        <f t="shared" si="4"/>
        <v>0</v>
      </c>
    </row>
    <row r="68" spans="1:16" ht="13.5" customHeight="1">
      <c r="A68" s="93">
        <v>2805</v>
      </c>
      <c r="B68" s="94" t="s">
        <v>428</v>
      </c>
      <c r="C68" s="95">
        <v>72162100</v>
      </c>
      <c r="D68" s="96" t="s">
        <v>354</v>
      </c>
      <c r="E68" s="97">
        <v>0</v>
      </c>
      <c r="F68" s="93">
        <f>0.86*F74*3</f>
        <v>15.48</v>
      </c>
      <c r="G68" s="93" t="s">
        <v>175</v>
      </c>
      <c r="H68" s="96" t="s">
        <v>176</v>
      </c>
      <c r="I68" s="98">
        <v>4.22</v>
      </c>
      <c r="J68" s="99">
        <f t="shared" si="9"/>
        <v>65.325599999999994</v>
      </c>
      <c r="K68" s="100" t="s">
        <v>177</v>
      </c>
      <c r="L68" s="101">
        <f t="shared" si="8"/>
        <v>0.86</v>
      </c>
      <c r="M68" s="98">
        <f t="shared" ref="M68:M131" si="10">L68*I68</f>
        <v>3.6291999999999995</v>
      </c>
      <c r="N68" s="98">
        <f>IFERROR(VLOOKUP(B68,Custo_MI_Infra!B:E,3,FALSE),0)</f>
        <v>0</v>
      </c>
      <c r="O68" s="98">
        <f t="shared" ref="O68:O131" si="11">N68*L68</f>
        <v>0</v>
      </c>
      <c r="P68" s="98">
        <f t="shared" ref="P68:P131" si="12">O68*I68</f>
        <v>0</v>
      </c>
    </row>
    <row r="69" spans="1:16" ht="13.5" customHeight="1">
      <c r="A69" s="93">
        <v>69</v>
      </c>
      <c r="B69" s="94" t="s">
        <v>428</v>
      </c>
      <c r="C69" s="95">
        <v>76090000</v>
      </c>
      <c r="D69" s="96" t="s">
        <v>440</v>
      </c>
      <c r="E69" s="97" t="s">
        <v>441</v>
      </c>
      <c r="F69" s="93">
        <v>2</v>
      </c>
      <c r="G69" s="93" t="s">
        <v>137</v>
      </c>
      <c r="H69" s="96" t="s">
        <v>138</v>
      </c>
      <c r="I69" s="98">
        <v>28.5</v>
      </c>
      <c r="J69" s="99">
        <f t="shared" si="9"/>
        <v>57</v>
      </c>
      <c r="K69" s="100" t="s">
        <v>441</v>
      </c>
      <c r="L69" s="101">
        <f t="shared" si="8"/>
        <v>0.1111111111111111</v>
      </c>
      <c r="M69" s="98">
        <f t="shared" si="10"/>
        <v>3.1666666666666665</v>
      </c>
      <c r="N69" s="98">
        <f>IFERROR(VLOOKUP(B69,Custo_MI_Infra!B:E,3,FALSE),0)</f>
        <v>0</v>
      </c>
      <c r="O69" s="98">
        <f t="shared" si="11"/>
        <v>0</v>
      </c>
      <c r="P69" s="98">
        <f t="shared" si="12"/>
        <v>0</v>
      </c>
    </row>
    <row r="70" spans="1:16" ht="27" customHeight="1">
      <c r="A70" s="93">
        <v>4646</v>
      </c>
      <c r="B70" s="94" t="s">
        <v>428</v>
      </c>
      <c r="C70" s="95">
        <v>76090000</v>
      </c>
      <c r="D70" s="96" t="s">
        <v>191</v>
      </c>
      <c r="E70" s="97" t="s">
        <v>192</v>
      </c>
      <c r="F70" s="93">
        <v>1</v>
      </c>
      <c r="G70" s="93" t="s">
        <v>137</v>
      </c>
      <c r="H70" s="96" t="s">
        <v>138</v>
      </c>
      <c r="I70" s="98">
        <v>28.5</v>
      </c>
      <c r="J70" s="99">
        <f t="shared" si="9"/>
        <v>28.5</v>
      </c>
      <c r="K70" s="100" t="s">
        <v>192</v>
      </c>
      <c r="L70" s="101">
        <f t="shared" si="8"/>
        <v>5.5555555555555552E-2</v>
      </c>
      <c r="M70" s="98">
        <f t="shared" si="10"/>
        <v>1.5833333333333333</v>
      </c>
      <c r="N70" s="98">
        <f>IFERROR(VLOOKUP(B70,Custo_MI_Infra!B:E,3,FALSE),0)</f>
        <v>0</v>
      </c>
      <c r="O70" s="98">
        <f t="shared" si="11"/>
        <v>0</v>
      </c>
      <c r="P70" s="98">
        <f t="shared" si="12"/>
        <v>0</v>
      </c>
    </row>
    <row r="71" spans="1:16" ht="27" customHeight="1">
      <c r="A71" s="93">
        <v>2617</v>
      </c>
      <c r="B71" s="94" t="s">
        <v>428</v>
      </c>
      <c r="C71" s="95">
        <v>76090000</v>
      </c>
      <c r="D71" s="96" t="s">
        <v>442</v>
      </c>
      <c r="E71" s="97" t="s">
        <v>443</v>
      </c>
      <c r="F71" s="93">
        <v>1</v>
      </c>
      <c r="G71" s="93" t="s">
        <v>137</v>
      </c>
      <c r="H71" s="96" t="s">
        <v>138</v>
      </c>
      <c r="I71" s="98">
        <v>28.5</v>
      </c>
      <c r="J71" s="99">
        <f t="shared" si="9"/>
        <v>28.5</v>
      </c>
      <c r="K71" s="100" t="s">
        <v>443</v>
      </c>
      <c r="L71" s="101">
        <f t="shared" si="8"/>
        <v>5.5555555555555552E-2</v>
      </c>
      <c r="M71" s="98">
        <f t="shared" si="10"/>
        <v>1.5833333333333333</v>
      </c>
      <c r="N71" s="98">
        <f>IFERROR(VLOOKUP(B71,Custo_MI_Infra!B:E,3,FALSE),0)</f>
        <v>0</v>
      </c>
      <c r="O71" s="98">
        <f t="shared" si="11"/>
        <v>0</v>
      </c>
      <c r="P71" s="98">
        <f t="shared" si="12"/>
        <v>0</v>
      </c>
    </row>
    <row r="72" spans="1:16" ht="27" customHeight="1">
      <c r="A72" s="93">
        <v>4532</v>
      </c>
      <c r="B72" s="94" t="s">
        <v>428</v>
      </c>
      <c r="C72" s="95">
        <v>76090000</v>
      </c>
      <c r="D72" s="96" t="s">
        <v>444</v>
      </c>
      <c r="E72" s="97" t="s">
        <v>445</v>
      </c>
      <c r="F72" s="93">
        <v>1</v>
      </c>
      <c r="G72" s="93" t="s">
        <v>137</v>
      </c>
      <c r="H72" s="96" t="s">
        <v>138</v>
      </c>
      <c r="I72" s="98">
        <v>28.5</v>
      </c>
      <c r="J72" s="99">
        <f t="shared" si="9"/>
        <v>28.5</v>
      </c>
      <c r="K72" s="100" t="s">
        <v>445</v>
      </c>
      <c r="L72" s="101">
        <f t="shared" si="8"/>
        <v>5.5555555555555552E-2</v>
      </c>
      <c r="M72" s="98">
        <f t="shared" si="10"/>
        <v>1.5833333333333333</v>
      </c>
      <c r="N72" s="98">
        <f>IFERROR(VLOOKUP(B72,Custo_MI_Infra!B:E,3,FALSE),0)</f>
        <v>0</v>
      </c>
      <c r="O72" s="98">
        <f t="shared" si="11"/>
        <v>0</v>
      </c>
      <c r="P72" s="98">
        <f t="shared" si="12"/>
        <v>0</v>
      </c>
    </row>
    <row r="73" spans="1:16" ht="13.5" customHeight="1">
      <c r="A73" s="93">
        <v>4824</v>
      </c>
      <c r="B73" s="94" t="s">
        <v>428</v>
      </c>
      <c r="C73" s="95">
        <v>76090000</v>
      </c>
      <c r="D73" s="96" t="s">
        <v>446</v>
      </c>
      <c r="E73" s="97" t="s">
        <v>447</v>
      </c>
      <c r="F73" s="93">
        <v>1</v>
      </c>
      <c r="G73" s="93" t="s">
        <v>137</v>
      </c>
      <c r="H73" s="96" t="s">
        <v>138</v>
      </c>
      <c r="I73" s="98">
        <v>30.1</v>
      </c>
      <c r="J73" s="99">
        <f t="shared" si="9"/>
        <v>30.1</v>
      </c>
      <c r="K73" s="100" t="s">
        <v>447</v>
      </c>
      <c r="L73" s="101">
        <f t="shared" si="8"/>
        <v>5.5555555555555552E-2</v>
      </c>
      <c r="M73" s="98">
        <f t="shared" si="10"/>
        <v>1.6722222222222223</v>
      </c>
      <c r="N73" s="98">
        <f>IFERROR(VLOOKUP(B73,Custo_MI_Infra!B:E,3,FALSE),0)</f>
        <v>0</v>
      </c>
      <c r="O73" s="98">
        <f t="shared" si="11"/>
        <v>0</v>
      </c>
      <c r="P73" s="98">
        <f t="shared" si="12"/>
        <v>0</v>
      </c>
    </row>
    <row r="74" spans="1:16" ht="15.75" customHeight="1">
      <c r="A74" s="93">
        <v>4307</v>
      </c>
      <c r="B74" s="94" t="s">
        <v>428</v>
      </c>
      <c r="C74" s="95">
        <v>73063000</v>
      </c>
      <c r="D74" s="96" t="s">
        <v>237</v>
      </c>
      <c r="E74" s="97">
        <v>0</v>
      </c>
      <c r="F74" s="63">
        <v>6</v>
      </c>
      <c r="G74" s="93" t="s">
        <v>232</v>
      </c>
      <c r="H74" s="96" t="s">
        <v>233</v>
      </c>
      <c r="I74" s="98">
        <v>86</v>
      </c>
      <c r="J74" s="99">
        <f t="shared" si="9"/>
        <v>516</v>
      </c>
      <c r="K74" s="100" t="s">
        <v>238</v>
      </c>
      <c r="L74" s="101">
        <f t="shared" si="8"/>
        <v>0.33333333333333331</v>
      </c>
      <c r="M74" s="98">
        <f t="shared" si="10"/>
        <v>28.666666666666664</v>
      </c>
      <c r="N74" s="98">
        <f>IFERROR(VLOOKUP(B74,Custo_MI_Infra!B:E,3,FALSE),0)</f>
        <v>0</v>
      </c>
      <c r="O74" s="98">
        <f t="shared" si="11"/>
        <v>0</v>
      </c>
      <c r="P74" s="98">
        <f t="shared" si="12"/>
        <v>0</v>
      </c>
    </row>
    <row r="75" spans="1:16" ht="13.5" customHeight="1">
      <c r="A75" s="93">
        <v>2831</v>
      </c>
      <c r="B75" s="94" t="s">
        <v>428</v>
      </c>
      <c r="C75" s="95">
        <v>73071910</v>
      </c>
      <c r="D75" s="96" t="s">
        <v>261</v>
      </c>
      <c r="E75" s="97" t="s">
        <v>262</v>
      </c>
      <c r="F75" s="93">
        <v>2</v>
      </c>
      <c r="G75" s="93" t="s">
        <v>137</v>
      </c>
      <c r="H75" s="96" t="s">
        <v>138</v>
      </c>
      <c r="I75" s="98">
        <v>2.5</v>
      </c>
      <c r="J75" s="99">
        <f t="shared" si="9"/>
        <v>5</v>
      </c>
      <c r="K75" s="100" t="s">
        <v>262</v>
      </c>
      <c r="L75" s="101">
        <f t="shared" si="8"/>
        <v>0.1111111111111111</v>
      </c>
      <c r="M75" s="98">
        <f t="shared" si="10"/>
        <v>0.27777777777777779</v>
      </c>
      <c r="N75" s="98">
        <f>IFERROR(VLOOKUP(B75,Custo_MI_Infra!B:E,3,FALSE),0)</f>
        <v>0</v>
      </c>
      <c r="O75" s="98">
        <f t="shared" si="11"/>
        <v>0</v>
      </c>
      <c r="P75" s="98">
        <f t="shared" si="12"/>
        <v>0</v>
      </c>
    </row>
    <row r="76" spans="1:16" ht="13.5" customHeight="1">
      <c r="A76" s="93">
        <v>3274</v>
      </c>
      <c r="B76" s="94" t="s">
        <v>428</v>
      </c>
      <c r="C76" s="95">
        <v>73181500</v>
      </c>
      <c r="D76" s="96" t="s">
        <v>265</v>
      </c>
      <c r="E76" s="97" t="s">
        <v>266</v>
      </c>
      <c r="F76" s="93">
        <v>24</v>
      </c>
      <c r="G76" s="93" t="s">
        <v>137</v>
      </c>
      <c r="H76" s="96" t="s">
        <v>256</v>
      </c>
      <c r="I76" s="98">
        <v>0.06</v>
      </c>
      <c r="J76" s="99">
        <f t="shared" si="9"/>
        <v>1.44</v>
      </c>
      <c r="K76" s="100" t="s">
        <v>266</v>
      </c>
      <c r="L76" s="101">
        <f t="shared" si="8"/>
        <v>1.3333333333333333</v>
      </c>
      <c r="M76" s="98">
        <f t="shared" si="10"/>
        <v>7.9999999999999988E-2</v>
      </c>
      <c r="N76" s="98">
        <f>IFERROR(VLOOKUP(B76,Custo_MI_Infra!B:E,3,FALSE),0)</f>
        <v>0</v>
      </c>
      <c r="O76" s="98">
        <f t="shared" si="11"/>
        <v>0</v>
      </c>
      <c r="P76" s="98">
        <f t="shared" si="12"/>
        <v>0</v>
      </c>
    </row>
    <row r="77" spans="1:16" s="73" customFormat="1" ht="15" customHeight="1">
      <c r="A77" s="102">
        <v>2566</v>
      </c>
      <c r="B77" s="103" t="s">
        <v>448</v>
      </c>
      <c r="C77" s="104">
        <v>73072900</v>
      </c>
      <c r="D77" s="105" t="s">
        <v>429</v>
      </c>
      <c r="E77" s="106" t="s">
        <v>313</v>
      </c>
      <c r="F77" s="102">
        <v>12</v>
      </c>
      <c r="G77" s="102" t="s">
        <v>137</v>
      </c>
      <c r="H77" s="105" t="s">
        <v>256</v>
      </c>
      <c r="I77" s="107">
        <v>2.8</v>
      </c>
      <c r="J77" s="108">
        <f t="shared" si="9"/>
        <v>33.599999999999994</v>
      </c>
      <c r="K77" s="109" t="s">
        <v>313</v>
      </c>
      <c r="L77" s="110">
        <f>F77/($F$91*3)</f>
        <v>0.66666666666666663</v>
      </c>
      <c r="M77" s="107">
        <f t="shared" si="10"/>
        <v>1.8666666666666665</v>
      </c>
      <c r="N77" s="107">
        <f>IFERROR(VLOOKUP(B77,Custo_MI_Infra!B:E,3,FALSE),0)</f>
        <v>0</v>
      </c>
      <c r="O77" s="107">
        <f t="shared" si="11"/>
        <v>0</v>
      </c>
      <c r="P77" s="107">
        <f t="shared" si="12"/>
        <v>0</v>
      </c>
    </row>
    <row r="78" spans="1:16" s="73" customFormat="1" ht="15" customHeight="1">
      <c r="A78" s="102">
        <v>102</v>
      </c>
      <c r="B78" s="103" t="s">
        <v>448</v>
      </c>
      <c r="C78" s="104">
        <v>73072900</v>
      </c>
      <c r="D78" s="105" t="s">
        <v>449</v>
      </c>
      <c r="E78" s="106" t="s">
        <v>450</v>
      </c>
      <c r="F78" s="102">
        <v>2</v>
      </c>
      <c r="G78" s="102" t="s">
        <v>137</v>
      </c>
      <c r="H78" s="105" t="s">
        <v>253</v>
      </c>
      <c r="I78" s="107">
        <v>9.1</v>
      </c>
      <c r="J78" s="108">
        <f t="shared" si="9"/>
        <v>18.2</v>
      </c>
      <c r="K78" s="109" t="s">
        <v>450</v>
      </c>
      <c r="L78" s="110">
        <f t="shared" ref="L78:L92" si="13">F78/($F$91*3)</f>
        <v>0.1111111111111111</v>
      </c>
      <c r="M78" s="107">
        <f t="shared" si="10"/>
        <v>1.0111111111111111</v>
      </c>
      <c r="N78" s="107">
        <f>IFERROR(VLOOKUP(B78,Custo_MI_Infra!B:E,3,FALSE),0)</f>
        <v>0</v>
      </c>
      <c r="O78" s="107">
        <f t="shared" si="11"/>
        <v>0</v>
      </c>
      <c r="P78" s="107">
        <f t="shared" si="12"/>
        <v>0</v>
      </c>
    </row>
    <row r="79" spans="1:16" s="73" customFormat="1" ht="15" customHeight="1">
      <c r="A79" s="102">
        <v>5091</v>
      </c>
      <c r="B79" s="103" t="s">
        <v>448</v>
      </c>
      <c r="C79" s="104">
        <v>73181500</v>
      </c>
      <c r="D79" s="105" t="s">
        <v>323</v>
      </c>
      <c r="E79" s="106" t="s">
        <v>324</v>
      </c>
      <c r="F79" s="102">
        <v>24</v>
      </c>
      <c r="G79" s="102" t="s">
        <v>137</v>
      </c>
      <c r="H79" s="105" t="s">
        <v>256</v>
      </c>
      <c r="I79" s="107">
        <v>0.04</v>
      </c>
      <c r="J79" s="108">
        <f t="shared" si="9"/>
        <v>0.96</v>
      </c>
      <c r="K79" s="109" t="s">
        <v>324</v>
      </c>
      <c r="L79" s="110">
        <f t="shared" si="13"/>
        <v>1.3333333333333333</v>
      </c>
      <c r="M79" s="107">
        <f t="shared" si="10"/>
        <v>5.333333333333333E-2</v>
      </c>
      <c r="N79" s="107">
        <f>IFERROR(VLOOKUP(B79,Custo_MI_Infra!B:E,3,FALSE),0)</f>
        <v>0</v>
      </c>
      <c r="O79" s="107">
        <f t="shared" si="11"/>
        <v>0</v>
      </c>
      <c r="P79" s="107">
        <f t="shared" si="12"/>
        <v>0</v>
      </c>
    </row>
    <row r="80" spans="1:16" s="73" customFormat="1" ht="15" customHeight="1">
      <c r="A80" s="102">
        <v>94</v>
      </c>
      <c r="B80" s="103" t="s">
        <v>448</v>
      </c>
      <c r="C80" s="104">
        <v>73071100</v>
      </c>
      <c r="D80" s="105" t="s">
        <v>451</v>
      </c>
      <c r="E80" s="106" t="s">
        <v>452</v>
      </c>
      <c r="F80" s="102">
        <v>2</v>
      </c>
      <c r="G80" s="102" t="s">
        <v>137</v>
      </c>
      <c r="H80" s="105" t="s">
        <v>253</v>
      </c>
      <c r="I80" s="107">
        <v>10.85</v>
      </c>
      <c r="J80" s="108">
        <f t="shared" si="9"/>
        <v>21.7</v>
      </c>
      <c r="K80" s="109" t="s">
        <v>452</v>
      </c>
      <c r="L80" s="110">
        <f t="shared" si="13"/>
        <v>0.1111111111111111</v>
      </c>
      <c r="M80" s="107">
        <f t="shared" si="10"/>
        <v>1.2055555555555555</v>
      </c>
      <c r="N80" s="107">
        <f>IFERROR(VLOOKUP(B80,Custo_MI_Infra!B:E,3,FALSE),0)</f>
        <v>0</v>
      </c>
      <c r="O80" s="107">
        <f t="shared" si="11"/>
        <v>0</v>
      </c>
      <c r="P80" s="107">
        <f t="shared" si="12"/>
        <v>0</v>
      </c>
    </row>
    <row r="81" spans="1:16" s="73" customFormat="1" ht="15" customHeight="1">
      <c r="A81" s="102">
        <v>3323</v>
      </c>
      <c r="B81" s="103" t="s">
        <v>448</v>
      </c>
      <c r="C81" s="104">
        <v>73071910</v>
      </c>
      <c r="D81" s="105" t="s">
        <v>453</v>
      </c>
      <c r="E81" s="106" t="s">
        <v>454</v>
      </c>
      <c r="F81" s="102">
        <v>1</v>
      </c>
      <c r="G81" s="102" t="s">
        <v>137</v>
      </c>
      <c r="H81" s="105" t="s">
        <v>253</v>
      </c>
      <c r="I81" s="107">
        <v>23.5</v>
      </c>
      <c r="J81" s="108">
        <f t="shared" si="9"/>
        <v>23.5</v>
      </c>
      <c r="K81" s="109" t="s">
        <v>454</v>
      </c>
      <c r="L81" s="110">
        <f t="shared" si="13"/>
        <v>5.5555555555555552E-2</v>
      </c>
      <c r="M81" s="107">
        <f t="shared" si="10"/>
        <v>1.3055555555555556</v>
      </c>
      <c r="N81" s="107">
        <f>IFERROR(VLOOKUP(B81,Custo_MI_Infra!B:E,3,FALSE),0)</f>
        <v>0</v>
      </c>
      <c r="O81" s="107">
        <f t="shared" si="11"/>
        <v>0</v>
      </c>
      <c r="P81" s="107">
        <f t="shared" si="12"/>
        <v>0</v>
      </c>
    </row>
    <row r="82" spans="1:16" s="73" customFormat="1" ht="15" customHeight="1">
      <c r="A82" s="102">
        <v>4505</v>
      </c>
      <c r="B82" s="103" t="s">
        <v>448</v>
      </c>
      <c r="C82" s="104">
        <v>73071100</v>
      </c>
      <c r="D82" s="105" t="s">
        <v>455</v>
      </c>
      <c r="E82" s="106" t="s">
        <v>456</v>
      </c>
      <c r="F82" s="102">
        <v>1</v>
      </c>
      <c r="G82" s="102" t="s">
        <v>137</v>
      </c>
      <c r="H82" s="105" t="s">
        <v>253</v>
      </c>
      <c r="I82" s="107">
        <v>21.08</v>
      </c>
      <c r="J82" s="108">
        <f t="shared" si="9"/>
        <v>21.08</v>
      </c>
      <c r="K82" s="109" t="s">
        <v>456</v>
      </c>
      <c r="L82" s="110">
        <f t="shared" si="13"/>
        <v>5.5555555555555552E-2</v>
      </c>
      <c r="M82" s="107">
        <f t="shared" si="10"/>
        <v>1.171111111111111</v>
      </c>
      <c r="N82" s="107">
        <f>IFERROR(VLOOKUP(B82,Custo_MI_Infra!B:E,3,FALSE),0)</f>
        <v>0</v>
      </c>
      <c r="O82" s="107">
        <f t="shared" si="11"/>
        <v>0</v>
      </c>
      <c r="P82" s="107">
        <f t="shared" si="12"/>
        <v>0</v>
      </c>
    </row>
    <row r="83" spans="1:16" s="73" customFormat="1" ht="15" customHeight="1">
      <c r="A83" s="102">
        <v>4176</v>
      </c>
      <c r="B83" s="103" t="s">
        <v>448</v>
      </c>
      <c r="C83" s="104">
        <v>73071100</v>
      </c>
      <c r="D83" s="105" t="s">
        <v>457</v>
      </c>
      <c r="E83" s="106" t="s">
        <v>458</v>
      </c>
      <c r="F83" s="102">
        <v>2</v>
      </c>
      <c r="G83" s="102" t="s">
        <v>137</v>
      </c>
      <c r="H83" s="105" t="s">
        <v>253</v>
      </c>
      <c r="I83" s="107">
        <v>27.15</v>
      </c>
      <c r="J83" s="108">
        <f t="shared" si="9"/>
        <v>54.3</v>
      </c>
      <c r="K83" s="109" t="s">
        <v>458</v>
      </c>
      <c r="L83" s="110">
        <f t="shared" si="13"/>
        <v>0.1111111111111111</v>
      </c>
      <c r="M83" s="107">
        <f t="shared" si="10"/>
        <v>3.0166666666666662</v>
      </c>
      <c r="N83" s="107">
        <f>IFERROR(VLOOKUP(B83,Custo_MI_Infra!B:E,3,FALSE),0)</f>
        <v>0</v>
      </c>
      <c r="O83" s="107">
        <f t="shared" si="11"/>
        <v>0</v>
      </c>
      <c r="P83" s="107">
        <f t="shared" si="12"/>
        <v>0</v>
      </c>
    </row>
    <row r="84" spans="1:16" s="73" customFormat="1" ht="15" customHeight="1">
      <c r="A84" s="102">
        <v>292</v>
      </c>
      <c r="B84" s="103" t="s">
        <v>448</v>
      </c>
      <c r="C84" s="104">
        <v>73071100</v>
      </c>
      <c r="D84" s="105" t="s">
        <v>459</v>
      </c>
      <c r="E84" s="106" t="s">
        <v>460</v>
      </c>
      <c r="F84" s="102">
        <v>1</v>
      </c>
      <c r="G84" s="102" t="s">
        <v>137</v>
      </c>
      <c r="H84" s="105" t="s">
        <v>253</v>
      </c>
      <c r="I84" s="107">
        <v>25.48</v>
      </c>
      <c r="J84" s="108">
        <f t="shared" si="9"/>
        <v>25.48</v>
      </c>
      <c r="K84" s="109" t="s">
        <v>460</v>
      </c>
      <c r="L84" s="110">
        <f t="shared" si="13"/>
        <v>5.5555555555555552E-2</v>
      </c>
      <c r="M84" s="107">
        <f t="shared" si="10"/>
        <v>1.4155555555555555</v>
      </c>
      <c r="N84" s="107">
        <f>IFERROR(VLOOKUP(B84,Custo_MI_Infra!B:E,3,FALSE),0)</f>
        <v>0</v>
      </c>
      <c r="O84" s="107">
        <f t="shared" si="11"/>
        <v>0</v>
      </c>
      <c r="P84" s="107">
        <f t="shared" si="12"/>
        <v>0</v>
      </c>
    </row>
    <row r="85" spans="1:16" s="73" customFormat="1" ht="15" customHeight="1">
      <c r="A85" s="102">
        <v>2805</v>
      </c>
      <c r="B85" s="103" t="s">
        <v>448</v>
      </c>
      <c r="C85" s="104">
        <v>72162100</v>
      </c>
      <c r="D85" s="105" t="s">
        <v>354</v>
      </c>
      <c r="E85" s="106">
        <v>0</v>
      </c>
      <c r="F85" s="102">
        <f>0.86*F91*3</f>
        <v>15.48</v>
      </c>
      <c r="G85" s="102" t="s">
        <v>175</v>
      </c>
      <c r="H85" s="105" t="s">
        <v>176</v>
      </c>
      <c r="I85" s="107">
        <v>4.22</v>
      </c>
      <c r="J85" s="108">
        <f t="shared" si="9"/>
        <v>65.325599999999994</v>
      </c>
      <c r="K85" s="109" t="s">
        <v>177</v>
      </c>
      <c r="L85" s="110">
        <f t="shared" si="13"/>
        <v>0.86</v>
      </c>
      <c r="M85" s="107">
        <f t="shared" si="10"/>
        <v>3.6291999999999995</v>
      </c>
      <c r="N85" s="107">
        <f>IFERROR(VLOOKUP(B85,Custo_MI_Infra!B:E,3,FALSE),0)</f>
        <v>0</v>
      </c>
      <c r="O85" s="107">
        <f t="shared" si="11"/>
        <v>0</v>
      </c>
      <c r="P85" s="107">
        <f t="shared" si="12"/>
        <v>0</v>
      </c>
    </row>
    <row r="86" spans="1:16" s="73" customFormat="1" ht="15" customHeight="1">
      <c r="A86" s="102">
        <v>153</v>
      </c>
      <c r="B86" s="103" t="s">
        <v>448</v>
      </c>
      <c r="C86" s="104">
        <v>73071100</v>
      </c>
      <c r="D86" s="105" t="s">
        <v>461</v>
      </c>
      <c r="E86" s="106" t="s">
        <v>462</v>
      </c>
      <c r="F86" s="102">
        <v>2</v>
      </c>
      <c r="G86" s="102" t="s">
        <v>137</v>
      </c>
      <c r="H86" s="105" t="s">
        <v>149</v>
      </c>
      <c r="I86" s="107">
        <v>88</v>
      </c>
      <c r="J86" s="108">
        <f t="shared" si="9"/>
        <v>176</v>
      </c>
      <c r="K86" s="109" t="s">
        <v>462</v>
      </c>
      <c r="L86" s="110">
        <f t="shared" si="13"/>
        <v>0.1111111111111111</v>
      </c>
      <c r="M86" s="107">
        <f t="shared" si="10"/>
        <v>9.7777777777777768</v>
      </c>
      <c r="N86" s="107">
        <f>IFERROR(VLOOKUP(B86,Custo_MI_Infra!B:E,3,FALSE),0)</f>
        <v>0</v>
      </c>
      <c r="O86" s="107">
        <f t="shared" si="11"/>
        <v>0</v>
      </c>
      <c r="P86" s="107">
        <f t="shared" si="12"/>
        <v>0</v>
      </c>
    </row>
    <row r="87" spans="1:16" s="73" customFormat="1" ht="27" customHeight="1">
      <c r="A87" s="102">
        <v>85</v>
      </c>
      <c r="B87" s="103" t="s">
        <v>448</v>
      </c>
      <c r="C87" s="104">
        <v>73071100</v>
      </c>
      <c r="D87" s="105" t="s">
        <v>463</v>
      </c>
      <c r="E87" s="106" t="s">
        <v>464</v>
      </c>
      <c r="F87" s="102">
        <v>1</v>
      </c>
      <c r="G87" s="102" t="s">
        <v>137</v>
      </c>
      <c r="H87" s="105" t="s">
        <v>149</v>
      </c>
      <c r="I87" s="107">
        <v>88</v>
      </c>
      <c r="J87" s="108">
        <f t="shared" si="9"/>
        <v>88</v>
      </c>
      <c r="K87" s="109" t="s">
        <v>464</v>
      </c>
      <c r="L87" s="110">
        <f t="shared" si="13"/>
        <v>5.5555555555555552E-2</v>
      </c>
      <c r="M87" s="107">
        <f t="shared" si="10"/>
        <v>4.8888888888888884</v>
      </c>
      <c r="N87" s="107">
        <f>IFERROR(VLOOKUP(B87,Custo_MI_Infra!B:E,3,FALSE),0)</f>
        <v>0</v>
      </c>
      <c r="O87" s="107">
        <f t="shared" si="11"/>
        <v>0</v>
      </c>
      <c r="P87" s="107">
        <f t="shared" si="12"/>
        <v>0</v>
      </c>
    </row>
    <row r="88" spans="1:16" s="73" customFormat="1" ht="15" customHeight="1">
      <c r="A88" s="102">
        <v>1705</v>
      </c>
      <c r="B88" s="103" t="s">
        <v>448</v>
      </c>
      <c r="C88" s="104">
        <v>73071100</v>
      </c>
      <c r="D88" s="105" t="s">
        <v>465</v>
      </c>
      <c r="E88" s="106" t="s">
        <v>466</v>
      </c>
      <c r="F88" s="102">
        <v>1</v>
      </c>
      <c r="G88" s="102" t="s">
        <v>137</v>
      </c>
      <c r="H88" s="105" t="s">
        <v>149</v>
      </c>
      <c r="I88" s="107">
        <v>88</v>
      </c>
      <c r="J88" s="108">
        <f t="shared" si="9"/>
        <v>88</v>
      </c>
      <c r="K88" s="109" t="s">
        <v>466</v>
      </c>
      <c r="L88" s="110">
        <f t="shared" si="13"/>
        <v>5.5555555555555552E-2</v>
      </c>
      <c r="M88" s="107">
        <f t="shared" si="10"/>
        <v>4.8888888888888884</v>
      </c>
      <c r="N88" s="107">
        <f>IFERROR(VLOOKUP(B88,Custo_MI_Infra!B:E,3,FALSE),0)</f>
        <v>0</v>
      </c>
      <c r="O88" s="107">
        <f t="shared" si="11"/>
        <v>0</v>
      </c>
      <c r="P88" s="107">
        <f t="shared" si="12"/>
        <v>0</v>
      </c>
    </row>
    <row r="89" spans="1:16" s="73" customFormat="1" ht="27" customHeight="1">
      <c r="A89" s="102">
        <v>1706</v>
      </c>
      <c r="B89" s="103" t="s">
        <v>448</v>
      </c>
      <c r="C89" s="104">
        <v>73071100</v>
      </c>
      <c r="D89" s="105" t="s">
        <v>467</v>
      </c>
      <c r="E89" s="106" t="s">
        <v>468</v>
      </c>
      <c r="F89" s="102">
        <v>1</v>
      </c>
      <c r="G89" s="102" t="s">
        <v>137</v>
      </c>
      <c r="H89" s="105" t="s">
        <v>149</v>
      </c>
      <c r="I89" s="107">
        <v>88</v>
      </c>
      <c r="J89" s="108">
        <f t="shared" si="9"/>
        <v>88</v>
      </c>
      <c r="K89" s="109" t="s">
        <v>468</v>
      </c>
      <c r="L89" s="110">
        <f t="shared" si="13"/>
        <v>5.5555555555555552E-2</v>
      </c>
      <c r="M89" s="107">
        <f t="shared" si="10"/>
        <v>4.8888888888888884</v>
      </c>
      <c r="N89" s="107">
        <f>IFERROR(VLOOKUP(B89,Custo_MI_Infra!B:E,3,FALSE),0)</f>
        <v>0</v>
      </c>
      <c r="O89" s="107">
        <f t="shared" si="11"/>
        <v>0</v>
      </c>
      <c r="P89" s="107">
        <f t="shared" si="12"/>
        <v>0</v>
      </c>
    </row>
    <row r="90" spans="1:16" s="73" customFormat="1" ht="15" customHeight="1">
      <c r="A90" s="102">
        <v>1712</v>
      </c>
      <c r="B90" s="103" t="s">
        <v>448</v>
      </c>
      <c r="C90" s="104">
        <v>73071100</v>
      </c>
      <c r="D90" s="105" t="s">
        <v>469</v>
      </c>
      <c r="E90" s="106" t="s">
        <v>470</v>
      </c>
      <c r="F90" s="102">
        <v>1</v>
      </c>
      <c r="G90" s="102" t="s">
        <v>137</v>
      </c>
      <c r="H90" s="105" t="s">
        <v>149</v>
      </c>
      <c r="I90" s="107">
        <v>88</v>
      </c>
      <c r="J90" s="108">
        <f t="shared" si="9"/>
        <v>88</v>
      </c>
      <c r="K90" s="109" t="s">
        <v>470</v>
      </c>
      <c r="L90" s="110">
        <f t="shared" si="13"/>
        <v>5.5555555555555552E-2</v>
      </c>
      <c r="M90" s="107">
        <f t="shared" si="10"/>
        <v>4.8888888888888884</v>
      </c>
      <c r="N90" s="107">
        <f>IFERROR(VLOOKUP(B90,Custo_MI_Infra!B:E,3,FALSE),0)</f>
        <v>0</v>
      </c>
      <c r="O90" s="107">
        <f t="shared" si="11"/>
        <v>0</v>
      </c>
      <c r="P90" s="107">
        <f t="shared" si="12"/>
        <v>0</v>
      </c>
    </row>
    <row r="91" spans="1:16" s="73" customFormat="1" ht="27" customHeight="1">
      <c r="A91" s="102">
        <v>3445</v>
      </c>
      <c r="B91" s="103" t="s">
        <v>448</v>
      </c>
      <c r="C91" s="104">
        <v>73063000</v>
      </c>
      <c r="D91" s="105" t="s">
        <v>471</v>
      </c>
      <c r="E91" s="106">
        <v>0</v>
      </c>
      <c r="F91" s="63">
        <v>6</v>
      </c>
      <c r="G91" s="102" t="s">
        <v>232</v>
      </c>
      <c r="H91" s="105" t="s">
        <v>233</v>
      </c>
      <c r="I91" s="107">
        <v>88.6</v>
      </c>
      <c r="J91" s="108">
        <f t="shared" si="9"/>
        <v>531.59999999999991</v>
      </c>
      <c r="K91" s="109" t="s">
        <v>472</v>
      </c>
      <c r="L91" s="110">
        <f t="shared" si="13"/>
        <v>0.33333333333333331</v>
      </c>
      <c r="M91" s="107">
        <f t="shared" si="10"/>
        <v>29.533333333333331</v>
      </c>
      <c r="N91" s="107">
        <f>IFERROR(VLOOKUP(B91,Custo_MI_Infra!B:E,3,FALSE),0)</f>
        <v>0</v>
      </c>
      <c r="O91" s="107">
        <f t="shared" si="11"/>
        <v>0</v>
      </c>
      <c r="P91" s="107">
        <f t="shared" si="12"/>
        <v>0</v>
      </c>
    </row>
    <row r="92" spans="1:16" s="73" customFormat="1" ht="15" customHeight="1">
      <c r="A92" s="102">
        <v>3274</v>
      </c>
      <c r="B92" s="103" t="s">
        <v>448</v>
      </c>
      <c r="C92" s="104">
        <v>73181500</v>
      </c>
      <c r="D92" s="105" t="s">
        <v>265</v>
      </c>
      <c r="E92" s="106" t="s">
        <v>266</v>
      </c>
      <c r="F92" s="102">
        <v>24</v>
      </c>
      <c r="G92" s="102" t="s">
        <v>137</v>
      </c>
      <c r="H92" s="105" t="s">
        <v>256</v>
      </c>
      <c r="I92" s="107">
        <v>0.06</v>
      </c>
      <c r="J92" s="108">
        <f t="shared" si="9"/>
        <v>1.44</v>
      </c>
      <c r="K92" s="109" t="s">
        <v>266</v>
      </c>
      <c r="L92" s="110">
        <f t="shared" si="13"/>
        <v>1.3333333333333333</v>
      </c>
      <c r="M92" s="107">
        <f t="shared" si="10"/>
        <v>7.9999999999999988E-2</v>
      </c>
      <c r="N92" s="107">
        <f>IFERROR(VLOOKUP(B92,Custo_MI_Infra!B:E,3,FALSE),0)</f>
        <v>0</v>
      </c>
      <c r="O92" s="107">
        <f t="shared" si="11"/>
        <v>0</v>
      </c>
      <c r="P92" s="107">
        <f t="shared" si="12"/>
        <v>0</v>
      </c>
    </row>
    <row r="93" spans="1:16" ht="13.5" customHeight="1">
      <c r="A93" s="111">
        <v>2534</v>
      </c>
      <c r="B93" s="112" t="s">
        <v>473</v>
      </c>
      <c r="C93" s="113">
        <v>73072900</v>
      </c>
      <c r="D93" s="114" t="s">
        <v>474</v>
      </c>
      <c r="E93" s="115" t="s">
        <v>315</v>
      </c>
      <c r="F93" s="111">
        <v>12</v>
      </c>
      <c r="G93" s="111" t="s">
        <v>137</v>
      </c>
      <c r="H93" s="114" t="s">
        <v>256</v>
      </c>
      <c r="I93" s="116">
        <v>1.2</v>
      </c>
      <c r="J93" s="117">
        <f t="shared" si="9"/>
        <v>14.399999999999999</v>
      </c>
      <c r="K93" s="118" t="s">
        <v>315</v>
      </c>
      <c r="L93" s="119">
        <f>F93/($F$104*3)</f>
        <v>0.66666666666666663</v>
      </c>
      <c r="M93" s="116">
        <f t="shared" si="10"/>
        <v>0.79999999999999993</v>
      </c>
      <c r="N93" s="116">
        <f>IFERROR(VLOOKUP(B93,Custo_MI_Infra!B:E,3,FALSE),0)</f>
        <v>0</v>
      </c>
      <c r="O93" s="116">
        <f t="shared" si="11"/>
        <v>0</v>
      </c>
      <c r="P93" s="116">
        <f t="shared" si="12"/>
        <v>0</v>
      </c>
    </row>
    <row r="94" spans="1:16" ht="13.5" customHeight="1">
      <c r="A94" s="111">
        <v>3211</v>
      </c>
      <c r="B94" s="112" t="s">
        <v>473</v>
      </c>
      <c r="C94" s="113">
        <v>73072900</v>
      </c>
      <c r="D94" s="114" t="s">
        <v>475</v>
      </c>
      <c r="E94" s="115" t="s">
        <v>476</v>
      </c>
      <c r="F94" s="111">
        <v>2</v>
      </c>
      <c r="G94" s="111" t="s">
        <v>137</v>
      </c>
      <c r="H94" s="114" t="s">
        <v>138</v>
      </c>
      <c r="I94" s="116">
        <v>0.35</v>
      </c>
      <c r="J94" s="117">
        <f t="shared" si="9"/>
        <v>0.7</v>
      </c>
      <c r="K94" s="118" t="s">
        <v>476</v>
      </c>
      <c r="L94" s="119">
        <f t="shared" ref="L94:L107" si="14">F94/($F$104*3)</f>
        <v>0.1111111111111111</v>
      </c>
      <c r="M94" s="116">
        <f t="shared" si="10"/>
        <v>3.8888888888888883E-2</v>
      </c>
      <c r="N94" s="116">
        <f>IFERROR(VLOOKUP(B94,Custo_MI_Infra!B:E,3,FALSE),0)</f>
        <v>0</v>
      </c>
      <c r="O94" s="116">
        <f t="shared" si="11"/>
        <v>0</v>
      </c>
      <c r="P94" s="116">
        <f t="shared" si="12"/>
        <v>0</v>
      </c>
    </row>
    <row r="95" spans="1:16" ht="13.5" customHeight="1">
      <c r="A95" s="111">
        <v>5091</v>
      </c>
      <c r="B95" s="112" t="s">
        <v>473</v>
      </c>
      <c r="C95" s="113">
        <v>73181500</v>
      </c>
      <c r="D95" s="114" t="s">
        <v>323</v>
      </c>
      <c r="E95" s="115" t="s">
        <v>324</v>
      </c>
      <c r="F95" s="111">
        <v>24</v>
      </c>
      <c r="G95" s="111" t="s">
        <v>137</v>
      </c>
      <c r="H95" s="114" t="s">
        <v>256</v>
      </c>
      <c r="I95" s="116">
        <v>0.04</v>
      </c>
      <c r="J95" s="117">
        <f t="shared" si="9"/>
        <v>0.96</v>
      </c>
      <c r="K95" s="118" t="s">
        <v>324</v>
      </c>
      <c r="L95" s="119">
        <f t="shared" si="14"/>
        <v>1.3333333333333333</v>
      </c>
      <c r="M95" s="116">
        <f t="shared" si="10"/>
        <v>5.333333333333333E-2</v>
      </c>
      <c r="N95" s="116">
        <f>IFERROR(VLOOKUP(B95,Custo_MI_Infra!B:E,3,FALSE),0)</f>
        <v>0</v>
      </c>
      <c r="O95" s="116">
        <f t="shared" si="11"/>
        <v>0</v>
      </c>
      <c r="P95" s="116">
        <f t="shared" si="12"/>
        <v>0</v>
      </c>
    </row>
    <row r="96" spans="1:16" ht="13.5" customHeight="1">
      <c r="A96" s="111">
        <v>2607</v>
      </c>
      <c r="B96" s="112" t="s">
        <v>473</v>
      </c>
      <c r="C96" s="113">
        <v>73071100</v>
      </c>
      <c r="D96" s="114" t="s">
        <v>139</v>
      </c>
      <c r="E96" s="115" t="s">
        <v>140</v>
      </c>
      <c r="F96" s="111">
        <v>2</v>
      </c>
      <c r="G96" s="111" t="s">
        <v>137</v>
      </c>
      <c r="H96" s="114" t="s">
        <v>138</v>
      </c>
      <c r="I96" s="116">
        <v>0.6</v>
      </c>
      <c r="J96" s="117">
        <f t="shared" si="9"/>
        <v>1.2</v>
      </c>
      <c r="K96" s="118" t="s">
        <v>140</v>
      </c>
      <c r="L96" s="119">
        <f t="shared" si="14"/>
        <v>0.1111111111111111</v>
      </c>
      <c r="M96" s="116">
        <f t="shared" si="10"/>
        <v>6.6666666666666666E-2</v>
      </c>
      <c r="N96" s="116">
        <f>IFERROR(VLOOKUP(B96,Custo_MI_Infra!B:E,3,FALSE),0)</f>
        <v>0</v>
      </c>
      <c r="O96" s="116">
        <f t="shared" si="11"/>
        <v>0</v>
      </c>
      <c r="P96" s="116">
        <f t="shared" si="12"/>
        <v>0</v>
      </c>
    </row>
    <row r="97" spans="1:16" ht="13.5" customHeight="1">
      <c r="A97" s="111">
        <v>1117</v>
      </c>
      <c r="B97" s="112" t="s">
        <v>473</v>
      </c>
      <c r="C97" s="113">
        <v>73071910</v>
      </c>
      <c r="D97" s="114" t="s">
        <v>477</v>
      </c>
      <c r="E97" s="115" t="s">
        <v>146</v>
      </c>
      <c r="F97" s="111">
        <v>1</v>
      </c>
      <c r="G97" s="111" t="s">
        <v>137</v>
      </c>
      <c r="H97" s="114" t="s">
        <v>138</v>
      </c>
      <c r="I97" s="116">
        <v>1.95</v>
      </c>
      <c r="J97" s="117">
        <f t="shared" si="9"/>
        <v>1.95</v>
      </c>
      <c r="K97" s="118" t="s">
        <v>146</v>
      </c>
      <c r="L97" s="119">
        <f t="shared" si="14"/>
        <v>5.5555555555555552E-2</v>
      </c>
      <c r="M97" s="116">
        <f t="shared" si="10"/>
        <v>0.10833333333333332</v>
      </c>
      <c r="N97" s="116">
        <f>IFERROR(VLOOKUP(B97,Custo_MI_Infra!B:E,3,FALSE),0)</f>
        <v>0</v>
      </c>
      <c r="O97" s="116">
        <f t="shared" si="11"/>
        <v>0</v>
      </c>
      <c r="P97" s="116">
        <f t="shared" si="12"/>
        <v>0</v>
      </c>
    </row>
    <row r="98" spans="1:16" ht="13.5" customHeight="1">
      <c r="A98" s="111">
        <v>2805</v>
      </c>
      <c r="B98" s="112" t="s">
        <v>473</v>
      </c>
      <c r="C98" s="113">
        <v>72162100</v>
      </c>
      <c r="D98" s="114" t="s">
        <v>354</v>
      </c>
      <c r="E98" s="115">
        <v>0</v>
      </c>
      <c r="F98" s="111">
        <f>0.86*F104*3</f>
        <v>15.48</v>
      </c>
      <c r="G98" s="111" t="s">
        <v>175</v>
      </c>
      <c r="H98" s="114" t="s">
        <v>176</v>
      </c>
      <c r="I98" s="116">
        <v>4.22</v>
      </c>
      <c r="J98" s="117">
        <f t="shared" si="9"/>
        <v>65.325599999999994</v>
      </c>
      <c r="K98" s="118" t="s">
        <v>177</v>
      </c>
      <c r="L98" s="119">
        <f t="shared" si="14"/>
        <v>0.86</v>
      </c>
      <c r="M98" s="116">
        <f t="shared" si="10"/>
        <v>3.6291999999999995</v>
      </c>
      <c r="N98" s="116">
        <f>IFERROR(VLOOKUP(B98,Custo_MI_Infra!B:E,3,FALSE),0)</f>
        <v>0</v>
      </c>
      <c r="O98" s="116">
        <f t="shared" si="11"/>
        <v>0</v>
      </c>
      <c r="P98" s="116">
        <f t="shared" si="12"/>
        <v>0</v>
      </c>
    </row>
    <row r="99" spans="1:16" ht="13.5" customHeight="1">
      <c r="A99" s="111">
        <v>3436</v>
      </c>
      <c r="B99" s="112" t="s">
        <v>473</v>
      </c>
      <c r="C99" s="113">
        <v>76090000</v>
      </c>
      <c r="D99" s="114" t="s">
        <v>478</v>
      </c>
      <c r="E99" s="115" t="s">
        <v>194</v>
      </c>
      <c r="F99" s="111">
        <v>2</v>
      </c>
      <c r="G99" s="111" t="s">
        <v>137</v>
      </c>
      <c r="H99" s="114" t="s">
        <v>138</v>
      </c>
      <c r="I99" s="116">
        <v>6.7</v>
      </c>
      <c r="J99" s="117">
        <f t="shared" si="9"/>
        <v>13.4</v>
      </c>
      <c r="K99" s="118" t="s">
        <v>194</v>
      </c>
      <c r="L99" s="119">
        <f t="shared" si="14"/>
        <v>0.1111111111111111</v>
      </c>
      <c r="M99" s="116">
        <f t="shared" si="10"/>
        <v>0.74444444444444446</v>
      </c>
      <c r="N99" s="116">
        <f>IFERROR(VLOOKUP(B99,Custo_MI_Infra!B:E,3,FALSE),0)</f>
        <v>0</v>
      </c>
      <c r="O99" s="116">
        <f t="shared" si="11"/>
        <v>0</v>
      </c>
      <c r="P99" s="116">
        <f t="shared" si="12"/>
        <v>0</v>
      </c>
    </row>
    <row r="100" spans="1:16" ht="27" customHeight="1">
      <c r="A100" s="111">
        <v>2904</v>
      </c>
      <c r="B100" s="112" t="s">
        <v>473</v>
      </c>
      <c r="C100" s="113">
        <v>76090000</v>
      </c>
      <c r="D100" s="114" t="s">
        <v>195</v>
      </c>
      <c r="E100" s="115" t="s">
        <v>196</v>
      </c>
      <c r="F100" s="111">
        <v>1</v>
      </c>
      <c r="G100" s="111" t="s">
        <v>137</v>
      </c>
      <c r="H100" s="114" t="s">
        <v>138</v>
      </c>
      <c r="I100" s="116">
        <v>6.7</v>
      </c>
      <c r="J100" s="117">
        <f t="shared" si="9"/>
        <v>6.7</v>
      </c>
      <c r="K100" s="118" t="s">
        <v>196</v>
      </c>
      <c r="L100" s="119">
        <f t="shared" si="14"/>
        <v>5.5555555555555552E-2</v>
      </c>
      <c r="M100" s="116">
        <f t="shared" si="10"/>
        <v>0.37222222222222223</v>
      </c>
      <c r="N100" s="116">
        <f>IFERROR(VLOOKUP(B100,Custo_MI_Infra!B:E,3,FALSE),0)</f>
        <v>0</v>
      </c>
      <c r="O100" s="116">
        <f t="shared" si="11"/>
        <v>0</v>
      </c>
      <c r="P100" s="116">
        <f t="shared" si="12"/>
        <v>0</v>
      </c>
    </row>
    <row r="101" spans="1:16" ht="27" customHeight="1">
      <c r="A101" s="111">
        <v>2911</v>
      </c>
      <c r="B101" s="112" t="s">
        <v>473</v>
      </c>
      <c r="C101" s="113">
        <v>76090000</v>
      </c>
      <c r="D101" s="114" t="s">
        <v>197</v>
      </c>
      <c r="E101" s="115" t="s">
        <v>198</v>
      </c>
      <c r="F101" s="111">
        <v>1</v>
      </c>
      <c r="G101" s="111" t="s">
        <v>137</v>
      </c>
      <c r="H101" s="114" t="s">
        <v>138</v>
      </c>
      <c r="I101" s="116">
        <v>6.7</v>
      </c>
      <c r="J101" s="117">
        <f t="shared" si="9"/>
        <v>6.7</v>
      </c>
      <c r="K101" s="118" t="s">
        <v>198</v>
      </c>
      <c r="L101" s="119">
        <f t="shared" si="14"/>
        <v>5.5555555555555552E-2</v>
      </c>
      <c r="M101" s="116">
        <f t="shared" si="10"/>
        <v>0.37222222222222223</v>
      </c>
      <c r="N101" s="116">
        <f>IFERROR(VLOOKUP(B101,Custo_MI_Infra!B:E,3,FALSE),0)</f>
        <v>0</v>
      </c>
      <c r="O101" s="116">
        <f t="shared" si="11"/>
        <v>0</v>
      </c>
      <c r="P101" s="116">
        <f t="shared" si="12"/>
        <v>0</v>
      </c>
    </row>
    <row r="102" spans="1:16" ht="27" customHeight="1">
      <c r="A102" s="111">
        <v>4823</v>
      </c>
      <c r="B102" s="112" t="s">
        <v>473</v>
      </c>
      <c r="C102" s="113">
        <v>76090000</v>
      </c>
      <c r="D102" s="114" t="s">
        <v>199</v>
      </c>
      <c r="E102" s="115" t="s">
        <v>200</v>
      </c>
      <c r="F102" s="111">
        <v>1</v>
      </c>
      <c r="G102" s="111" t="s">
        <v>137</v>
      </c>
      <c r="H102" s="114" t="s">
        <v>138</v>
      </c>
      <c r="I102" s="116">
        <v>6.7</v>
      </c>
      <c r="J102" s="117">
        <f t="shared" si="9"/>
        <v>6.7</v>
      </c>
      <c r="K102" s="118" t="s">
        <v>200</v>
      </c>
      <c r="L102" s="119">
        <f t="shared" si="14"/>
        <v>5.5555555555555552E-2</v>
      </c>
      <c r="M102" s="116">
        <f t="shared" si="10"/>
        <v>0.37222222222222223</v>
      </c>
      <c r="N102" s="116">
        <f>IFERROR(VLOOKUP(B102,Custo_MI_Infra!B:E,3,FALSE),0)</f>
        <v>0</v>
      </c>
      <c r="O102" s="116">
        <f t="shared" si="11"/>
        <v>0</v>
      </c>
      <c r="P102" s="116">
        <f t="shared" si="12"/>
        <v>0</v>
      </c>
    </row>
    <row r="103" spans="1:16" ht="13.5" customHeight="1">
      <c r="A103" s="111">
        <v>2912</v>
      </c>
      <c r="B103" s="112" t="s">
        <v>473</v>
      </c>
      <c r="C103" s="113">
        <v>76090000</v>
      </c>
      <c r="D103" s="114" t="s">
        <v>201</v>
      </c>
      <c r="E103" s="115" t="s">
        <v>202</v>
      </c>
      <c r="F103" s="111">
        <v>1</v>
      </c>
      <c r="G103" s="111" t="s">
        <v>137</v>
      </c>
      <c r="H103" s="114" t="s">
        <v>138</v>
      </c>
      <c r="I103" s="116">
        <v>7.5</v>
      </c>
      <c r="J103" s="117">
        <f t="shared" si="9"/>
        <v>7.5</v>
      </c>
      <c r="K103" s="118" t="s">
        <v>202</v>
      </c>
      <c r="L103" s="119">
        <f t="shared" si="14"/>
        <v>5.5555555555555552E-2</v>
      </c>
      <c r="M103" s="116">
        <f t="shared" si="10"/>
        <v>0.41666666666666663</v>
      </c>
      <c r="N103" s="116">
        <f>IFERROR(VLOOKUP(B103,Custo_MI_Infra!B:E,3,FALSE),0)</f>
        <v>0</v>
      </c>
      <c r="O103" s="116">
        <f t="shared" si="11"/>
        <v>0</v>
      </c>
      <c r="P103" s="116">
        <f t="shared" si="12"/>
        <v>0</v>
      </c>
    </row>
    <row r="104" spans="1:16" ht="15.75" customHeight="1">
      <c r="A104" s="111">
        <v>4306</v>
      </c>
      <c r="B104" s="112" t="s">
        <v>473</v>
      </c>
      <c r="C104" s="113">
        <v>73063000</v>
      </c>
      <c r="D104" s="114" t="s">
        <v>239</v>
      </c>
      <c r="E104" s="115">
        <v>0</v>
      </c>
      <c r="F104" s="63">
        <v>6</v>
      </c>
      <c r="G104" s="111" t="s">
        <v>232</v>
      </c>
      <c r="H104" s="114" t="s">
        <v>233</v>
      </c>
      <c r="I104" s="116">
        <v>32</v>
      </c>
      <c r="J104" s="117">
        <f t="shared" si="9"/>
        <v>192</v>
      </c>
      <c r="K104" s="118" t="s">
        <v>240</v>
      </c>
      <c r="L104" s="119">
        <f t="shared" si="14"/>
        <v>0.33333333333333331</v>
      </c>
      <c r="M104" s="116">
        <f t="shared" si="10"/>
        <v>10.666666666666666</v>
      </c>
      <c r="N104" s="116">
        <f>IFERROR(VLOOKUP(B104,Custo_MI_Infra!B:E,3,FALSE),0)</f>
        <v>0</v>
      </c>
      <c r="O104" s="116">
        <f t="shared" si="11"/>
        <v>0</v>
      </c>
      <c r="P104" s="116">
        <f t="shared" si="12"/>
        <v>0</v>
      </c>
    </row>
    <row r="105" spans="1:16" ht="13.5" customHeight="1">
      <c r="A105" s="111">
        <v>4867</v>
      </c>
      <c r="B105" s="112" t="s">
        <v>473</v>
      </c>
      <c r="C105" s="113">
        <v>73072900</v>
      </c>
      <c r="D105" s="114" t="s">
        <v>244</v>
      </c>
      <c r="E105" s="115">
        <v>0</v>
      </c>
      <c r="F105" s="111">
        <v>2</v>
      </c>
      <c r="G105" s="111" t="s">
        <v>137</v>
      </c>
      <c r="H105" s="114" t="s">
        <v>233</v>
      </c>
      <c r="I105" s="116">
        <v>2.15</v>
      </c>
      <c r="J105" s="117">
        <f t="shared" si="9"/>
        <v>4.3</v>
      </c>
      <c r="K105" s="118" t="s">
        <v>245</v>
      </c>
      <c r="L105" s="119">
        <f t="shared" si="14"/>
        <v>0.1111111111111111</v>
      </c>
      <c r="M105" s="116">
        <f t="shared" si="10"/>
        <v>0.23888888888888887</v>
      </c>
      <c r="N105" s="116">
        <f>IFERROR(VLOOKUP(B105,Custo_MI_Infra!B:E,3,FALSE),0)</f>
        <v>0</v>
      </c>
      <c r="O105" s="116">
        <f t="shared" si="11"/>
        <v>0</v>
      </c>
      <c r="P105" s="116">
        <f t="shared" si="12"/>
        <v>0</v>
      </c>
    </row>
    <row r="106" spans="1:16" ht="13.5" customHeight="1">
      <c r="A106" s="111">
        <v>2609</v>
      </c>
      <c r="B106" s="112" t="s">
        <v>473</v>
      </c>
      <c r="C106" s="113">
        <v>73071910</v>
      </c>
      <c r="D106" s="114" t="s">
        <v>263</v>
      </c>
      <c r="E106" s="115" t="s">
        <v>264</v>
      </c>
      <c r="F106" s="111">
        <v>2</v>
      </c>
      <c r="G106" s="111" t="s">
        <v>137</v>
      </c>
      <c r="H106" s="114" t="s">
        <v>138</v>
      </c>
      <c r="I106" s="116">
        <v>0.6</v>
      </c>
      <c r="J106" s="117">
        <f t="shared" si="9"/>
        <v>1.2</v>
      </c>
      <c r="K106" s="118" t="s">
        <v>264</v>
      </c>
      <c r="L106" s="119">
        <f t="shared" si="14"/>
        <v>0.1111111111111111</v>
      </c>
      <c r="M106" s="116">
        <f t="shared" si="10"/>
        <v>6.6666666666666666E-2</v>
      </c>
      <c r="N106" s="116">
        <f>IFERROR(VLOOKUP(B106,Custo_MI_Infra!B:E,3,FALSE),0)</f>
        <v>0</v>
      </c>
      <c r="O106" s="116">
        <f t="shared" si="11"/>
        <v>0</v>
      </c>
      <c r="P106" s="116">
        <f t="shared" si="12"/>
        <v>0</v>
      </c>
    </row>
    <row r="107" spans="1:16" ht="13.5" customHeight="1">
      <c r="A107" s="111">
        <v>3274</v>
      </c>
      <c r="B107" s="112" t="s">
        <v>473</v>
      </c>
      <c r="C107" s="113">
        <v>73181500</v>
      </c>
      <c r="D107" s="114" t="s">
        <v>265</v>
      </c>
      <c r="E107" s="115" t="s">
        <v>266</v>
      </c>
      <c r="F107" s="111">
        <v>24</v>
      </c>
      <c r="G107" s="111" t="s">
        <v>137</v>
      </c>
      <c r="H107" s="114" t="s">
        <v>256</v>
      </c>
      <c r="I107" s="116">
        <v>0.06</v>
      </c>
      <c r="J107" s="117">
        <f t="shared" si="9"/>
        <v>1.44</v>
      </c>
      <c r="K107" s="118" t="s">
        <v>266</v>
      </c>
      <c r="L107" s="119">
        <f t="shared" si="14"/>
        <v>1.3333333333333333</v>
      </c>
      <c r="M107" s="116">
        <f t="shared" si="10"/>
        <v>7.9999999999999988E-2</v>
      </c>
      <c r="N107" s="116">
        <f>IFERROR(VLOOKUP(B107,Custo_MI_Infra!B:E,3,FALSE),0)</f>
        <v>0</v>
      </c>
      <c r="O107" s="116">
        <f t="shared" si="11"/>
        <v>0</v>
      </c>
      <c r="P107" s="116">
        <f t="shared" si="12"/>
        <v>0</v>
      </c>
    </row>
    <row r="108" spans="1:16" s="73" customFormat="1" ht="15" customHeight="1">
      <c r="A108" s="120">
        <v>2534</v>
      </c>
      <c r="B108" s="121" t="s">
        <v>479</v>
      </c>
      <c r="C108" s="122">
        <v>73072900</v>
      </c>
      <c r="D108" s="123" t="s">
        <v>474</v>
      </c>
      <c r="E108" s="124" t="s">
        <v>315</v>
      </c>
      <c r="F108" s="120">
        <v>12</v>
      </c>
      <c r="G108" s="120" t="s">
        <v>137</v>
      </c>
      <c r="H108" s="123" t="s">
        <v>256</v>
      </c>
      <c r="I108" s="125">
        <v>1.2</v>
      </c>
      <c r="J108" s="126">
        <f t="shared" si="9"/>
        <v>14.399999999999999</v>
      </c>
      <c r="K108" s="127" t="s">
        <v>315</v>
      </c>
      <c r="L108" s="128">
        <f>F108/($F$119*3)</f>
        <v>0.66666666666666663</v>
      </c>
      <c r="M108" s="125">
        <f t="shared" si="10"/>
        <v>0.79999999999999993</v>
      </c>
      <c r="N108" s="125">
        <f>IFERROR(VLOOKUP(B108,Custo_MI_Infra!B:E,3,FALSE),0)</f>
        <v>0</v>
      </c>
      <c r="O108" s="125">
        <f t="shared" si="11"/>
        <v>0</v>
      </c>
      <c r="P108" s="125">
        <f t="shared" si="12"/>
        <v>0</v>
      </c>
    </row>
    <row r="109" spans="1:16" s="73" customFormat="1" ht="15" customHeight="1">
      <c r="A109" s="120">
        <v>4930</v>
      </c>
      <c r="B109" s="121" t="s">
        <v>479</v>
      </c>
      <c r="C109" s="122">
        <v>73072900</v>
      </c>
      <c r="D109" s="123" t="s">
        <v>480</v>
      </c>
      <c r="E109" s="124" t="s">
        <v>481</v>
      </c>
      <c r="F109" s="120">
        <v>2</v>
      </c>
      <c r="G109" s="120" t="s">
        <v>137</v>
      </c>
      <c r="H109" s="123" t="s">
        <v>253</v>
      </c>
      <c r="I109" s="125">
        <v>3.3</v>
      </c>
      <c r="J109" s="126">
        <f t="shared" si="9"/>
        <v>6.6</v>
      </c>
      <c r="K109" s="127" t="s">
        <v>481</v>
      </c>
      <c r="L109" s="128">
        <f t="shared" ref="L109:L121" si="15">F109/($F$119*3)</f>
        <v>0.1111111111111111</v>
      </c>
      <c r="M109" s="125">
        <f t="shared" si="10"/>
        <v>0.36666666666666664</v>
      </c>
      <c r="N109" s="125">
        <f>IFERROR(VLOOKUP(B109,Custo_MI_Infra!B:E,3,FALSE),0)</f>
        <v>0</v>
      </c>
      <c r="O109" s="125">
        <f t="shared" si="11"/>
        <v>0</v>
      </c>
      <c r="P109" s="125">
        <f t="shared" si="12"/>
        <v>0</v>
      </c>
    </row>
    <row r="110" spans="1:16" s="73" customFormat="1" ht="15" customHeight="1">
      <c r="A110" s="120">
        <v>5091</v>
      </c>
      <c r="B110" s="121" t="s">
        <v>479</v>
      </c>
      <c r="C110" s="122">
        <v>73181500</v>
      </c>
      <c r="D110" s="123" t="s">
        <v>323</v>
      </c>
      <c r="E110" s="124" t="s">
        <v>324</v>
      </c>
      <c r="F110" s="120">
        <v>24</v>
      </c>
      <c r="G110" s="120" t="s">
        <v>137</v>
      </c>
      <c r="H110" s="123" t="s">
        <v>256</v>
      </c>
      <c r="I110" s="125">
        <v>0.04</v>
      </c>
      <c r="J110" s="126">
        <f t="shared" si="9"/>
        <v>0.96</v>
      </c>
      <c r="K110" s="127" t="s">
        <v>324</v>
      </c>
      <c r="L110" s="128">
        <f t="shared" si="15"/>
        <v>1.3333333333333333</v>
      </c>
      <c r="M110" s="125">
        <f t="shared" si="10"/>
        <v>5.333333333333333E-2</v>
      </c>
      <c r="N110" s="125">
        <f>IFERROR(VLOOKUP(B110,Custo_MI_Infra!B:E,3,FALSE),0)</f>
        <v>0</v>
      </c>
      <c r="O110" s="125">
        <f t="shared" si="11"/>
        <v>0</v>
      </c>
      <c r="P110" s="125">
        <f t="shared" si="12"/>
        <v>0</v>
      </c>
    </row>
    <row r="111" spans="1:16" s="73" customFormat="1" ht="15" customHeight="1">
      <c r="A111" s="120">
        <v>4935</v>
      </c>
      <c r="B111" s="121" t="s">
        <v>479</v>
      </c>
      <c r="C111" s="122">
        <v>73071100</v>
      </c>
      <c r="D111" s="123" t="s">
        <v>482</v>
      </c>
      <c r="E111" s="124" t="s">
        <v>483</v>
      </c>
      <c r="F111" s="120">
        <v>2</v>
      </c>
      <c r="G111" s="120" t="s">
        <v>137</v>
      </c>
      <c r="H111" s="123" t="s">
        <v>253</v>
      </c>
      <c r="I111" s="125">
        <v>4.2</v>
      </c>
      <c r="J111" s="126">
        <f t="shared" si="9"/>
        <v>8.4</v>
      </c>
      <c r="K111" s="127" t="s">
        <v>483</v>
      </c>
      <c r="L111" s="128">
        <f t="shared" si="15"/>
        <v>0.1111111111111111</v>
      </c>
      <c r="M111" s="125">
        <f t="shared" si="10"/>
        <v>0.46666666666666667</v>
      </c>
      <c r="N111" s="125">
        <f>IFERROR(VLOOKUP(B111,Custo_MI_Infra!B:E,3,FALSE),0)</f>
        <v>0</v>
      </c>
      <c r="O111" s="125">
        <f t="shared" si="11"/>
        <v>0</v>
      </c>
      <c r="P111" s="125">
        <f t="shared" si="12"/>
        <v>0</v>
      </c>
    </row>
    <row r="112" spans="1:16" s="73" customFormat="1" ht="15" customHeight="1">
      <c r="A112" s="120">
        <v>311</v>
      </c>
      <c r="B112" s="121" t="s">
        <v>479</v>
      </c>
      <c r="C112" s="122">
        <v>73071100</v>
      </c>
      <c r="D112" s="123" t="s">
        <v>150</v>
      </c>
      <c r="E112" s="124" t="s">
        <v>148</v>
      </c>
      <c r="F112" s="120">
        <v>1</v>
      </c>
      <c r="G112" s="120" t="s">
        <v>137</v>
      </c>
      <c r="H112" s="123" t="s">
        <v>253</v>
      </c>
      <c r="I112" s="125">
        <v>4.8</v>
      </c>
      <c r="J112" s="126">
        <f t="shared" si="9"/>
        <v>4.8</v>
      </c>
      <c r="K112" s="127" t="s">
        <v>148</v>
      </c>
      <c r="L112" s="128">
        <f t="shared" si="15"/>
        <v>5.5555555555555552E-2</v>
      </c>
      <c r="M112" s="125">
        <f t="shared" si="10"/>
        <v>0.26666666666666666</v>
      </c>
      <c r="N112" s="125">
        <f>IFERROR(VLOOKUP(B112,Custo_MI_Infra!B:E,3,FALSE),0)</f>
        <v>0</v>
      </c>
      <c r="O112" s="125">
        <f t="shared" si="11"/>
        <v>0</v>
      </c>
      <c r="P112" s="125">
        <f t="shared" si="12"/>
        <v>0</v>
      </c>
    </row>
    <row r="113" spans="1:16" s="73" customFormat="1" ht="15" customHeight="1">
      <c r="A113" s="120">
        <v>2805</v>
      </c>
      <c r="B113" s="121" t="s">
        <v>479</v>
      </c>
      <c r="C113" s="122">
        <v>72162100</v>
      </c>
      <c r="D113" s="123" t="s">
        <v>354</v>
      </c>
      <c r="E113" s="124">
        <v>0</v>
      </c>
      <c r="F113" s="120">
        <f>0.86*F119*3</f>
        <v>15.48</v>
      </c>
      <c r="G113" s="120" t="s">
        <v>175</v>
      </c>
      <c r="H113" s="123" t="s">
        <v>176</v>
      </c>
      <c r="I113" s="125">
        <v>4.22</v>
      </c>
      <c r="J113" s="126">
        <f t="shared" si="9"/>
        <v>65.325599999999994</v>
      </c>
      <c r="K113" s="127" t="s">
        <v>177</v>
      </c>
      <c r="L113" s="128">
        <f t="shared" si="15"/>
        <v>0.86</v>
      </c>
      <c r="M113" s="125">
        <f t="shared" si="10"/>
        <v>3.6291999999999995</v>
      </c>
      <c r="N113" s="125">
        <f>IFERROR(VLOOKUP(B113,Custo_MI_Infra!B:E,3,FALSE),0)</f>
        <v>0</v>
      </c>
      <c r="O113" s="125">
        <f t="shared" si="11"/>
        <v>0</v>
      </c>
      <c r="P113" s="125">
        <f t="shared" si="12"/>
        <v>0</v>
      </c>
    </row>
    <row r="114" spans="1:16" s="73" customFormat="1" ht="27" customHeight="1">
      <c r="A114" s="120">
        <v>502</v>
      </c>
      <c r="B114" s="121" t="s">
        <v>479</v>
      </c>
      <c r="C114" s="122">
        <v>73071100</v>
      </c>
      <c r="D114" s="123" t="s">
        <v>484</v>
      </c>
      <c r="E114" s="124" t="s">
        <v>485</v>
      </c>
      <c r="F114" s="120">
        <v>2</v>
      </c>
      <c r="G114" s="120" t="s">
        <v>137</v>
      </c>
      <c r="H114" s="123" t="s">
        <v>149</v>
      </c>
      <c r="I114" s="125">
        <v>27</v>
      </c>
      <c r="J114" s="126">
        <f t="shared" si="9"/>
        <v>54</v>
      </c>
      <c r="K114" s="127" t="s">
        <v>485</v>
      </c>
      <c r="L114" s="128">
        <f t="shared" si="15"/>
        <v>0.1111111111111111</v>
      </c>
      <c r="M114" s="125">
        <f t="shared" si="10"/>
        <v>3</v>
      </c>
      <c r="N114" s="125">
        <f>IFERROR(VLOOKUP(B114,Custo_MI_Infra!B:E,3,FALSE),0)</f>
        <v>0</v>
      </c>
      <c r="O114" s="125">
        <f t="shared" si="11"/>
        <v>0</v>
      </c>
      <c r="P114" s="125">
        <f t="shared" si="12"/>
        <v>0</v>
      </c>
    </row>
    <row r="115" spans="1:16" s="73" customFormat="1" ht="27" customHeight="1">
      <c r="A115" s="120">
        <v>3738</v>
      </c>
      <c r="B115" s="121" t="s">
        <v>479</v>
      </c>
      <c r="C115" s="122">
        <v>73071100</v>
      </c>
      <c r="D115" s="123" t="s">
        <v>205</v>
      </c>
      <c r="E115" s="124" t="s">
        <v>206</v>
      </c>
      <c r="F115" s="120">
        <v>1</v>
      </c>
      <c r="G115" s="120" t="s">
        <v>137</v>
      </c>
      <c r="H115" s="123" t="s">
        <v>149</v>
      </c>
      <c r="I115" s="125">
        <v>27</v>
      </c>
      <c r="J115" s="126">
        <f t="shared" si="9"/>
        <v>27</v>
      </c>
      <c r="K115" s="127" t="s">
        <v>206</v>
      </c>
      <c r="L115" s="128">
        <f t="shared" si="15"/>
        <v>5.5555555555555552E-2</v>
      </c>
      <c r="M115" s="125">
        <f t="shared" si="10"/>
        <v>1.5</v>
      </c>
      <c r="N115" s="125">
        <f>IFERROR(VLOOKUP(B115,Custo_MI_Infra!B:E,3,FALSE),0)</f>
        <v>0</v>
      </c>
      <c r="O115" s="125">
        <f t="shared" si="11"/>
        <v>0</v>
      </c>
      <c r="P115" s="125">
        <f t="shared" si="12"/>
        <v>0</v>
      </c>
    </row>
    <row r="116" spans="1:16" s="73" customFormat="1" ht="27" customHeight="1">
      <c r="A116" s="120">
        <v>1710</v>
      </c>
      <c r="B116" s="121" t="s">
        <v>479</v>
      </c>
      <c r="C116" s="122">
        <v>73071100</v>
      </c>
      <c r="D116" s="123" t="s">
        <v>207</v>
      </c>
      <c r="E116" s="124" t="s">
        <v>208</v>
      </c>
      <c r="F116" s="120">
        <v>1</v>
      </c>
      <c r="G116" s="120" t="s">
        <v>137</v>
      </c>
      <c r="H116" s="123" t="s">
        <v>149</v>
      </c>
      <c r="I116" s="125">
        <v>27</v>
      </c>
      <c r="J116" s="126">
        <f t="shared" si="9"/>
        <v>27</v>
      </c>
      <c r="K116" s="127" t="s">
        <v>208</v>
      </c>
      <c r="L116" s="128">
        <f t="shared" si="15"/>
        <v>5.5555555555555552E-2</v>
      </c>
      <c r="M116" s="125">
        <f t="shared" si="10"/>
        <v>1.5</v>
      </c>
      <c r="N116" s="125">
        <f>IFERROR(VLOOKUP(B116,Custo_MI_Infra!B:E,3,FALSE),0)</f>
        <v>0</v>
      </c>
      <c r="O116" s="125">
        <f t="shared" si="11"/>
        <v>0</v>
      </c>
      <c r="P116" s="125">
        <f t="shared" si="12"/>
        <v>0</v>
      </c>
    </row>
    <row r="117" spans="1:16" s="73" customFormat="1" ht="27" customHeight="1">
      <c r="A117" s="120">
        <v>1715</v>
      </c>
      <c r="B117" s="121" t="s">
        <v>479</v>
      </c>
      <c r="C117" s="122">
        <v>73071100</v>
      </c>
      <c r="D117" s="123" t="s">
        <v>209</v>
      </c>
      <c r="E117" s="124" t="s">
        <v>210</v>
      </c>
      <c r="F117" s="120">
        <v>1</v>
      </c>
      <c r="G117" s="120" t="s">
        <v>137</v>
      </c>
      <c r="H117" s="123" t="s">
        <v>149</v>
      </c>
      <c r="I117" s="125">
        <v>27</v>
      </c>
      <c r="J117" s="126">
        <f t="shared" si="9"/>
        <v>27</v>
      </c>
      <c r="K117" s="127" t="s">
        <v>210</v>
      </c>
      <c r="L117" s="128">
        <f t="shared" si="15"/>
        <v>5.5555555555555552E-2</v>
      </c>
      <c r="M117" s="125">
        <f t="shared" si="10"/>
        <v>1.5</v>
      </c>
      <c r="N117" s="125">
        <f>IFERROR(VLOOKUP(B117,Custo_MI_Infra!B:E,3,FALSE),0)</f>
        <v>0</v>
      </c>
      <c r="O117" s="125">
        <f t="shared" si="11"/>
        <v>0</v>
      </c>
      <c r="P117" s="125">
        <f t="shared" si="12"/>
        <v>0</v>
      </c>
    </row>
    <row r="118" spans="1:16" s="73" customFormat="1" ht="27" customHeight="1">
      <c r="A118" s="120">
        <v>1929</v>
      </c>
      <c r="B118" s="121" t="s">
        <v>479</v>
      </c>
      <c r="C118" s="122">
        <v>73071100</v>
      </c>
      <c r="D118" s="123" t="s">
        <v>486</v>
      </c>
      <c r="E118" s="124" t="s">
        <v>487</v>
      </c>
      <c r="F118" s="120">
        <v>1</v>
      </c>
      <c r="G118" s="120" t="s">
        <v>137</v>
      </c>
      <c r="H118" s="123" t="s">
        <v>149</v>
      </c>
      <c r="I118" s="125">
        <v>27</v>
      </c>
      <c r="J118" s="126">
        <f t="shared" si="9"/>
        <v>27</v>
      </c>
      <c r="K118" s="127" t="s">
        <v>487</v>
      </c>
      <c r="L118" s="128">
        <f t="shared" si="15"/>
        <v>5.5555555555555552E-2</v>
      </c>
      <c r="M118" s="125">
        <f t="shared" si="10"/>
        <v>1.5</v>
      </c>
      <c r="N118" s="125">
        <f>IFERROR(VLOOKUP(B118,Custo_MI_Infra!B:E,3,FALSE),0)</f>
        <v>0</v>
      </c>
      <c r="O118" s="125">
        <f t="shared" si="11"/>
        <v>0</v>
      </c>
      <c r="P118" s="125">
        <f t="shared" si="12"/>
        <v>0</v>
      </c>
    </row>
    <row r="119" spans="1:16" s="73" customFormat="1" ht="27" customHeight="1">
      <c r="A119" s="120">
        <v>3417</v>
      </c>
      <c r="B119" s="121" t="s">
        <v>479</v>
      </c>
      <c r="C119" s="122">
        <v>73063000</v>
      </c>
      <c r="D119" s="123" t="s">
        <v>231</v>
      </c>
      <c r="E119" s="124">
        <v>0</v>
      </c>
      <c r="F119" s="63">
        <v>6</v>
      </c>
      <c r="G119" s="120" t="s">
        <v>232</v>
      </c>
      <c r="H119" s="123" t="s">
        <v>233</v>
      </c>
      <c r="I119" s="125">
        <v>33.47</v>
      </c>
      <c r="J119" s="126">
        <f t="shared" si="9"/>
        <v>200.82</v>
      </c>
      <c r="K119" s="127" t="s">
        <v>234</v>
      </c>
      <c r="L119" s="128">
        <f t="shared" si="15"/>
        <v>0.33333333333333331</v>
      </c>
      <c r="M119" s="125">
        <f t="shared" si="10"/>
        <v>11.156666666666666</v>
      </c>
      <c r="N119" s="125">
        <f>IFERROR(VLOOKUP(B119,Custo_MI_Infra!B:E,3,FALSE),0)</f>
        <v>0</v>
      </c>
      <c r="O119" s="125">
        <f t="shared" si="11"/>
        <v>0</v>
      </c>
      <c r="P119" s="125">
        <f t="shared" si="12"/>
        <v>0</v>
      </c>
    </row>
    <row r="120" spans="1:16" s="73" customFormat="1" ht="15" customHeight="1">
      <c r="A120" s="120">
        <v>4867</v>
      </c>
      <c r="B120" s="121" t="s">
        <v>479</v>
      </c>
      <c r="C120" s="122">
        <v>73072900</v>
      </c>
      <c r="D120" s="123" t="s">
        <v>244</v>
      </c>
      <c r="E120" s="124">
        <v>0</v>
      </c>
      <c r="F120" s="120">
        <v>2</v>
      </c>
      <c r="G120" s="120" t="s">
        <v>137</v>
      </c>
      <c r="H120" s="123" t="s">
        <v>233</v>
      </c>
      <c r="I120" s="125">
        <v>2.15</v>
      </c>
      <c r="J120" s="126">
        <f t="shared" si="9"/>
        <v>4.3</v>
      </c>
      <c r="K120" s="127" t="s">
        <v>245</v>
      </c>
      <c r="L120" s="128">
        <f t="shared" si="15"/>
        <v>0.1111111111111111</v>
      </c>
      <c r="M120" s="125">
        <f t="shared" si="10"/>
        <v>0.23888888888888887</v>
      </c>
      <c r="N120" s="125">
        <f>IFERROR(VLOOKUP(B120,Custo_MI_Infra!B:E,3,FALSE),0)</f>
        <v>0</v>
      </c>
      <c r="O120" s="125">
        <f t="shared" si="11"/>
        <v>0</v>
      </c>
      <c r="P120" s="125">
        <f t="shared" si="12"/>
        <v>0</v>
      </c>
    </row>
    <row r="121" spans="1:16" s="73" customFormat="1" ht="15" customHeight="1">
      <c r="A121" s="120">
        <v>3274</v>
      </c>
      <c r="B121" s="121" t="s">
        <v>479</v>
      </c>
      <c r="C121" s="122">
        <v>73181500</v>
      </c>
      <c r="D121" s="123" t="s">
        <v>265</v>
      </c>
      <c r="E121" s="124" t="s">
        <v>266</v>
      </c>
      <c r="F121" s="120">
        <v>24</v>
      </c>
      <c r="G121" s="120" t="s">
        <v>137</v>
      </c>
      <c r="H121" s="123" t="s">
        <v>256</v>
      </c>
      <c r="I121" s="125">
        <v>0.06</v>
      </c>
      <c r="J121" s="126">
        <f t="shared" si="9"/>
        <v>1.44</v>
      </c>
      <c r="K121" s="127" t="s">
        <v>266</v>
      </c>
      <c r="L121" s="128">
        <f t="shared" si="15"/>
        <v>1.3333333333333333</v>
      </c>
      <c r="M121" s="125">
        <f t="shared" si="10"/>
        <v>7.9999999999999988E-2</v>
      </c>
      <c r="N121" s="125">
        <f>IFERROR(VLOOKUP(B121,Custo_MI_Infra!B:E,3,FALSE),0)</f>
        <v>0</v>
      </c>
      <c r="O121" s="125">
        <f t="shared" si="11"/>
        <v>0</v>
      </c>
      <c r="P121" s="125">
        <f t="shared" si="12"/>
        <v>0</v>
      </c>
    </row>
    <row r="122" spans="1:16" s="73" customFormat="1" ht="27" customHeight="1">
      <c r="A122" s="74">
        <v>5091</v>
      </c>
      <c r="B122" s="83" t="s">
        <v>488</v>
      </c>
      <c r="C122" s="76">
        <v>73181500</v>
      </c>
      <c r="D122" s="77" t="s">
        <v>323</v>
      </c>
      <c r="E122" s="78" t="s">
        <v>324</v>
      </c>
      <c r="F122" s="74">
        <v>120</v>
      </c>
      <c r="G122" s="74" t="s">
        <v>137</v>
      </c>
      <c r="H122" s="77" t="s">
        <v>256</v>
      </c>
      <c r="I122" s="79">
        <v>0.04</v>
      </c>
      <c r="J122" s="80">
        <f t="shared" si="9"/>
        <v>4.8</v>
      </c>
      <c r="K122" s="81" t="s">
        <v>324</v>
      </c>
      <c r="L122" s="82">
        <f>F122/($F$130*3)</f>
        <v>6.666666666666667</v>
      </c>
      <c r="M122" s="79">
        <f t="shared" si="10"/>
        <v>0.26666666666666666</v>
      </c>
      <c r="N122" s="79">
        <f>IFERROR(VLOOKUP(B122,Custo_MI_Infra!B:E,3,FALSE),0)</f>
        <v>0</v>
      </c>
      <c r="O122" s="79">
        <f t="shared" si="11"/>
        <v>0</v>
      </c>
      <c r="P122" s="79">
        <f t="shared" si="12"/>
        <v>0</v>
      </c>
    </row>
    <row r="123" spans="1:16" s="73" customFormat="1" ht="27" customHeight="1">
      <c r="A123" s="74">
        <v>5404</v>
      </c>
      <c r="B123" s="83" t="s">
        <v>488</v>
      </c>
      <c r="C123" s="76">
        <v>73181500</v>
      </c>
      <c r="D123" s="77" t="s">
        <v>489</v>
      </c>
      <c r="E123" s="78" t="s">
        <v>324</v>
      </c>
      <c r="F123" s="74">
        <v>120</v>
      </c>
      <c r="G123" s="74" t="s">
        <v>137</v>
      </c>
      <c r="H123" s="77" t="s">
        <v>256</v>
      </c>
      <c r="I123" s="79">
        <v>0.05</v>
      </c>
      <c r="J123" s="80">
        <f t="shared" si="9"/>
        <v>6</v>
      </c>
      <c r="K123" s="81" t="s">
        <v>324</v>
      </c>
      <c r="L123" s="82">
        <f t="shared" ref="L123:L136" si="16">F123/($F$130*3)</f>
        <v>6.666666666666667</v>
      </c>
      <c r="M123" s="79">
        <f t="shared" si="10"/>
        <v>0.33333333333333337</v>
      </c>
      <c r="N123" s="79">
        <f>IFERROR(VLOOKUP(B123,Custo_MI_Infra!B:E,3,FALSE),0)</f>
        <v>0</v>
      </c>
      <c r="O123" s="79">
        <f t="shared" si="11"/>
        <v>0</v>
      </c>
      <c r="P123" s="79">
        <f t="shared" si="12"/>
        <v>0</v>
      </c>
    </row>
    <row r="124" spans="1:16" s="73" customFormat="1" ht="27" customHeight="1">
      <c r="A124" s="74">
        <v>2095</v>
      </c>
      <c r="B124" s="83" t="s">
        <v>488</v>
      </c>
      <c r="C124" s="76">
        <v>73181500</v>
      </c>
      <c r="D124" s="77" t="s">
        <v>490</v>
      </c>
      <c r="E124" s="78" t="s">
        <v>491</v>
      </c>
      <c r="F124" s="74">
        <v>120</v>
      </c>
      <c r="G124" s="74" t="s">
        <v>137</v>
      </c>
      <c r="H124" s="77" t="s">
        <v>256</v>
      </c>
      <c r="I124" s="79">
        <v>0.05</v>
      </c>
      <c r="J124" s="80">
        <f t="shared" si="9"/>
        <v>6</v>
      </c>
      <c r="K124" s="81" t="s">
        <v>491</v>
      </c>
      <c r="L124" s="82">
        <f t="shared" si="16"/>
        <v>6.666666666666667</v>
      </c>
      <c r="M124" s="79">
        <f t="shared" si="10"/>
        <v>0.33333333333333337</v>
      </c>
      <c r="N124" s="79">
        <f>IFERROR(VLOOKUP(B124,Custo_MI_Infra!B:E,3,FALSE),0)</f>
        <v>0</v>
      </c>
      <c r="O124" s="79">
        <f t="shared" si="11"/>
        <v>0</v>
      </c>
      <c r="P124" s="79">
        <f t="shared" si="12"/>
        <v>0</v>
      </c>
    </row>
    <row r="125" spans="1:16" s="73" customFormat="1" ht="27" customHeight="1">
      <c r="A125" s="74">
        <v>2062</v>
      </c>
      <c r="B125" s="83" t="s">
        <v>488</v>
      </c>
      <c r="C125" s="76">
        <v>73181500</v>
      </c>
      <c r="D125" s="77" t="s">
        <v>492</v>
      </c>
      <c r="E125" s="78" t="s">
        <v>491</v>
      </c>
      <c r="F125" s="74">
        <v>120</v>
      </c>
      <c r="G125" s="74" t="s">
        <v>137</v>
      </c>
      <c r="H125" s="77" t="s">
        <v>256</v>
      </c>
      <c r="I125" s="79">
        <v>0.06</v>
      </c>
      <c r="J125" s="80">
        <f t="shared" si="9"/>
        <v>7.1999999999999993</v>
      </c>
      <c r="K125" s="81" t="s">
        <v>491</v>
      </c>
      <c r="L125" s="82">
        <f t="shared" si="16"/>
        <v>6.666666666666667</v>
      </c>
      <c r="M125" s="79">
        <f t="shared" si="10"/>
        <v>0.4</v>
      </c>
      <c r="N125" s="79">
        <f>IFERROR(VLOOKUP(B125,Custo_MI_Infra!B:E,3,FALSE),0)</f>
        <v>0</v>
      </c>
      <c r="O125" s="79">
        <f t="shared" si="11"/>
        <v>0</v>
      </c>
      <c r="P125" s="79">
        <f t="shared" si="12"/>
        <v>0</v>
      </c>
    </row>
    <row r="126" spans="1:16" s="73" customFormat="1" ht="27" customHeight="1">
      <c r="A126" s="74">
        <v>2805</v>
      </c>
      <c r="B126" s="83" t="s">
        <v>488</v>
      </c>
      <c r="C126" s="76">
        <v>72162100</v>
      </c>
      <c r="D126" s="77" t="s">
        <v>354</v>
      </c>
      <c r="E126" s="78">
        <v>0</v>
      </c>
      <c r="F126" s="74">
        <f>0.86*F130*3</f>
        <v>15.48</v>
      </c>
      <c r="G126" s="74" t="s">
        <v>175</v>
      </c>
      <c r="H126" s="77" t="s">
        <v>176</v>
      </c>
      <c r="I126" s="79">
        <v>4.22</v>
      </c>
      <c r="J126" s="80">
        <f t="shared" si="9"/>
        <v>65.325599999999994</v>
      </c>
      <c r="K126" s="81" t="s">
        <v>177</v>
      </c>
      <c r="L126" s="82">
        <f t="shared" si="16"/>
        <v>0.86</v>
      </c>
      <c r="M126" s="79">
        <f t="shared" si="10"/>
        <v>3.6291999999999995</v>
      </c>
      <c r="N126" s="79">
        <f>IFERROR(VLOOKUP(B126,Custo_MI_Infra!B:E,3,FALSE),0)</f>
        <v>0</v>
      </c>
      <c r="O126" s="79">
        <f t="shared" si="11"/>
        <v>0</v>
      </c>
      <c r="P126" s="79">
        <f t="shared" si="12"/>
        <v>0</v>
      </c>
    </row>
    <row r="127" spans="1:16" s="73" customFormat="1" ht="27" customHeight="1">
      <c r="A127" s="74">
        <v>4103</v>
      </c>
      <c r="B127" s="83" t="s">
        <v>488</v>
      </c>
      <c r="C127" s="76">
        <v>73089010</v>
      </c>
      <c r="D127" s="77" t="s">
        <v>493</v>
      </c>
      <c r="E127" s="78" t="s">
        <v>494</v>
      </c>
      <c r="F127" s="74">
        <v>2</v>
      </c>
      <c r="G127" s="74" t="s">
        <v>137</v>
      </c>
      <c r="H127" s="77" t="s">
        <v>256</v>
      </c>
      <c r="I127" s="79">
        <v>22.1</v>
      </c>
      <c r="J127" s="80">
        <f t="shared" si="9"/>
        <v>44.2</v>
      </c>
      <c r="K127" s="81" t="s">
        <v>494</v>
      </c>
      <c r="L127" s="82">
        <f t="shared" si="16"/>
        <v>0.1111111111111111</v>
      </c>
      <c r="M127" s="79">
        <f t="shared" si="10"/>
        <v>2.4555555555555557</v>
      </c>
      <c r="N127" s="79">
        <f>IFERROR(VLOOKUP(B127,Custo_MI_Infra!B:E,3,FALSE),0)</f>
        <v>0</v>
      </c>
      <c r="O127" s="79">
        <f t="shared" si="11"/>
        <v>0</v>
      </c>
      <c r="P127" s="79">
        <f t="shared" si="12"/>
        <v>0</v>
      </c>
    </row>
    <row r="128" spans="1:16" s="73" customFormat="1" ht="27" customHeight="1">
      <c r="A128" s="74">
        <v>3230</v>
      </c>
      <c r="B128" s="83" t="s">
        <v>488</v>
      </c>
      <c r="C128" s="76">
        <v>73089010</v>
      </c>
      <c r="D128" s="77" t="s">
        <v>495</v>
      </c>
      <c r="E128" s="78" t="s">
        <v>496</v>
      </c>
      <c r="F128" s="74">
        <v>1</v>
      </c>
      <c r="G128" s="74" t="s">
        <v>137</v>
      </c>
      <c r="H128" s="77" t="s">
        <v>256</v>
      </c>
      <c r="I128" s="79">
        <v>22.1</v>
      </c>
      <c r="J128" s="80">
        <f t="shared" si="9"/>
        <v>22.1</v>
      </c>
      <c r="K128" s="81" t="s">
        <v>496</v>
      </c>
      <c r="L128" s="82">
        <f t="shared" si="16"/>
        <v>5.5555555555555552E-2</v>
      </c>
      <c r="M128" s="79">
        <f t="shared" si="10"/>
        <v>1.2277777777777779</v>
      </c>
      <c r="N128" s="79">
        <f>IFERROR(VLOOKUP(B128,Custo_MI_Infra!B:E,3,FALSE),0)</f>
        <v>0</v>
      </c>
      <c r="O128" s="79">
        <f t="shared" si="11"/>
        <v>0</v>
      </c>
      <c r="P128" s="79">
        <f t="shared" si="12"/>
        <v>0</v>
      </c>
    </row>
    <row r="129" spans="1:16" s="73" customFormat="1" ht="27" customHeight="1">
      <c r="A129" s="74">
        <v>3697</v>
      </c>
      <c r="B129" s="83" t="s">
        <v>488</v>
      </c>
      <c r="C129" s="76">
        <v>73089010</v>
      </c>
      <c r="D129" s="77" t="s">
        <v>497</v>
      </c>
      <c r="E129" s="78" t="s">
        <v>498</v>
      </c>
      <c r="F129" s="74">
        <v>1</v>
      </c>
      <c r="G129" s="74" t="s">
        <v>137</v>
      </c>
      <c r="H129" s="77" t="s">
        <v>256</v>
      </c>
      <c r="I129" s="79">
        <v>22.1</v>
      </c>
      <c r="J129" s="80">
        <f t="shared" si="9"/>
        <v>22.1</v>
      </c>
      <c r="K129" s="81" t="s">
        <v>498</v>
      </c>
      <c r="L129" s="82">
        <f t="shared" si="16"/>
        <v>5.5555555555555552E-2</v>
      </c>
      <c r="M129" s="79">
        <f t="shared" si="10"/>
        <v>1.2277777777777779</v>
      </c>
      <c r="N129" s="79">
        <f>IFERROR(VLOOKUP(B129,Custo_MI_Infra!B:E,3,FALSE),0)</f>
        <v>0</v>
      </c>
      <c r="O129" s="79">
        <f t="shared" si="11"/>
        <v>0</v>
      </c>
      <c r="P129" s="79">
        <f t="shared" si="12"/>
        <v>0</v>
      </c>
    </row>
    <row r="130" spans="1:16" s="73" customFormat="1" ht="27" customHeight="1">
      <c r="A130" s="74">
        <v>4215</v>
      </c>
      <c r="B130" s="83" t="s">
        <v>488</v>
      </c>
      <c r="C130" s="76">
        <v>73089010</v>
      </c>
      <c r="D130" s="77" t="s">
        <v>499</v>
      </c>
      <c r="E130" s="78" t="s">
        <v>500</v>
      </c>
      <c r="F130" s="63">
        <v>6</v>
      </c>
      <c r="G130" s="74" t="s">
        <v>232</v>
      </c>
      <c r="H130" s="77" t="s">
        <v>256</v>
      </c>
      <c r="I130" s="79">
        <v>91.5</v>
      </c>
      <c r="J130" s="80">
        <f t="shared" si="9"/>
        <v>549</v>
      </c>
      <c r="K130" s="81" t="s">
        <v>500</v>
      </c>
      <c r="L130" s="82">
        <f t="shared" si="16"/>
        <v>0.33333333333333331</v>
      </c>
      <c r="M130" s="79">
        <f t="shared" si="10"/>
        <v>30.5</v>
      </c>
      <c r="N130" s="79">
        <f>IFERROR(VLOOKUP(B130,Custo_MI_Infra!B:E,3,FALSE),0)</f>
        <v>0</v>
      </c>
      <c r="O130" s="79">
        <f t="shared" si="11"/>
        <v>0</v>
      </c>
      <c r="P130" s="79">
        <f t="shared" si="12"/>
        <v>0</v>
      </c>
    </row>
    <row r="131" spans="1:16" s="73" customFormat="1" ht="27" customHeight="1">
      <c r="A131" s="74">
        <v>5025</v>
      </c>
      <c r="B131" s="83" t="s">
        <v>488</v>
      </c>
      <c r="C131" s="76">
        <v>73181500</v>
      </c>
      <c r="D131" s="77" t="s">
        <v>501</v>
      </c>
      <c r="E131" s="78" t="s">
        <v>502</v>
      </c>
      <c r="F131" s="74">
        <v>120</v>
      </c>
      <c r="G131" s="74" t="s">
        <v>137</v>
      </c>
      <c r="H131" s="77" t="s">
        <v>256</v>
      </c>
      <c r="I131" s="79">
        <v>0.08</v>
      </c>
      <c r="J131" s="80">
        <f t="shared" ref="J131:J194" si="17">F131*I131</f>
        <v>9.6</v>
      </c>
      <c r="K131" s="81" t="s">
        <v>502</v>
      </c>
      <c r="L131" s="82">
        <f t="shared" si="16"/>
        <v>6.666666666666667</v>
      </c>
      <c r="M131" s="79">
        <f t="shared" si="10"/>
        <v>0.53333333333333333</v>
      </c>
      <c r="N131" s="79">
        <f>IFERROR(VLOOKUP(B131,Custo_MI_Infra!B:E,3,FALSE),0)</f>
        <v>0</v>
      </c>
      <c r="O131" s="79">
        <f t="shared" si="11"/>
        <v>0</v>
      </c>
      <c r="P131" s="79">
        <f t="shared" si="12"/>
        <v>0</v>
      </c>
    </row>
    <row r="132" spans="1:16" s="73" customFormat="1" ht="27" customHeight="1">
      <c r="A132" s="74">
        <v>3709</v>
      </c>
      <c r="B132" s="83" t="s">
        <v>488</v>
      </c>
      <c r="C132" s="76">
        <v>73145000</v>
      </c>
      <c r="D132" s="77" t="s">
        <v>503</v>
      </c>
      <c r="E132" s="78" t="s">
        <v>504</v>
      </c>
      <c r="F132" s="74">
        <v>6</v>
      </c>
      <c r="G132" s="74" t="s">
        <v>137</v>
      </c>
      <c r="H132" s="77" t="s">
        <v>256</v>
      </c>
      <c r="I132" s="79">
        <v>1.2</v>
      </c>
      <c r="J132" s="80">
        <f t="shared" si="17"/>
        <v>7.1999999999999993</v>
      </c>
      <c r="K132" s="81" t="s">
        <v>504</v>
      </c>
      <c r="L132" s="82">
        <f t="shared" si="16"/>
        <v>0.33333333333333331</v>
      </c>
      <c r="M132" s="79">
        <f t="shared" ref="M132:M195" si="18">L132*I132</f>
        <v>0.39999999999999997</v>
      </c>
      <c r="N132" s="79">
        <f>IFERROR(VLOOKUP(B132,Custo_MI_Infra!B:E,3,FALSE),0)</f>
        <v>0</v>
      </c>
      <c r="O132" s="79">
        <f t="shared" ref="O132:O195" si="19">N132*L132</f>
        <v>0</v>
      </c>
      <c r="P132" s="79">
        <f t="shared" ref="P132:P195" si="20">O132*I132</f>
        <v>0</v>
      </c>
    </row>
    <row r="133" spans="1:16" s="73" customFormat="1" ht="27" customHeight="1">
      <c r="A133" s="74">
        <v>6848</v>
      </c>
      <c r="B133" s="83" t="s">
        <v>488</v>
      </c>
      <c r="C133" s="76">
        <v>73089010</v>
      </c>
      <c r="D133" s="77" t="s">
        <v>505</v>
      </c>
      <c r="E133" s="78">
        <v>0</v>
      </c>
      <c r="F133" s="74">
        <v>6</v>
      </c>
      <c r="G133" s="74" t="s">
        <v>137</v>
      </c>
      <c r="H133" s="77" t="s">
        <v>256</v>
      </c>
      <c r="I133" s="79">
        <v>25.9</v>
      </c>
      <c r="J133" s="80">
        <f t="shared" si="17"/>
        <v>155.39999999999998</v>
      </c>
      <c r="K133" s="81" t="s">
        <v>506</v>
      </c>
      <c r="L133" s="82">
        <f t="shared" si="16"/>
        <v>0.33333333333333331</v>
      </c>
      <c r="M133" s="79">
        <f t="shared" si="18"/>
        <v>8.6333333333333329</v>
      </c>
      <c r="N133" s="79">
        <f>IFERROR(VLOOKUP(B133,Custo_MI_Infra!B:E,3,FALSE),0)</f>
        <v>0</v>
      </c>
      <c r="O133" s="79">
        <f t="shared" si="19"/>
        <v>0</v>
      </c>
      <c r="P133" s="79">
        <f t="shared" si="20"/>
        <v>0</v>
      </c>
    </row>
    <row r="134" spans="1:16" s="73" customFormat="1" ht="27" customHeight="1">
      <c r="A134" s="74">
        <v>4090</v>
      </c>
      <c r="B134" s="83" t="s">
        <v>488</v>
      </c>
      <c r="C134" s="76">
        <v>73089010</v>
      </c>
      <c r="D134" s="77" t="s">
        <v>507</v>
      </c>
      <c r="E134" s="78" t="s">
        <v>508</v>
      </c>
      <c r="F134" s="74">
        <v>1</v>
      </c>
      <c r="G134" s="74" t="s">
        <v>137</v>
      </c>
      <c r="H134" s="77" t="s">
        <v>256</v>
      </c>
      <c r="I134" s="79">
        <v>21</v>
      </c>
      <c r="J134" s="80">
        <f t="shared" si="17"/>
        <v>21</v>
      </c>
      <c r="K134" s="81" t="s">
        <v>508</v>
      </c>
      <c r="L134" s="82">
        <f t="shared" si="16"/>
        <v>5.5555555555555552E-2</v>
      </c>
      <c r="M134" s="79">
        <f t="shared" si="18"/>
        <v>1.1666666666666665</v>
      </c>
      <c r="N134" s="79">
        <f>IFERROR(VLOOKUP(B134,Custo_MI_Infra!B:E,3,FALSE),0)</f>
        <v>0</v>
      </c>
      <c r="O134" s="79">
        <f t="shared" si="19"/>
        <v>0</v>
      </c>
      <c r="P134" s="79">
        <f t="shared" si="20"/>
        <v>0</v>
      </c>
    </row>
    <row r="135" spans="1:16" s="73" customFormat="1" ht="27" customHeight="1">
      <c r="A135" s="74">
        <v>6963</v>
      </c>
      <c r="B135" s="83" t="s">
        <v>488</v>
      </c>
      <c r="C135" s="76">
        <v>73089010</v>
      </c>
      <c r="D135" s="77" t="s">
        <v>509</v>
      </c>
      <c r="E135" s="78" t="s">
        <v>510</v>
      </c>
      <c r="F135" s="74">
        <v>1</v>
      </c>
      <c r="G135" s="74" t="s">
        <v>137</v>
      </c>
      <c r="H135" s="77" t="s">
        <v>256</v>
      </c>
      <c r="I135" s="79">
        <v>23</v>
      </c>
      <c r="J135" s="80">
        <f t="shared" si="17"/>
        <v>23</v>
      </c>
      <c r="K135" s="81" t="s">
        <v>510</v>
      </c>
      <c r="L135" s="82">
        <f t="shared" si="16"/>
        <v>5.5555555555555552E-2</v>
      </c>
      <c r="M135" s="79">
        <f t="shared" si="18"/>
        <v>1.2777777777777777</v>
      </c>
      <c r="N135" s="79">
        <f>IFERROR(VLOOKUP(B135,Custo_MI_Infra!B:E,3,FALSE),0)</f>
        <v>0</v>
      </c>
      <c r="O135" s="79">
        <f t="shared" si="19"/>
        <v>0</v>
      </c>
      <c r="P135" s="79">
        <f t="shared" si="20"/>
        <v>0</v>
      </c>
    </row>
    <row r="136" spans="1:16" s="73" customFormat="1" ht="27" customHeight="1">
      <c r="A136" s="74">
        <v>2866</v>
      </c>
      <c r="B136" s="83" t="s">
        <v>488</v>
      </c>
      <c r="C136" s="76">
        <v>73089010</v>
      </c>
      <c r="D136" s="77" t="s">
        <v>511</v>
      </c>
      <c r="E136" s="78" t="s">
        <v>512</v>
      </c>
      <c r="F136" s="129">
        <v>18</v>
      </c>
      <c r="G136" s="74" t="s">
        <v>137</v>
      </c>
      <c r="H136" s="77" t="s">
        <v>256</v>
      </c>
      <c r="I136" s="79">
        <v>9.5</v>
      </c>
      <c r="J136" s="80">
        <f t="shared" si="17"/>
        <v>171</v>
      </c>
      <c r="K136" s="81" t="s">
        <v>512</v>
      </c>
      <c r="L136" s="82">
        <f t="shared" si="16"/>
        <v>1</v>
      </c>
      <c r="M136" s="79">
        <f t="shared" si="18"/>
        <v>9.5</v>
      </c>
      <c r="N136" s="79">
        <f>IFERROR(VLOOKUP(B136,Custo_MI_Infra!B:E,3,FALSE),0)</f>
        <v>0</v>
      </c>
      <c r="O136" s="79">
        <f t="shared" si="19"/>
        <v>0</v>
      </c>
      <c r="P136" s="79">
        <f t="shared" si="20"/>
        <v>0</v>
      </c>
    </row>
    <row r="137" spans="1:16" ht="27" customHeight="1">
      <c r="A137" s="130">
        <v>5091</v>
      </c>
      <c r="B137" s="131" t="s">
        <v>513</v>
      </c>
      <c r="C137" s="132">
        <v>73181500</v>
      </c>
      <c r="D137" s="133" t="s">
        <v>323</v>
      </c>
      <c r="E137" s="134" t="s">
        <v>324</v>
      </c>
      <c r="F137" s="130">
        <v>120</v>
      </c>
      <c r="G137" s="130" t="s">
        <v>137</v>
      </c>
      <c r="H137" s="133" t="s">
        <v>256</v>
      </c>
      <c r="I137" s="135">
        <v>0.04</v>
      </c>
      <c r="J137" s="136">
        <f t="shared" si="17"/>
        <v>4.8</v>
      </c>
      <c r="K137" s="137" t="s">
        <v>324</v>
      </c>
      <c r="L137" s="138">
        <f>F137/($F$145*3)</f>
        <v>6.666666666666667</v>
      </c>
      <c r="M137" s="135">
        <f t="shared" si="18"/>
        <v>0.26666666666666666</v>
      </c>
      <c r="N137" s="135">
        <f>IFERROR(VLOOKUP(B137,Custo_MI_Infra!B:E,3,FALSE),0)</f>
        <v>0</v>
      </c>
      <c r="O137" s="135">
        <f t="shared" si="19"/>
        <v>0</v>
      </c>
      <c r="P137" s="135">
        <f t="shared" si="20"/>
        <v>0</v>
      </c>
    </row>
    <row r="138" spans="1:16" ht="27" customHeight="1">
      <c r="A138" s="130">
        <v>5404</v>
      </c>
      <c r="B138" s="131" t="s">
        <v>513</v>
      </c>
      <c r="C138" s="132">
        <v>73181500</v>
      </c>
      <c r="D138" s="133" t="s">
        <v>489</v>
      </c>
      <c r="E138" s="134" t="s">
        <v>324</v>
      </c>
      <c r="F138" s="130">
        <v>120</v>
      </c>
      <c r="G138" s="130" t="s">
        <v>137</v>
      </c>
      <c r="H138" s="133" t="s">
        <v>256</v>
      </c>
      <c r="I138" s="135">
        <v>0.05</v>
      </c>
      <c r="J138" s="136">
        <f t="shared" si="17"/>
        <v>6</v>
      </c>
      <c r="K138" s="137" t="s">
        <v>324</v>
      </c>
      <c r="L138" s="138">
        <f t="shared" ref="L138:L150" si="21">F138/($F$145*3)</f>
        <v>6.666666666666667</v>
      </c>
      <c r="M138" s="135">
        <f t="shared" si="18"/>
        <v>0.33333333333333337</v>
      </c>
      <c r="N138" s="135">
        <f>IFERROR(VLOOKUP(B138,Custo_MI_Infra!B:E,3,FALSE),0)</f>
        <v>0</v>
      </c>
      <c r="O138" s="135">
        <f t="shared" si="19"/>
        <v>0</v>
      </c>
      <c r="P138" s="135">
        <f t="shared" si="20"/>
        <v>0</v>
      </c>
    </row>
    <row r="139" spans="1:16" ht="27" customHeight="1">
      <c r="A139" s="130">
        <v>2095</v>
      </c>
      <c r="B139" s="131" t="s">
        <v>513</v>
      </c>
      <c r="C139" s="132">
        <v>73181500</v>
      </c>
      <c r="D139" s="133" t="s">
        <v>490</v>
      </c>
      <c r="E139" s="134" t="s">
        <v>491</v>
      </c>
      <c r="F139" s="130">
        <v>120</v>
      </c>
      <c r="G139" s="130" t="s">
        <v>137</v>
      </c>
      <c r="H139" s="133" t="s">
        <v>256</v>
      </c>
      <c r="I139" s="135">
        <v>0.05</v>
      </c>
      <c r="J139" s="136">
        <f t="shared" si="17"/>
        <v>6</v>
      </c>
      <c r="K139" s="137" t="s">
        <v>491</v>
      </c>
      <c r="L139" s="138">
        <f t="shared" si="21"/>
        <v>6.666666666666667</v>
      </c>
      <c r="M139" s="135">
        <f t="shared" si="18"/>
        <v>0.33333333333333337</v>
      </c>
      <c r="N139" s="135">
        <f>IFERROR(VLOOKUP(B139,Custo_MI_Infra!B:E,3,FALSE),0)</f>
        <v>0</v>
      </c>
      <c r="O139" s="135">
        <f t="shared" si="19"/>
        <v>0</v>
      </c>
      <c r="P139" s="135">
        <f t="shared" si="20"/>
        <v>0</v>
      </c>
    </row>
    <row r="140" spans="1:16" ht="27" customHeight="1">
      <c r="A140" s="130">
        <v>2062</v>
      </c>
      <c r="B140" s="131" t="s">
        <v>513</v>
      </c>
      <c r="C140" s="132">
        <v>73181500</v>
      </c>
      <c r="D140" s="133" t="s">
        <v>492</v>
      </c>
      <c r="E140" s="134" t="s">
        <v>491</v>
      </c>
      <c r="F140" s="130">
        <v>120</v>
      </c>
      <c r="G140" s="130" t="s">
        <v>137</v>
      </c>
      <c r="H140" s="133" t="s">
        <v>256</v>
      </c>
      <c r="I140" s="135">
        <v>0.06</v>
      </c>
      <c r="J140" s="136">
        <f t="shared" si="17"/>
        <v>7.1999999999999993</v>
      </c>
      <c r="K140" s="137" t="s">
        <v>491</v>
      </c>
      <c r="L140" s="138">
        <f t="shared" si="21"/>
        <v>6.666666666666667</v>
      </c>
      <c r="M140" s="135">
        <f t="shared" si="18"/>
        <v>0.4</v>
      </c>
      <c r="N140" s="135">
        <f>IFERROR(VLOOKUP(B140,Custo_MI_Infra!B:E,3,FALSE),0)</f>
        <v>0</v>
      </c>
      <c r="O140" s="135">
        <f t="shared" si="19"/>
        <v>0</v>
      </c>
      <c r="P140" s="135">
        <f t="shared" si="20"/>
        <v>0</v>
      </c>
    </row>
    <row r="141" spans="1:16" ht="27" customHeight="1">
      <c r="A141" s="130">
        <v>2805</v>
      </c>
      <c r="B141" s="131" t="s">
        <v>513</v>
      </c>
      <c r="C141" s="132">
        <v>72162100</v>
      </c>
      <c r="D141" s="133" t="s">
        <v>354</v>
      </c>
      <c r="E141" s="134">
        <v>0</v>
      </c>
      <c r="F141" s="130">
        <f>1.72*F145*3</f>
        <v>30.96</v>
      </c>
      <c r="G141" s="130" t="s">
        <v>175</v>
      </c>
      <c r="H141" s="133" t="s">
        <v>176</v>
      </c>
      <c r="I141" s="135">
        <v>4.22</v>
      </c>
      <c r="J141" s="136">
        <f t="shared" si="17"/>
        <v>130.65119999999999</v>
      </c>
      <c r="K141" s="137" t="s">
        <v>177</v>
      </c>
      <c r="L141" s="138">
        <f t="shared" si="21"/>
        <v>1.72</v>
      </c>
      <c r="M141" s="135">
        <f t="shared" si="18"/>
        <v>7.2583999999999991</v>
      </c>
      <c r="N141" s="135">
        <f>IFERROR(VLOOKUP(B141,Custo_MI_Infra!B:E,3,FALSE),0)</f>
        <v>0</v>
      </c>
      <c r="O141" s="135">
        <f t="shared" si="19"/>
        <v>0</v>
      </c>
      <c r="P141" s="135">
        <f t="shared" si="20"/>
        <v>0</v>
      </c>
    </row>
    <row r="142" spans="1:16" ht="27" customHeight="1">
      <c r="A142" s="130">
        <v>5023</v>
      </c>
      <c r="B142" s="131" t="s">
        <v>513</v>
      </c>
      <c r="C142" s="132">
        <v>73089010</v>
      </c>
      <c r="D142" s="133" t="s">
        <v>514</v>
      </c>
      <c r="E142" s="134" t="s">
        <v>494</v>
      </c>
      <c r="F142" s="130">
        <v>2</v>
      </c>
      <c r="G142" s="130" t="s">
        <v>137</v>
      </c>
      <c r="H142" s="133" t="s">
        <v>256</v>
      </c>
      <c r="I142" s="135">
        <v>29.5</v>
      </c>
      <c r="J142" s="136">
        <f t="shared" si="17"/>
        <v>59</v>
      </c>
      <c r="K142" s="137" t="s">
        <v>494</v>
      </c>
      <c r="L142" s="138">
        <f t="shared" si="21"/>
        <v>0.1111111111111111</v>
      </c>
      <c r="M142" s="135">
        <f t="shared" si="18"/>
        <v>3.2777777777777777</v>
      </c>
      <c r="N142" s="135">
        <f>IFERROR(VLOOKUP(B142,Custo_MI_Infra!B:E,3,FALSE),0)</f>
        <v>0</v>
      </c>
      <c r="O142" s="135">
        <f t="shared" si="19"/>
        <v>0</v>
      </c>
      <c r="P142" s="135">
        <f t="shared" si="20"/>
        <v>0</v>
      </c>
    </row>
    <row r="143" spans="1:16" ht="27" customHeight="1">
      <c r="A143" s="130">
        <v>193</v>
      </c>
      <c r="B143" s="131" t="s">
        <v>513</v>
      </c>
      <c r="C143" s="132">
        <v>73089010</v>
      </c>
      <c r="D143" s="133" t="s">
        <v>515</v>
      </c>
      <c r="E143" s="134" t="s">
        <v>496</v>
      </c>
      <c r="F143" s="130">
        <v>1</v>
      </c>
      <c r="G143" s="130" t="s">
        <v>137</v>
      </c>
      <c r="H143" s="133" t="s">
        <v>256</v>
      </c>
      <c r="I143" s="135">
        <v>29.5</v>
      </c>
      <c r="J143" s="136">
        <f t="shared" si="17"/>
        <v>29.5</v>
      </c>
      <c r="K143" s="137" t="s">
        <v>496</v>
      </c>
      <c r="L143" s="138">
        <f t="shared" si="21"/>
        <v>5.5555555555555552E-2</v>
      </c>
      <c r="M143" s="135">
        <f t="shared" si="18"/>
        <v>1.6388888888888888</v>
      </c>
      <c r="N143" s="135">
        <f>IFERROR(VLOOKUP(B143,Custo_MI_Infra!B:E,3,FALSE),0)</f>
        <v>0</v>
      </c>
      <c r="O143" s="135">
        <f t="shared" si="19"/>
        <v>0</v>
      </c>
      <c r="P143" s="135">
        <f t="shared" si="20"/>
        <v>0</v>
      </c>
    </row>
    <row r="144" spans="1:16" ht="27" customHeight="1">
      <c r="A144" s="130">
        <v>3270</v>
      </c>
      <c r="B144" s="131" t="s">
        <v>513</v>
      </c>
      <c r="C144" s="132">
        <v>73089010</v>
      </c>
      <c r="D144" s="133" t="s">
        <v>516</v>
      </c>
      <c r="E144" s="134" t="s">
        <v>498</v>
      </c>
      <c r="F144" s="130">
        <v>1</v>
      </c>
      <c r="G144" s="130" t="s">
        <v>137</v>
      </c>
      <c r="H144" s="133" t="s">
        <v>256</v>
      </c>
      <c r="I144" s="135">
        <v>29.5</v>
      </c>
      <c r="J144" s="136">
        <f t="shared" si="17"/>
        <v>29.5</v>
      </c>
      <c r="K144" s="137" t="s">
        <v>498</v>
      </c>
      <c r="L144" s="138">
        <f t="shared" si="21"/>
        <v>5.5555555555555552E-2</v>
      </c>
      <c r="M144" s="135">
        <f t="shared" si="18"/>
        <v>1.6388888888888888</v>
      </c>
      <c r="N144" s="135">
        <f>IFERROR(VLOOKUP(B144,Custo_MI_Infra!B:E,3,FALSE),0)</f>
        <v>0</v>
      </c>
      <c r="O144" s="135">
        <f t="shared" si="19"/>
        <v>0</v>
      </c>
      <c r="P144" s="135">
        <f t="shared" si="20"/>
        <v>0</v>
      </c>
    </row>
    <row r="145" spans="1:16" ht="27" customHeight="1">
      <c r="A145" s="130">
        <v>3610</v>
      </c>
      <c r="B145" s="131" t="s">
        <v>513</v>
      </c>
      <c r="C145" s="132">
        <v>73089010</v>
      </c>
      <c r="D145" s="133" t="s">
        <v>517</v>
      </c>
      <c r="E145" s="134" t="s">
        <v>500</v>
      </c>
      <c r="F145" s="63">
        <v>6</v>
      </c>
      <c r="G145" s="130" t="s">
        <v>232</v>
      </c>
      <c r="H145" s="133" t="s">
        <v>256</v>
      </c>
      <c r="I145" s="135">
        <v>119.14</v>
      </c>
      <c r="J145" s="136">
        <f t="shared" si="17"/>
        <v>714.84</v>
      </c>
      <c r="K145" s="137" t="s">
        <v>500</v>
      </c>
      <c r="L145" s="138">
        <f t="shared" si="21"/>
        <v>0.33333333333333331</v>
      </c>
      <c r="M145" s="135">
        <f t="shared" si="18"/>
        <v>39.713333333333331</v>
      </c>
      <c r="N145" s="135">
        <f>IFERROR(VLOOKUP(B145,Custo_MI_Infra!B:E,3,FALSE),0)</f>
        <v>0</v>
      </c>
      <c r="O145" s="135">
        <f t="shared" si="19"/>
        <v>0</v>
      </c>
      <c r="P145" s="135">
        <f t="shared" si="20"/>
        <v>0</v>
      </c>
    </row>
    <row r="146" spans="1:16" ht="27" customHeight="1">
      <c r="A146" s="130">
        <v>5025</v>
      </c>
      <c r="B146" s="131" t="s">
        <v>513</v>
      </c>
      <c r="C146" s="132">
        <v>73181500</v>
      </c>
      <c r="D146" s="133" t="s">
        <v>501</v>
      </c>
      <c r="E146" s="134" t="s">
        <v>502</v>
      </c>
      <c r="F146" s="130">
        <v>120</v>
      </c>
      <c r="G146" s="130" t="s">
        <v>137</v>
      </c>
      <c r="H146" s="133" t="s">
        <v>256</v>
      </c>
      <c r="I146" s="135">
        <v>0.08</v>
      </c>
      <c r="J146" s="136">
        <f t="shared" si="17"/>
        <v>9.6</v>
      </c>
      <c r="K146" s="137" t="s">
        <v>502</v>
      </c>
      <c r="L146" s="138">
        <f t="shared" si="21"/>
        <v>6.666666666666667</v>
      </c>
      <c r="M146" s="135">
        <f t="shared" si="18"/>
        <v>0.53333333333333333</v>
      </c>
      <c r="N146" s="135">
        <f>IFERROR(VLOOKUP(B146,Custo_MI_Infra!B:E,3,FALSE),0)</f>
        <v>0</v>
      </c>
      <c r="O146" s="135">
        <f t="shared" si="19"/>
        <v>0</v>
      </c>
      <c r="P146" s="135">
        <f t="shared" si="20"/>
        <v>0</v>
      </c>
    </row>
    <row r="147" spans="1:16" ht="27" customHeight="1">
      <c r="A147" s="130">
        <v>3709</v>
      </c>
      <c r="B147" s="131" t="s">
        <v>513</v>
      </c>
      <c r="C147" s="132">
        <v>73145000</v>
      </c>
      <c r="D147" s="133" t="s">
        <v>503</v>
      </c>
      <c r="E147" s="134" t="s">
        <v>504</v>
      </c>
      <c r="F147" s="130">
        <v>6</v>
      </c>
      <c r="G147" s="130" t="s">
        <v>137</v>
      </c>
      <c r="H147" s="133" t="s">
        <v>256</v>
      </c>
      <c r="I147" s="135">
        <v>1.2</v>
      </c>
      <c r="J147" s="136">
        <f t="shared" si="17"/>
        <v>7.1999999999999993</v>
      </c>
      <c r="K147" s="137" t="s">
        <v>504</v>
      </c>
      <c r="L147" s="138">
        <f t="shared" si="21"/>
        <v>0.33333333333333331</v>
      </c>
      <c r="M147" s="135">
        <f t="shared" si="18"/>
        <v>0.39999999999999997</v>
      </c>
      <c r="N147" s="135">
        <f>IFERROR(VLOOKUP(B147,Custo_MI_Infra!B:E,3,FALSE),0)</f>
        <v>0</v>
      </c>
      <c r="O147" s="135">
        <f t="shared" si="19"/>
        <v>0</v>
      </c>
      <c r="P147" s="135">
        <f t="shared" si="20"/>
        <v>0</v>
      </c>
    </row>
    <row r="148" spans="1:16" ht="27" customHeight="1">
      <c r="A148" s="130">
        <v>199</v>
      </c>
      <c r="B148" s="131" t="s">
        <v>513</v>
      </c>
      <c r="C148" s="132">
        <v>73089010</v>
      </c>
      <c r="D148" s="133" t="s">
        <v>518</v>
      </c>
      <c r="E148" s="134">
        <v>0</v>
      </c>
      <c r="F148" s="130">
        <v>6</v>
      </c>
      <c r="G148" s="130" t="s">
        <v>137</v>
      </c>
      <c r="H148" s="133" t="s">
        <v>256</v>
      </c>
      <c r="I148" s="135">
        <v>45.09</v>
      </c>
      <c r="J148" s="136">
        <f t="shared" si="17"/>
        <v>270.54000000000002</v>
      </c>
      <c r="K148" s="137" t="s">
        <v>519</v>
      </c>
      <c r="L148" s="138">
        <f t="shared" si="21"/>
        <v>0.33333333333333331</v>
      </c>
      <c r="M148" s="135">
        <f t="shared" si="18"/>
        <v>15.030000000000001</v>
      </c>
      <c r="N148" s="135">
        <f>IFERROR(VLOOKUP(B148,Custo_MI_Infra!B:E,3,FALSE),0)</f>
        <v>0</v>
      </c>
      <c r="O148" s="135">
        <f t="shared" si="19"/>
        <v>0</v>
      </c>
      <c r="P148" s="135">
        <f t="shared" si="20"/>
        <v>0</v>
      </c>
    </row>
    <row r="149" spans="1:16" ht="27" customHeight="1">
      <c r="A149" s="130">
        <v>200</v>
      </c>
      <c r="B149" s="131" t="s">
        <v>513</v>
      </c>
      <c r="C149" s="132">
        <v>73089010</v>
      </c>
      <c r="D149" s="133" t="s">
        <v>520</v>
      </c>
      <c r="E149" s="134" t="s">
        <v>508</v>
      </c>
      <c r="F149" s="130">
        <v>1</v>
      </c>
      <c r="G149" s="130" t="s">
        <v>137</v>
      </c>
      <c r="H149" s="133" t="s">
        <v>256</v>
      </c>
      <c r="I149" s="135">
        <v>24.65</v>
      </c>
      <c r="J149" s="136">
        <f t="shared" si="17"/>
        <v>24.65</v>
      </c>
      <c r="K149" s="137" t="s">
        <v>508</v>
      </c>
      <c r="L149" s="138">
        <f t="shared" si="21"/>
        <v>5.5555555555555552E-2</v>
      </c>
      <c r="M149" s="135">
        <f t="shared" si="18"/>
        <v>1.3694444444444442</v>
      </c>
      <c r="N149" s="135">
        <f>IFERROR(VLOOKUP(B149,Custo_MI_Infra!B:E,3,FALSE),0)</f>
        <v>0</v>
      </c>
      <c r="O149" s="135">
        <f t="shared" si="19"/>
        <v>0</v>
      </c>
      <c r="P149" s="135">
        <f t="shared" si="20"/>
        <v>0</v>
      </c>
    </row>
    <row r="150" spans="1:16" ht="27" customHeight="1">
      <c r="A150" s="130">
        <v>2866</v>
      </c>
      <c r="B150" s="131" t="s">
        <v>513</v>
      </c>
      <c r="C150" s="132">
        <v>73089010</v>
      </c>
      <c r="D150" s="133" t="s">
        <v>511</v>
      </c>
      <c r="E150" s="134" t="s">
        <v>512</v>
      </c>
      <c r="F150" s="139">
        <v>18</v>
      </c>
      <c r="G150" s="130" t="s">
        <v>137</v>
      </c>
      <c r="H150" s="133" t="s">
        <v>256</v>
      </c>
      <c r="I150" s="135">
        <v>9.5</v>
      </c>
      <c r="J150" s="136">
        <f t="shared" si="17"/>
        <v>171</v>
      </c>
      <c r="K150" s="137" t="s">
        <v>512</v>
      </c>
      <c r="L150" s="138">
        <f t="shared" si="21"/>
        <v>1</v>
      </c>
      <c r="M150" s="135">
        <f t="shared" si="18"/>
        <v>9.5</v>
      </c>
      <c r="N150" s="135">
        <f>IFERROR(VLOOKUP(B150,Custo_MI_Infra!B:E,3,FALSE),0)</f>
        <v>0</v>
      </c>
      <c r="O150" s="135">
        <f t="shared" si="19"/>
        <v>0</v>
      </c>
      <c r="P150" s="135">
        <f t="shared" si="20"/>
        <v>0</v>
      </c>
    </row>
    <row r="151" spans="1:16" ht="27" customHeight="1">
      <c r="A151" s="140">
        <v>5091</v>
      </c>
      <c r="B151" s="141" t="s">
        <v>521</v>
      </c>
      <c r="C151" s="142">
        <v>73181500</v>
      </c>
      <c r="D151" s="143" t="s">
        <v>323</v>
      </c>
      <c r="E151" s="144" t="s">
        <v>324</v>
      </c>
      <c r="F151" s="140">
        <v>120</v>
      </c>
      <c r="G151" s="140" t="s">
        <v>137</v>
      </c>
      <c r="H151" s="143" t="s">
        <v>256</v>
      </c>
      <c r="I151" s="145">
        <v>0.04</v>
      </c>
      <c r="J151" s="146">
        <f t="shared" si="17"/>
        <v>4.8</v>
      </c>
      <c r="K151" s="147" t="s">
        <v>324</v>
      </c>
      <c r="L151" s="148">
        <f>F151/($F$159*3)</f>
        <v>6.666666666666667</v>
      </c>
      <c r="M151" s="145">
        <f t="shared" si="18"/>
        <v>0.26666666666666666</v>
      </c>
      <c r="N151" s="145">
        <f>IFERROR(VLOOKUP(B151,Custo_MI_Infra!B:E,3,FALSE),0)</f>
        <v>0</v>
      </c>
      <c r="O151" s="145">
        <f t="shared" si="19"/>
        <v>0</v>
      </c>
      <c r="P151" s="145">
        <f t="shared" si="20"/>
        <v>0</v>
      </c>
    </row>
    <row r="152" spans="1:16" ht="27" customHeight="1">
      <c r="A152" s="140">
        <v>5404</v>
      </c>
      <c r="B152" s="141" t="s">
        <v>521</v>
      </c>
      <c r="C152" s="142">
        <v>73181500</v>
      </c>
      <c r="D152" s="143" t="s">
        <v>489</v>
      </c>
      <c r="E152" s="144" t="s">
        <v>324</v>
      </c>
      <c r="F152" s="140">
        <v>120</v>
      </c>
      <c r="G152" s="140" t="s">
        <v>137</v>
      </c>
      <c r="H152" s="143" t="s">
        <v>256</v>
      </c>
      <c r="I152" s="145">
        <v>0.05</v>
      </c>
      <c r="J152" s="146">
        <f t="shared" si="17"/>
        <v>6</v>
      </c>
      <c r="K152" s="147" t="s">
        <v>324</v>
      </c>
      <c r="L152" s="148">
        <f t="shared" ref="L152:L164" si="22">F152/($F$159*3)</f>
        <v>6.666666666666667</v>
      </c>
      <c r="M152" s="145">
        <f t="shared" si="18"/>
        <v>0.33333333333333337</v>
      </c>
      <c r="N152" s="145">
        <f>IFERROR(VLOOKUP(B152,Custo_MI_Infra!B:E,3,FALSE),0)</f>
        <v>0</v>
      </c>
      <c r="O152" s="145">
        <f t="shared" si="19"/>
        <v>0</v>
      </c>
      <c r="P152" s="145">
        <f t="shared" si="20"/>
        <v>0</v>
      </c>
    </row>
    <row r="153" spans="1:16" ht="27" customHeight="1">
      <c r="A153" s="140">
        <v>2095</v>
      </c>
      <c r="B153" s="141" t="s">
        <v>521</v>
      </c>
      <c r="C153" s="142">
        <v>73181500</v>
      </c>
      <c r="D153" s="143" t="s">
        <v>490</v>
      </c>
      <c r="E153" s="144" t="s">
        <v>491</v>
      </c>
      <c r="F153" s="140">
        <v>120</v>
      </c>
      <c r="G153" s="140" t="s">
        <v>137</v>
      </c>
      <c r="H153" s="143" t="s">
        <v>256</v>
      </c>
      <c r="I153" s="145">
        <v>0.05</v>
      </c>
      <c r="J153" s="146">
        <f t="shared" si="17"/>
        <v>6</v>
      </c>
      <c r="K153" s="147" t="s">
        <v>491</v>
      </c>
      <c r="L153" s="148">
        <f t="shared" si="22"/>
        <v>6.666666666666667</v>
      </c>
      <c r="M153" s="145">
        <f t="shared" si="18"/>
        <v>0.33333333333333337</v>
      </c>
      <c r="N153" s="145">
        <f>IFERROR(VLOOKUP(B153,Custo_MI_Infra!B:E,3,FALSE),0)</f>
        <v>0</v>
      </c>
      <c r="O153" s="145">
        <f t="shared" si="19"/>
        <v>0</v>
      </c>
      <c r="P153" s="145">
        <f t="shared" si="20"/>
        <v>0</v>
      </c>
    </row>
    <row r="154" spans="1:16" ht="27" customHeight="1">
      <c r="A154" s="140">
        <v>2062</v>
      </c>
      <c r="B154" s="141" t="s">
        <v>521</v>
      </c>
      <c r="C154" s="142">
        <v>73181500</v>
      </c>
      <c r="D154" s="143" t="s">
        <v>492</v>
      </c>
      <c r="E154" s="144" t="s">
        <v>491</v>
      </c>
      <c r="F154" s="140">
        <v>120</v>
      </c>
      <c r="G154" s="140" t="s">
        <v>137</v>
      </c>
      <c r="H154" s="143" t="s">
        <v>256</v>
      </c>
      <c r="I154" s="145">
        <v>0.06</v>
      </c>
      <c r="J154" s="146">
        <f t="shared" si="17"/>
        <v>7.1999999999999993</v>
      </c>
      <c r="K154" s="147" t="s">
        <v>491</v>
      </c>
      <c r="L154" s="148">
        <f t="shared" si="22"/>
        <v>6.666666666666667</v>
      </c>
      <c r="M154" s="145">
        <f t="shared" si="18"/>
        <v>0.4</v>
      </c>
      <c r="N154" s="145">
        <f>IFERROR(VLOOKUP(B154,Custo_MI_Infra!B:E,3,FALSE),0)</f>
        <v>0</v>
      </c>
      <c r="O154" s="145">
        <f t="shared" si="19"/>
        <v>0</v>
      </c>
      <c r="P154" s="145">
        <f t="shared" si="20"/>
        <v>0</v>
      </c>
    </row>
    <row r="155" spans="1:16" ht="27" customHeight="1">
      <c r="A155" s="140">
        <v>2805</v>
      </c>
      <c r="B155" s="141" t="s">
        <v>521</v>
      </c>
      <c r="C155" s="142">
        <v>72162100</v>
      </c>
      <c r="D155" s="143" t="s">
        <v>354</v>
      </c>
      <c r="E155" s="144">
        <v>0</v>
      </c>
      <c r="F155" s="140">
        <f>1.72*F159*3</f>
        <v>30.96</v>
      </c>
      <c r="G155" s="140" t="s">
        <v>175</v>
      </c>
      <c r="H155" s="143" t="s">
        <v>176</v>
      </c>
      <c r="I155" s="145">
        <v>4.22</v>
      </c>
      <c r="J155" s="146">
        <f t="shared" si="17"/>
        <v>130.65119999999999</v>
      </c>
      <c r="K155" s="147" t="s">
        <v>177</v>
      </c>
      <c r="L155" s="148">
        <f t="shared" si="22"/>
        <v>1.72</v>
      </c>
      <c r="M155" s="145">
        <f t="shared" si="18"/>
        <v>7.2583999999999991</v>
      </c>
      <c r="N155" s="145">
        <f>IFERROR(VLOOKUP(B155,Custo_MI_Infra!B:E,3,FALSE),0)</f>
        <v>0</v>
      </c>
      <c r="O155" s="145">
        <f t="shared" si="19"/>
        <v>0</v>
      </c>
      <c r="P155" s="145">
        <f t="shared" si="20"/>
        <v>0</v>
      </c>
    </row>
    <row r="156" spans="1:16" ht="27" customHeight="1">
      <c r="A156" s="140">
        <v>7084</v>
      </c>
      <c r="B156" s="141" t="s">
        <v>521</v>
      </c>
      <c r="C156" s="142">
        <v>73089010</v>
      </c>
      <c r="D156" s="143" t="s">
        <v>522</v>
      </c>
      <c r="E156" s="144" t="s">
        <v>494</v>
      </c>
      <c r="F156" s="140">
        <v>2</v>
      </c>
      <c r="G156" s="140" t="s">
        <v>137</v>
      </c>
      <c r="H156" s="143" t="s">
        <v>256</v>
      </c>
      <c r="I156" s="145">
        <v>35</v>
      </c>
      <c r="J156" s="146">
        <f t="shared" si="17"/>
        <v>70</v>
      </c>
      <c r="K156" s="147" t="s">
        <v>494</v>
      </c>
      <c r="L156" s="148">
        <f t="shared" si="22"/>
        <v>0.1111111111111111</v>
      </c>
      <c r="M156" s="145">
        <f t="shared" si="18"/>
        <v>3.8888888888888888</v>
      </c>
      <c r="N156" s="145">
        <f>IFERROR(VLOOKUP(B156,Custo_MI_Infra!B:E,3,FALSE),0)</f>
        <v>0</v>
      </c>
      <c r="O156" s="145">
        <f t="shared" si="19"/>
        <v>0</v>
      </c>
      <c r="P156" s="145">
        <f t="shared" si="20"/>
        <v>0</v>
      </c>
    </row>
    <row r="157" spans="1:16" ht="27" customHeight="1">
      <c r="A157" s="140">
        <v>7085</v>
      </c>
      <c r="B157" s="141" t="s">
        <v>521</v>
      </c>
      <c r="C157" s="142">
        <v>73089010</v>
      </c>
      <c r="D157" s="143" t="s">
        <v>523</v>
      </c>
      <c r="E157" s="144" t="s">
        <v>496</v>
      </c>
      <c r="F157" s="140">
        <v>1</v>
      </c>
      <c r="G157" s="140" t="s">
        <v>137</v>
      </c>
      <c r="H157" s="143" t="s">
        <v>256</v>
      </c>
      <c r="I157" s="145">
        <v>35</v>
      </c>
      <c r="J157" s="146">
        <f t="shared" si="17"/>
        <v>35</v>
      </c>
      <c r="K157" s="147" t="s">
        <v>496</v>
      </c>
      <c r="L157" s="148">
        <f t="shared" si="22"/>
        <v>5.5555555555555552E-2</v>
      </c>
      <c r="M157" s="145">
        <f t="shared" si="18"/>
        <v>1.9444444444444444</v>
      </c>
      <c r="N157" s="145">
        <f>IFERROR(VLOOKUP(B157,Custo_MI_Infra!B:E,3,FALSE),0)</f>
        <v>0</v>
      </c>
      <c r="O157" s="145">
        <f t="shared" si="19"/>
        <v>0</v>
      </c>
      <c r="P157" s="145">
        <f t="shared" si="20"/>
        <v>0</v>
      </c>
    </row>
    <row r="158" spans="1:16" ht="27" customHeight="1">
      <c r="A158" s="140">
        <v>7086</v>
      </c>
      <c r="B158" s="141" t="s">
        <v>521</v>
      </c>
      <c r="C158" s="142">
        <v>73089010</v>
      </c>
      <c r="D158" s="143" t="s">
        <v>524</v>
      </c>
      <c r="E158" s="144" t="s">
        <v>498</v>
      </c>
      <c r="F158" s="140">
        <v>1</v>
      </c>
      <c r="G158" s="140" t="s">
        <v>137</v>
      </c>
      <c r="H158" s="143" t="s">
        <v>256</v>
      </c>
      <c r="I158" s="145">
        <v>35</v>
      </c>
      <c r="J158" s="146">
        <f t="shared" si="17"/>
        <v>35</v>
      </c>
      <c r="K158" s="147" t="s">
        <v>498</v>
      </c>
      <c r="L158" s="148">
        <f t="shared" si="22"/>
        <v>5.5555555555555552E-2</v>
      </c>
      <c r="M158" s="145">
        <f t="shared" si="18"/>
        <v>1.9444444444444444</v>
      </c>
      <c r="N158" s="145">
        <f>IFERROR(VLOOKUP(B158,Custo_MI_Infra!B:E,3,FALSE),0)</f>
        <v>0</v>
      </c>
      <c r="O158" s="145">
        <f t="shared" si="19"/>
        <v>0</v>
      </c>
      <c r="P158" s="145">
        <f t="shared" si="20"/>
        <v>0</v>
      </c>
    </row>
    <row r="159" spans="1:16" ht="27" customHeight="1">
      <c r="A159" s="140">
        <v>107</v>
      </c>
      <c r="B159" s="141" t="s">
        <v>521</v>
      </c>
      <c r="C159" s="142">
        <v>73089010</v>
      </c>
      <c r="D159" s="143" t="s">
        <v>525</v>
      </c>
      <c r="E159" s="144" t="s">
        <v>500</v>
      </c>
      <c r="F159" s="63">
        <v>6</v>
      </c>
      <c r="G159" s="140" t="s">
        <v>232</v>
      </c>
      <c r="H159" s="143" t="s">
        <v>256</v>
      </c>
      <c r="I159" s="145">
        <v>148.6</v>
      </c>
      <c r="J159" s="146">
        <f t="shared" si="17"/>
        <v>891.59999999999991</v>
      </c>
      <c r="K159" s="147" t="s">
        <v>500</v>
      </c>
      <c r="L159" s="148">
        <f t="shared" si="22"/>
        <v>0.33333333333333331</v>
      </c>
      <c r="M159" s="145">
        <f t="shared" si="18"/>
        <v>49.533333333333331</v>
      </c>
      <c r="N159" s="145">
        <f>IFERROR(VLOOKUP(B159,Custo_MI_Infra!B:E,3,FALSE),0)</f>
        <v>0</v>
      </c>
      <c r="O159" s="145">
        <f t="shared" si="19"/>
        <v>0</v>
      </c>
      <c r="P159" s="145">
        <f t="shared" si="20"/>
        <v>0</v>
      </c>
    </row>
    <row r="160" spans="1:16" ht="27" customHeight="1">
      <c r="A160" s="140">
        <v>5025</v>
      </c>
      <c r="B160" s="141" t="s">
        <v>521</v>
      </c>
      <c r="C160" s="142">
        <v>73181500</v>
      </c>
      <c r="D160" s="143" t="s">
        <v>501</v>
      </c>
      <c r="E160" s="144" t="s">
        <v>502</v>
      </c>
      <c r="F160" s="140">
        <v>120</v>
      </c>
      <c r="G160" s="140" t="s">
        <v>137</v>
      </c>
      <c r="H160" s="143" t="s">
        <v>256</v>
      </c>
      <c r="I160" s="145">
        <v>0.08</v>
      </c>
      <c r="J160" s="146">
        <f t="shared" si="17"/>
        <v>9.6</v>
      </c>
      <c r="K160" s="147" t="s">
        <v>502</v>
      </c>
      <c r="L160" s="148">
        <f t="shared" si="22"/>
        <v>6.666666666666667</v>
      </c>
      <c r="M160" s="145">
        <f t="shared" si="18"/>
        <v>0.53333333333333333</v>
      </c>
      <c r="N160" s="145">
        <f>IFERROR(VLOOKUP(B160,Custo_MI_Infra!B:E,3,FALSE),0)</f>
        <v>0</v>
      </c>
      <c r="O160" s="145">
        <f t="shared" si="19"/>
        <v>0</v>
      </c>
      <c r="P160" s="145">
        <f t="shared" si="20"/>
        <v>0</v>
      </c>
    </row>
    <row r="161" spans="1:16" ht="27" customHeight="1">
      <c r="A161" s="140">
        <v>3709</v>
      </c>
      <c r="B161" s="141" t="s">
        <v>521</v>
      </c>
      <c r="C161" s="142">
        <v>73145000</v>
      </c>
      <c r="D161" s="143" t="s">
        <v>503</v>
      </c>
      <c r="E161" s="144" t="s">
        <v>504</v>
      </c>
      <c r="F161" s="140">
        <v>6</v>
      </c>
      <c r="G161" s="140" t="s">
        <v>137</v>
      </c>
      <c r="H161" s="143" t="s">
        <v>256</v>
      </c>
      <c r="I161" s="145">
        <v>1.2</v>
      </c>
      <c r="J161" s="146">
        <f t="shared" si="17"/>
        <v>7.1999999999999993</v>
      </c>
      <c r="K161" s="147" t="s">
        <v>504</v>
      </c>
      <c r="L161" s="148">
        <f t="shared" si="22"/>
        <v>0.33333333333333331</v>
      </c>
      <c r="M161" s="145">
        <f t="shared" si="18"/>
        <v>0.39999999999999997</v>
      </c>
      <c r="N161" s="145">
        <f>IFERROR(VLOOKUP(B161,Custo_MI_Infra!B:E,3,FALSE),0)</f>
        <v>0</v>
      </c>
      <c r="O161" s="145">
        <f t="shared" si="19"/>
        <v>0</v>
      </c>
      <c r="P161" s="145">
        <f t="shared" si="20"/>
        <v>0</v>
      </c>
    </row>
    <row r="162" spans="1:16" ht="27" customHeight="1">
      <c r="A162" s="140">
        <v>7083</v>
      </c>
      <c r="B162" s="141" t="s">
        <v>521</v>
      </c>
      <c r="C162" s="142">
        <v>73089010</v>
      </c>
      <c r="D162" s="143" t="s">
        <v>526</v>
      </c>
      <c r="E162" s="144">
        <v>0</v>
      </c>
      <c r="F162" s="140">
        <v>6</v>
      </c>
      <c r="G162" s="140" t="s">
        <v>137</v>
      </c>
      <c r="H162" s="143" t="s">
        <v>256</v>
      </c>
      <c r="I162" s="145">
        <v>61</v>
      </c>
      <c r="J162" s="146">
        <f t="shared" si="17"/>
        <v>366</v>
      </c>
      <c r="K162" s="147" t="s">
        <v>527</v>
      </c>
      <c r="L162" s="148">
        <f t="shared" si="22"/>
        <v>0.33333333333333331</v>
      </c>
      <c r="M162" s="145">
        <f t="shared" si="18"/>
        <v>20.333333333333332</v>
      </c>
      <c r="N162" s="145">
        <f>IFERROR(VLOOKUP(B162,Custo_MI_Infra!B:E,3,FALSE),0)</f>
        <v>0</v>
      </c>
      <c r="O162" s="145">
        <f t="shared" si="19"/>
        <v>0</v>
      </c>
      <c r="P162" s="145">
        <f t="shared" si="20"/>
        <v>0</v>
      </c>
    </row>
    <row r="163" spans="1:16" ht="27" customHeight="1">
      <c r="A163" s="140">
        <v>7087</v>
      </c>
      <c r="B163" s="141" t="s">
        <v>521</v>
      </c>
      <c r="C163" s="142">
        <v>73089010</v>
      </c>
      <c r="D163" s="143" t="s">
        <v>528</v>
      </c>
      <c r="E163" s="144" t="s">
        <v>508</v>
      </c>
      <c r="F163" s="140">
        <v>1</v>
      </c>
      <c r="G163" s="140" t="s">
        <v>137</v>
      </c>
      <c r="H163" s="143" t="s">
        <v>256</v>
      </c>
      <c r="I163" s="145">
        <v>40.21</v>
      </c>
      <c r="J163" s="146">
        <f t="shared" si="17"/>
        <v>40.21</v>
      </c>
      <c r="K163" s="147" t="s">
        <v>508</v>
      </c>
      <c r="L163" s="148">
        <f t="shared" si="22"/>
        <v>5.5555555555555552E-2</v>
      </c>
      <c r="M163" s="145">
        <f t="shared" si="18"/>
        <v>2.2338888888888886</v>
      </c>
      <c r="N163" s="145">
        <f>IFERROR(VLOOKUP(B163,Custo_MI_Infra!B:E,3,FALSE),0)</f>
        <v>0</v>
      </c>
      <c r="O163" s="145">
        <f t="shared" si="19"/>
        <v>0</v>
      </c>
      <c r="P163" s="145">
        <f t="shared" si="20"/>
        <v>0</v>
      </c>
    </row>
    <row r="164" spans="1:16" ht="27" customHeight="1">
      <c r="A164" s="140">
        <v>2866</v>
      </c>
      <c r="B164" s="141" t="s">
        <v>521</v>
      </c>
      <c r="C164" s="142">
        <v>73089010</v>
      </c>
      <c r="D164" s="143" t="s">
        <v>511</v>
      </c>
      <c r="E164" s="144" t="s">
        <v>512</v>
      </c>
      <c r="F164" s="149">
        <v>18</v>
      </c>
      <c r="G164" s="140" t="s">
        <v>137</v>
      </c>
      <c r="H164" s="143" t="s">
        <v>256</v>
      </c>
      <c r="I164" s="145">
        <v>9.5</v>
      </c>
      <c r="J164" s="146">
        <f t="shared" si="17"/>
        <v>171</v>
      </c>
      <c r="K164" s="147" t="s">
        <v>512</v>
      </c>
      <c r="L164" s="148">
        <f t="shared" si="22"/>
        <v>1</v>
      </c>
      <c r="M164" s="145">
        <f t="shared" si="18"/>
        <v>9.5</v>
      </c>
      <c r="N164" s="145">
        <f>IFERROR(VLOOKUP(B164,Custo_MI_Infra!B:E,3,FALSE),0)</f>
        <v>0</v>
      </c>
      <c r="O164" s="145">
        <f t="shared" si="19"/>
        <v>0</v>
      </c>
      <c r="P164" s="145">
        <f t="shared" si="20"/>
        <v>0</v>
      </c>
    </row>
    <row r="165" spans="1:16" s="73" customFormat="1" ht="15" customHeight="1">
      <c r="A165" s="102">
        <v>118</v>
      </c>
      <c r="B165" s="103" t="s">
        <v>529</v>
      </c>
      <c r="C165" s="104">
        <v>73072900</v>
      </c>
      <c r="D165" s="105" t="s">
        <v>350</v>
      </c>
      <c r="E165" s="106" t="s">
        <v>351</v>
      </c>
      <c r="F165" s="102">
        <v>9</v>
      </c>
      <c r="G165" s="102" t="s">
        <v>137</v>
      </c>
      <c r="H165" s="105" t="s">
        <v>256</v>
      </c>
      <c r="I165" s="107">
        <v>1.85</v>
      </c>
      <c r="J165" s="108">
        <f t="shared" si="17"/>
        <v>16.650000000000002</v>
      </c>
      <c r="K165" s="109" t="s">
        <v>351</v>
      </c>
      <c r="L165" s="110">
        <f>F165/($F$184*6)</f>
        <v>0.5</v>
      </c>
      <c r="M165" s="107">
        <f t="shared" si="18"/>
        <v>0.92500000000000004</v>
      </c>
      <c r="N165" s="107">
        <f>IFERROR(VLOOKUP(B165,Custo_MI_Infra!B:E,3,FALSE),0)</f>
        <v>0</v>
      </c>
      <c r="O165" s="107">
        <f t="shared" si="19"/>
        <v>0</v>
      </c>
      <c r="P165" s="107">
        <f t="shared" si="20"/>
        <v>0</v>
      </c>
    </row>
    <row r="166" spans="1:16" s="73" customFormat="1" ht="15" customHeight="1">
      <c r="A166" s="102">
        <v>88</v>
      </c>
      <c r="B166" s="103" t="s">
        <v>529</v>
      </c>
      <c r="C166" s="104">
        <v>73071910</v>
      </c>
      <c r="D166" s="105" t="s">
        <v>530</v>
      </c>
      <c r="E166" s="106">
        <v>241</v>
      </c>
      <c r="F166" s="102">
        <v>1</v>
      </c>
      <c r="G166" s="102" t="s">
        <v>137</v>
      </c>
      <c r="H166" s="105" t="s">
        <v>152</v>
      </c>
      <c r="I166" s="107">
        <v>4.5</v>
      </c>
      <c r="J166" s="108">
        <f t="shared" si="17"/>
        <v>4.5</v>
      </c>
      <c r="K166" s="109">
        <v>241</v>
      </c>
      <c r="L166" s="110">
        <f t="shared" ref="L166:L186" si="23">F166/($F$184*6)</f>
        <v>5.5555555555555552E-2</v>
      </c>
      <c r="M166" s="107">
        <f t="shared" si="18"/>
        <v>0.25</v>
      </c>
      <c r="N166" s="107">
        <f>IFERROR(VLOOKUP(B166,Custo_MI_Infra!B:E,3,FALSE),0)</f>
        <v>0</v>
      </c>
      <c r="O166" s="107">
        <f t="shared" si="19"/>
        <v>0</v>
      </c>
      <c r="P166" s="107">
        <f t="shared" si="20"/>
        <v>0</v>
      </c>
    </row>
    <row r="167" spans="1:16" s="73" customFormat="1" ht="15" customHeight="1">
      <c r="A167" s="102">
        <v>1114</v>
      </c>
      <c r="B167" s="103" t="s">
        <v>529</v>
      </c>
      <c r="C167" s="104">
        <v>73071910</v>
      </c>
      <c r="D167" s="105" t="s">
        <v>531</v>
      </c>
      <c r="E167" s="106">
        <v>241</v>
      </c>
      <c r="F167" s="102">
        <v>1</v>
      </c>
      <c r="G167" s="102" t="s">
        <v>137</v>
      </c>
      <c r="H167" s="105" t="s">
        <v>152</v>
      </c>
      <c r="I167" s="107">
        <v>4.25</v>
      </c>
      <c r="J167" s="108">
        <f t="shared" si="17"/>
        <v>4.25</v>
      </c>
      <c r="K167" s="109">
        <v>241</v>
      </c>
      <c r="L167" s="110">
        <f t="shared" si="23"/>
        <v>5.5555555555555552E-2</v>
      </c>
      <c r="M167" s="107">
        <f t="shared" si="18"/>
        <v>0.2361111111111111</v>
      </c>
      <c r="N167" s="107">
        <f>IFERROR(VLOOKUP(B167,Custo_MI_Infra!B:E,3,FALSE),0)</f>
        <v>0</v>
      </c>
      <c r="O167" s="107">
        <f t="shared" si="19"/>
        <v>0</v>
      </c>
      <c r="P167" s="107">
        <f t="shared" si="20"/>
        <v>0</v>
      </c>
    </row>
    <row r="168" spans="1:16" s="73" customFormat="1" ht="15" customHeight="1">
      <c r="A168" s="102">
        <v>140</v>
      </c>
      <c r="B168" s="103" t="s">
        <v>529</v>
      </c>
      <c r="C168" s="104">
        <v>73071910</v>
      </c>
      <c r="D168" s="105" t="s">
        <v>532</v>
      </c>
      <c r="E168" s="106">
        <v>241</v>
      </c>
      <c r="F168" s="102">
        <v>1</v>
      </c>
      <c r="G168" s="102" t="s">
        <v>137</v>
      </c>
      <c r="H168" s="105" t="s">
        <v>152</v>
      </c>
      <c r="I168" s="107">
        <v>4.95</v>
      </c>
      <c r="J168" s="108">
        <f t="shared" si="17"/>
        <v>4.95</v>
      </c>
      <c r="K168" s="109">
        <v>241</v>
      </c>
      <c r="L168" s="110">
        <f t="shared" si="23"/>
        <v>5.5555555555555552E-2</v>
      </c>
      <c r="M168" s="107">
        <f t="shared" si="18"/>
        <v>0.27500000000000002</v>
      </c>
      <c r="N168" s="107">
        <f>IFERROR(VLOOKUP(B168,Custo_MI_Infra!B:E,3,FALSE),0)</f>
        <v>0</v>
      </c>
      <c r="O168" s="107">
        <f t="shared" si="19"/>
        <v>0</v>
      </c>
      <c r="P168" s="107">
        <f t="shared" si="20"/>
        <v>0</v>
      </c>
    </row>
    <row r="169" spans="1:16" s="73" customFormat="1" ht="15" customHeight="1">
      <c r="A169" s="102">
        <v>3110</v>
      </c>
      <c r="B169" s="103" t="s">
        <v>529</v>
      </c>
      <c r="C169" s="104">
        <v>73071910</v>
      </c>
      <c r="D169" s="105" t="s">
        <v>533</v>
      </c>
      <c r="E169" s="106">
        <v>290</v>
      </c>
      <c r="F169" s="102">
        <v>1</v>
      </c>
      <c r="G169" s="102" t="s">
        <v>137</v>
      </c>
      <c r="H169" s="105" t="s">
        <v>152</v>
      </c>
      <c r="I169" s="107">
        <v>2.95</v>
      </c>
      <c r="J169" s="108">
        <f t="shared" si="17"/>
        <v>2.95</v>
      </c>
      <c r="K169" s="109">
        <v>290</v>
      </c>
      <c r="L169" s="110">
        <f t="shared" si="23"/>
        <v>5.5555555555555552E-2</v>
      </c>
      <c r="M169" s="107">
        <f t="shared" si="18"/>
        <v>0.16388888888888889</v>
      </c>
      <c r="N169" s="107">
        <f>IFERROR(VLOOKUP(B169,Custo_MI_Infra!B:E,3,FALSE),0)</f>
        <v>0</v>
      </c>
      <c r="O169" s="107">
        <f t="shared" si="19"/>
        <v>0</v>
      </c>
      <c r="P169" s="107">
        <f t="shared" si="20"/>
        <v>0</v>
      </c>
    </row>
    <row r="170" spans="1:16" s="73" customFormat="1" ht="15" customHeight="1">
      <c r="A170" s="102">
        <v>2580</v>
      </c>
      <c r="B170" s="103" t="s">
        <v>529</v>
      </c>
      <c r="C170" s="104">
        <v>73071910</v>
      </c>
      <c r="D170" s="105" t="s">
        <v>534</v>
      </c>
      <c r="E170" s="106">
        <v>291</v>
      </c>
      <c r="F170" s="102">
        <v>1</v>
      </c>
      <c r="G170" s="102" t="s">
        <v>137</v>
      </c>
      <c r="H170" s="105" t="s">
        <v>152</v>
      </c>
      <c r="I170" s="107">
        <v>2.95</v>
      </c>
      <c r="J170" s="108">
        <f t="shared" si="17"/>
        <v>2.95</v>
      </c>
      <c r="K170" s="109">
        <v>291</v>
      </c>
      <c r="L170" s="110">
        <f t="shared" si="23"/>
        <v>5.5555555555555552E-2</v>
      </c>
      <c r="M170" s="107">
        <f t="shared" si="18"/>
        <v>0.16388888888888889</v>
      </c>
      <c r="N170" s="107">
        <f>IFERROR(VLOOKUP(B170,Custo_MI_Infra!B:E,3,FALSE),0)</f>
        <v>0</v>
      </c>
      <c r="O170" s="107">
        <f t="shared" si="19"/>
        <v>0</v>
      </c>
      <c r="P170" s="107">
        <f t="shared" si="20"/>
        <v>0</v>
      </c>
    </row>
    <row r="171" spans="1:16" s="73" customFormat="1" ht="15" customHeight="1">
      <c r="A171" s="102">
        <v>2805</v>
      </c>
      <c r="B171" s="103" t="s">
        <v>529</v>
      </c>
      <c r="C171" s="104">
        <v>72162100</v>
      </c>
      <c r="D171" s="105" t="s">
        <v>354</v>
      </c>
      <c r="E171" s="106">
        <v>0</v>
      </c>
      <c r="F171" s="102">
        <f>0.86*F184*6</f>
        <v>15.48</v>
      </c>
      <c r="G171" s="102" t="s">
        <v>175</v>
      </c>
      <c r="H171" s="105" t="s">
        <v>176</v>
      </c>
      <c r="I171" s="107">
        <v>4.22</v>
      </c>
      <c r="J171" s="108">
        <f t="shared" si="17"/>
        <v>65.325599999999994</v>
      </c>
      <c r="K171" s="109" t="s">
        <v>177</v>
      </c>
      <c r="L171" s="110">
        <f t="shared" si="23"/>
        <v>0.86</v>
      </c>
      <c r="M171" s="107">
        <f t="shared" si="18"/>
        <v>3.6291999999999995</v>
      </c>
      <c r="N171" s="107">
        <f>IFERROR(VLOOKUP(B171,Custo_MI_Infra!B:E,3,FALSE),0)</f>
        <v>0</v>
      </c>
      <c r="O171" s="107">
        <f t="shared" si="19"/>
        <v>0</v>
      </c>
      <c r="P171" s="107">
        <f t="shared" si="20"/>
        <v>0</v>
      </c>
    </row>
    <row r="172" spans="1:16" s="73" customFormat="1" ht="15" customHeight="1">
      <c r="A172" s="102">
        <v>2875</v>
      </c>
      <c r="B172" s="103" t="s">
        <v>529</v>
      </c>
      <c r="C172" s="104">
        <v>73071900</v>
      </c>
      <c r="D172" s="105" t="s">
        <v>535</v>
      </c>
      <c r="E172" s="106">
        <v>120</v>
      </c>
      <c r="F172" s="102">
        <v>1</v>
      </c>
      <c r="G172" s="102" t="s">
        <v>137</v>
      </c>
      <c r="H172" s="105" t="s">
        <v>152</v>
      </c>
      <c r="I172" s="107">
        <v>9.6</v>
      </c>
      <c r="J172" s="108">
        <f t="shared" si="17"/>
        <v>9.6</v>
      </c>
      <c r="K172" s="109">
        <v>120</v>
      </c>
      <c r="L172" s="110">
        <f t="shared" si="23"/>
        <v>5.5555555555555552E-2</v>
      </c>
      <c r="M172" s="107">
        <f t="shared" si="18"/>
        <v>0.53333333333333333</v>
      </c>
      <c r="N172" s="107">
        <f>IFERROR(VLOOKUP(B172,Custo_MI_Infra!B:E,3,FALSE),0)</f>
        <v>0</v>
      </c>
      <c r="O172" s="107">
        <f t="shared" si="19"/>
        <v>0</v>
      </c>
      <c r="P172" s="107">
        <f t="shared" si="20"/>
        <v>0</v>
      </c>
    </row>
    <row r="173" spans="1:16" s="73" customFormat="1" ht="15" customHeight="1">
      <c r="A173" s="102">
        <v>746</v>
      </c>
      <c r="B173" s="103" t="s">
        <v>529</v>
      </c>
      <c r="C173" s="104">
        <v>73071900</v>
      </c>
      <c r="D173" s="105" t="s">
        <v>536</v>
      </c>
      <c r="E173" s="106">
        <v>90</v>
      </c>
      <c r="F173" s="102">
        <v>1</v>
      </c>
      <c r="G173" s="102" t="s">
        <v>137</v>
      </c>
      <c r="H173" s="105" t="s">
        <v>152</v>
      </c>
      <c r="I173" s="107">
        <v>7.1</v>
      </c>
      <c r="J173" s="108">
        <f t="shared" si="17"/>
        <v>7.1</v>
      </c>
      <c r="K173" s="109">
        <v>90</v>
      </c>
      <c r="L173" s="110">
        <f t="shared" si="23"/>
        <v>5.5555555555555552E-2</v>
      </c>
      <c r="M173" s="107">
        <f t="shared" si="18"/>
        <v>0.39444444444444438</v>
      </c>
      <c r="N173" s="107">
        <f>IFERROR(VLOOKUP(B173,Custo_MI_Infra!B:E,3,FALSE),0)</f>
        <v>0</v>
      </c>
      <c r="O173" s="107">
        <f t="shared" si="19"/>
        <v>0</v>
      </c>
      <c r="P173" s="107">
        <f t="shared" si="20"/>
        <v>0</v>
      </c>
    </row>
    <row r="174" spans="1:16" s="73" customFormat="1" ht="15" customHeight="1">
      <c r="A174" s="102">
        <v>3388</v>
      </c>
      <c r="B174" s="103" t="s">
        <v>529</v>
      </c>
      <c r="C174" s="104">
        <v>73071900</v>
      </c>
      <c r="D174" s="105" t="s">
        <v>537</v>
      </c>
      <c r="E174" s="106">
        <v>180</v>
      </c>
      <c r="F174" s="102">
        <v>1</v>
      </c>
      <c r="G174" s="102" t="s">
        <v>137</v>
      </c>
      <c r="H174" s="105" t="s">
        <v>152</v>
      </c>
      <c r="I174" s="107">
        <v>16.7</v>
      </c>
      <c r="J174" s="108">
        <f t="shared" si="17"/>
        <v>16.7</v>
      </c>
      <c r="K174" s="109">
        <v>180</v>
      </c>
      <c r="L174" s="110">
        <f t="shared" si="23"/>
        <v>5.5555555555555552E-2</v>
      </c>
      <c r="M174" s="107">
        <f t="shared" si="18"/>
        <v>0.9277777777777777</v>
      </c>
      <c r="N174" s="107">
        <f>IFERROR(VLOOKUP(B174,Custo_MI_Infra!B:E,3,FALSE),0)</f>
        <v>0</v>
      </c>
      <c r="O174" s="107">
        <f t="shared" si="19"/>
        <v>0</v>
      </c>
      <c r="P174" s="107">
        <f t="shared" si="20"/>
        <v>0</v>
      </c>
    </row>
    <row r="175" spans="1:16" s="73" customFormat="1" ht="15" customHeight="1">
      <c r="A175" s="102">
        <v>3667</v>
      </c>
      <c r="B175" s="103" t="s">
        <v>529</v>
      </c>
      <c r="C175" s="104">
        <v>73071900</v>
      </c>
      <c r="D175" s="105" t="s">
        <v>538</v>
      </c>
      <c r="E175" s="106">
        <v>270</v>
      </c>
      <c r="F175" s="102">
        <v>1</v>
      </c>
      <c r="G175" s="102" t="s">
        <v>137</v>
      </c>
      <c r="H175" s="105" t="s">
        <v>152</v>
      </c>
      <c r="I175" s="107">
        <v>4.5</v>
      </c>
      <c r="J175" s="108">
        <f t="shared" si="17"/>
        <v>4.5</v>
      </c>
      <c r="K175" s="109">
        <v>270</v>
      </c>
      <c r="L175" s="110">
        <f t="shared" si="23"/>
        <v>5.5555555555555552E-2</v>
      </c>
      <c r="M175" s="107">
        <f t="shared" si="18"/>
        <v>0.25</v>
      </c>
      <c r="N175" s="107">
        <f>IFERROR(VLOOKUP(B175,Custo_MI_Infra!B:E,3,FALSE),0)</f>
        <v>0</v>
      </c>
      <c r="O175" s="107">
        <f t="shared" si="19"/>
        <v>0</v>
      </c>
      <c r="P175" s="107">
        <f t="shared" si="20"/>
        <v>0</v>
      </c>
    </row>
    <row r="176" spans="1:16" s="73" customFormat="1" ht="15" customHeight="1">
      <c r="A176" s="102">
        <v>4308</v>
      </c>
      <c r="B176" s="103" t="s">
        <v>529</v>
      </c>
      <c r="C176" s="104">
        <v>73071900</v>
      </c>
      <c r="D176" s="105" t="s">
        <v>539</v>
      </c>
      <c r="E176" s="106">
        <v>240</v>
      </c>
      <c r="F176" s="102">
        <v>1</v>
      </c>
      <c r="G176" s="102" t="s">
        <v>137</v>
      </c>
      <c r="H176" s="105" t="s">
        <v>152</v>
      </c>
      <c r="I176" s="107">
        <v>5.6</v>
      </c>
      <c r="J176" s="108">
        <f t="shared" si="17"/>
        <v>5.6</v>
      </c>
      <c r="K176" s="109">
        <v>240</v>
      </c>
      <c r="L176" s="110">
        <f t="shared" si="23"/>
        <v>5.5555555555555552E-2</v>
      </c>
      <c r="M176" s="107">
        <f t="shared" si="18"/>
        <v>0.31111111111111106</v>
      </c>
      <c r="N176" s="107">
        <f>IFERROR(VLOOKUP(B176,Custo_MI_Infra!B:E,3,FALSE),0)</f>
        <v>0</v>
      </c>
      <c r="O176" s="107">
        <f t="shared" si="19"/>
        <v>0</v>
      </c>
      <c r="P176" s="107">
        <f t="shared" si="20"/>
        <v>0</v>
      </c>
    </row>
    <row r="177" spans="1:16" s="73" customFormat="1" ht="15" customHeight="1">
      <c r="A177" s="102">
        <v>4093</v>
      </c>
      <c r="B177" s="103" t="s">
        <v>529</v>
      </c>
      <c r="C177" s="104">
        <v>73071900</v>
      </c>
      <c r="D177" s="105" t="s">
        <v>540</v>
      </c>
      <c r="E177" s="106">
        <v>240</v>
      </c>
      <c r="F177" s="102">
        <v>1</v>
      </c>
      <c r="G177" s="102" t="s">
        <v>137</v>
      </c>
      <c r="H177" s="105" t="s">
        <v>152</v>
      </c>
      <c r="I177" s="107">
        <v>5.0999999999999996</v>
      </c>
      <c r="J177" s="108">
        <f t="shared" si="17"/>
        <v>5.0999999999999996</v>
      </c>
      <c r="K177" s="109">
        <v>240</v>
      </c>
      <c r="L177" s="110">
        <f t="shared" si="23"/>
        <v>5.5555555555555552E-2</v>
      </c>
      <c r="M177" s="107">
        <f t="shared" si="18"/>
        <v>0.28333333333333327</v>
      </c>
      <c r="N177" s="107">
        <f>IFERROR(VLOOKUP(B177,Custo_MI_Infra!B:E,3,FALSE),0)</f>
        <v>0</v>
      </c>
      <c r="O177" s="107">
        <f t="shared" si="19"/>
        <v>0</v>
      </c>
      <c r="P177" s="107">
        <f t="shared" si="20"/>
        <v>0</v>
      </c>
    </row>
    <row r="178" spans="1:16" s="73" customFormat="1" ht="15" customHeight="1">
      <c r="A178" s="102">
        <v>2938</v>
      </c>
      <c r="B178" s="103" t="s">
        <v>529</v>
      </c>
      <c r="C178" s="104">
        <v>73071990</v>
      </c>
      <c r="D178" s="105" t="s">
        <v>541</v>
      </c>
      <c r="E178" s="106">
        <v>280</v>
      </c>
      <c r="F178" s="102">
        <v>1</v>
      </c>
      <c r="G178" s="102" t="s">
        <v>137</v>
      </c>
      <c r="H178" s="105" t="s">
        <v>152</v>
      </c>
      <c r="I178" s="107">
        <v>5.8</v>
      </c>
      <c r="J178" s="108">
        <f t="shared" si="17"/>
        <v>5.8</v>
      </c>
      <c r="K178" s="109">
        <v>280</v>
      </c>
      <c r="L178" s="110">
        <f t="shared" si="23"/>
        <v>5.5555555555555552E-2</v>
      </c>
      <c r="M178" s="107">
        <f t="shared" si="18"/>
        <v>0.32222222222222219</v>
      </c>
      <c r="N178" s="107">
        <f>IFERROR(VLOOKUP(B178,Custo_MI_Infra!B:E,3,FALSE),0)</f>
        <v>0</v>
      </c>
      <c r="O178" s="107">
        <f t="shared" si="19"/>
        <v>0</v>
      </c>
      <c r="P178" s="107">
        <f t="shared" si="20"/>
        <v>0</v>
      </c>
    </row>
    <row r="179" spans="1:16" s="73" customFormat="1" ht="15" customHeight="1">
      <c r="A179" s="102">
        <v>3274</v>
      </c>
      <c r="B179" s="103" t="s">
        <v>529</v>
      </c>
      <c r="C179" s="104">
        <v>73181500</v>
      </c>
      <c r="D179" s="105" t="s">
        <v>265</v>
      </c>
      <c r="E179" s="106" t="s">
        <v>266</v>
      </c>
      <c r="F179" s="102">
        <v>4</v>
      </c>
      <c r="G179" s="102" t="s">
        <v>137</v>
      </c>
      <c r="H179" s="105" t="s">
        <v>256</v>
      </c>
      <c r="I179" s="107">
        <v>0.06</v>
      </c>
      <c r="J179" s="108">
        <f t="shared" si="17"/>
        <v>0.24</v>
      </c>
      <c r="K179" s="109" t="s">
        <v>266</v>
      </c>
      <c r="L179" s="110">
        <f t="shared" si="23"/>
        <v>0.22222222222222221</v>
      </c>
      <c r="M179" s="107">
        <f t="shared" si="18"/>
        <v>1.3333333333333332E-2</v>
      </c>
      <c r="N179" s="107">
        <f>IFERROR(VLOOKUP(B179,Custo_MI_Infra!B:E,3,FALSE),0)</f>
        <v>0</v>
      </c>
      <c r="O179" s="107">
        <f t="shared" si="19"/>
        <v>0</v>
      </c>
      <c r="P179" s="107">
        <f t="shared" si="20"/>
        <v>0</v>
      </c>
    </row>
    <row r="180" spans="1:16" s="73" customFormat="1" ht="15" customHeight="1">
      <c r="A180" s="102">
        <v>5049</v>
      </c>
      <c r="B180" s="103" t="s">
        <v>529</v>
      </c>
      <c r="C180" s="104">
        <v>73071100</v>
      </c>
      <c r="D180" s="105" t="s">
        <v>542</v>
      </c>
      <c r="E180" s="106">
        <v>301</v>
      </c>
      <c r="F180" s="102">
        <v>1</v>
      </c>
      <c r="G180" s="102" t="s">
        <v>137</v>
      </c>
      <c r="H180" s="105" t="s">
        <v>152</v>
      </c>
      <c r="I180" s="107">
        <v>3.5</v>
      </c>
      <c r="J180" s="108">
        <f t="shared" si="17"/>
        <v>3.5</v>
      </c>
      <c r="K180" s="109">
        <v>301</v>
      </c>
      <c r="L180" s="110">
        <f t="shared" si="23"/>
        <v>5.5555555555555552E-2</v>
      </c>
      <c r="M180" s="107">
        <f t="shared" si="18"/>
        <v>0.19444444444444442</v>
      </c>
      <c r="N180" s="107">
        <f>IFERROR(VLOOKUP(B180,Custo_MI_Infra!B:E,3,FALSE),0)</f>
        <v>0</v>
      </c>
      <c r="O180" s="107">
        <f t="shared" si="19"/>
        <v>0</v>
      </c>
      <c r="P180" s="107">
        <f t="shared" si="20"/>
        <v>0</v>
      </c>
    </row>
    <row r="181" spans="1:16" s="73" customFormat="1" ht="15" customHeight="1">
      <c r="A181" s="102">
        <v>5045</v>
      </c>
      <c r="B181" s="103" t="s">
        <v>529</v>
      </c>
      <c r="C181" s="104">
        <v>73071100</v>
      </c>
      <c r="D181" s="105" t="s">
        <v>543</v>
      </c>
      <c r="E181" s="106">
        <v>300</v>
      </c>
      <c r="F181" s="102">
        <v>1</v>
      </c>
      <c r="G181" s="102" t="s">
        <v>137</v>
      </c>
      <c r="H181" s="105" t="s">
        <v>152</v>
      </c>
      <c r="I181" s="107">
        <v>3.5</v>
      </c>
      <c r="J181" s="108">
        <f t="shared" si="17"/>
        <v>3.5</v>
      </c>
      <c r="K181" s="109">
        <v>300</v>
      </c>
      <c r="L181" s="110">
        <f t="shared" si="23"/>
        <v>5.5555555555555552E-2</v>
      </c>
      <c r="M181" s="107">
        <f t="shared" si="18"/>
        <v>0.19444444444444442</v>
      </c>
      <c r="N181" s="107">
        <f>IFERROR(VLOOKUP(B181,Custo_MI_Infra!B:E,3,FALSE),0)</f>
        <v>0</v>
      </c>
      <c r="O181" s="107">
        <f t="shared" si="19"/>
        <v>0</v>
      </c>
      <c r="P181" s="107">
        <f t="shared" si="20"/>
        <v>0</v>
      </c>
    </row>
    <row r="182" spans="1:16" s="73" customFormat="1" ht="15" customHeight="1">
      <c r="A182" s="102">
        <v>3487</v>
      </c>
      <c r="B182" s="103" t="s">
        <v>529</v>
      </c>
      <c r="C182" s="104">
        <v>0</v>
      </c>
      <c r="D182" s="105" t="s">
        <v>544</v>
      </c>
      <c r="E182" s="106" t="s">
        <v>545</v>
      </c>
      <c r="F182" s="102">
        <v>1</v>
      </c>
      <c r="G182" s="102" t="s">
        <v>137</v>
      </c>
      <c r="H182" s="105" t="s">
        <v>152</v>
      </c>
      <c r="I182" s="107">
        <v>11</v>
      </c>
      <c r="J182" s="108">
        <f t="shared" si="17"/>
        <v>11</v>
      </c>
      <c r="K182" s="109" t="s">
        <v>545</v>
      </c>
      <c r="L182" s="110">
        <f t="shared" si="23"/>
        <v>5.5555555555555552E-2</v>
      </c>
      <c r="M182" s="107">
        <f t="shared" si="18"/>
        <v>0.61111111111111105</v>
      </c>
      <c r="N182" s="107">
        <f>IFERROR(VLOOKUP(B182,Custo_MI_Infra!B:E,3,FALSE),0)</f>
        <v>0</v>
      </c>
      <c r="O182" s="107">
        <f t="shared" si="19"/>
        <v>0</v>
      </c>
      <c r="P182" s="107">
        <f t="shared" si="20"/>
        <v>0</v>
      </c>
    </row>
    <row r="183" spans="1:16" s="73" customFormat="1" ht="15" customHeight="1">
      <c r="A183" s="102">
        <v>4576</v>
      </c>
      <c r="B183" s="103" t="s">
        <v>529</v>
      </c>
      <c r="C183" s="104">
        <v>73071100</v>
      </c>
      <c r="D183" s="105" t="s">
        <v>546</v>
      </c>
      <c r="E183" s="106">
        <v>130</v>
      </c>
      <c r="F183" s="102">
        <v>1</v>
      </c>
      <c r="G183" s="102" t="s">
        <v>137</v>
      </c>
      <c r="H183" s="105" t="s">
        <v>152</v>
      </c>
      <c r="I183" s="107">
        <v>10</v>
      </c>
      <c r="J183" s="108">
        <f t="shared" si="17"/>
        <v>10</v>
      </c>
      <c r="K183" s="109">
        <v>130</v>
      </c>
      <c r="L183" s="110">
        <f t="shared" si="23"/>
        <v>5.5555555555555552E-2</v>
      </c>
      <c r="M183" s="107">
        <f t="shared" si="18"/>
        <v>0.55555555555555558</v>
      </c>
      <c r="N183" s="107">
        <f>IFERROR(VLOOKUP(B183,Custo_MI_Infra!B:E,3,FALSE),0)</f>
        <v>0</v>
      </c>
      <c r="O183" s="107">
        <f t="shared" si="19"/>
        <v>0</v>
      </c>
      <c r="P183" s="107">
        <f t="shared" si="20"/>
        <v>0</v>
      </c>
    </row>
    <row r="184" spans="1:16" s="73" customFormat="1" ht="27" customHeight="1">
      <c r="A184" s="102">
        <v>2416</v>
      </c>
      <c r="B184" s="103" t="s">
        <v>529</v>
      </c>
      <c r="C184" s="104">
        <v>73063000</v>
      </c>
      <c r="D184" s="105" t="s">
        <v>547</v>
      </c>
      <c r="E184" s="106">
        <v>0</v>
      </c>
      <c r="F184" s="63">
        <v>3</v>
      </c>
      <c r="G184" s="102" t="s">
        <v>232</v>
      </c>
      <c r="H184" s="105" t="s">
        <v>233</v>
      </c>
      <c r="I184" s="107">
        <v>103</v>
      </c>
      <c r="J184" s="108">
        <f t="shared" si="17"/>
        <v>309</v>
      </c>
      <c r="K184" s="109" t="s">
        <v>548</v>
      </c>
      <c r="L184" s="110">
        <f t="shared" si="23"/>
        <v>0.16666666666666666</v>
      </c>
      <c r="M184" s="107">
        <f t="shared" si="18"/>
        <v>17.166666666666664</v>
      </c>
      <c r="N184" s="107">
        <f>IFERROR(VLOOKUP(B184,Custo_MI_Infra!B:E,3,FALSE),0)</f>
        <v>0</v>
      </c>
      <c r="O184" s="107">
        <f t="shared" si="19"/>
        <v>0</v>
      </c>
      <c r="P184" s="107">
        <f t="shared" si="20"/>
        <v>0</v>
      </c>
    </row>
    <row r="185" spans="1:16" s="73" customFormat="1" ht="15" customHeight="1">
      <c r="A185" s="102">
        <v>1819</v>
      </c>
      <c r="B185" s="103" t="s">
        <v>529</v>
      </c>
      <c r="C185" s="104">
        <v>73071100</v>
      </c>
      <c r="D185" s="105" t="s">
        <v>549</v>
      </c>
      <c r="E185" s="106">
        <v>342</v>
      </c>
      <c r="F185" s="102">
        <v>1</v>
      </c>
      <c r="G185" s="102" t="s">
        <v>137</v>
      </c>
      <c r="H185" s="105" t="s">
        <v>152</v>
      </c>
      <c r="I185" s="107">
        <v>45</v>
      </c>
      <c r="J185" s="108">
        <f t="shared" si="17"/>
        <v>45</v>
      </c>
      <c r="K185" s="109">
        <v>342</v>
      </c>
      <c r="L185" s="110">
        <f t="shared" si="23"/>
        <v>5.5555555555555552E-2</v>
      </c>
      <c r="M185" s="107">
        <f t="shared" si="18"/>
        <v>2.5</v>
      </c>
      <c r="N185" s="107">
        <f>IFERROR(VLOOKUP(B185,Custo_MI_Infra!B:E,3,FALSE),0)</f>
        <v>0</v>
      </c>
      <c r="O185" s="107">
        <f t="shared" si="19"/>
        <v>0</v>
      </c>
      <c r="P185" s="107">
        <f t="shared" si="20"/>
        <v>0</v>
      </c>
    </row>
    <row r="186" spans="1:16" s="73" customFormat="1" ht="27" customHeight="1">
      <c r="A186" s="102">
        <v>1085</v>
      </c>
      <c r="B186" s="103" t="s">
        <v>529</v>
      </c>
      <c r="C186" s="104">
        <v>84818095</v>
      </c>
      <c r="D186" s="105" t="s">
        <v>550</v>
      </c>
      <c r="E186" s="106">
        <v>0</v>
      </c>
      <c r="F186" s="102">
        <v>1</v>
      </c>
      <c r="G186" s="102" t="s">
        <v>137</v>
      </c>
      <c r="H186" s="105" t="s">
        <v>304</v>
      </c>
      <c r="I186" s="107">
        <v>48</v>
      </c>
      <c r="J186" s="108">
        <f t="shared" si="17"/>
        <v>48</v>
      </c>
      <c r="K186" s="109" t="s">
        <v>551</v>
      </c>
      <c r="L186" s="110">
        <f t="shared" si="23"/>
        <v>5.5555555555555552E-2</v>
      </c>
      <c r="M186" s="107">
        <f t="shared" si="18"/>
        <v>2.6666666666666665</v>
      </c>
      <c r="N186" s="107">
        <f>IFERROR(VLOOKUP(B186,Custo_MI_Infra!B:E,3,FALSE),0)</f>
        <v>0</v>
      </c>
      <c r="O186" s="107">
        <f t="shared" si="19"/>
        <v>0</v>
      </c>
      <c r="P186" s="107">
        <f t="shared" si="20"/>
        <v>0</v>
      </c>
    </row>
    <row r="187" spans="1:16" s="73" customFormat="1" ht="15" customHeight="1">
      <c r="A187" s="64">
        <v>117</v>
      </c>
      <c r="B187" s="65" t="s">
        <v>552</v>
      </c>
      <c r="C187" s="66">
        <v>73072900</v>
      </c>
      <c r="D187" s="67" t="s">
        <v>553</v>
      </c>
      <c r="E187" s="68" t="s">
        <v>309</v>
      </c>
      <c r="F187" s="64">
        <v>6</v>
      </c>
      <c r="G187" s="64" t="s">
        <v>137</v>
      </c>
      <c r="H187" s="67" t="s">
        <v>256</v>
      </c>
      <c r="I187" s="69">
        <v>0.95</v>
      </c>
      <c r="J187" s="70">
        <f t="shared" si="17"/>
        <v>5.6999999999999993</v>
      </c>
      <c r="K187" s="71" t="s">
        <v>309</v>
      </c>
      <c r="L187" s="72">
        <f>F187/($F$208*6)</f>
        <v>0.33333333333333331</v>
      </c>
      <c r="M187" s="69">
        <f t="shared" si="18"/>
        <v>0.31666666666666665</v>
      </c>
      <c r="N187" s="69">
        <f>IFERROR(VLOOKUP(B187,Custo_MI_Infra!B:E,3,FALSE),0)</f>
        <v>0</v>
      </c>
      <c r="O187" s="69">
        <f t="shared" si="19"/>
        <v>0</v>
      </c>
      <c r="P187" s="69">
        <f t="shared" si="20"/>
        <v>0</v>
      </c>
    </row>
    <row r="188" spans="1:16" s="73" customFormat="1" ht="15" customHeight="1">
      <c r="A188" s="64">
        <v>5091</v>
      </c>
      <c r="B188" s="65" t="s">
        <v>552</v>
      </c>
      <c r="C188" s="66">
        <v>73181500</v>
      </c>
      <c r="D188" s="67" t="s">
        <v>323</v>
      </c>
      <c r="E188" s="68" t="s">
        <v>324</v>
      </c>
      <c r="F188" s="64">
        <v>12</v>
      </c>
      <c r="G188" s="64" t="s">
        <v>137</v>
      </c>
      <c r="H188" s="67" t="s">
        <v>256</v>
      </c>
      <c r="I188" s="69">
        <v>0.04</v>
      </c>
      <c r="J188" s="70">
        <f t="shared" si="17"/>
        <v>0.48</v>
      </c>
      <c r="K188" s="71" t="s">
        <v>324</v>
      </c>
      <c r="L188" s="72">
        <f t="shared" ref="L188:L210" si="24">F188/($F$208*6)</f>
        <v>0.66666666666666663</v>
      </c>
      <c r="M188" s="69">
        <f t="shared" si="18"/>
        <v>2.6666666666666665E-2</v>
      </c>
      <c r="N188" s="69">
        <f>IFERROR(VLOOKUP(B188,Custo_MI_Infra!B:E,3,FALSE),0)</f>
        <v>0</v>
      </c>
      <c r="O188" s="69">
        <f t="shared" si="19"/>
        <v>0</v>
      </c>
      <c r="P188" s="69">
        <f t="shared" si="20"/>
        <v>0</v>
      </c>
    </row>
    <row r="189" spans="1:16" s="73" customFormat="1" ht="15" customHeight="1">
      <c r="A189" s="64">
        <v>1116</v>
      </c>
      <c r="B189" s="65" t="s">
        <v>552</v>
      </c>
      <c r="C189" s="66">
        <v>73071910</v>
      </c>
      <c r="D189" s="67" t="s">
        <v>554</v>
      </c>
      <c r="E189" s="68">
        <v>241</v>
      </c>
      <c r="F189" s="64">
        <v>1</v>
      </c>
      <c r="G189" s="64" t="s">
        <v>137</v>
      </c>
      <c r="H189" s="67" t="s">
        <v>152</v>
      </c>
      <c r="I189" s="69">
        <v>2.4</v>
      </c>
      <c r="J189" s="70">
        <f t="shared" si="17"/>
        <v>2.4</v>
      </c>
      <c r="K189" s="71">
        <v>241</v>
      </c>
      <c r="L189" s="72">
        <f t="shared" si="24"/>
        <v>5.5555555555555552E-2</v>
      </c>
      <c r="M189" s="69">
        <f t="shared" si="18"/>
        <v>0.13333333333333333</v>
      </c>
      <c r="N189" s="69">
        <f>IFERROR(VLOOKUP(B189,Custo_MI_Infra!B:E,3,FALSE),0)</f>
        <v>0</v>
      </c>
      <c r="O189" s="69">
        <f t="shared" si="19"/>
        <v>0</v>
      </c>
      <c r="P189" s="69">
        <f t="shared" si="20"/>
        <v>0</v>
      </c>
    </row>
    <row r="190" spans="1:16" s="73" customFormat="1" ht="15" customHeight="1">
      <c r="A190" s="64">
        <v>2576</v>
      </c>
      <c r="B190" s="65" t="s">
        <v>552</v>
      </c>
      <c r="C190" s="66">
        <v>73071910</v>
      </c>
      <c r="D190" s="67" t="s">
        <v>555</v>
      </c>
      <c r="E190" s="68">
        <v>241</v>
      </c>
      <c r="F190" s="64">
        <v>1</v>
      </c>
      <c r="G190" s="64" t="s">
        <v>137</v>
      </c>
      <c r="H190" s="67" t="s">
        <v>152</v>
      </c>
      <c r="I190" s="69">
        <v>1.9</v>
      </c>
      <c r="J190" s="70">
        <f t="shared" si="17"/>
        <v>1.9</v>
      </c>
      <c r="K190" s="71">
        <v>241</v>
      </c>
      <c r="L190" s="72">
        <f t="shared" si="24"/>
        <v>5.5555555555555552E-2</v>
      </c>
      <c r="M190" s="69">
        <f t="shared" si="18"/>
        <v>0.10555555555555554</v>
      </c>
      <c r="N190" s="69">
        <f>IFERROR(VLOOKUP(B190,Custo_MI_Infra!B:E,3,FALSE),0)</f>
        <v>0</v>
      </c>
      <c r="O190" s="69">
        <f t="shared" si="19"/>
        <v>0</v>
      </c>
      <c r="P190" s="69">
        <f t="shared" si="20"/>
        <v>0</v>
      </c>
    </row>
    <row r="191" spans="1:16" s="73" customFormat="1" ht="15" customHeight="1">
      <c r="A191" s="64">
        <v>185</v>
      </c>
      <c r="B191" s="65" t="s">
        <v>552</v>
      </c>
      <c r="C191" s="66">
        <v>73071910</v>
      </c>
      <c r="D191" s="67" t="s">
        <v>156</v>
      </c>
      <c r="E191" s="68">
        <v>290</v>
      </c>
      <c r="F191" s="64">
        <v>1</v>
      </c>
      <c r="G191" s="64" t="s">
        <v>137</v>
      </c>
      <c r="H191" s="67" t="s">
        <v>152</v>
      </c>
      <c r="I191" s="69">
        <v>1.97</v>
      </c>
      <c r="J191" s="70">
        <f t="shared" si="17"/>
        <v>1.97</v>
      </c>
      <c r="K191" s="71">
        <v>290</v>
      </c>
      <c r="L191" s="72">
        <f t="shared" si="24"/>
        <v>5.5555555555555552E-2</v>
      </c>
      <c r="M191" s="69">
        <f t="shared" si="18"/>
        <v>0.10944444444444444</v>
      </c>
      <c r="N191" s="69">
        <f>IFERROR(VLOOKUP(B191,Custo_MI_Infra!B:E,3,FALSE),0)</f>
        <v>0</v>
      </c>
      <c r="O191" s="69">
        <f t="shared" si="19"/>
        <v>0</v>
      </c>
      <c r="P191" s="69">
        <f t="shared" si="20"/>
        <v>0</v>
      </c>
    </row>
    <row r="192" spans="1:16" s="73" customFormat="1" ht="15" customHeight="1">
      <c r="A192" s="64">
        <v>143</v>
      </c>
      <c r="B192" s="65" t="s">
        <v>552</v>
      </c>
      <c r="C192" s="66">
        <v>73071910</v>
      </c>
      <c r="D192" s="67" t="s">
        <v>556</v>
      </c>
      <c r="E192" s="68">
        <v>291</v>
      </c>
      <c r="F192" s="64">
        <v>1</v>
      </c>
      <c r="G192" s="64" t="s">
        <v>137</v>
      </c>
      <c r="H192" s="67" t="s">
        <v>152</v>
      </c>
      <c r="I192" s="69">
        <v>1.97</v>
      </c>
      <c r="J192" s="70">
        <f t="shared" si="17"/>
        <v>1.97</v>
      </c>
      <c r="K192" s="71">
        <v>291</v>
      </c>
      <c r="L192" s="72">
        <f t="shared" si="24"/>
        <v>5.5555555555555552E-2</v>
      </c>
      <c r="M192" s="69">
        <f t="shared" si="18"/>
        <v>0.10944444444444444</v>
      </c>
      <c r="N192" s="69">
        <f>IFERROR(VLOOKUP(B192,Custo_MI_Infra!B:E,3,FALSE),0)</f>
        <v>0</v>
      </c>
      <c r="O192" s="69">
        <f t="shared" si="19"/>
        <v>0</v>
      </c>
      <c r="P192" s="69">
        <f t="shared" si="20"/>
        <v>0</v>
      </c>
    </row>
    <row r="193" spans="1:16" s="73" customFormat="1" ht="15" customHeight="1">
      <c r="A193" s="64">
        <v>2805</v>
      </c>
      <c r="B193" s="65" t="s">
        <v>552</v>
      </c>
      <c r="C193" s="66">
        <v>72162100</v>
      </c>
      <c r="D193" s="67" t="s">
        <v>354</v>
      </c>
      <c r="E193" s="68">
        <v>0</v>
      </c>
      <c r="F193" s="64">
        <f>0.86*F208*6</f>
        <v>15.48</v>
      </c>
      <c r="G193" s="64" t="s">
        <v>175</v>
      </c>
      <c r="H193" s="67" t="s">
        <v>176</v>
      </c>
      <c r="I193" s="69">
        <v>4.22</v>
      </c>
      <c r="J193" s="70">
        <f t="shared" si="17"/>
        <v>65.325599999999994</v>
      </c>
      <c r="K193" s="71" t="s">
        <v>177</v>
      </c>
      <c r="L193" s="72">
        <f t="shared" si="24"/>
        <v>0.86</v>
      </c>
      <c r="M193" s="69">
        <f t="shared" si="18"/>
        <v>3.6291999999999995</v>
      </c>
      <c r="N193" s="69">
        <f>IFERROR(VLOOKUP(B193,Custo_MI_Infra!B:E,3,FALSE),0)</f>
        <v>0</v>
      </c>
      <c r="O193" s="69">
        <f t="shared" si="19"/>
        <v>0</v>
      </c>
      <c r="P193" s="69">
        <f t="shared" si="20"/>
        <v>0</v>
      </c>
    </row>
    <row r="194" spans="1:16" s="73" customFormat="1" ht="15" customHeight="1">
      <c r="A194" s="64">
        <v>752</v>
      </c>
      <c r="B194" s="65" t="s">
        <v>552</v>
      </c>
      <c r="C194" s="66">
        <v>73071900</v>
      </c>
      <c r="D194" s="67" t="s">
        <v>229</v>
      </c>
      <c r="E194" s="68">
        <v>120</v>
      </c>
      <c r="F194" s="64">
        <v>1</v>
      </c>
      <c r="G194" s="64" t="s">
        <v>137</v>
      </c>
      <c r="H194" s="67" t="s">
        <v>152</v>
      </c>
      <c r="I194" s="69">
        <v>4.5</v>
      </c>
      <c r="J194" s="70">
        <f t="shared" si="17"/>
        <v>4.5</v>
      </c>
      <c r="K194" s="71">
        <v>120</v>
      </c>
      <c r="L194" s="72">
        <f t="shared" si="24"/>
        <v>5.5555555555555552E-2</v>
      </c>
      <c r="M194" s="69">
        <f t="shared" si="18"/>
        <v>0.25</v>
      </c>
      <c r="N194" s="69">
        <f>IFERROR(VLOOKUP(B194,Custo_MI_Infra!B:E,3,FALSE),0)</f>
        <v>0</v>
      </c>
      <c r="O194" s="69">
        <f t="shared" si="19"/>
        <v>0</v>
      </c>
      <c r="P194" s="69">
        <f t="shared" si="20"/>
        <v>0</v>
      </c>
    </row>
    <row r="195" spans="1:16" s="73" customFormat="1" ht="15" customHeight="1">
      <c r="A195" s="64">
        <v>2079</v>
      </c>
      <c r="B195" s="65" t="s">
        <v>552</v>
      </c>
      <c r="C195" s="66">
        <v>73071900</v>
      </c>
      <c r="D195" s="67" t="s">
        <v>230</v>
      </c>
      <c r="E195" s="68">
        <v>90</v>
      </c>
      <c r="F195" s="64">
        <v>1</v>
      </c>
      <c r="G195" s="64" t="s">
        <v>137</v>
      </c>
      <c r="H195" s="67" t="s">
        <v>152</v>
      </c>
      <c r="I195" s="69">
        <v>2.7</v>
      </c>
      <c r="J195" s="70">
        <f t="shared" ref="J195:J258" si="25">F195*I195</f>
        <v>2.7</v>
      </c>
      <c r="K195" s="71">
        <v>90</v>
      </c>
      <c r="L195" s="72">
        <f t="shared" si="24"/>
        <v>5.5555555555555552E-2</v>
      </c>
      <c r="M195" s="69">
        <f t="shared" si="18"/>
        <v>0.15</v>
      </c>
      <c r="N195" s="69">
        <f>IFERROR(VLOOKUP(B195,Custo_MI_Infra!B:E,3,FALSE),0)</f>
        <v>0</v>
      </c>
      <c r="O195" s="69">
        <f t="shared" si="19"/>
        <v>0</v>
      </c>
      <c r="P195" s="69">
        <f t="shared" si="20"/>
        <v>0</v>
      </c>
    </row>
    <row r="196" spans="1:16" s="73" customFormat="1" ht="15" customHeight="1">
      <c r="A196" s="64">
        <v>2862</v>
      </c>
      <c r="B196" s="65" t="s">
        <v>552</v>
      </c>
      <c r="C196" s="66">
        <v>73071900</v>
      </c>
      <c r="D196" s="67" t="s">
        <v>557</v>
      </c>
      <c r="E196" s="68">
        <v>180</v>
      </c>
      <c r="F196" s="64">
        <v>1</v>
      </c>
      <c r="G196" s="64" t="s">
        <v>137</v>
      </c>
      <c r="H196" s="67" t="s">
        <v>152</v>
      </c>
      <c r="I196" s="69">
        <v>10.8</v>
      </c>
      <c r="J196" s="70">
        <f t="shared" si="25"/>
        <v>10.8</v>
      </c>
      <c r="K196" s="71">
        <v>180</v>
      </c>
      <c r="L196" s="72">
        <f t="shared" si="24"/>
        <v>5.5555555555555552E-2</v>
      </c>
      <c r="M196" s="69">
        <f t="shared" ref="M196:M259" si="26">L196*I196</f>
        <v>0.6</v>
      </c>
      <c r="N196" s="69">
        <f>IFERROR(VLOOKUP(B196,Custo_MI_Infra!B:E,3,FALSE),0)</f>
        <v>0</v>
      </c>
      <c r="O196" s="69">
        <f t="shared" ref="O196:O259" si="27">N196*L196</f>
        <v>0</v>
      </c>
      <c r="P196" s="69">
        <f t="shared" ref="P196:P259" si="28">O196*I196</f>
        <v>0</v>
      </c>
    </row>
    <row r="197" spans="1:16" s="73" customFormat="1" ht="15" customHeight="1">
      <c r="A197" s="64">
        <v>2979</v>
      </c>
      <c r="B197" s="65" t="s">
        <v>552</v>
      </c>
      <c r="C197" s="66">
        <v>73071910</v>
      </c>
      <c r="D197" s="67" t="s">
        <v>241</v>
      </c>
      <c r="E197" s="68">
        <v>270</v>
      </c>
      <c r="F197" s="64">
        <v>1</v>
      </c>
      <c r="G197" s="64" t="s">
        <v>137</v>
      </c>
      <c r="H197" s="67" t="s">
        <v>152</v>
      </c>
      <c r="I197" s="69">
        <v>2.8</v>
      </c>
      <c r="J197" s="70">
        <f t="shared" si="25"/>
        <v>2.8</v>
      </c>
      <c r="K197" s="71">
        <v>270</v>
      </c>
      <c r="L197" s="72">
        <f t="shared" si="24"/>
        <v>5.5555555555555552E-2</v>
      </c>
      <c r="M197" s="69">
        <f t="shared" si="26"/>
        <v>0.15555555555555553</v>
      </c>
      <c r="N197" s="69">
        <f>IFERROR(VLOOKUP(B197,Custo_MI_Infra!B:E,3,FALSE),0)</f>
        <v>0</v>
      </c>
      <c r="O197" s="69">
        <f t="shared" si="27"/>
        <v>0</v>
      </c>
      <c r="P197" s="69">
        <f t="shared" si="28"/>
        <v>0</v>
      </c>
    </row>
    <row r="198" spans="1:16" s="73" customFormat="1" ht="15" customHeight="1">
      <c r="A198" s="64">
        <v>2857</v>
      </c>
      <c r="B198" s="65" t="s">
        <v>552</v>
      </c>
      <c r="C198" s="66">
        <v>73071900</v>
      </c>
      <c r="D198" s="67" t="s">
        <v>558</v>
      </c>
      <c r="E198" s="68">
        <v>240</v>
      </c>
      <c r="F198" s="64">
        <v>1</v>
      </c>
      <c r="G198" s="64" t="s">
        <v>137</v>
      </c>
      <c r="H198" s="67" t="s">
        <v>152</v>
      </c>
      <c r="I198" s="69">
        <v>2.4</v>
      </c>
      <c r="J198" s="70">
        <f t="shared" si="25"/>
        <v>2.4</v>
      </c>
      <c r="K198" s="71">
        <v>240</v>
      </c>
      <c r="L198" s="72">
        <f t="shared" si="24"/>
        <v>5.5555555555555552E-2</v>
      </c>
      <c r="M198" s="69">
        <f t="shared" si="26"/>
        <v>0.13333333333333333</v>
      </c>
      <c r="N198" s="69">
        <f>IFERROR(VLOOKUP(B198,Custo_MI_Infra!B:E,3,FALSE),0)</f>
        <v>0</v>
      </c>
      <c r="O198" s="69">
        <f t="shared" si="27"/>
        <v>0</v>
      </c>
      <c r="P198" s="69">
        <f t="shared" si="28"/>
        <v>0</v>
      </c>
    </row>
    <row r="199" spans="1:16" s="73" customFormat="1" ht="15" customHeight="1">
      <c r="A199" s="64">
        <v>4861</v>
      </c>
      <c r="B199" s="65" t="s">
        <v>552</v>
      </c>
      <c r="C199" s="66">
        <v>73071900</v>
      </c>
      <c r="D199" s="67" t="s">
        <v>559</v>
      </c>
      <c r="E199" s="68">
        <v>240</v>
      </c>
      <c r="F199" s="64">
        <v>1</v>
      </c>
      <c r="G199" s="64" t="s">
        <v>137</v>
      </c>
      <c r="H199" s="67" t="s">
        <v>152</v>
      </c>
      <c r="I199" s="69">
        <v>2.2200000000000002</v>
      </c>
      <c r="J199" s="70">
        <f t="shared" si="25"/>
        <v>2.2200000000000002</v>
      </c>
      <c r="K199" s="71">
        <v>240</v>
      </c>
      <c r="L199" s="72">
        <f t="shared" si="24"/>
        <v>5.5555555555555552E-2</v>
      </c>
      <c r="M199" s="69">
        <f t="shared" si="26"/>
        <v>0.12333333333333334</v>
      </c>
      <c r="N199" s="69">
        <f>IFERROR(VLOOKUP(B199,Custo_MI_Infra!B:E,3,FALSE),0)</f>
        <v>0</v>
      </c>
      <c r="O199" s="69">
        <f t="shared" si="27"/>
        <v>0</v>
      </c>
      <c r="P199" s="69">
        <f t="shared" si="28"/>
        <v>0</v>
      </c>
    </row>
    <row r="200" spans="1:16" s="73" customFormat="1" ht="15" customHeight="1">
      <c r="A200" s="64">
        <v>1634</v>
      </c>
      <c r="B200" s="65" t="s">
        <v>552</v>
      </c>
      <c r="C200" s="66">
        <v>73071990</v>
      </c>
      <c r="D200" s="67" t="s">
        <v>560</v>
      </c>
      <c r="E200" s="68">
        <v>280</v>
      </c>
      <c r="F200" s="64">
        <v>1</v>
      </c>
      <c r="G200" s="64" t="s">
        <v>137</v>
      </c>
      <c r="H200" s="67" t="s">
        <v>152</v>
      </c>
      <c r="I200" s="69">
        <v>2.2999999999999998</v>
      </c>
      <c r="J200" s="70">
        <f t="shared" si="25"/>
        <v>2.2999999999999998</v>
      </c>
      <c r="K200" s="71">
        <v>280</v>
      </c>
      <c r="L200" s="72">
        <f t="shared" si="24"/>
        <v>5.5555555555555552E-2</v>
      </c>
      <c r="M200" s="69">
        <f t="shared" si="26"/>
        <v>0.12777777777777777</v>
      </c>
      <c r="N200" s="69">
        <f>IFERROR(VLOOKUP(B200,Custo_MI_Infra!B:E,3,FALSE),0)</f>
        <v>0</v>
      </c>
      <c r="O200" s="69">
        <f t="shared" si="27"/>
        <v>0</v>
      </c>
      <c r="P200" s="69">
        <f t="shared" si="28"/>
        <v>0</v>
      </c>
    </row>
    <row r="201" spans="1:16" s="73" customFormat="1" ht="15" customHeight="1">
      <c r="A201" s="64">
        <v>2996</v>
      </c>
      <c r="B201" s="65" t="s">
        <v>552</v>
      </c>
      <c r="C201" s="66">
        <v>73071900</v>
      </c>
      <c r="D201" s="67" t="s">
        <v>561</v>
      </c>
      <c r="E201" s="68">
        <v>245</v>
      </c>
      <c r="F201" s="64">
        <v>1</v>
      </c>
      <c r="G201" s="64" t="s">
        <v>137</v>
      </c>
      <c r="H201" s="67" t="s">
        <v>152</v>
      </c>
      <c r="I201" s="69">
        <v>2.8</v>
      </c>
      <c r="J201" s="70">
        <f t="shared" si="25"/>
        <v>2.8</v>
      </c>
      <c r="K201" s="71">
        <v>245</v>
      </c>
      <c r="L201" s="72">
        <f t="shared" si="24"/>
        <v>5.5555555555555552E-2</v>
      </c>
      <c r="M201" s="69">
        <f t="shared" si="26"/>
        <v>0.15555555555555553</v>
      </c>
      <c r="N201" s="69">
        <f>IFERROR(VLOOKUP(B201,Custo_MI_Infra!B:E,3,FALSE),0)</f>
        <v>0</v>
      </c>
      <c r="O201" s="69">
        <f t="shared" si="27"/>
        <v>0</v>
      </c>
      <c r="P201" s="69">
        <f t="shared" si="28"/>
        <v>0</v>
      </c>
    </row>
    <row r="202" spans="1:16" s="73" customFormat="1" ht="15" customHeight="1">
      <c r="A202" s="64">
        <v>5046</v>
      </c>
      <c r="B202" s="65" t="s">
        <v>552</v>
      </c>
      <c r="C202" s="66">
        <v>73071100</v>
      </c>
      <c r="D202" s="67" t="s">
        <v>562</v>
      </c>
      <c r="E202" s="68">
        <v>301</v>
      </c>
      <c r="F202" s="64">
        <v>1</v>
      </c>
      <c r="G202" s="64" t="s">
        <v>137</v>
      </c>
      <c r="H202" s="67" t="s">
        <v>152</v>
      </c>
      <c r="I202" s="69">
        <v>1.8</v>
      </c>
      <c r="J202" s="70">
        <f t="shared" si="25"/>
        <v>1.8</v>
      </c>
      <c r="K202" s="71">
        <v>301</v>
      </c>
      <c r="L202" s="72">
        <f t="shared" si="24"/>
        <v>5.5555555555555552E-2</v>
      </c>
      <c r="M202" s="69">
        <f t="shared" si="26"/>
        <v>9.9999999999999992E-2</v>
      </c>
      <c r="N202" s="69">
        <f>IFERROR(VLOOKUP(B202,Custo_MI_Infra!B:E,3,FALSE),0)</f>
        <v>0</v>
      </c>
      <c r="O202" s="69">
        <f t="shared" si="27"/>
        <v>0</v>
      </c>
      <c r="P202" s="69">
        <f t="shared" si="28"/>
        <v>0</v>
      </c>
    </row>
    <row r="203" spans="1:16" s="73" customFormat="1" ht="15" customHeight="1">
      <c r="A203" s="64">
        <v>5124</v>
      </c>
      <c r="B203" s="65" t="s">
        <v>552</v>
      </c>
      <c r="C203" s="66">
        <v>73071100</v>
      </c>
      <c r="D203" s="67" t="s">
        <v>563</v>
      </c>
      <c r="E203" s="68">
        <v>300</v>
      </c>
      <c r="F203" s="64">
        <v>1</v>
      </c>
      <c r="G203" s="64" t="s">
        <v>137</v>
      </c>
      <c r="H203" s="67" t="s">
        <v>152</v>
      </c>
      <c r="I203" s="69">
        <v>1.8</v>
      </c>
      <c r="J203" s="70">
        <f t="shared" si="25"/>
        <v>1.8</v>
      </c>
      <c r="K203" s="71">
        <v>300</v>
      </c>
      <c r="L203" s="72">
        <f t="shared" si="24"/>
        <v>5.5555555555555552E-2</v>
      </c>
      <c r="M203" s="69">
        <f t="shared" si="26"/>
        <v>9.9999999999999992E-2</v>
      </c>
      <c r="N203" s="69">
        <f>IFERROR(VLOOKUP(B203,Custo_MI_Infra!B:E,3,FALSE),0)</f>
        <v>0</v>
      </c>
      <c r="O203" s="69">
        <f t="shared" si="27"/>
        <v>0</v>
      </c>
      <c r="P203" s="69">
        <f t="shared" si="28"/>
        <v>0</v>
      </c>
    </row>
    <row r="204" spans="1:16" s="73" customFormat="1" ht="15" customHeight="1">
      <c r="A204" s="64">
        <v>2806</v>
      </c>
      <c r="B204" s="65" t="s">
        <v>552</v>
      </c>
      <c r="C204" s="66">
        <v>0</v>
      </c>
      <c r="D204" s="67" t="s">
        <v>564</v>
      </c>
      <c r="E204" s="68" t="s">
        <v>545</v>
      </c>
      <c r="F204" s="64">
        <v>1</v>
      </c>
      <c r="G204" s="64" t="s">
        <v>137</v>
      </c>
      <c r="H204" s="67" t="s">
        <v>152</v>
      </c>
      <c r="I204" s="69">
        <v>6.5</v>
      </c>
      <c r="J204" s="70">
        <f t="shared" si="25"/>
        <v>6.5</v>
      </c>
      <c r="K204" s="71" t="s">
        <v>545</v>
      </c>
      <c r="L204" s="72">
        <f t="shared" si="24"/>
        <v>5.5555555555555552E-2</v>
      </c>
      <c r="M204" s="69">
        <f t="shared" si="26"/>
        <v>0.3611111111111111</v>
      </c>
      <c r="N204" s="69">
        <f>IFERROR(VLOOKUP(B204,Custo_MI_Infra!B:E,3,FALSE),0)</f>
        <v>0</v>
      </c>
      <c r="O204" s="69">
        <f t="shared" si="27"/>
        <v>0</v>
      </c>
      <c r="P204" s="69">
        <f t="shared" si="28"/>
        <v>0</v>
      </c>
    </row>
    <row r="205" spans="1:16" s="73" customFormat="1" ht="15" customHeight="1">
      <c r="A205" s="64">
        <v>2810</v>
      </c>
      <c r="B205" s="65" t="s">
        <v>552</v>
      </c>
      <c r="C205" s="66">
        <v>0</v>
      </c>
      <c r="D205" s="67" t="s">
        <v>565</v>
      </c>
      <c r="E205" s="68" t="s">
        <v>545</v>
      </c>
      <c r="F205" s="64">
        <v>1</v>
      </c>
      <c r="G205" s="64" t="s">
        <v>137</v>
      </c>
      <c r="H205" s="67" t="s">
        <v>152</v>
      </c>
      <c r="I205" s="69">
        <v>6.8</v>
      </c>
      <c r="J205" s="70">
        <f t="shared" si="25"/>
        <v>6.8</v>
      </c>
      <c r="K205" s="71" t="s">
        <v>545</v>
      </c>
      <c r="L205" s="72">
        <f t="shared" si="24"/>
        <v>5.5555555555555552E-2</v>
      </c>
      <c r="M205" s="69">
        <f t="shared" si="26"/>
        <v>0.37777777777777777</v>
      </c>
      <c r="N205" s="69">
        <f>IFERROR(VLOOKUP(B205,Custo_MI_Infra!B:E,3,FALSE),0)</f>
        <v>0</v>
      </c>
      <c r="O205" s="69">
        <f t="shared" si="27"/>
        <v>0</v>
      </c>
      <c r="P205" s="69">
        <f t="shared" si="28"/>
        <v>0</v>
      </c>
    </row>
    <row r="206" spans="1:16" s="73" customFormat="1" ht="15" customHeight="1">
      <c r="A206" s="64">
        <v>4577</v>
      </c>
      <c r="B206" s="65" t="s">
        <v>552</v>
      </c>
      <c r="C206" s="66">
        <v>73071100</v>
      </c>
      <c r="D206" s="67" t="s">
        <v>566</v>
      </c>
      <c r="E206" s="68">
        <v>130</v>
      </c>
      <c r="F206" s="64">
        <v>1</v>
      </c>
      <c r="G206" s="64" t="s">
        <v>137</v>
      </c>
      <c r="H206" s="67" t="s">
        <v>152</v>
      </c>
      <c r="I206" s="69">
        <v>3.37</v>
      </c>
      <c r="J206" s="70">
        <f t="shared" si="25"/>
        <v>3.37</v>
      </c>
      <c r="K206" s="71">
        <v>130</v>
      </c>
      <c r="L206" s="72">
        <f t="shared" si="24"/>
        <v>5.5555555555555552E-2</v>
      </c>
      <c r="M206" s="69">
        <f t="shared" si="26"/>
        <v>0.18722222222222221</v>
      </c>
      <c r="N206" s="69">
        <f>IFERROR(VLOOKUP(B206,Custo_MI_Infra!B:E,3,FALSE),0)</f>
        <v>0</v>
      </c>
      <c r="O206" s="69">
        <f t="shared" si="27"/>
        <v>0</v>
      </c>
      <c r="P206" s="69">
        <f t="shared" si="28"/>
        <v>0</v>
      </c>
    </row>
    <row r="207" spans="1:16" s="73" customFormat="1" ht="15" customHeight="1">
      <c r="A207" s="64">
        <v>1373</v>
      </c>
      <c r="B207" s="65" t="s">
        <v>552</v>
      </c>
      <c r="C207" s="66">
        <v>73071100</v>
      </c>
      <c r="D207" s="67" t="s">
        <v>567</v>
      </c>
      <c r="E207" s="68">
        <v>165</v>
      </c>
      <c r="F207" s="64">
        <v>1</v>
      </c>
      <c r="G207" s="64" t="s">
        <v>137</v>
      </c>
      <c r="H207" s="67" t="s">
        <v>152</v>
      </c>
      <c r="I207" s="69">
        <v>4.25</v>
      </c>
      <c r="J207" s="70">
        <f t="shared" si="25"/>
        <v>4.25</v>
      </c>
      <c r="K207" s="71">
        <v>165</v>
      </c>
      <c r="L207" s="72">
        <f t="shared" si="24"/>
        <v>5.5555555555555552E-2</v>
      </c>
      <c r="M207" s="69">
        <f t="shared" si="26"/>
        <v>0.2361111111111111</v>
      </c>
      <c r="N207" s="69">
        <f>IFERROR(VLOOKUP(B207,Custo_MI_Infra!B:E,3,FALSE),0)</f>
        <v>0</v>
      </c>
      <c r="O207" s="69">
        <f t="shared" si="27"/>
        <v>0</v>
      </c>
      <c r="P207" s="69">
        <f t="shared" si="28"/>
        <v>0</v>
      </c>
    </row>
    <row r="208" spans="1:16" s="73" customFormat="1" ht="27" customHeight="1">
      <c r="A208" s="64">
        <v>2538</v>
      </c>
      <c r="B208" s="65" t="s">
        <v>552</v>
      </c>
      <c r="C208" s="66">
        <v>73063000</v>
      </c>
      <c r="D208" s="67" t="s">
        <v>287</v>
      </c>
      <c r="E208" s="68">
        <v>0</v>
      </c>
      <c r="F208" s="63">
        <v>3</v>
      </c>
      <c r="G208" s="64" t="s">
        <v>232</v>
      </c>
      <c r="H208" s="67" t="s">
        <v>233</v>
      </c>
      <c r="I208" s="69">
        <v>49.5</v>
      </c>
      <c r="J208" s="70">
        <f t="shared" si="25"/>
        <v>148.5</v>
      </c>
      <c r="K208" s="71" t="s">
        <v>288</v>
      </c>
      <c r="L208" s="72">
        <f t="shared" si="24"/>
        <v>0.16666666666666666</v>
      </c>
      <c r="M208" s="69">
        <f t="shared" si="26"/>
        <v>8.25</v>
      </c>
      <c r="N208" s="69">
        <f>IFERROR(VLOOKUP(B208,Custo_MI_Infra!B:E,3,FALSE),0)</f>
        <v>0</v>
      </c>
      <c r="O208" s="69">
        <f t="shared" si="27"/>
        <v>0</v>
      </c>
      <c r="P208" s="69">
        <f t="shared" si="28"/>
        <v>0</v>
      </c>
    </row>
    <row r="209" spans="1:16" s="73" customFormat="1" ht="15" customHeight="1">
      <c r="A209" s="64">
        <v>2892</v>
      </c>
      <c r="B209" s="65" t="s">
        <v>552</v>
      </c>
      <c r="C209" s="66">
        <v>73071100</v>
      </c>
      <c r="D209" s="67" t="s">
        <v>298</v>
      </c>
      <c r="E209" s="68">
        <v>342</v>
      </c>
      <c r="F209" s="64">
        <v>1</v>
      </c>
      <c r="G209" s="64" t="s">
        <v>137</v>
      </c>
      <c r="H209" s="67" t="s">
        <v>152</v>
      </c>
      <c r="I209" s="69">
        <v>28.1</v>
      </c>
      <c r="J209" s="70">
        <f t="shared" si="25"/>
        <v>28.1</v>
      </c>
      <c r="K209" s="71">
        <v>342</v>
      </c>
      <c r="L209" s="72">
        <f t="shared" si="24"/>
        <v>5.5555555555555552E-2</v>
      </c>
      <c r="M209" s="69">
        <f t="shared" si="26"/>
        <v>1.5611111111111111</v>
      </c>
      <c r="N209" s="69">
        <f>IFERROR(VLOOKUP(B209,Custo_MI_Infra!B:E,3,FALSE),0)</f>
        <v>0</v>
      </c>
      <c r="O209" s="69">
        <f t="shared" si="27"/>
        <v>0</v>
      </c>
      <c r="P209" s="69">
        <f t="shared" si="28"/>
        <v>0</v>
      </c>
    </row>
    <row r="210" spans="1:16" s="73" customFormat="1" ht="27" customHeight="1">
      <c r="A210" s="64">
        <v>2567</v>
      </c>
      <c r="B210" s="65" t="s">
        <v>552</v>
      </c>
      <c r="C210" s="66">
        <v>84818095</v>
      </c>
      <c r="D210" s="67" t="s">
        <v>568</v>
      </c>
      <c r="E210" s="68">
        <v>0</v>
      </c>
      <c r="F210" s="64">
        <v>1</v>
      </c>
      <c r="G210" s="64" t="s">
        <v>137</v>
      </c>
      <c r="H210" s="67" t="s">
        <v>304</v>
      </c>
      <c r="I210" s="69">
        <v>27</v>
      </c>
      <c r="J210" s="70">
        <f t="shared" si="25"/>
        <v>27</v>
      </c>
      <c r="K210" s="71" t="s">
        <v>305</v>
      </c>
      <c r="L210" s="72">
        <f t="shared" si="24"/>
        <v>5.5555555555555552E-2</v>
      </c>
      <c r="M210" s="69">
        <f t="shared" si="26"/>
        <v>1.5</v>
      </c>
      <c r="N210" s="69">
        <f>IFERROR(VLOOKUP(B210,Custo_MI_Infra!B:E,3,FALSE),0)</f>
        <v>0</v>
      </c>
      <c r="O210" s="69">
        <f t="shared" si="27"/>
        <v>0</v>
      </c>
      <c r="P210" s="69">
        <f t="shared" si="28"/>
        <v>0</v>
      </c>
    </row>
    <row r="211" spans="1:16" s="73" customFormat="1" ht="15" customHeight="1">
      <c r="A211" s="150">
        <v>2566</v>
      </c>
      <c r="B211" s="151" t="s">
        <v>569</v>
      </c>
      <c r="C211" s="152">
        <v>73072900</v>
      </c>
      <c r="D211" s="153" t="s">
        <v>429</v>
      </c>
      <c r="E211" s="154" t="s">
        <v>313</v>
      </c>
      <c r="F211" s="150">
        <v>6</v>
      </c>
      <c r="G211" s="150" t="s">
        <v>137</v>
      </c>
      <c r="H211" s="153" t="s">
        <v>256</v>
      </c>
      <c r="I211" s="155">
        <v>2.8</v>
      </c>
      <c r="J211" s="156">
        <f t="shared" si="25"/>
        <v>16.799999999999997</v>
      </c>
      <c r="K211" s="157" t="s">
        <v>313</v>
      </c>
      <c r="L211" s="158">
        <f>F211/($F$235*6)</f>
        <v>0.33333333333333331</v>
      </c>
      <c r="M211" s="155">
        <f t="shared" si="26"/>
        <v>0.93333333333333324</v>
      </c>
      <c r="N211" s="155">
        <f>IFERROR(VLOOKUP(B211,Custo_MI_Infra!B:E,3,FALSE),0)</f>
        <v>0</v>
      </c>
      <c r="O211" s="155">
        <f t="shared" si="27"/>
        <v>0</v>
      </c>
      <c r="P211" s="155">
        <f t="shared" si="28"/>
        <v>0</v>
      </c>
    </row>
    <row r="212" spans="1:16" s="73" customFormat="1" ht="15" customHeight="1">
      <c r="A212" s="150">
        <v>5091</v>
      </c>
      <c r="B212" s="151" t="s">
        <v>569</v>
      </c>
      <c r="C212" s="152">
        <v>73181500</v>
      </c>
      <c r="D212" s="153" t="s">
        <v>323</v>
      </c>
      <c r="E212" s="154" t="s">
        <v>324</v>
      </c>
      <c r="F212" s="150">
        <v>12</v>
      </c>
      <c r="G212" s="150" t="s">
        <v>137</v>
      </c>
      <c r="H212" s="153" t="s">
        <v>256</v>
      </c>
      <c r="I212" s="155">
        <v>0.04</v>
      </c>
      <c r="J212" s="156">
        <f t="shared" si="25"/>
        <v>0.48</v>
      </c>
      <c r="K212" s="157" t="s">
        <v>324</v>
      </c>
      <c r="L212" s="158">
        <f t="shared" ref="L212:L237" si="29">F212/($F$235*6)</f>
        <v>0.66666666666666663</v>
      </c>
      <c r="M212" s="155">
        <f t="shared" si="26"/>
        <v>2.6666666666666665E-2</v>
      </c>
      <c r="N212" s="155">
        <f>IFERROR(VLOOKUP(B212,Custo_MI_Infra!B:E,3,FALSE),0)</f>
        <v>0</v>
      </c>
      <c r="O212" s="155">
        <f t="shared" si="27"/>
        <v>0</v>
      </c>
      <c r="P212" s="155">
        <f t="shared" si="28"/>
        <v>0</v>
      </c>
    </row>
    <row r="213" spans="1:16" s="73" customFormat="1" ht="15" customHeight="1">
      <c r="A213" s="150">
        <v>89</v>
      </c>
      <c r="B213" s="151" t="s">
        <v>569</v>
      </c>
      <c r="C213" s="152">
        <v>73071910</v>
      </c>
      <c r="D213" s="153" t="s">
        <v>570</v>
      </c>
      <c r="E213" s="154">
        <v>241</v>
      </c>
      <c r="F213" s="150">
        <v>1</v>
      </c>
      <c r="G213" s="150" t="s">
        <v>137</v>
      </c>
      <c r="H213" s="153" t="s">
        <v>152</v>
      </c>
      <c r="I213" s="155">
        <v>13.8</v>
      </c>
      <c r="J213" s="156">
        <f t="shared" si="25"/>
        <v>13.8</v>
      </c>
      <c r="K213" s="157">
        <v>241</v>
      </c>
      <c r="L213" s="158">
        <f t="shared" si="29"/>
        <v>5.5555555555555552E-2</v>
      </c>
      <c r="M213" s="155">
        <f t="shared" si="26"/>
        <v>0.76666666666666672</v>
      </c>
      <c r="N213" s="155">
        <f>IFERROR(VLOOKUP(B213,Custo_MI_Infra!B:E,3,FALSE),0)</f>
        <v>0</v>
      </c>
      <c r="O213" s="155">
        <f t="shared" si="27"/>
        <v>0</v>
      </c>
      <c r="P213" s="155">
        <f t="shared" si="28"/>
        <v>0</v>
      </c>
    </row>
    <row r="214" spans="1:16" s="73" customFormat="1" ht="15" customHeight="1">
      <c r="A214" s="150">
        <v>3752</v>
      </c>
      <c r="B214" s="151" t="s">
        <v>569</v>
      </c>
      <c r="C214" s="152">
        <v>73071910</v>
      </c>
      <c r="D214" s="153" t="s">
        <v>571</v>
      </c>
      <c r="E214" s="154">
        <v>241</v>
      </c>
      <c r="F214" s="150">
        <v>1</v>
      </c>
      <c r="G214" s="150" t="s">
        <v>137</v>
      </c>
      <c r="H214" s="153" t="s">
        <v>152</v>
      </c>
      <c r="I214" s="155">
        <v>11.25</v>
      </c>
      <c r="J214" s="156">
        <f t="shared" si="25"/>
        <v>11.25</v>
      </c>
      <c r="K214" s="157">
        <v>241</v>
      </c>
      <c r="L214" s="158">
        <f t="shared" si="29"/>
        <v>5.5555555555555552E-2</v>
      </c>
      <c r="M214" s="155">
        <f t="shared" si="26"/>
        <v>0.625</v>
      </c>
      <c r="N214" s="155">
        <f>IFERROR(VLOOKUP(B214,Custo_MI_Infra!B:E,3,FALSE),0)</f>
        <v>0</v>
      </c>
      <c r="O214" s="155">
        <f t="shared" si="27"/>
        <v>0</v>
      </c>
      <c r="P214" s="155">
        <f t="shared" si="28"/>
        <v>0</v>
      </c>
    </row>
    <row r="215" spans="1:16" s="73" customFormat="1" ht="15" customHeight="1">
      <c r="A215" s="150">
        <v>1303</v>
      </c>
      <c r="B215" s="151" t="s">
        <v>569</v>
      </c>
      <c r="C215" s="152">
        <v>73071910</v>
      </c>
      <c r="D215" s="153" t="s">
        <v>151</v>
      </c>
      <c r="E215" s="154">
        <v>241</v>
      </c>
      <c r="F215" s="150">
        <v>1</v>
      </c>
      <c r="G215" s="150" t="s">
        <v>137</v>
      </c>
      <c r="H215" s="153" t="s">
        <v>152</v>
      </c>
      <c r="I215" s="155">
        <v>15</v>
      </c>
      <c r="J215" s="156">
        <f t="shared" si="25"/>
        <v>15</v>
      </c>
      <c r="K215" s="157">
        <v>241</v>
      </c>
      <c r="L215" s="158">
        <f t="shared" si="29"/>
        <v>5.5555555555555552E-2</v>
      </c>
      <c r="M215" s="155">
        <f t="shared" si="26"/>
        <v>0.83333333333333326</v>
      </c>
      <c r="N215" s="155">
        <f>IFERROR(VLOOKUP(B215,Custo_MI_Infra!B:E,3,FALSE),0)</f>
        <v>0</v>
      </c>
      <c r="O215" s="155">
        <f t="shared" si="27"/>
        <v>0</v>
      </c>
      <c r="P215" s="155">
        <f t="shared" si="28"/>
        <v>0</v>
      </c>
    </row>
    <row r="216" spans="1:16" s="73" customFormat="1" ht="15" customHeight="1">
      <c r="A216" s="150">
        <v>1560</v>
      </c>
      <c r="B216" s="151" t="s">
        <v>569</v>
      </c>
      <c r="C216" s="152">
        <v>73071910</v>
      </c>
      <c r="D216" s="153" t="s">
        <v>572</v>
      </c>
      <c r="E216" s="154">
        <v>290</v>
      </c>
      <c r="F216" s="150">
        <v>1</v>
      </c>
      <c r="G216" s="150" t="s">
        <v>137</v>
      </c>
      <c r="H216" s="153" t="s">
        <v>152</v>
      </c>
      <c r="I216" s="155">
        <v>7.98</v>
      </c>
      <c r="J216" s="156">
        <f t="shared" si="25"/>
        <v>7.98</v>
      </c>
      <c r="K216" s="157">
        <v>290</v>
      </c>
      <c r="L216" s="158">
        <f t="shared" si="29"/>
        <v>5.5555555555555552E-2</v>
      </c>
      <c r="M216" s="155">
        <f t="shared" si="26"/>
        <v>0.44333333333333336</v>
      </c>
      <c r="N216" s="155">
        <f>IFERROR(VLOOKUP(B216,Custo_MI_Infra!B:E,3,FALSE),0)</f>
        <v>0</v>
      </c>
      <c r="O216" s="155">
        <f t="shared" si="27"/>
        <v>0</v>
      </c>
      <c r="P216" s="155">
        <f t="shared" si="28"/>
        <v>0</v>
      </c>
    </row>
    <row r="217" spans="1:16" s="73" customFormat="1" ht="15" customHeight="1">
      <c r="A217" s="150">
        <v>73</v>
      </c>
      <c r="B217" s="151" t="s">
        <v>569</v>
      </c>
      <c r="C217" s="152">
        <v>73071910</v>
      </c>
      <c r="D217" s="153" t="s">
        <v>573</v>
      </c>
      <c r="E217" s="154">
        <v>291</v>
      </c>
      <c r="F217" s="150">
        <v>1</v>
      </c>
      <c r="G217" s="150" t="s">
        <v>137</v>
      </c>
      <c r="H217" s="153" t="s">
        <v>152</v>
      </c>
      <c r="I217" s="155">
        <v>7.98</v>
      </c>
      <c r="J217" s="156">
        <f t="shared" si="25"/>
        <v>7.98</v>
      </c>
      <c r="K217" s="157">
        <v>291</v>
      </c>
      <c r="L217" s="158">
        <f t="shared" si="29"/>
        <v>5.5555555555555552E-2</v>
      </c>
      <c r="M217" s="155">
        <f t="shared" si="26"/>
        <v>0.44333333333333336</v>
      </c>
      <c r="N217" s="155">
        <f>IFERROR(VLOOKUP(B217,Custo_MI_Infra!B:E,3,FALSE),0)</f>
        <v>0</v>
      </c>
      <c r="O217" s="155">
        <f t="shared" si="27"/>
        <v>0</v>
      </c>
      <c r="P217" s="155">
        <f t="shared" si="28"/>
        <v>0</v>
      </c>
    </row>
    <row r="218" spans="1:16" s="73" customFormat="1" ht="15" customHeight="1">
      <c r="A218" s="150">
        <v>2805</v>
      </c>
      <c r="B218" s="151" t="s">
        <v>569</v>
      </c>
      <c r="C218" s="152">
        <v>72162100</v>
      </c>
      <c r="D218" s="153" t="s">
        <v>354</v>
      </c>
      <c r="E218" s="154">
        <v>0</v>
      </c>
      <c r="F218" s="150">
        <f>0.86*F235*6</f>
        <v>15.48</v>
      </c>
      <c r="G218" s="150" t="s">
        <v>175</v>
      </c>
      <c r="H218" s="153" t="s">
        <v>176</v>
      </c>
      <c r="I218" s="155">
        <v>4.22</v>
      </c>
      <c r="J218" s="156">
        <f t="shared" si="25"/>
        <v>65.325599999999994</v>
      </c>
      <c r="K218" s="157" t="s">
        <v>177</v>
      </c>
      <c r="L218" s="158">
        <f t="shared" si="29"/>
        <v>0.86</v>
      </c>
      <c r="M218" s="155">
        <f t="shared" si="26"/>
        <v>3.6291999999999995</v>
      </c>
      <c r="N218" s="155">
        <f>IFERROR(VLOOKUP(B218,Custo_MI_Infra!B:E,3,FALSE),0)</f>
        <v>0</v>
      </c>
      <c r="O218" s="155">
        <f t="shared" si="27"/>
        <v>0</v>
      </c>
      <c r="P218" s="155">
        <f t="shared" si="28"/>
        <v>0</v>
      </c>
    </row>
    <row r="219" spans="1:16" s="73" customFormat="1" ht="15" customHeight="1">
      <c r="A219" s="150">
        <v>751</v>
      </c>
      <c r="B219" s="151" t="s">
        <v>569</v>
      </c>
      <c r="C219" s="152">
        <v>73071900</v>
      </c>
      <c r="D219" s="153" t="s">
        <v>574</v>
      </c>
      <c r="E219" s="154">
        <v>120</v>
      </c>
      <c r="F219" s="150">
        <v>1</v>
      </c>
      <c r="G219" s="150" t="s">
        <v>137</v>
      </c>
      <c r="H219" s="153" t="s">
        <v>152</v>
      </c>
      <c r="I219" s="155">
        <v>20.329999999999998</v>
      </c>
      <c r="J219" s="156">
        <f t="shared" si="25"/>
        <v>20.329999999999998</v>
      </c>
      <c r="K219" s="157">
        <v>120</v>
      </c>
      <c r="L219" s="158">
        <f t="shared" si="29"/>
        <v>5.5555555555555552E-2</v>
      </c>
      <c r="M219" s="155">
        <f t="shared" si="26"/>
        <v>1.1294444444444443</v>
      </c>
      <c r="N219" s="155">
        <f>IFERROR(VLOOKUP(B219,Custo_MI_Infra!B:E,3,FALSE),0)</f>
        <v>0</v>
      </c>
      <c r="O219" s="155">
        <f t="shared" si="27"/>
        <v>0</v>
      </c>
      <c r="P219" s="155">
        <f t="shared" si="28"/>
        <v>0</v>
      </c>
    </row>
    <row r="220" spans="1:16" s="73" customFormat="1" ht="15" customHeight="1">
      <c r="A220" s="150">
        <v>2101</v>
      </c>
      <c r="B220" s="151" t="s">
        <v>569</v>
      </c>
      <c r="C220" s="152">
        <v>73071900</v>
      </c>
      <c r="D220" s="153" t="s">
        <v>575</v>
      </c>
      <c r="E220" s="154">
        <v>90</v>
      </c>
      <c r="F220" s="150">
        <v>1</v>
      </c>
      <c r="G220" s="150" t="s">
        <v>137</v>
      </c>
      <c r="H220" s="153" t="s">
        <v>152</v>
      </c>
      <c r="I220" s="155">
        <v>22</v>
      </c>
      <c r="J220" s="156">
        <f t="shared" si="25"/>
        <v>22</v>
      </c>
      <c r="K220" s="157">
        <v>90</v>
      </c>
      <c r="L220" s="158">
        <f t="shared" si="29"/>
        <v>5.5555555555555552E-2</v>
      </c>
      <c r="M220" s="155">
        <f t="shared" si="26"/>
        <v>1.2222222222222221</v>
      </c>
      <c r="N220" s="155">
        <f>IFERROR(VLOOKUP(B220,Custo_MI_Infra!B:E,3,FALSE),0)</f>
        <v>0</v>
      </c>
      <c r="O220" s="155">
        <f t="shared" si="27"/>
        <v>0</v>
      </c>
      <c r="P220" s="155">
        <f t="shared" si="28"/>
        <v>0</v>
      </c>
    </row>
    <row r="221" spans="1:16" s="73" customFormat="1" ht="15" customHeight="1">
      <c r="A221" s="150">
        <v>3404</v>
      </c>
      <c r="B221" s="151" t="s">
        <v>569</v>
      </c>
      <c r="C221" s="152">
        <v>73071900</v>
      </c>
      <c r="D221" s="153" t="s">
        <v>576</v>
      </c>
      <c r="E221" s="154">
        <v>180</v>
      </c>
      <c r="F221" s="150">
        <v>1</v>
      </c>
      <c r="G221" s="150" t="s">
        <v>137</v>
      </c>
      <c r="H221" s="153" t="s">
        <v>152</v>
      </c>
      <c r="I221" s="155">
        <v>32</v>
      </c>
      <c r="J221" s="156">
        <f t="shared" si="25"/>
        <v>32</v>
      </c>
      <c r="K221" s="157">
        <v>180</v>
      </c>
      <c r="L221" s="158">
        <f t="shared" si="29"/>
        <v>5.5555555555555552E-2</v>
      </c>
      <c r="M221" s="155">
        <f t="shared" si="26"/>
        <v>1.7777777777777777</v>
      </c>
      <c r="N221" s="155">
        <f>IFERROR(VLOOKUP(B221,Custo_MI_Infra!B:E,3,FALSE),0)</f>
        <v>0</v>
      </c>
      <c r="O221" s="155">
        <f t="shared" si="27"/>
        <v>0</v>
      </c>
      <c r="P221" s="155">
        <f t="shared" si="28"/>
        <v>0</v>
      </c>
    </row>
    <row r="222" spans="1:16" s="73" customFormat="1" ht="15" customHeight="1">
      <c r="A222" s="150">
        <v>1407</v>
      </c>
      <c r="B222" s="151" t="s">
        <v>569</v>
      </c>
      <c r="C222" s="152">
        <v>73071900</v>
      </c>
      <c r="D222" s="153" t="s">
        <v>577</v>
      </c>
      <c r="E222" s="154">
        <v>270</v>
      </c>
      <c r="F222" s="150">
        <v>1</v>
      </c>
      <c r="G222" s="150" t="s">
        <v>137</v>
      </c>
      <c r="H222" s="153" t="s">
        <v>152</v>
      </c>
      <c r="I222" s="155">
        <v>8.9</v>
      </c>
      <c r="J222" s="156">
        <f t="shared" si="25"/>
        <v>8.9</v>
      </c>
      <c r="K222" s="157">
        <v>270</v>
      </c>
      <c r="L222" s="158">
        <f t="shared" si="29"/>
        <v>5.5555555555555552E-2</v>
      </c>
      <c r="M222" s="155">
        <f t="shared" si="26"/>
        <v>0.49444444444444446</v>
      </c>
      <c r="N222" s="155">
        <f>IFERROR(VLOOKUP(B222,Custo_MI_Infra!B:E,3,FALSE),0)</f>
        <v>0</v>
      </c>
      <c r="O222" s="155">
        <f t="shared" si="27"/>
        <v>0</v>
      </c>
      <c r="P222" s="155">
        <f t="shared" si="28"/>
        <v>0</v>
      </c>
    </row>
    <row r="223" spans="1:16" s="73" customFormat="1" ht="15" customHeight="1">
      <c r="A223" s="150">
        <v>2883</v>
      </c>
      <c r="B223" s="151" t="s">
        <v>569</v>
      </c>
      <c r="C223" s="152">
        <v>73071900</v>
      </c>
      <c r="D223" s="153" t="s">
        <v>578</v>
      </c>
      <c r="E223" s="154">
        <v>240</v>
      </c>
      <c r="F223" s="150">
        <v>1</v>
      </c>
      <c r="G223" s="150" t="s">
        <v>137</v>
      </c>
      <c r="H223" s="153" t="s">
        <v>152</v>
      </c>
      <c r="I223" s="155">
        <v>13</v>
      </c>
      <c r="J223" s="156">
        <f t="shared" si="25"/>
        <v>13</v>
      </c>
      <c r="K223" s="157">
        <v>240</v>
      </c>
      <c r="L223" s="158">
        <f t="shared" si="29"/>
        <v>5.5555555555555552E-2</v>
      </c>
      <c r="M223" s="155">
        <f t="shared" si="26"/>
        <v>0.72222222222222221</v>
      </c>
      <c r="N223" s="155">
        <f>IFERROR(VLOOKUP(B223,Custo_MI_Infra!B:E,3,FALSE),0)</f>
        <v>0</v>
      </c>
      <c r="O223" s="155">
        <f t="shared" si="27"/>
        <v>0</v>
      </c>
      <c r="P223" s="155">
        <f t="shared" si="28"/>
        <v>0</v>
      </c>
    </row>
    <row r="224" spans="1:16" s="73" customFormat="1" ht="15" customHeight="1">
      <c r="A224" s="150">
        <v>4586</v>
      </c>
      <c r="B224" s="151" t="s">
        <v>569</v>
      </c>
      <c r="C224" s="152">
        <v>73071900</v>
      </c>
      <c r="D224" s="153" t="s">
        <v>579</v>
      </c>
      <c r="E224" s="154">
        <v>240</v>
      </c>
      <c r="F224" s="150">
        <v>1</v>
      </c>
      <c r="G224" s="150" t="s">
        <v>137</v>
      </c>
      <c r="H224" s="153" t="s">
        <v>152</v>
      </c>
      <c r="I224" s="155">
        <v>13.95</v>
      </c>
      <c r="J224" s="156">
        <f t="shared" si="25"/>
        <v>13.95</v>
      </c>
      <c r="K224" s="157">
        <v>240</v>
      </c>
      <c r="L224" s="158">
        <f t="shared" si="29"/>
        <v>5.5555555555555552E-2</v>
      </c>
      <c r="M224" s="155">
        <f t="shared" si="26"/>
        <v>0.77499999999999991</v>
      </c>
      <c r="N224" s="155">
        <f>IFERROR(VLOOKUP(B224,Custo_MI_Infra!B:E,3,FALSE),0)</f>
        <v>0</v>
      </c>
      <c r="O224" s="155">
        <f t="shared" si="27"/>
        <v>0</v>
      </c>
      <c r="P224" s="155">
        <f t="shared" si="28"/>
        <v>0</v>
      </c>
    </row>
    <row r="225" spans="1:16" s="73" customFormat="1" ht="15" customHeight="1">
      <c r="A225" s="150">
        <v>4510</v>
      </c>
      <c r="B225" s="151" t="s">
        <v>569</v>
      </c>
      <c r="C225" s="152">
        <v>73071900</v>
      </c>
      <c r="D225" s="153" t="s">
        <v>580</v>
      </c>
      <c r="E225" s="154">
        <v>240</v>
      </c>
      <c r="F225" s="150">
        <v>1</v>
      </c>
      <c r="G225" s="150" t="s">
        <v>137</v>
      </c>
      <c r="H225" s="153" t="s">
        <v>152</v>
      </c>
      <c r="I225" s="155">
        <v>13</v>
      </c>
      <c r="J225" s="156">
        <f t="shared" si="25"/>
        <v>13</v>
      </c>
      <c r="K225" s="157">
        <v>240</v>
      </c>
      <c r="L225" s="158">
        <f t="shared" si="29"/>
        <v>5.5555555555555552E-2</v>
      </c>
      <c r="M225" s="155">
        <f t="shared" si="26"/>
        <v>0.72222222222222221</v>
      </c>
      <c r="N225" s="155">
        <f>IFERROR(VLOOKUP(B225,Custo_MI_Infra!B:E,3,FALSE),0)</f>
        <v>0</v>
      </c>
      <c r="O225" s="155">
        <f t="shared" si="27"/>
        <v>0</v>
      </c>
      <c r="P225" s="155">
        <f t="shared" si="28"/>
        <v>0</v>
      </c>
    </row>
    <row r="226" spans="1:16" s="73" customFormat="1" ht="15" customHeight="1">
      <c r="A226" s="150">
        <v>3236</v>
      </c>
      <c r="B226" s="151" t="s">
        <v>569</v>
      </c>
      <c r="C226" s="152">
        <v>73071990</v>
      </c>
      <c r="D226" s="153" t="s">
        <v>581</v>
      </c>
      <c r="E226" s="154">
        <v>280</v>
      </c>
      <c r="F226" s="150">
        <v>1</v>
      </c>
      <c r="G226" s="150" t="s">
        <v>137</v>
      </c>
      <c r="H226" s="153" t="s">
        <v>152</v>
      </c>
      <c r="I226" s="155">
        <v>17</v>
      </c>
      <c r="J226" s="156">
        <f t="shared" si="25"/>
        <v>17</v>
      </c>
      <c r="K226" s="157">
        <v>280</v>
      </c>
      <c r="L226" s="158">
        <f t="shared" si="29"/>
        <v>5.5555555555555552E-2</v>
      </c>
      <c r="M226" s="155">
        <f t="shared" si="26"/>
        <v>0.94444444444444442</v>
      </c>
      <c r="N226" s="155">
        <f>IFERROR(VLOOKUP(B226,Custo_MI_Infra!B:E,3,FALSE),0)</f>
        <v>0</v>
      </c>
      <c r="O226" s="155">
        <f t="shared" si="27"/>
        <v>0</v>
      </c>
      <c r="P226" s="155">
        <f t="shared" si="28"/>
        <v>0</v>
      </c>
    </row>
    <row r="227" spans="1:16" s="73" customFormat="1" ht="15" customHeight="1">
      <c r="A227" s="150">
        <v>3274</v>
      </c>
      <c r="B227" s="151" t="s">
        <v>569</v>
      </c>
      <c r="C227" s="152">
        <v>73181500</v>
      </c>
      <c r="D227" s="153" t="s">
        <v>265</v>
      </c>
      <c r="E227" s="154" t="s">
        <v>266</v>
      </c>
      <c r="F227" s="150">
        <v>12</v>
      </c>
      <c r="G227" s="150" t="s">
        <v>137</v>
      </c>
      <c r="H227" s="153" t="s">
        <v>256</v>
      </c>
      <c r="I227" s="155">
        <v>0.06</v>
      </c>
      <c r="J227" s="156">
        <f t="shared" si="25"/>
        <v>0.72</v>
      </c>
      <c r="K227" s="157" t="s">
        <v>266</v>
      </c>
      <c r="L227" s="158">
        <f t="shared" si="29"/>
        <v>0.66666666666666663</v>
      </c>
      <c r="M227" s="155">
        <f t="shared" si="26"/>
        <v>3.9999999999999994E-2</v>
      </c>
      <c r="N227" s="155">
        <f>IFERROR(VLOOKUP(B227,Custo_MI_Infra!B:E,3,FALSE),0)</f>
        <v>0</v>
      </c>
      <c r="O227" s="155">
        <f t="shared" si="27"/>
        <v>0</v>
      </c>
      <c r="P227" s="155">
        <f t="shared" si="28"/>
        <v>0</v>
      </c>
    </row>
    <row r="228" spans="1:16" s="73" customFormat="1" ht="15" customHeight="1">
      <c r="A228" s="150">
        <v>5043</v>
      </c>
      <c r="B228" s="151" t="s">
        <v>569</v>
      </c>
      <c r="C228" s="152">
        <v>73071100</v>
      </c>
      <c r="D228" s="153" t="s">
        <v>582</v>
      </c>
      <c r="E228" s="154">
        <v>301</v>
      </c>
      <c r="F228" s="150">
        <v>1</v>
      </c>
      <c r="G228" s="150" t="s">
        <v>137</v>
      </c>
      <c r="H228" s="153" t="s">
        <v>152</v>
      </c>
      <c r="I228" s="155">
        <v>7</v>
      </c>
      <c r="J228" s="156">
        <f t="shared" si="25"/>
        <v>7</v>
      </c>
      <c r="K228" s="157">
        <v>301</v>
      </c>
      <c r="L228" s="158">
        <f t="shared" si="29"/>
        <v>5.5555555555555552E-2</v>
      </c>
      <c r="M228" s="155">
        <f t="shared" si="26"/>
        <v>0.38888888888888884</v>
      </c>
      <c r="N228" s="155">
        <f>IFERROR(VLOOKUP(B228,Custo_MI_Infra!B:E,3,FALSE),0)</f>
        <v>0</v>
      </c>
      <c r="O228" s="155">
        <f t="shared" si="27"/>
        <v>0</v>
      </c>
      <c r="P228" s="155">
        <f t="shared" si="28"/>
        <v>0</v>
      </c>
    </row>
    <row r="229" spans="1:16" s="73" customFormat="1" ht="15" customHeight="1">
      <c r="A229" s="150">
        <v>5044</v>
      </c>
      <c r="B229" s="151" t="s">
        <v>569</v>
      </c>
      <c r="C229" s="152">
        <v>73071100</v>
      </c>
      <c r="D229" s="153" t="s">
        <v>283</v>
      </c>
      <c r="E229" s="154">
        <v>300</v>
      </c>
      <c r="F229" s="150">
        <v>1</v>
      </c>
      <c r="G229" s="150" t="s">
        <v>137</v>
      </c>
      <c r="H229" s="153" t="s">
        <v>152</v>
      </c>
      <c r="I229" s="155">
        <v>7</v>
      </c>
      <c r="J229" s="156">
        <f t="shared" si="25"/>
        <v>7</v>
      </c>
      <c r="K229" s="157">
        <v>300</v>
      </c>
      <c r="L229" s="158">
        <f t="shared" si="29"/>
        <v>5.5555555555555552E-2</v>
      </c>
      <c r="M229" s="155">
        <f t="shared" si="26"/>
        <v>0.38888888888888884</v>
      </c>
      <c r="N229" s="155">
        <f>IFERROR(VLOOKUP(B229,Custo_MI_Infra!B:E,3,FALSE),0)</f>
        <v>0</v>
      </c>
      <c r="O229" s="155">
        <f t="shared" si="27"/>
        <v>0</v>
      </c>
      <c r="P229" s="155">
        <f t="shared" si="28"/>
        <v>0</v>
      </c>
    </row>
    <row r="230" spans="1:16" s="73" customFormat="1" ht="15" customHeight="1">
      <c r="A230" s="150">
        <v>2852</v>
      </c>
      <c r="B230" s="151" t="s">
        <v>569</v>
      </c>
      <c r="C230" s="152">
        <v>0</v>
      </c>
      <c r="D230" s="153" t="s">
        <v>583</v>
      </c>
      <c r="E230" s="154" t="s">
        <v>545</v>
      </c>
      <c r="F230" s="150">
        <v>1</v>
      </c>
      <c r="G230" s="150" t="s">
        <v>137</v>
      </c>
      <c r="H230" s="153" t="s">
        <v>152</v>
      </c>
      <c r="I230" s="155">
        <v>28.3</v>
      </c>
      <c r="J230" s="156">
        <f t="shared" si="25"/>
        <v>28.3</v>
      </c>
      <c r="K230" s="157" t="s">
        <v>545</v>
      </c>
      <c r="L230" s="158">
        <f t="shared" si="29"/>
        <v>5.5555555555555552E-2</v>
      </c>
      <c r="M230" s="155">
        <f t="shared" si="26"/>
        <v>1.5722222222222222</v>
      </c>
      <c r="N230" s="155">
        <f>IFERROR(VLOOKUP(B230,Custo_MI_Infra!B:E,3,FALSE),0)</f>
        <v>0</v>
      </c>
      <c r="O230" s="155">
        <f t="shared" si="27"/>
        <v>0</v>
      </c>
      <c r="P230" s="155">
        <f t="shared" si="28"/>
        <v>0</v>
      </c>
    </row>
    <row r="231" spans="1:16" s="73" customFormat="1" ht="15" customHeight="1">
      <c r="A231" s="150">
        <v>2990</v>
      </c>
      <c r="B231" s="151" t="s">
        <v>569</v>
      </c>
      <c r="C231" s="152">
        <v>0</v>
      </c>
      <c r="D231" s="153" t="s">
        <v>584</v>
      </c>
      <c r="E231" s="154" t="s">
        <v>545</v>
      </c>
      <c r="F231" s="150">
        <v>1</v>
      </c>
      <c r="G231" s="150" t="s">
        <v>137</v>
      </c>
      <c r="H231" s="153" t="s">
        <v>152</v>
      </c>
      <c r="I231" s="155">
        <v>25</v>
      </c>
      <c r="J231" s="156">
        <f t="shared" si="25"/>
        <v>25</v>
      </c>
      <c r="K231" s="157" t="s">
        <v>545</v>
      </c>
      <c r="L231" s="158">
        <f t="shared" si="29"/>
        <v>5.5555555555555552E-2</v>
      </c>
      <c r="M231" s="155">
        <f t="shared" si="26"/>
        <v>1.3888888888888888</v>
      </c>
      <c r="N231" s="155">
        <f>IFERROR(VLOOKUP(B231,Custo_MI_Infra!B:E,3,FALSE),0)</f>
        <v>0</v>
      </c>
      <c r="O231" s="155">
        <f t="shared" si="27"/>
        <v>0</v>
      </c>
      <c r="P231" s="155">
        <f t="shared" si="28"/>
        <v>0</v>
      </c>
    </row>
    <row r="232" spans="1:16" s="73" customFormat="1" ht="15" customHeight="1">
      <c r="A232" s="150">
        <v>4579</v>
      </c>
      <c r="B232" s="151" t="s">
        <v>569</v>
      </c>
      <c r="C232" s="152">
        <v>73071100</v>
      </c>
      <c r="D232" s="153" t="s">
        <v>284</v>
      </c>
      <c r="E232" s="154">
        <v>130</v>
      </c>
      <c r="F232" s="150">
        <v>1</v>
      </c>
      <c r="G232" s="150" t="s">
        <v>137</v>
      </c>
      <c r="H232" s="153" t="s">
        <v>152</v>
      </c>
      <c r="I232" s="155">
        <v>23</v>
      </c>
      <c r="J232" s="156">
        <f t="shared" si="25"/>
        <v>23</v>
      </c>
      <c r="K232" s="157">
        <v>130</v>
      </c>
      <c r="L232" s="158">
        <f t="shared" si="29"/>
        <v>5.5555555555555552E-2</v>
      </c>
      <c r="M232" s="155">
        <f t="shared" si="26"/>
        <v>1.2777777777777777</v>
      </c>
      <c r="N232" s="155">
        <f>IFERROR(VLOOKUP(B232,Custo_MI_Infra!B:E,3,FALSE),0)</f>
        <v>0</v>
      </c>
      <c r="O232" s="155">
        <f t="shared" si="27"/>
        <v>0</v>
      </c>
      <c r="P232" s="155">
        <f t="shared" si="28"/>
        <v>0</v>
      </c>
    </row>
    <row r="233" spans="1:16" s="73" customFormat="1" ht="15" customHeight="1">
      <c r="A233" s="150">
        <v>3330</v>
      </c>
      <c r="B233" s="151" t="s">
        <v>569</v>
      </c>
      <c r="C233" s="152">
        <v>73071100</v>
      </c>
      <c r="D233" s="153" t="s">
        <v>585</v>
      </c>
      <c r="E233" s="154" t="s">
        <v>286</v>
      </c>
      <c r="F233" s="150">
        <v>1</v>
      </c>
      <c r="G233" s="150" t="s">
        <v>137</v>
      </c>
      <c r="H233" s="153" t="s">
        <v>152</v>
      </c>
      <c r="I233" s="155">
        <v>32</v>
      </c>
      <c r="J233" s="156">
        <f t="shared" si="25"/>
        <v>32</v>
      </c>
      <c r="K233" s="157" t="s">
        <v>286</v>
      </c>
      <c r="L233" s="158">
        <f t="shared" si="29"/>
        <v>5.5555555555555552E-2</v>
      </c>
      <c r="M233" s="155">
        <f t="shared" si="26"/>
        <v>1.7777777777777777</v>
      </c>
      <c r="N233" s="155">
        <f>IFERROR(VLOOKUP(B233,Custo_MI_Infra!B:E,3,FALSE),0)</f>
        <v>0</v>
      </c>
      <c r="O233" s="155">
        <f t="shared" si="27"/>
        <v>0</v>
      </c>
      <c r="P233" s="155">
        <f t="shared" si="28"/>
        <v>0</v>
      </c>
    </row>
    <row r="234" spans="1:16" s="73" customFormat="1" ht="15" customHeight="1">
      <c r="A234" s="150">
        <v>3345</v>
      </c>
      <c r="B234" s="151" t="s">
        <v>569</v>
      </c>
      <c r="C234" s="152">
        <v>73071100</v>
      </c>
      <c r="D234" s="153" t="s">
        <v>285</v>
      </c>
      <c r="E234" s="154" t="s">
        <v>286</v>
      </c>
      <c r="F234" s="150">
        <v>1</v>
      </c>
      <c r="G234" s="150" t="s">
        <v>137</v>
      </c>
      <c r="H234" s="153" t="s">
        <v>152</v>
      </c>
      <c r="I234" s="155">
        <v>35</v>
      </c>
      <c r="J234" s="156">
        <f t="shared" si="25"/>
        <v>35</v>
      </c>
      <c r="K234" s="157" t="s">
        <v>286</v>
      </c>
      <c r="L234" s="158">
        <f t="shared" si="29"/>
        <v>5.5555555555555552E-2</v>
      </c>
      <c r="M234" s="155">
        <f t="shared" si="26"/>
        <v>1.9444444444444444</v>
      </c>
      <c r="N234" s="155">
        <f>IFERROR(VLOOKUP(B234,Custo_MI_Infra!B:E,3,FALSE),0)</f>
        <v>0</v>
      </c>
      <c r="O234" s="155">
        <f t="shared" si="27"/>
        <v>0</v>
      </c>
      <c r="P234" s="155">
        <f t="shared" si="28"/>
        <v>0</v>
      </c>
    </row>
    <row r="235" spans="1:16" s="73" customFormat="1" ht="27" customHeight="1">
      <c r="A235" s="150">
        <v>3685</v>
      </c>
      <c r="B235" s="151" t="s">
        <v>569</v>
      </c>
      <c r="C235" s="152">
        <v>73063000</v>
      </c>
      <c r="D235" s="153" t="s">
        <v>586</v>
      </c>
      <c r="E235" s="154">
        <v>0</v>
      </c>
      <c r="F235" s="63">
        <v>3</v>
      </c>
      <c r="G235" s="150" t="s">
        <v>232</v>
      </c>
      <c r="H235" s="153" t="s">
        <v>233</v>
      </c>
      <c r="I235" s="155">
        <v>255</v>
      </c>
      <c r="J235" s="156">
        <f t="shared" si="25"/>
        <v>765</v>
      </c>
      <c r="K235" s="157" t="s">
        <v>587</v>
      </c>
      <c r="L235" s="158">
        <f t="shared" si="29"/>
        <v>0.16666666666666666</v>
      </c>
      <c r="M235" s="155">
        <f t="shared" si="26"/>
        <v>42.5</v>
      </c>
      <c r="N235" s="155">
        <f>IFERROR(VLOOKUP(B235,Custo_MI_Infra!B:E,3,FALSE),0)</f>
        <v>0</v>
      </c>
      <c r="O235" s="155">
        <f t="shared" si="27"/>
        <v>0</v>
      </c>
      <c r="P235" s="155">
        <f t="shared" si="28"/>
        <v>0</v>
      </c>
    </row>
    <row r="236" spans="1:16" s="73" customFormat="1" ht="15" customHeight="1">
      <c r="A236" s="150">
        <v>2245</v>
      </c>
      <c r="B236" s="151" t="s">
        <v>569</v>
      </c>
      <c r="C236" s="152">
        <v>73071100</v>
      </c>
      <c r="D236" s="153" t="s">
        <v>588</v>
      </c>
      <c r="E236" s="154">
        <v>342</v>
      </c>
      <c r="F236" s="150">
        <v>1</v>
      </c>
      <c r="G236" s="150" t="s">
        <v>137</v>
      </c>
      <c r="H236" s="153" t="s">
        <v>152</v>
      </c>
      <c r="I236" s="155">
        <v>135</v>
      </c>
      <c r="J236" s="156">
        <f t="shared" si="25"/>
        <v>135</v>
      </c>
      <c r="K236" s="157">
        <v>342</v>
      </c>
      <c r="L236" s="158">
        <f t="shared" si="29"/>
        <v>5.5555555555555552E-2</v>
      </c>
      <c r="M236" s="155">
        <f t="shared" si="26"/>
        <v>7.5</v>
      </c>
      <c r="N236" s="155">
        <f>IFERROR(VLOOKUP(B236,Custo_MI_Infra!B:E,3,FALSE),0)</f>
        <v>0</v>
      </c>
      <c r="O236" s="155">
        <f t="shared" si="27"/>
        <v>0</v>
      </c>
      <c r="P236" s="155">
        <f t="shared" si="28"/>
        <v>0</v>
      </c>
    </row>
    <row r="237" spans="1:16" s="73" customFormat="1" ht="27" customHeight="1">
      <c r="A237" s="150">
        <v>2629</v>
      </c>
      <c r="B237" s="151" t="s">
        <v>569</v>
      </c>
      <c r="C237" s="152">
        <v>84818095</v>
      </c>
      <c r="D237" s="153" t="s">
        <v>589</v>
      </c>
      <c r="E237" s="154">
        <v>0</v>
      </c>
      <c r="F237" s="150">
        <v>1</v>
      </c>
      <c r="G237" s="150" t="s">
        <v>137</v>
      </c>
      <c r="H237" s="153" t="s">
        <v>304</v>
      </c>
      <c r="I237" s="155">
        <v>105</v>
      </c>
      <c r="J237" s="156">
        <f t="shared" si="25"/>
        <v>105</v>
      </c>
      <c r="K237" s="157" t="s">
        <v>590</v>
      </c>
      <c r="L237" s="158">
        <f t="shared" si="29"/>
        <v>5.5555555555555552E-2</v>
      </c>
      <c r="M237" s="155">
        <f t="shared" si="26"/>
        <v>5.833333333333333</v>
      </c>
      <c r="N237" s="155">
        <f>IFERROR(VLOOKUP(B237,Custo_MI_Infra!B:E,3,FALSE),0)</f>
        <v>0</v>
      </c>
      <c r="O237" s="155">
        <f t="shared" si="27"/>
        <v>0</v>
      </c>
      <c r="P237" s="155">
        <f t="shared" si="28"/>
        <v>0</v>
      </c>
    </row>
    <row r="238" spans="1:16" s="73" customFormat="1" ht="15" customHeight="1">
      <c r="A238" s="159">
        <v>2534</v>
      </c>
      <c r="B238" s="160" t="s">
        <v>591</v>
      </c>
      <c r="C238" s="161">
        <v>73072900</v>
      </c>
      <c r="D238" s="162" t="s">
        <v>474</v>
      </c>
      <c r="E238" s="163" t="s">
        <v>315</v>
      </c>
      <c r="F238" s="159">
        <v>6</v>
      </c>
      <c r="G238" s="159" t="s">
        <v>137</v>
      </c>
      <c r="H238" s="162" t="s">
        <v>256</v>
      </c>
      <c r="I238" s="164">
        <v>1.2</v>
      </c>
      <c r="J238" s="165">
        <f t="shared" si="25"/>
        <v>7.1999999999999993</v>
      </c>
      <c r="K238" s="166" t="s">
        <v>315</v>
      </c>
      <c r="L238" s="167">
        <f>F238/($F$260*6)</f>
        <v>0.33333333333333331</v>
      </c>
      <c r="M238" s="164">
        <f t="shared" si="26"/>
        <v>0.39999999999999997</v>
      </c>
      <c r="N238" s="164">
        <f>IFERROR(VLOOKUP(B238,Custo_MI_Infra!B:E,3,FALSE),0)</f>
        <v>0</v>
      </c>
      <c r="O238" s="164">
        <f t="shared" si="27"/>
        <v>0</v>
      </c>
      <c r="P238" s="164">
        <f t="shared" si="28"/>
        <v>0</v>
      </c>
    </row>
    <row r="239" spans="1:16" s="73" customFormat="1" ht="15" customHeight="1">
      <c r="A239" s="159">
        <v>3478</v>
      </c>
      <c r="B239" s="160" t="s">
        <v>591</v>
      </c>
      <c r="C239" s="161">
        <v>73071910</v>
      </c>
      <c r="D239" s="162" t="s">
        <v>592</v>
      </c>
      <c r="E239" s="163">
        <v>241</v>
      </c>
      <c r="F239" s="159">
        <v>1</v>
      </c>
      <c r="G239" s="159" t="s">
        <v>137</v>
      </c>
      <c r="H239" s="162" t="s">
        <v>152</v>
      </c>
      <c r="I239" s="164">
        <v>2.8</v>
      </c>
      <c r="J239" s="165">
        <f t="shared" si="25"/>
        <v>2.8</v>
      </c>
      <c r="K239" s="166">
        <v>241</v>
      </c>
      <c r="L239" s="167">
        <f t="shared" ref="L239:L262" si="30">F239/($F$260*6)</f>
        <v>5.5555555555555552E-2</v>
      </c>
      <c r="M239" s="164">
        <f t="shared" si="26"/>
        <v>0.15555555555555553</v>
      </c>
      <c r="N239" s="164">
        <f>IFERROR(VLOOKUP(B239,Custo_MI_Infra!B:E,3,FALSE),0)</f>
        <v>0</v>
      </c>
      <c r="O239" s="164">
        <f t="shared" si="27"/>
        <v>0</v>
      </c>
      <c r="P239" s="164">
        <f t="shared" si="28"/>
        <v>0</v>
      </c>
    </row>
    <row r="240" spans="1:16" s="73" customFormat="1" ht="15" customHeight="1">
      <c r="A240" s="159">
        <v>92</v>
      </c>
      <c r="B240" s="160" t="s">
        <v>591</v>
      </c>
      <c r="C240" s="161">
        <v>73071910</v>
      </c>
      <c r="D240" s="162" t="s">
        <v>593</v>
      </c>
      <c r="E240" s="163">
        <v>241</v>
      </c>
      <c r="F240" s="159">
        <v>1</v>
      </c>
      <c r="G240" s="159" t="s">
        <v>137</v>
      </c>
      <c r="H240" s="162" t="s">
        <v>152</v>
      </c>
      <c r="I240" s="164">
        <v>3.15</v>
      </c>
      <c r="J240" s="165">
        <f t="shared" si="25"/>
        <v>3.15</v>
      </c>
      <c r="K240" s="166">
        <v>241</v>
      </c>
      <c r="L240" s="167">
        <f t="shared" si="30"/>
        <v>5.5555555555555552E-2</v>
      </c>
      <c r="M240" s="164">
        <f t="shared" si="26"/>
        <v>0.17499999999999999</v>
      </c>
      <c r="N240" s="164">
        <f>IFERROR(VLOOKUP(B240,Custo_MI_Infra!B:E,3,FALSE),0)</f>
        <v>0</v>
      </c>
      <c r="O240" s="164">
        <f t="shared" si="27"/>
        <v>0</v>
      </c>
      <c r="P240" s="164">
        <f t="shared" si="28"/>
        <v>0</v>
      </c>
    </row>
    <row r="241" spans="1:16" s="73" customFormat="1" ht="15" customHeight="1">
      <c r="A241" s="159">
        <v>313</v>
      </c>
      <c r="B241" s="160" t="s">
        <v>591</v>
      </c>
      <c r="C241" s="161">
        <v>73071910</v>
      </c>
      <c r="D241" s="162" t="s">
        <v>594</v>
      </c>
      <c r="E241" s="163">
        <v>241</v>
      </c>
      <c r="F241" s="159">
        <v>1</v>
      </c>
      <c r="G241" s="159" t="s">
        <v>137</v>
      </c>
      <c r="H241" s="162" t="s">
        <v>152</v>
      </c>
      <c r="I241" s="164">
        <v>3.5</v>
      </c>
      <c r="J241" s="165">
        <f t="shared" si="25"/>
        <v>3.5</v>
      </c>
      <c r="K241" s="166">
        <v>241</v>
      </c>
      <c r="L241" s="167">
        <f t="shared" si="30"/>
        <v>5.5555555555555552E-2</v>
      </c>
      <c r="M241" s="164">
        <f t="shared" si="26"/>
        <v>0.19444444444444442</v>
      </c>
      <c r="N241" s="164">
        <f>IFERROR(VLOOKUP(B241,Custo_MI_Infra!B:E,3,FALSE),0)</f>
        <v>0</v>
      </c>
      <c r="O241" s="164">
        <f t="shared" si="27"/>
        <v>0</v>
      </c>
      <c r="P241" s="164">
        <f t="shared" si="28"/>
        <v>0</v>
      </c>
    </row>
    <row r="242" spans="1:16" s="73" customFormat="1" ht="15" customHeight="1">
      <c r="A242" s="159">
        <v>218</v>
      </c>
      <c r="B242" s="160" t="s">
        <v>591</v>
      </c>
      <c r="C242" s="161">
        <v>73071910</v>
      </c>
      <c r="D242" s="162" t="s">
        <v>595</v>
      </c>
      <c r="E242" s="163">
        <v>290</v>
      </c>
      <c r="F242" s="159">
        <v>1</v>
      </c>
      <c r="G242" s="159" t="s">
        <v>137</v>
      </c>
      <c r="H242" s="162" t="s">
        <v>152</v>
      </c>
      <c r="I242" s="164">
        <v>2.2999999999999998</v>
      </c>
      <c r="J242" s="165">
        <f t="shared" si="25"/>
        <v>2.2999999999999998</v>
      </c>
      <c r="K242" s="166">
        <v>290</v>
      </c>
      <c r="L242" s="167">
        <f t="shared" si="30"/>
        <v>5.5555555555555552E-2</v>
      </c>
      <c r="M242" s="164">
        <f t="shared" si="26"/>
        <v>0.12777777777777777</v>
      </c>
      <c r="N242" s="164">
        <f>IFERROR(VLOOKUP(B242,Custo_MI_Infra!B:E,3,FALSE),0)</f>
        <v>0</v>
      </c>
      <c r="O242" s="164">
        <f t="shared" si="27"/>
        <v>0</v>
      </c>
      <c r="P242" s="164">
        <f t="shared" si="28"/>
        <v>0</v>
      </c>
    </row>
    <row r="243" spans="1:16" s="73" customFormat="1" ht="15" customHeight="1">
      <c r="A243" s="159">
        <v>169</v>
      </c>
      <c r="B243" s="160" t="s">
        <v>591</v>
      </c>
      <c r="C243" s="161">
        <v>73071910</v>
      </c>
      <c r="D243" s="162" t="s">
        <v>596</v>
      </c>
      <c r="E243" s="163">
        <v>291</v>
      </c>
      <c r="F243" s="159">
        <v>1</v>
      </c>
      <c r="G243" s="159" t="s">
        <v>137</v>
      </c>
      <c r="H243" s="162" t="s">
        <v>152</v>
      </c>
      <c r="I243" s="164">
        <v>2.2999999999999998</v>
      </c>
      <c r="J243" s="165">
        <f t="shared" si="25"/>
        <v>2.2999999999999998</v>
      </c>
      <c r="K243" s="166">
        <v>291</v>
      </c>
      <c r="L243" s="167">
        <f t="shared" si="30"/>
        <v>5.5555555555555552E-2</v>
      </c>
      <c r="M243" s="164">
        <f t="shared" si="26"/>
        <v>0.12777777777777777</v>
      </c>
      <c r="N243" s="164">
        <f>IFERROR(VLOOKUP(B243,Custo_MI_Infra!B:E,3,FALSE),0)</f>
        <v>0</v>
      </c>
      <c r="O243" s="164">
        <f t="shared" si="27"/>
        <v>0</v>
      </c>
      <c r="P243" s="164">
        <f t="shared" si="28"/>
        <v>0</v>
      </c>
    </row>
    <row r="244" spans="1:16" s="73" customFormat="1" ht="15" customHeight="1">
      <c r="A244" s="159">
        <v>2805</v>
      </c>
      <c r="B244" s="160" t="s">
        <v>591</v>
      </c>
      <c r="C244" s="161">
        <v>72162100</v>
      </c>
      <c r="D244" s="162" t="s">
        <v>354</v>
      </c>
      <c r="E244" s="163">
        <v>0</v>
      </c>
      <c r="F244" s="159">
        <f>0.86*F260*6</f>
        <v>15.48</v>
      </c>
      <c r="G244" s="159" t="s">
        <v>175</v>
      </c>
      <c r="H244" s="162" t="s">
        <v>176</v>
      </c>
      <c r="I244" s="164">
        <v>4.22</v>
      </c>
      <c r="J244" s="165">
        <f t="shared" si="25"/>
        <v>65.325599999999994</v>
      </c>
      <c r="K244" s="166" t="s">
        <v>177</v>
      </c>
      <c r="L244" s="167">
        <f t="shared" si="30"/>
        <v>0.86</v>
      </c>
      <c r="M244" s="164">
        <f t="shared" si="26"/>
        <v>3.6291999999999995</v>
      </c>
      <c r="N244" s="164">
        <f>IFERROR(VLOOKUP(B244,Custo_MI_Infra!B:E,3,FALSE),0)</f>
        <v>0</v>
      </c>
      <c r="O244" s="164">
        <f t="shared" si="27"/>
        <v>0</v>
      </c>
      <c r="P244" s="164">
        <f t="shared" si="28"/>
        <v>0</v>
      </c>
    </row>
    <row r="245" spans="1:16" s="73" customFormat="1" ht="15" customHeight="1">
      <c r="A245" s="159">
        <v>749</v>
      </c>
      <c r="B245" s="160" t="s">
        <v>591</v>
      </c>
      <c r="C245" s="161">
        <v>73071900</v>
      </c>
      <c r="D245" s="162" t="s">
        <v>597</v>
      </c>
      <c r="E245" s="163">
        <v>120</v>
      </c>
      <c r="F245" s="159">
        <v>1</v>
      </c>
      <c r="G245" s="159" t="s">
        <v>137</v>
      </c>
      <c r="H245" s="162" t="s">
        <v>152</v>
      </c>
      <c r="I245" s="164">
        <v>14.9</v>
      </c>
      <c r="J245" s="165">
        <f t="shared" si="25"/>
        <v>14.9</v>
      </c>
      <c r="K245" s="166">
        <v>120</v>
      </c>
      <c r="L245" s="167">
        <f t="shared" si="30"/>
        <v>5.5555555555555552E-2</v>
      </c>
      <c r="M245" s="164">
        <f t="shared" si="26"/>
        <v>0.82777777777777772</v>
      </c>
      <c r="N245" s="164">
        <f>IFERROR(VLOOKUP(B245,Custo_MI_Infra!B:E,3,FALSE),0)</f>
        <v>0</v>
      </c>
      <c r="O245" s="164">
        <f t="shared" si="27"/>
        <v>0</v>
      </c>
      <c r="P245" s="164">
        <f t="shared" si="28"/>
        <v>0</v>
      </c>
    </row>
    <row r="246" spans="1:16" s="73" customFormat="1" ht="15" customHeight="1">
      <c r="A246" s="159">
        <v>2110</v>
      </c>
      <c r="B246" s="160" t="s">
        <v>591</v>
      </c>
      <c r="C246" s="161">
        <v>73071900</v>
      </c>
      <c r="D246" s="162" t="s">
        <v>598</v>
      </c>
      <c r="E246" s="163">
        <v>90</v>
      </c>
      <c r="F246" s="159">
        <v>1</v>
      </c>
      <c r="G246" s="159" t="s">
        <v>137</v>
      </c>
      <c r="H246" s="162" t="s">
        <v>152</v>
      </c>
      <c r="I246" s="164">
        <v>11.2</v>
      </c>
      <c r="J246" s="165">
        <f t="shared" si="25"/>
        <v>11.2</v>
      </c>
      <c r="K246" s="166">
        <v>90</v>
      </c>
      <c r="L246" s="167">
        <f t="shared" si="30"/>
        <v>5.5555555555555552E-2</v>
      </c>
      <c r="M246" s="164">
        <f t="shared" si="26"/>
        <v>0.62222222222222212</v>
      </c>
      <c r="N246" s="164">
        <f>IFERROR(VLOOKUP(B246,Custo_MI_Infra!B:E,3,FALSE),0)</f>
        <v>0</v>
      </c>
      <c r="O246" s="164">
        <f t="shared" si="27"/>
        <v>0</v>
      </c>
      <c r="P246" s="164">
        <f t="shared" si="28"/>
        <v>0</v>
      </c>
    </row>
    <row r="247" spans="1:16" s="73" customFormat="1" ht="15" customHeight="1">
      <c r="A247" s="159">
        <v>2896</v>
      </c>
      <c r="B247" s="160" t="s">
        <v>591</v>
      </c>
      <c r="C247" s="161">
        <v>73071900</v>
      </c>
      <c r="D247" s="162" t="s">
        <v>599</v>
      </c>
      <c r="E247" s="163">
        <v>180</v>
      </c>
      <c r="F247" s="159">
        <v>1</v>
      </c>
      <c r="G247" s="159" t="s">
        <v>137</v>
      </c>
      <c r="H247" s="162" t="s">
        <v>152</v>
      </c>
      <c r="I247" s="164">
        <v>12.95</v>
      </c>
      <c r="J247" s="165">
        <f t="shared" si="25"/>
        <v>12.95</v>
      </c>
      <c r="K247" s="166">
        <v>180</v>
      </c>
      <c r="L247" s="167">
        <f t="shared" si="30"/>
        <v>5.5555555555555552E-2</v>
      </c>
      <c r="M247" s="164">
        <f t="shared" si="26"/>
        <v>0.71944444444444433</v>
      </c>
      <c r="N247" s="164">
        <f>IFERROR(VLOOKUP(B247,Custo_MI_Infra!B:E,3,FALSE),0)</f>
        <v>0</v>
      </c>
      <c r="O247" s="164">
        <f t="shared" si="27"/>
        <v>0</v>
      </c>
      <c r="P247" s="164">
        <f t="shared" si="28"/>
        <v>0</v>
      </c>
    </row>
    <row r="248" spans="1:16" s="73" customFormat="1" ht="15" customHeight="1">
      <c r="A248" s="159">
        <v>3655</v>
      </c>
      <c r="B248" s="160" t="s">
        <v>591</v>
      </c>
      <c r="C248" s="161">
        <v>73071900</v>
      </c>
      <c r="D248" s="162" t="s">
        <v>600</v>
      </c>
      <c r="E248" s="163">
        <v>270</v>
      </c>
      <c r="F248" s="159">
        <v>1</v>
      </c>
      <c r="G248" s="159" t="s">
        <v>137</v>
      </c>
      <c r="H248" s="162" t="s">
        <v>152</v>
      </c>
      <c r="I248" s="164">
        <v>3.25</v>
      </c>
      <c r="J248" s="165">
        <f t="shared" si="25"/>
        <v>3.25</v>
      </c>
      <c r="K248" s="166">
        <v>270</v>
      </c>
      <c r="L248" s="167">
        <f t="shared" si="30"/>
        <v>5.5555555555555552E-2</v>
      </c>
      <c r="M248" s="164">
        <f t="shared" si="26"/>
        <v>0.18055555555555555</v>
      </c>
      <c r="N248" s="164">
        <f>IFERROR(VLOOKUP(B248,Custo_MI_Infra!B:E,3,FALSE),0)</f>
        <v>0</v>
      </c>
      <c r="O248" s="164">
        <f t="shared" si="27"/>
        <v>0</v>
      </c>
      <c r="P248" s="164">
        <f t="shared" si="28"/>
        <v>0</v>
      </c>
    </row>
    <row r="249" spans="1:16" s="73" customFormat="1" ht="15" customHeight="1">
      <c r="A249" s="159">
        <v>3419</v>
      </c>
      <c r="B249" s="160" t="s">
        <v>591</v>
      </c>
      <c r="C249" s="161">
        <v>73071900</v>
      </c>
      <c r="D249" s="162" t="s">
        <v>601</v>
      </c>
      <c r="E249" s="163">
        <v>240</v>
      </c>
      <c r="F249" s="159">
        <v>1</v>
      </c>
      <c r="G249" s="159" t="s">
        <v>137</v>
      </c>
      <c r="H249" s="162" t="s">
        <v>152</v>
      </c>
      <c r="I249" s="164">
        <v>4.9800000000000004</v>
      </c>
      <c r="J249" s="165">
        <f t="shared" si="25"/>
        <v>4.9800000000000004</v>
      </c>
      <c r="K249" s="166">
        <v>240</v>
      </c>
      <c r="L249" s="167">
        <f t="shared" si="30"/>
        <v>5.5555555555555552E-2</v>
      </c>
      <c r="M249" s="164">
        <f t="shared" si="26"/>
        <v>0.27666666666666667</v>
      </c>
      <c r="N249" s="164">
        <f>IFERROR(VLOOKUP(B249,Custo_MI_Infra!B:E,3,FALSE),0)</f>
        <v>0</v>
      </c>
      <c r="O249" s="164">
        <f t="shared" si="27"/>
        <v>0</v>
      </c>
      <c r="P249" s="164">
        <f t="shared" si="28"/>
        <v>0</v>
      </c>
    </row>
    <row r="250" spans="1:16" s="73" customFormat="1" ht="15" customHeight="1">
      <c r="A250" s="159">
        <v>3027</v>
      </c>
      <c r="B250" s="160" t="s">
        <v>591</v>
      </c>
      <c r="C250" s="161">
        <v>73071900</v>
      </c>
      <c r="D250" s="162" t="s">
        <v>602</v>
      </c>
      <c r="E250" s="163">
        <v>240</v>
      </c>
      <c r="F250" s="159">
        <v>1</v>
      </c>
      <c r="G250" s="159" t="s">
        <v>137</v>
      </c>
      <c r="H250" s="162" t="s">
        <v>152</v>
      </c>
      <c r="I250" s="164">
        <v>5.5</v>
      </c>
      <c r="J250" s="165">
        <f t="shared" si="25"/>
        <v>5.5</v>
      </c>
      <c r="K250" s="166">
        <v>240</v>
      </c>
      <c r="L250" s="167">
        <f t="shared" si="30"/>
        <v>5.5555555555555552E-2</v>
      </c>
      <c r="M250" s="164">
        <f t="shared" si="26"/>
        <v>0.30555555555555552</v>
      </c>
      <c r="N250" s="164">
        <f>IFERROR(VLOOKUP(B250,Custo_MI_Infra!B:E,3,FALSE),0)</f>
        <v>0</v>
      </c>
      <c r="O250" s="164">
        <f t="shared" si="27"/>
        <v>0</v>
      </c>
      <c r="P250" s="164">
        <f t="shared" si="28"/>
        <v>0</v>
      </c>
    </row>
    <row r="251" spans="1:16" s="73" customFormat="1" ht="15" customHeight="1">
      <c r="A251" s="159">
        <v>2964</v>
      </c>
      <c r="B251" s="160" t="s">
        <v>591</v>
      </c>
      <c r="C251" s="161">
        <v>73071900</v>
      </c>
      <c r="D251" s="162" t="s">
        <v>603</v>
      </c>
      <c r="E251" s="163">
        <v>240</v>
      </c>
      <c r="F251" s="159">
        <v>1</v>
      </c>
      <c r="G251" s="159" t="s">
        <v>137</v>
      </c>
      <c r="H251" s="162" t="s">
        <v>152</v>
      </c>
      <c r="I251" s="164">
        <v>5.2</v>
      </c>
      <c r="J251" s="165">
        <f t="shared" si="25"/>
        <v>5.2</v>
      </c>
      <c r="K251" s="166">
        <v>240</v>
      </c>
      <c r="L251" s="167">
        <f t="shared" si="30"/>
        <v>5.5555555555555552E-2</v>
      </c>
      <c r="M251" s="164">
        <f t="shared" si="26"/>
        <v>0.28888888888888886</v>
      </c>
      <c r="N251" s="164">
        <f>IFERROR(VLOOKUP(B251,Custo_MI_Infra!B:E,3,FALSE),0)</f>
        <v>0</v>
      </c>
      <c r="O251" s="164">
        <f t="shared" si="27"/>
        <v>0</v>
      </c>
      <c r="P251" s="164">
        <f t="shared" si="28"/>
        <v>0</v>
      </c>
    </row>
    <row r="252" spans="1:16" s="73" customFormat="1" ht="15" customHeight="1">
      <c r="A252" s="159">
        <v>3386</v>
      </c>
      <c r="B252" s="160" t="s">
        <v>591</v>
      </c>
      <c r="C252" s="161">
        <v>73071990</v>
      </c>
      <c r="D252" s="162" t="s">
        <v>604</v>
      </c>
      <c r="E252" s="163">
        <v>280</v>
      </c>
      <c r="F252" s="159">
        <v>1</v>
      </c>
      <c r="G252" s="159" t="s">
        <v>137</v>
      </c>
      <c r="H252" s="162" t="s">
        <v>152</v>
      </c>
      <c r="I252" s="164">
        <v>4.1500000000000004</v>
      </c>
      <c r="J252" s="165">
        <f t="shared" si="25"/>
        <v>4.1500000000000004</v>
      </c>
      <c r="K252" s="166">
        <v>280</v>
      </c>
      <c r="L252" s="167">
        <f t="shared" si="30"/>
        <v>5.5555555555555552E-2</v>
      </c>
      <c r="M252" s="164">
        <f t="shared" si="26"/>
        <v>0.23055555555555557</v>
      </c>
      <c r="N252" s="164">
        <f>IFERROR(VLOOKUP(B252,Custo_MI_Infra!B:E,3,FALSE),0)</f>
        <v>0</v>
      </c>
      <c r="O252" s="164">
        <f t="shared" si="27"/>
        <v>0</v>
      </c>
      <c r="P252" s="164">
        <f t="shared" si="28"/>
        <v>0</v>
      </c>
    </row>
    <row r="253" spans="1:16" s="73" customFormat="1" ht="15" customHeight="1">
      <c r="A253" s="159">
        <v>3274</v>
      </c>
      <c r="B253" s="160" t="s">
        <v>591</v>
      </c>
      <c r="C253" s="161">
        <v>73181500</v>
      </c>
      <c r="D253" s="162" t="s">
        <v>265</v>
      </c>
      <c r="E253" s="163" t="s">
        <v>266</v>
      </c>
      <c r="F253" s="159">
        <v>12</v>
      </c>
      <c r="G253" s="159" t="s">
        <v>137</v>
      </c>
      <c r="H253" s="162" t="s">
        <v>256</v>
      </c>
      <c r="I253" s="164">
        <v>0.06</v>
      </c>
      <c r="J253" s="165">
        <f t="shared" si="25"/>
        <v>0.72</v>
      </c>
      <c r="K253" s="166" t="s">
        <v>266</v>
      </c>
      <c r="L253" s="167">
        <f t="shared" si="30"/>
        <v>0.66666666666666663</v>
      </c>
      <c r="M253" s="164">
        <f t="shared" si="26"/>
        <v>3.9999999999999994E-2</v>
      </c>
      <c r="N253" s="164">
        <f>IFERROR(VLOOKUP(B253,Custo_MI_Infra!B:E,3,FALSE),0)</f>
        <v>0</v>
      </c>
      <c r="O253" s="164">
        <f t="shared" si="27"/>
        <v>0</v>
      </c>
      <c r="P253" s="164">
        <f t="shared" si="28"/>
        <v>0</v>
      </c>
    </row>
    <row r="254" spans="1:16" s="73" customFormat="1" ht="15" customHeight="1">
      <c r="A254" s="159">
        <v>5048</v>
      </c>
      <c r="B254" s="160" t="s">
        <v>591</v>
      </c>
      <c r="C254" s="161">
        <v>73071100</v>
      </c>
      <c r="D254" s="162" t="s">
        <v>605</v>
      </c>
      <c r="E254" s="163">
        <v>301</v>
      </c>
      <c r="F254" s="159">
        <v>1</v>
      </c>
      <c r="G254" s="159" t="s">
        <v>137</v>
      </c>
      <c r="H254" s="162" t="s">
        <v>152</v>
      </c>
      <c r="I254" s="164">
        <v>2.35</v>
      </c>
      <c r="J254" s="165">
        <f t="shared" si="25"/>
        <v>2.35</v>
      </c>
      <c r="K254" s="166">
        <v>301</v>
      </c>
      <c r="L254" s="167">
        <f t="shared" si="30"/>
        <v>5.5555555555555552E-2</v>
      </c>
      <c r="M254" s="164">
        <f t="shared" si="26"/>
        <v>0.13055555555555556</v>
      </c>
      <c r="N254" s="164">
        <f>IFERROR(VLOOKUP(B254,Custo_MI_Infra!B:E,3,FALSE),0)</f>
        <v>0</v>
      </c>
      <c r="O254" s="164">
        <f t="shared" si="27"/>
        <v>0</v>
      </c>
      <c r="P254" s="164">
        <f t="shared" si="28"/>
        <v>0</v>
      </c>
    </row>
    <row r="255" spans="1:16" s="73" customFormat="1" ht="15" customHeight="1">
      <c r="A255" s="159">
        <v>2516</v>
      </c>
      <c r="B255" s="160" t="s">
        <v>591</v>
      </c>
      <c r="C255" s="161">
        <v>73071900</v>
      </c>
      <c r="D255" s="162" t="s">
        <v>606</v>
      </c>
      <c r="E255" s="163">
        <v>300</v>
      </c>
      <c r="F255" s="159">
        <v>1</v>
      </c>
      <c r="G255" s="159" t="s">
        <v>137</v>
      </c>
      <c r="H255" s="162" t="s">
        <v>152</v>
      </c>
      <c r="I255" s="164">
        <v>2.35</v>
      </c>
      <c r="J255" s="165">
        <f t="shared" si="25"/>
        <v>2.35</v>
      </c>
      <c r="K255" s="166">
        <v>300</v>
      </c>
      <c r="L255" s="167">
        <f t="shared" si="30"/>
        <v>5.5555555555555552E-2</v>
      </c>
      <c r="M255" s="164">
        <f t="shared" si="26"/>
        <v>0.13055555555555556</v>
      </c>
      <c r="N255" s="164">
        <f>IFERROR(VLOOKUP(B255,Custo_MI_Infra!B:E,3,FALSE),0)</f>
        <v>0</v>
      </c>
      <c r="O255" s="164">
        <f t="shared" si="27"/>
        <v>0</v>
      </c>
      <c r="P255" s="164">
        <f t="shared" si="28"/>
        <v>0</v>
      </c>
    </row>
    <row r="256" spans="1:16" s="73" customFormat="1" ht="15" customHeight="1">
      <c r="A256" s="159">
        <v>3091</v>
      </c>
      <c r="B256" s="160" t="s">
        <v>591</v>
      </c>
      <c r="C256" s="161">
        <v>0</v>
      </c>
      <c r="D256" s="162" t="s">
        <v>607</v>
      </c>
      <c r="E256" s="163" t="s">
        <v>545</v>
      </c>
      <c r="F256" s="159">
        <v>1</v>
      </c>
      <c r="G256" s="159" t="s">
        <v>137</v>
      </c>
      <c r="H256" s="162" t="s">
        <v>152</v>
      </c>
      <c r="I256" s="164">
        <v>9.5</v>
      </c>
      <c r="J256" s="165">
        <f t="shared" si="25"/>
        <v>9.5</v>
      </c>
      <c r="K256" s="166" t="s">
        <v>545</v>
      </c>
      <c r="L256" s="167">
        <f t="shared" si="30"/>
        <v>5.5555555555555552E-2</v>
      </c>
      <c r="M256" s="164">
        <f t="shared" si="26"/>
        <v>0.52777777777777779</v>
      </c>
      <c r="N256" s="164">
        <f>IFERROR(VLOOKUP(B256,Custo_MI_Infra!B:E,3,FALSE),0)</f>
        <v>0</v>
      </c>
      <c r="O256" s="164">
        <f t="shared" si="27"/>
        <v>0</v>
      </c>
      <c r="P256" s="164">
        <f t="shared" si="28"/>
        <v>0</v>
      </c>
    </row>
    <row r="257" spans="1:16" s="73" customFormat="1" ht="15" customHeight="1">
      <c r="A257" s="159">
        <v>3036</v>
      </c>
      <c r="B257" s="160" t="s">
        <v>591</v>
      </c>
      <c r="C257" s="161">
        <v>0</v>
      </c>
      <c r="D257" s="162" t="s">
        <v>608</v>
      </c>
      <c r="E257" s="163" t="s">
        <v>545</v>
      </c>
      <c r="F257" s="159">
        <v>1</v>
      </c>
      <c r="G257" s="159" t="s">
        <v>137</v>
      </c>
      <c r="H257" s="162" t="s">
        <v>152</v>
      </c>
      <c r="I257" s="164">
        <v>9.9</v>
      </c>
      <c r="J257" s="165">
        <f t="shared" si="25"/>
        <v>9.9</v>
      </c>
      <c r="K257" s="166" t="s">
        <v>545</v>
      </c>
      <c r="L257" s="167">
        <f t="shared" si="30"/>
        <v>5.5555555555555552E-2</v>
      </c>
      <c r="M257" s="164">
        <f t="shared" si="26"/>
        <v>0.55000000000000004</v>
      </c>
      <c r="N257" s="164">
        <f>IFERROR(VLOOKUP(B257,Custo_MI_Infra!B:E,3,FALSE),0)</f>
        <v>0</v>
      </c>
      <c r="O257" s="164">
        <f t="shared" si="27"/>
        <v>0</v>
      </c>
      <c r="P257" s="164">
        <f t="shared" si="28"/>
        <v>0</v>
      </c>
    </row>
    <row r="258" spans="1:16" s="73" customFormat="1" ht="15" customHeight="1">
      <c r="A258" s="159">
        <v>3354</v>
      </c>
      <c r="B258" s="160" t="s">
        <v>591</v>
      </c>
      <c r="C258" s="161">
        <v>73071100</v>
      </c>
      <c r="D258" s="162" t="s">
        <v>609</v>
      </c>
      <c r="E258" s="163">
        <v>130</v>
      </c>
      <c r="F258" s="159">
        <v>1</v>
      </c>
      <c r="G258" s="159" t="s">
        <v>137</v>
      </c>
      <c r="H258" s="162" t="s">
        <v>152</v>
      </c>
      <c r="I258" s="164">
        <v>6.8</v>
      </c>
      <c r="J258" s="165">
        <f t="shared" si="25"/>
        <v>6.8</v>
      </c>
      <c r="K258" s="166">
        <v>130</v>
      </c>
      <c r="L258" s="167">
        <f t="shared" si="30"/>
        <v>5.5555555555555552E-2</v>
      </c>
      <c r="M258" s="164">
        <f t="shared" si="26"/>
        <v>0.37777777777777777</v>
      </c>
      <c r="N258" s="164">
        <f>IFERROR(VLOOKUP(B258,Custo_MI_Infra!B:E,3,FALSE),0)</f>
        <v>0</v>
      </c>
      <c r="O258" s="164">
        <f t="shared" si="27"/>
        <v>0</v>
      </c>
      <c r="P258" s="164">
        <f t="shared" si="28"/>
        <v>0</v>
      </c>
    </row>
    <row r="259" spans="1:16" s="73" customFormat="1" ht="15" customHeight="1">
      <c r="A259" s="159">
        <v>4167</v>
      </c>
      <c r="B259" s="160" t="s">
        <v>591</v>
      </c>
      <c r="C259" s="161">
        <v>73071100</v>
      </c>
      <c r="D259" s="162" t="s">
        <v>610</v>
      </c>
      <c r="E259" s="163">
        <v>165</v>
      </c>
      <c r="F259" s="159">
        <v>1</v>
      </c>
      <c r="G259" s="159" t="s">
        <v>137</v>
      </c>
      <c r="H259" s="162" t="s">
        <v>152</v>
      </c>
      <c r="I259" s="164">
        <v>7.55</v>
      </c>
      <c r="J259" s="165">
        <f t="shared" ref="J259:J262" si="31">F259*I259</f>
        <v>7.55</v>
      </c>
      <c r="K259" s="166">
        <v>165</v>
      </c>
      <c r="L259" s="167">
        <f t="shared" si="30"/>
        <v>5.5555555555555552E-2</v>
      </c>
      <c r="M259" s="164">
        <f t="shared" si="26"/>
        <v>0.4194444444444444</v>
      </c>
      <c r="N259" s="164">
        <f>IFERROR(VLOOKUP(B259,Custo_MI_Infra!B:E,3,FALSE),0)</f>
        <v>0</v>
      </c>
      <c r="O259" s="164">
        <f t="shared" si="27"/>
        <v>0</v>
      </c>
      <c r="P259" s="164">
        <f t="shared" si="28"/>
        <v>0</v>
      </c>
    </row>
    <row r="260" spans="1:16" s="73" customFormat="1" ht="27" customHeight="1">
      <c r="A260" s="159">
        <v>3502</v>
      </c>
      <c r="B260" s="160" t="s">
        <v>591</v>
      </c>
      <c r="C260" s="161">
        <v>73063000</v>
      </c>
      <c r="D260" s="162" t="s">
        <v>611</v>
      </c>
      <c r="E260" s="163">
        <v>0</v>
      </c>
      <c r="F260" s="63">
        <v>3</v>
      </c>
      <c r="G260" s="159" t="s">
        <v>232</v>
      </c>
      <c r="H260" s="162" t="s">
        <v>233</v>
      </c>
      <c r="I260" s="164">
        <v>75.3</v>
      </c>
      <c r="J260" s="165">
        <f t="shared" si="31"/>
        <v>225.89999999999998</v>
      </c>
      <c r="K260" s="166" t="s">
        <v>612</v>
      </c>
      <c r="L260" s="167">
        <f t="shared" si="30"/>
        <v>0.16666666666666666</v>
      </c>
      <c r="M260" s="164">
        <f t="shared" ref="M260:M262" si="32">L260*I260</f>
        <v>12.549999999999999</v>
      </c>
      <c r="N260" s="164">
        <f>IFERROR(VLOOKUP(B260,Custo_MI_Infra!B:E,3,FALSE),0)</f>
        <v>0</v>
      </c>
      <c r="O260" s="164">
        <f t="shared" ref="O260:O262" si="33">N260*L260</f>
        <v>0</v>
      </c>
      <c r="P260" s="164">
        <f t="shared" ref="P260:P262" si="34">O260*I260</f>
        <v>0</v>
      </c>
    </row>
    <row r="261" spans="1:16" s="73" customFormat="1" ht="15" customHeight="1">
      <c r="A261" s="159">
        <v>1960</v>
      </c>
      <c r="B261" s="160" t="s">
        <v>591</v>
      </c>
      <c r="C261" s="161">
        <v>73071100</v>
      </c>
      <c r="D261" s="162" t="s">
        <v>613</v>
      </c>
      <c r="E261" s="163">
        <v>342</v>
      </c>
      <c r="F261" s="159">
        <v>1</v>
      </c>
      <c r="G261" s="159" t="s">
        <v>137</v>
      </c>
      <c r="H261" s="162" t="s">
        <v>152</v>
      </c>
      <c r="I261" s="164">
        <v>37</v>
      </c>
      <c r="J261" s="165">
        <f t="shared" si="31"/>
        <v>37</v>
      </c>
      <c r="K261" s="166">
        <v>342</v>
      </c>
      <c r="L261" s="167">
        <f t="shared" si="30"/>
        <v>5.5555555555555552E-2</v>
      </c>
      <c r="M261" s="164">
        <f t="shared" si="32"/>
        <v>2.0555555555555554</v>
      </c>
      <c r="N261" s="164">
        <f>IFERROR(VLOOKUP(B261,Custo_MI_Infra!B:E,3,FALSE),0)</f>
        <v>0</v>
      </c>
      <c r="O261" s="164">
        <f t="shared" si="33"/>
        <v>0</v>
      </c>
      <c r="P261" s="164">
        <f t="shared" si="34"/>
        <v>0</v>
      </c>
    </row>
    <row r="262" spans="1:16" s="73" customFormat="1" ht="27" customHeight="1">
      <c r="A262" s="159">
        <v>3676</v>
      </c>
      <c r="B262" s="160" t="s">
        <v>591</v>
      </c>
      <c r="C262" s="161">
        <v>84818095</v>
      </c>
      <c r="D262" s="162" t="s">
        <v>614</v>
      </c>
      <c r="E262" s="163">
        <v>0</v>
      </c>
      <c r="F262" s="159">
        <v>1</v>
      </c>
      <c r="G262" s="159" t="s">
        <v>137</v>
      </c>
      <c r="H262" s="162" t="s">
        <v>304</v>
      </c>
      <c r="I262" s="164">
        <v>36</v>
      </c>
      <c r="J262" s="165">
        <f t="shared" si="31"/>
        <v>36</v>
      </c>
      <c r="K262" s="166" t="s">
        <v>615</v>
      </c>
      <c r="L262" s="167">
        <f t="shared" si="30"/>
        <v>5.5555555555555552E-2</v>
      </c>
      <c r="M262" s="164">
        <f t="shared" si="32"/>
        <v>2</v>
      </c>
      <c r="N262" s="164">
        <f>IFERROR(VLOOKUP(B262,Custo_MI_Infra!B:E,3,FALSE),0)</f>
        <v>0</v>
      </c>
      <c r="O262" s="164">
        <f t="shared" si="33"/>
        <v>0</v>
      </c>
      <c r="P262" s="164">
        <f t="shared" si="34"/>
        <v>0</v>
      </c>
    </row>
    <row r="263" spans="1:16" ht="13.5" customHeight="1">
      <c r="A263" s="168"/>
      <c r="B263" s="41"/>
      <c r="C263" s="41"/>
      <c r="D263" s="41"/>
      <c r="E263" s="41"/>
      <c r="F263" s="41"/>
      <c r="G263" s="169"/>
      <c r="H263" s="41"/>
      <c r="I263" s="41"/>
      <c r="J263" s="41"/>
      <c r="K263" s="41"/>
      <c r="L263" s="170"/>
      <c r="M263" s="171"/>
      <c r="N263" s="171"/>
      <c r="O263" s="172"/>
      <c r="P263" s="171"/>
    </row>
    <row r="264" spans="1:16" ht="13.5" customHeight="1">
      <c r="A264" s="168"/>
      <c r="B264" s="41"/>
      <c r="C264" s="41"/>
      <c r="D264" s="41"/>
      <c r="E264" s="41"/>
      <c r="F264" s="41"/>
      <c r="G264" s="169"/>
      <c r="H264" s="41"/>
      <c r="I264" s="41"/>
      <c r="J264" s="41"/>
      <c r="K264" s="41"/>
      <c r="L264" s="170"/>
      <c r="M264" s="171"/>
      <c r="N264" s="171"/>
      <c r="O264" s="172"/>
      <c r="P264" s="171"/>
    </row>
    <row r="265" spans="1:16" ht="13.5" customHeight="1">
      <c r="A265" s="168"/>
      <c r="B265" s="41"/>
      <c r="C265" s="41"/>
      <c r="D265" s="41"/>
      <c r="E265" s="41"/>
      <c r="F265" s="41"/>
      <c r="G265" s="169"/>
      <c r="H265" s="41"/>
      <c r="I265" s="41"/>
      <c r="J265" s="41"/>
      <c r="K265" s="41"/>
      <c r="L265" s="170"/>
      <c r="M265" s="171"/>
      <c r="N265" s="171"/>
      <c r="O265" s="172"/>
      <c r="P265" s="171"/>
    </row>
    <row r="266" spans="1:16" ht="13.5" customHeight="1">
      <c r="A266" s="168"/>
      <c r="B266" s="41"/>
      <c r="C266" s="41"/>
      <c r="D266" s="41"/>
      <c r="E266" s="41"/>
      <c r="F266" s="41"/>
      <c r="G266" s="169"/>
      <c r="H266" s="41"/>
      <c r="I266" s="41"/>
      <c r="J266" s="41"/>
      <c r="K266" s="41"/>
      <c r="L266" s="170"/>
      <c r="M266" s="171"/>
      <c r="N266" s="171"/>
      <c r="O266" s="172"/>
      <c r="P266" s="171"/>
    </row>
    <row r="267" spans="1:16" ht="13.5" customHeight="1">
      <c r="A267" s="168"/>
      <c r="B267" s="41"/>
      <c r="C267" s="41"/>
      <c r="D267" s="41"/>
      <c r="E267" s="41"/>
      <c r="F267" s="41"/>
      <c r="G267" s="169"/>
      <c r="H267" s="41"/>
      <c r="I267" s="41"/>
      <c r="J267" s="41"/>
      <c r="K267" s="41"/>
      <c r="L267" s="170"/>
      <c r="M267" s="171"/>
      <c r="N267" s="171"/>
      <c r="O267" s="172"/>
      <c r="P267" s="171"/>
    </row>
    <row r="268" spans="1:16" ht="13.5" customHeight="1">
      <c r="A268" s="168"/>
      <c r="B268" s="41"/>
      <c r="C268" s="41"/>
      <c r="D268" s="41"/>
      <c r="E268" s="41"/>
      <c r="F268" s="41"/>
      <c r="G268" s="169"/>
      <c r="H268" s="41"/>
      <c r="I268" s="41"/>
      <c r="J268" s="41"/>
      <c r="K268" s="41"/>
      <c r="L268" s="170"/>
      <c r="M268" s="171"/>
      <c r="N268" s="171"/>
      <c r="O268" s="172"/>
      <c r="P268" s="171"/>
    </row>
    <row r="269" spans="1:16" ht="13.5" customHeight="1">
      <c r="A269" s="168"/>
      <c r="B269" s="41"/>
      <c r="C269" s="41"/>
      <c r="D269" s="41"/>
      <c r="E269" s="41"/>
      <c r="F269" s="41"/>
      <c r="G269" s="169"/>
      <c r="H269" s="41"/>
      <c r="I269" s="41"/>
      <c r="J269" s="41"/>
      <c r="K269" s="41"/>
      <c r="L269" s="170"/>
      <c r="M269" s="171"/>
      <c r="N269" s="171"/>
      <c r="O269" s="172"/>
      <c r="P269" s="171"/>
    </row>
    <row r="270" spans="1:16" ht="13.5" customHeight="1">
      <c r="A270" s="168"/>
      <c r="B270" s="41"/>
      <c r="C270" s="41"/>
      <c r="D270" s="41"/>
      <c r="E270" s="41"/>
      <c r="F270" s="41"/>
      <c r="G270" s="169"/>
      <c r="H270" s="41"/>
      <c r="I270" s="41"/>
      <c r="J270" s="41"/>
      <c r="K270" s="41"/>
      <c r="L270" s="170">
        <f>280/3</f>
        <v>93.333333333333329</v>
      </c>
      <c r="M270" s="171"/>
      <c r="N270" s="171"/>
      <c r="O270" s="172"/>
      <c r="P270" s="171"/>
    </row>
    <row r="271" spans="1:16" ht="13.5" customHeight="1">
      <c r="A271" s="168"/>
      <c r="B271" s="41"/>
      <c r="C271" s="41"/>
      <c r="D271" s="41"/>
      <c r="E271" s="41"/>
      <c r="F271" s="41"/>
      <c r="G271" s="169"/>
      <c r="H271" s="41"/>
      <c r="I271" s="41"/>
      <c r="J271" s="41"/>
      <c r="K271" s="41"/>
      <c r="L271" s="170">
        <f>L270*I145</f>
        <v>11119.733333333334</v>
      </c>
      <c r="M271" s="171"/>
      <c r="N271" s="171"/>
      <c r="O271" s="172"/>
      <c r="P271" s="171"/>
    </row>
    <row r="272" spans="1:16" ht="13.5" customHeight="1">
      <c r="A272" s="168"/>
      <c r="B272" s="41"/>
      <c r="C272" s="41"/>
      <c r="D272" s="41"/>
      <c r="E272" s="41"/>
      <c r="F272" s="41"/>
      <c r="G272" s="169"/>
      <c r="H272" s="41"/>
      <c r="I272" s="41"/>
      <c r="J272" s="41"/>
      <c r="K272" s="41"/>
      <c r="L272" s="170"/>
      <c r="M272" s="171"/>
      <c r="N272" s="171"/>
      <c r="O272" s="172"/>
      <c r="P272" s="171"/>
    </row>
    <row r="273" spans="1:16" ht="13.5" customHeight="1">
      <c r="A273" s="168"/>
      <c r="B273" s="41"/>
      <c r="C273" s="41"/>
      <c r="D273" s="41"/>
      <c r="E273" s="41"/>
      <c r="F273" s="41"/>
      <c r="G273" s="169"/>
      <c r="H273" s="41"/>
      <c r="I273" s="41"/>
      <c r="J273" s="41"/>
      <c r="K273" s="41"/>
      <c r="L273" s="170"/>
      <c r="M273" s="171"/>
      <c r="N273" s="171"/>
      <c r="O273" s="172"/>
      <c r="P273" s="171"/>
    </row>
    <row r="274" spans="1:16" ht="13.5" customHeight="1">
      <c r="A274" s="168"/>
      <c r="B274" s="41"/>
      <c r="C274" s="41"/>
      <c r="D274" s="41"/>
      <c r="E274" s="41"/>
      <c r="F274" s="41"/>
      <c r="G274" s="169"/>
      <c r="H274" s="41"/>
      <c r="I274" s="41"/>
      <c r="J274" s="41"/>
      <c r="K274" s="41"/>
      <c r="L274" s="170"/>
      <c r="M274" s="171"/>
      <c r="N274" s="171"/>
      <c r="O274" s="172"/>
      <c r="P274" s="171"/>
    </row>
    <row r="275" spans="1:16" ht="13.5" customHeight="1">
      <c r="A275" s="168"/>
      <c r="B275" s="41"/>
      <c r="C275" s="41"/>
      <c r="D275" s="41"/>
      <c r="E275" s="41"/>
      <c r="F275" s="41"/>
      <c r="G275" s="169"/>
      <c r="H275" s="41"/>
      <c r="I275" s="41"/>
      <c r="J275" s="41"/>
      <c r="K275" s="41"/>
      <c r="L275" s="170"/>
      <c r="M275" s="171"/>
      <c r="N275" s="171"/>
      <c r="O275" s="172"/>
      <c r="P275" s="171"/>
    </row>
    <row r="276" spans="1:16" ht="13.5" customHeight="1">
      <c r="A276" s="168"/>
      <c r="B276" s="41"/>
      <c r="C276" s="41"/>
      <c r="D276" s="41"/>
      <c r="E276" s="41"/>
      <c r="F276" s="41"/>
      <c r="G276" s="169"/>
      <c r="H276" s="41"/>
      <c r="I276" s="41"/>
      <c r="J276" s="41"/>
      <c r="K276" s="41"/>
      <c r="L276" s="170"/>
      <c r="M276" s="171"/>
      <c r="N276" s="171"/>
      <c r="O276" s="172"/>
      <c r="P276" s="171"/>
    </row>
    <row r="277" spans="1:16" ht="13.5" customHeight="1">
      <c r="A277" s="168"/>
      <c r="B277" s="41"/>
      <c r="C277" s="41"/>
      <c r="D277" s="41"/>
      <c r="E277" s="41"/>
      <c r="F277" s="41"/>
      <c r="G277" s="169"/>
      <c r="H277" s="41"/>
      <c r="I277" s="41"/>
      <c r="J277" s="41"/>
      <c r="K277" s="41"/>
      <c r="L277" s="170"/>
      <c r="M277" s="171"/>
      <c r="N277" s="171"/>
      <c r="O277" s="172"/>
      <c r="P277" s="171"/>
    </row>
    <row r="278" spans="1:16" ht="13.5" customHeight="1">
      <c r="A278" s="168"/>
      <c r="B278" s="41"/>
      <c r="C278" s="41"/>
      <c r="D278" s="41"/>
      <c r="E278" s="41"/>
      <c r="F278" s="41"/>
      <c r="G278" s="169"/>
      <c r="H278" s="41"/>
      <c r="I278" s="41"/>
      <c r="J278" s="41"/>
      <c r="K278" s="41"/>
      <c r="L278" s="170"/>
      <c r="M278" s="171"/>
      <c r="N278" s="171"/>
      <c r="O278" s="172"/>
      <c r="P278" s="171"/>
    </row>
    <row r="279" spans="1:16" ht="13.5" customHeight="1">
      <c r="A279" s="168"/>
      <c r="B279" s="41"/>
      <c r="C279" s="41"/>
      <c r="D279" s="41"/>
      <c r="E279" s="41"/>
      <c r="F279" s="41"/>
      <c r="G279" s="169"/>
      <c r="H279" s="41"/>
      <c r="I279" s="41"/>
      <c r="J279" s="41"/>
      <c r="K279" s="41"/>
      <c r="L279" s="170"/>
      <c r="M279" s="171"/>
      <c r="N279" s="171"/>
      <c r="O279" s="172"/>
      <c r="P279" s="171"/>
    </row>
    <row r="280" spans="1:16" ht="13.5" customHeight="1">
      <c r="A280" s="168"/>
      <c r="B280" s="41"/>
      <c r="C280" s="41"/>
      <c r="D280" s="41"/>
      <c r="E280" s="41"/>
      <c r="F280" s="41"/>
      <c r="G280" s="169"/>
      <c r="H280" s="41"/>
      <c r="I280" s="41"/>
      <c r="J280" s="41"/>
      <c r="K280" s="41"/>
      <c r="L280" s="170"/>
      <c r="M280" s="171"/>
      <c r="N280" s="171"/>
      <c r="O280" s="172"/>
      <c r="P280" s="171"/>
    </row>
    <row r="281" spans="1:16" ht="13.5" customHeight="1">
      <c r="A281" s="168"/>
      <c r="B281" s="41"/>
      <c r="C281" s="41"/>
      <c r="D281" s="41"/>
      <c r="E281" s="41"/>
      <c r="F281" s="41"/>
      <c r="G281" s="169"/>
      <c r="H281" s="41"/>
      <c r="I281" s="41"/>
      <c r="J281" s="41"/>
      <c r="K281" s="41"/>
      <c r="L281" s="170"/>
      <c r="M281" s="171"/>
      <c r="N281" s="171"/>
      <c r="O281" s="172"/>
      <c r="P281" s="171"/>
    </row>
    <row r="282" spans="1:16" ht="13.5" customHeight="1">
      <c r="A282" s="168"/>
      <c r="B282" s="41"/>
      <c r="C282" s="41"/>
      <c r="D282" s="41"/>
      <c r="E282" s="41"/>
      <c r="F282" s="41"/>
      <c r="G282" s="169"/>
      <c r="H282" s="41"/>
      <c r="I282" s="41"/>
      <c r="J282" s="41"/>
      <c r="K282" s="41"/>
      <c r="L282" s="170"/>
      <c r="M282" s="171"/>
      <c r="N282" s="171"/>
      <c r="O282" s="172"/>
      <c r="P282" s="171"/>
    </row>
    <row r="283" spans="1:16" ht="13.5" customHeight="1">
      <c r="A283" s="168"/>
      <c r="B283" s="41"/>
      <c r="C283" s="41"/>
      <c r="D283" s="41"/>
      <c r="E283" s="41"/>
      <c r="F283" s="41"/>
      <c r="G283" s="169"/>
      <c r="H283" s="41"/>
      <c r="I283" s="41"/>
      <c r="J283" s="41"/>
      <c r="K283" s="41"/>
      <c r="L283" s="170"/>
      <c r="M283" s="171"/>
      <c r="N283" s="171"/>
      <c r="O283" s="172"/>
      <c r="P283" s="171"/>
    </row>
    <row r="284" spans="1:16" ht="13.5" customHeight="1">
      <c r="A284" s="168"/>
      <c r="B284" s="41"/>
      <c r="C284" s="41"/>
      <c r="D284" s="41"/>
      <c r="E284" s="41"/>
      <c r="F284" s="41"/>
      <c r="G284" s="169"/>
      <c r="H284" s="41"/>
      <c r="I284" s="41"/>
      <c r="J284" s="41"/>
      <c r="K284" s="41"/>
      <c r="L284" s="170"/>
      <c r="M284" s="171"/>
      <c r="N284" s="171"/>
      <c r="O284" s="172"/>
      <c r="P284" s="171"/>
    </row>
    <row r="285" spans="1:16" ht="13.5" customHeight="1">
      <c r="A285" s="168"/>
      <c r="B285" s="41"/>
      <c r="C285" s="41"/>
      <c r="D285" s="41"/>
      <c r="E285" s="41"/>
      <c r="F285" s="41"/>
      <c r="G285" s="169"/>
      <c r="H285" s="41"/>
      <c r="I285" s="41"/>
      <c r="J285" s="41"/>
      <c r="K285" s="41"/>
      <c r="L285" s="170"/>
      <c r="M285" s="171"/>
      <c r="N285" s="171"/>
      <c r="O285" s="172"/>
      <c r="P285" s="171"/>
    </row>
    <row r="286" spans="1:16" ht="13.5" customHeight="1">
      <c r="A286" s="168"/>
      <c r="B286" s="41"/>
      <c r="C286" s="41"/>
      <c r="D286" s="41"/>
      <c r="E286" s="41"/>
      <c r="F286" s="41"/>
      <c r="G286" s="169"/>
      <c r="H286" s="41"/>
      <c r="I286" s="41"/>
      <c r="J286" s="41"/>
      <c r="K286" s="41"/>
      <c r="L286" s="170"/>
      <c r="M286" s="171"/>
      <c r="N286" s="171"/>
      <c r="O286" s="172"/>
      <c r="P286" s="171"/>
    </row>
    <row r="287" spans="1:16" ht="13.5" customHeight="1">
      <c r="A287" s="168"/>
      <c r="B287" s="41"/>
      <c r="C287" s="41"/>
      <c r="D287" s="41"/>
      <c r="E287" s="41"/>
      <c r="F287" s="41"/>
      <c r="G287" s="169"/>
      <c r="H287" s="41"/>
      <c r="I287" s="41"/>
      <c r="J287" s="41"/>
      <c r="K287" s="41"/>
      <c r="L287" s="170"/>
      <c r="M287" s="171"/>
      <c r="N287" s="171"/>
      <c r="O287" s="172"/>
      <c r="P287" s="171"/>
    </row>
    <row r="288" spans="1:16" ht="13.5" customHeight="1">
      <c r="A288" s="168"/>
      <c r="B288" s="41"/>
      <c r="C288" s="41"/>
      <c r="D288" s="41"/>
      <c r="E288" s="41"/>
      <c r="F288" s="41"/>
      <c r="G288" s="169"/>
      <c r="H288" s="41"/>
      <c r="I288" s="41"/>
      <c r="J288" s="41"/>
      <c r="K288" s="41"/>
      <c r="L288" s="170"/>
      <c r="M288" s="171"/>
      <c r="N288" s="171"/>
      <c r="O288" s="172"/>
      <c r="P288" s="171"/>
    </row>
    <row r="289" spans="1:16" ht="13.5" customHeight="1">
      <c r="A289" s="42"/>
      <c r="B289" s="41"/>
      <c r="C289" s="41"/>
      <c r="D289" s="41"/>
      <c r="E289" s="41"/>
      <c r="F289" s="41"/>
      <c r="G289" s="169"/>
      <c r="H289" s="41"/>
      <c r="I289" s="41"/>
      <c r="J289" s="41"/>
      <c r="K289" s="41"/>
      <c r="L289" s="170"/>
      <c r="M289" s="171"/>
      <c r="N289" s="171"/>
      <c r="O289" s="172"/>
      <c r="P289" s="171"/>
    </row>
    <row r="290" spans="1:16" ht="13.5" customHeight="1">
      <c r="A290" s="42"/>
      <c r="B290" s="41"/>
      <c r="C290" s="41"/>
      <c r="D290" s="41"/>
      <c r="E290" s="41"/>
      <c r="F290" s="41"/>
      <c r="G290" s="169"/>
      <c r="H290" s="41"/>
      <c r="I290" s="41"/>
      <c r="J290" s="41"/>
      <c r="K290" s="41"/>
      <c r="L290" s="170"/>
      <c r="M290" s="171"/>
      <c r="N290" s="171"/>
      <c r="O290" s="172"/>
      <c r="P290" s="171"/>
    </row>
    <row r="291" spans="1:16" ht="13.5" customHeight="1">
      <c r="A291" s="42"/>
      <c r="B291" s="41"/>
      <c r="C291" s="41"/>
      <c r="D291" s="41"/>
      <c r="E291" s="41"/>
      <c r="F291" s="41"/>
      <c r="G291" s="169"/>
      <c r="H291" s="41"/>
      <c r="I291" s="41"/>
      <c r="J291" s="41"/>
      <c r="K291" s="41"/>
      <c r="L291" s="170"/>
      <c r="M291" s="171"/>
      <c r="N291" s="171"/>
      <c r="O291" s="172"/>
      <c r="P291" s="171"/>
    </row>
    <row r="292" spans="1:16" ht="13.5" customHeight="1">
      <c r="A292" s="42"/>
      <c r="B292" s="41"/>
      <c r="C292" s="41"/>
      <c r="D292" s="41"/>
      <c r="E292" s="41"/>
      <c r="F292" s="41"/>
      <c r="G292" s="169"/>
      <c r="H292" s="41"/>
      <c r="I292" s="41"/>
      <c r="J292" s="41"/>
      <c r="K292" s="41"/>
      <c r="L292" s="170"/>
      <c r="M292" s="171"/>
      <c r="N292" s="171"/>
      <c r="O292" s="172"/>
      <c r="P292" s="171"/>
    </row>
    <row r="293" spans="1:16" ht="13.5" customHeight="1">
      <c r="A293" s="42"/>
      <c r="B293" s="41"/>
      <c r="C293" s="41"/>
      <c r="D293" s="41"/>
      <c r="E293" s="41"/>
      <c r="F293" s="41"/>
      <c r="G293" s="169"/>
      <c r="H293" s="41"/>
      <c r="I293" s="41"/>
      <c r="J293" s="41"/>
      <c r="K293" s="41"/>
      <c r="L293" s="170"/>
      <c r="M293" s="171"/>
      <c r="N293" s="171"/>
      <c r="O293" s="172"/>
      <c r="P293" s="171"/>
    </row>
    <row r="294" spans="1:16" ht="13.5" customHeight="1">
      <c r="A294" s="42"/>
      <c r="B294" s="41"/>
      <c r="C294" s="41"/>
      <c r="D294" s="41"/>
      <c r="E294" s="41"/>
      <c r="F294" s="41"/>
      <c r="G294" s="169"/>
      <c r="H294" s="41"/>
      <c r="I294" s="41"/>
      <c r="J294" s="41"/>
      <c r="K294" s="41"/>
      <c r="L294" s="170"/>
      <c r="M294" s="171"/>
      <c r="N294" s="171"/>
      <c r="O294" s="172"/>
      <c r="P294" s="171"/>
    </row>
    <row r="295" spans="1:16" ht="13.5" customHeight="1">
      <c r="A295" s="42"/>
      <c r="B295" s="41"/>
      <c r="C295" s="41"/>
      <c r="D295" s="41"/>
      <c r="E295" s="41"/>
      <c r="F295" s="41"/>
      <c r="G295" s="169"/>
      <c r="H295" s="41"/>
      <c r="I295" s="41"/>
      <c r="J295" s="41"/>
      <c r="K295" s="41"/>
      <c r="L295" s="170"/>
      <c r="M295" s="171"/>
      <c r="N295" s="171"/>
      <c r="O295" s="172"/>
      <c r="P295" s="171"/>
    </row>
  </sheetData>
  <autoFilter ref="A2:P295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3"/>
  <sheetViews>
    <sheetView topLeftCell="A175" workbookViewId="0">
      <selection activeCell="H215" sqref="H215"/>
    </sheetView>
  </sheetViews>
  <sheetFormatPr defaultRowHeight="12"/>
  <cols>
    <col min="1" max="1" width="65.85546875" style="181" customWidth="1"/>
    <col min="2" max="2" width="9.140625" style="185"/>
    <col min="3" max="3" width="10.28515625" style="185" bestFit="1" customWidth="1"/>
    <col min="4" max="16384" width="9.140625" style="179"/>
  </cols>
  <sheetData>
    <row r="1" spans="1:3">
      <c r="A1" s="182" t="s">
        <v>339</v>
      </c>
      <c r="B1" s="183" t="s">
        <v>621</v>
      </c>
      <c r="C1" s="183" t="s">
        <v>348</v>
      </c>
    </row>
    <row r="2" spans="1:3">
      <c r="A2" s="180" t="s">
        <v>145</v>
      </c>
      <c r="B2" s="184" t="s">
        <v>137</v>
      </c>
      <c r="C2" s="184">
        <v>67</v>
      </c>
    </row>
    <row r="3" spans="1:3">
      <c r="A3" s="180" t="s">
        <v>145</v>
      </c>
      <c r="B3" s="184" t="s">
        <v>137</v>
      </c>
      <c r="C3" s="184">
        <v>4</v>
      </c>
    </row>
    <row r="4" spans="1:3">
      <c r="A4" s="180" t="s">
        <v>145</v>
      </c>
      <c r="B4" s="184" t="s">
        <v>137</v>
      </c>
      <c r="C4" s="184">
        <v>4</v>
      </c>
    </row>
    <row r="5" spans="1:3">
      <c r="A5" s="180" t="s">
        <v>145</v>
      </c>
      <c r="B5" s="184" t="s">
        <v>137</v>
      </c>
      <c r="C5" s="184">
        <v>3</v>
      </c>
    </row>
    <row r="6" spans="1:3">
      <c r="A6" s="180" t="s">
        <v>145</v>
      </c>
      <c r="B6" s="184" t="s">
        <v>137</v>
      </c>
      <c r="C6" s="184">
        <v>2</v>
      </c>
    </row>
    <row r="7" spans="1:3">
      <c r="A7" s="180" t="s">
        <v>145</v>
      </c>
      <c r="B7" s="184" t="s">
        <v>137</v>
      </c>
      <c r="C7" s="184">
        <v>4</v>
      </c>
    </row>
    <row r="8" spans="1:3">
      <c r="A8" s="180" t="s">
        <v>145</v>
      </c>
      <c r="B8" s="184" t="s">
        <v>137</v>
      </c>
      <c r="C8" s="184">
        <v>4</v>
      </c>
    </row>
    <row r="9" spans="1:3">
      <c r="A9" s="180" t="s">
        <v>153</v>
      </c>
      <c r="B9" s="184" t="s">
        <v>137</v>
      </c>
      <c r="C9" s="184">
        <v>3</v>
      </c>
    </row>
    <row r="10" spans="1:3">
      <c r="A10" s="180" t="s">
        <v>153</v>
      </c>
      <c r="B10" s="184" t="s">
        <v>137</v>
      </c>
      <c r="C10" s="184">
        <v>2</v>
      </c>
    </row>
    <row r="11" spans="1:3">
      <c r="A11" s="180" t="s">
        <v>153</v>
      </c>
      <c r="B11" s="184" t="s">
        <v>137</v>
      </c>
      <c r="C11" s="184">
        <v>4</v>
      </c>
    </row>
    <row r="12" spans="1:3">
      <c r="A12" s="180" t="s">
        <v>174</v>
      </c>
      <c r="B12" s="184" t="s">
        <v>175</v>
      </c>
      <c r="C12" s="184">
        <v>195</v>
      </c>
    </row>
    <row r="13" spans="1:3">
      <c r="A13" s="180" t="s">
        <v>174</v>
      </c>
      <c r="B13" s="184" t="s">
        <v>175</v>
      </c>
      <c r="C13" s="184">
        <v>12</v>
      </c>
    </row>
    <row r="14" spans="1:3">
      <c r="A14" s="180" t="s">
        <v>174</v>
      </c>
      <c r="B14" s="184" t="s">
        <v>175</v>
      </c>
      <c r="C14" s="184">
        <v>12</v>
      </c>
    </row>
    <row r="15" spans="1:3">
      <c r="A15" s="180" t="s">
        <v>174</v>
      </c>
      <c r="B15" s="184" t="s">
        <v>175</v>
      </c>
      <c r="C15" s="184">
        <v>9</v>
      </c>
    </row>
    <row r="16" spans="1:3">
      <c r="A16" s="180" t="s">
        <v>174</v>
      </c>
      <c r="B16" s="184" t="s">
        <v>175</v>
      </c>
      <c r="C16" s="184">
        <v>6</v>
      </c>
    </row>
    <row r="17" spans="1:3">
      <c r="A17" s="180" t="s">
        <v>174</v>
      </c>
      <c r="B17" s="184" t="s">
        <v>175</v>
      </c>
      <c r="C17" s="184">
        <v>12</v>
      </c>
    </row>
    <row r="18" spans="1:3">
      <c r="A18" s="180" t="s">
        <v>174</v>
      </c>
      <c r="B18" s="184" t="s">
        <v>175</v>
      </c>
      <c r="C18" s="184">
        <v>12</v>
      </c>
    </row>
    <row r="19" spans="1:3">
      <c r="A19" s="180" t="s">
        <v>193</v>
      </c>
      <c r="B19" s="184" t="s">
        <v>137</v>
      </c>
      <c r="C19" s="184">
        <v>67</v>
      </c>
    </row>
    <row r="20" spans="1:3">
      <c r="A20" s="180" t="s">
        <v>193</v>
      </c>
      <c r="B20" s="184" t="s">
        <v>137</v>
      </c>
      <c r="C20" s="184">
        <v>4</v>
      </c>
    </row>
    <row r="21" spans="1:3">
      <c r="A21" s="180" t="s">
        <v>195</v>
      </c>
      <c r="B21" s="184" t="s">
        <v>137</v>
      </c>
      <c r="C21" s="184">
        <v>3</v>
      </c>
    </row>
    <row r="22" spans="1:3">
      <c r="A22" s="180" t="s">
        <v>195</v>
      </c>
      <c r="B22" s="184" t="s">
        <v>137</v>
      </c>
      <c r="C22" s="184">
        <v>3</v>
      </c>
    </row>
    <row r="23" spans="1:3">
      <c r="A23" s="180" t="s">
        <v>195</v>
      </c>
      <c r="B23" s="184" t="s">
        <v>137</v>
      </c>
      <c r="C23" s="184">
        <v>2</v>
      </c>
    </row>
    <row r="24" spans="1:3">
      <c r="A24" s="180" t="s">
        <v>195</v>
      </c>
      <c r="B24" s="184" t="s">
        <v>137</v>
      </c>
      <c r="C24" s="184">
        <v>3</v>
      </c>
    </row>
    <row r="25" spans="1:3">
      <c r="A25" s="180" t="s">
        <v>195</v>
      </c>
      <c r="B25" s="184" t="s">
        <v>137</v>
      </c>
      <c r="C25" s="184">
        <v>3</v>
      </c>
    </row>
    <row r="26" spans="1:3">
      <c r="A26" s="180" t="s">
        <v>197</v>
      </c>
      <c r="B26" s="184" t="s">
        <v>137</v>
      </c>
      <c r="C26" s="184">
        <v>3</v>
      </c>
    </row>
    <row r="27" spans="1:3">
      <c r="A27" s="180" t="s">
        <v>197</v>
      </c>
      <c r="B27" s="184" t="s">
        <v>137</v>
      </c>
      <c r="C27" s="184">
        <v>3</v>
      </c>
    </row>
    <row r="28" spans="1:3">
      <c r="A28" s="180" t="s">
        <v>197</v>
      </c>
      <c r="B28" s="184" t="s">
        <v>137</v>
      </c>
      <c r="C28" s="184">
        <v>2</v>
      </c>
    </row>
    <row r="29" spans="1:3">
      <c r="A29" s="180" t="s">
        <v>197</v>
      </c>
      <c r="B29" s="184" t="s">
        <v>137</v>
      </c>
      <c r="C29" s="184">
        <v>3</v>
      </c>
    </row>
    <row r="30" spans="1:3">
      <c r="A30" s="180" t="s">
        <v>197</v>
      </c>
      <c r="B30" s="184" t="s">
        <v>137</v>
      </c>
      <c r="C30" s="184">
        <v>3</v>
      </c>
    </row>
    <row r="31" spans="1:3">
      <c r="A31" s="180" t="s">
        <v>199</v>
      </c>
      <c r="B31" s="184" t="s">
        <v>137</v>
      </c>
      <c r="C31" s="184">
        <v>51</v>
      </c>
    </row>
    <row r="32" spans="1:3">
      <c r="A32" s="180" t="s">
        <v>199</v>
      </c>
      <c r="B32" s="184" t="s">
        <v>137</v>
      </c>
      <c r="C32" s="184">
        <v>3</v>
      </c>
    </row>
    <row r="33" spans="1:3">
      <c r="A33" s="180" t="s">
        <v>199</v>
      </c>
      <c r="B33" s="184" t="s">
        <v>137</v>
      </c>
      <c r="C33" s="184">
        <v>3</v>
      </c>
    </row>
    <row r="34" spans="1:3">
      <c r="A34" s="180" t="s">
        <v>199</v>
      </c>
      <c r="B34" s="184" t="s">
        <v>137</v>
      </c>
      <c r="C34" s="184">
        <v>3</v>
      </c>
    </row>
    <row r="35" spans="1:3">
      <c r="A35" s="180" t="s">
        <v>199</v>
      </c>
      <c r="B35" s="184" t="s">
        <v>137</v>
      </c>
      <c r="C35" s="184">
        <v>2</v>
      </c>
    </row>
    <row r="36" spans="1:3">
      <c r="A36" s="180" t="s">
        <v>199</v>
      </c>
      <c r="B36" s="184" t="s">
        <v>137</v>
      </c>
      <c r="C36" s="184">
        <v>3</v>
      </c>
    </row>
    <row r="37" spans="1:3">
      <c r="A37" s="180" t="s">
        <v>199</v>
      </c>
      <c r="B37" s="184" t="s">
        <v>137</v>
      </c>
      <c r="C37" s="184">
        <v>3</v>
      </c>
    </row>
    <row r="38" spans="1:3">
      <c r="A38" s="180" t="s">
        <v>201</v>
      </c>
      <c r="B38" s="184" t="s">
        <v>137</v>
      </c>
      <c r="C38" s="184">
        <v>34</v>
      </c>
    </row>
    <row r="39" spans="1:3">
      <c r="A39" s="180" t="s">
        <v>201</v>
      </c>
      <c r="B39" s="184" t="s">
        <v>137</v>
      </c>
      <c r="C39" s="184">
        <v>2</v>
      </c>
    </row>
    <row r="40" spans="1:3" ht="24">
      <c r="A40" s="180" t="s">
        <v>211</v>
      </c>
      <c r="B40" s="184" t="s">
        <v>137</v>
      </c>
      <c r="C40" s="184">
        <v>67</v>
      </c>
    </row>
    <row r="41" spans="1:3" ht="24">
      <c r="A41" s="180" t="s">
        <v>211</v>
      </c>
      <c r="B41" s="184" t="s">
        <v>137</v>
      </c>
      <c r="C41" s="184">
        <v>4</v>
      </c>
    </row>
    <row r="42" spans="1:3" ht="24">
      <c r="A42" s="180" t="s">
        <v>211</v>
      </c>
      <c r="B42" s="184" t="s">
        <v>137</v>
      </c>
      <c r="C42" s="184">
        <v>67</v>
      </c>
    </row>
    <row r="43" spans="1:3" ht="24">
      <c r="A43" s="180" t="s">
        <v>211</v>
      </c>
      <c r="B43" s="184" t="s">
        <v>137</v>
      </c>
      <c r="C43" s="184">
        <v>4</v>
      </c>
    </row>
    <row r="44" spans="1:3">
      <c r="A44" s="180" t="s">
        <v>216</v>
      </c>
      <c r="B44" s="184" t="s">
        <v>137</v>
      </c>
      <c r="C44" s="184">
        <v>8</v>
      </c>
    </row>
    <row r="45" spans="1:3">
      <c r="A45" s="180" t="s">
        <v>216</v>
      </c>
      <c r="B45" s="184" t="s">
        <v>137</v>
      </c>
      <c r="C45" s="184">
        <v>16</v>
      </c>
    </row>
    <row r="46" spans="1:3">
      <c r="A46" s="180" t="s">
        <v>219</v>
      </c>
      <c r="B46" s="184" t="s">
        <v>137</v>
      </c>
      <c r="C46" s="184">
        <v>6</v>
      </c>
    </row>
    <row r="47" spans="1:3">
      <c r="A47" s="180" t="s">
        <v>222</v>
      </c>
      <c r="B47" s="184" t="s">
        <v>137</v>
      </c>
      <c r="C47" s="184">
        <v>4</v>
      </c>
    </row>
    <row r="48" spans="1:3" ht="24">
      <c r="A48" s="180" t="s">
        <v>224</v>
      </c>
      <c r="B48" s="184" t="s">
        <v>137</v>
      </c>
      <c r="C48" s="184">
        <v>3</v>
      </c>
    </row>
    <row r="49" spans="1:3" ht="24">
      <c r="A49" s="180" t="s">
        <v>224</v>
      </c>
      <c r="B49" s="184" t="s">
        <v>137</v>
      </c>
      <c r="C49" s="184">
        <v>8</v>
      </c>
    </row>
    <row r="50" spans="1:3" ht="24">
      <c r="A50" s="180" t="s">
        <v>224</v>
      </c>
      <c r="B50" s="184" t="s">
        <v>137</v>
      </c>
      <c r="C50" s="184">
        <v>12</v>
      </c>
    </row>
    <row r="51" spans="1:3">
      <c r="A51" s="180" t="s">
        <v>620</v>
      </c>
      <c r="B51" s="184" t="s">
        <v>232</v>
      </c>
      <c r="C51" s="184">
        <v>51</v>
      </c>
    </row>
    <row r="52" spans="1:3">
      <c r="A52" s="180" t="s">
        <v>620</v>
      </c>
      <c r="B52" s="184" t="s">
        <v>232</v>
      </c>
      <c r="C52" s="184">
        <v>8</v>
      </c>
    </row>
    <row r="53" spans="1:3">
      <c r="A53" s="180" t="s">
        <v>620</v>
      </c>
      <c r="B53" s="184" t="s">
        <v>232</v>
      </c>
      <c r="C53" s="184">
        <v>3</v>
      </c>
    </row>
    <row r="54" spans="1:3">
      <c r="A54" s="180" t="s">
        <v>620</v>
      </c>
      <c r="B54" s="184" t="s">
        <v>232</v>
      </c>
      <c r="C54" s="184">
        <v>6</v>
      </c>
    </row>
    <row r="55" spans="1:3">
      <c r="A55" s="180" t="s">
        <v>620</v>
      </c>
      <c r="B55" s="184" t="s">
        <v>232</v>
      </c>
      <c r="C55" s="184">
        <v>4</v>
      </c>
    </row>
    <row r="56" spans="1:3">
      <c r="A56" s="180" t="s">
        <v>620</v>
      </c>
      <c r="B56" s="184" t="s">
        <v>232</v>
      </c>
      <c r="C56" s="184">
        <v>8</v>
      </c>
    </row>
    <row r="57" spans="1:3">
      <c r="A57" s="180" t="s">
        <v>620</v>
      </c>
      <c r="B57" s="184" t="s">
        <v>232</v>
      </c>
      <c r="C57" s="184">
        <v>8</v>
      </c>
    </row>
    <row r="58" spans="1:3">
      <c r="A58" s="180" t="s">
        <v>246</v>
      </c>
      <c r="B58" s="184" t="s">
        <v>137</v>
      </c>
      <c r="C58" s="184">
        <v>8</v>
      </c>
    </row>
    <row r="59" spans="1:3">
      <c r="A59" s="180" t="s">
        <v>249</v>
      </c>
      <c r="B59" s="184" t="s">
        <v>137</v>
      </c>
      <c r="C59" s="184">
        <v>3</v>
      </c>
    </row>
    <row r="60" spans="1:3">
      <c r="A60" s="180" t="s">
        <v>249</v>
      </c>
      <c r="B60" s="184" t="s">
        <v>137</v>
      </c>
      <c r="C60" s="184">
        <v>4</v>
      </c>
    </row>
    <row r="61" spans="1:3">
      <c r="A61" s="180" t="s">
        <v>249</v>
      </c>
      <c r="B61" s="184" t="s">
        <v>137</v>
      </c>
      <c r="C61" s="184">
        <v>8</v>
      </c>
    </row>
    <row r="62" spans="1:3">
      <c r="A62" s="180" t="s">
        <v>265</v>
      </c>
      <c r="B62" s="184" t="s">
        <v>137</v>
      </c>
      <c r="C62" s="184">
        <v>1608</v>
      </c>
    </row>
    <row r="63" spans="1:3">
      <c r="A63" s="180" t="s">
        <v>265</v>
      </c>
      <c r="B63" s="184" t="s">
        <v>137</v>
      </c>
      <c r="C63" s="184">
        <v>96</v>
      </c>
    </row>
    <row r="64" spans="1:3">
      <c r="A64" s="180" t="s">
        <v>265</v>
      </c>
      <c r="B64" s="184" t="s">
        <v>137</v>
      </c>
      <c r="C64" s="184">
        <v>96</v>
      </c>
    </row>
    <row r="65" spans="1:3">
      <c r="A65" s="180" t="s">
        <v>265</v>
      </c>
      <c r="B65" s="184" t="s">
        <v>137</v>
      </c>
      <c r="C65" s="184">
        <v>72</v>
      </c>
    </row>
    <row r="66" spans="1:3">
      <c r="A66" s="180" t="s">
        <v>265</v>
      </c>
      <c r="B66" s="184" t="s">
        <v>137</v>
      </c>
      <c r="C66" s="184">
        <v>48</v>
      </c>
    </row>
    <row r="67" spans="1:3">
      <c r="A67" s="180" t="s">
        <v>265</v>
      </c>
      <c r="B67" s="184" t="s">
        <v>137</v>
      </c>
      <c r="C67" s="184">
        <v>96</v>
      </c>
    </row>
    <row r="68" spans="1:3">
      <c r="A68" s="180" t="s">
        <v>265</v>
      </c>
      <c r="B68" s="184" t="s">
        <v>137</v>
      </c>
      <c r="C68" s="184">
        <v>96</v>
      </c>
    </row>
    <row r="69" spans="1:3">
      <c r="A69" s="180" t="s">
        <v>275</v>
      </c>
      <c r="B69" s="184" t="s">
        <v>137</v>
      </c>
      <c r="C69" s="184">
        <v>134</v>
      </c>
    </row>
    <row r="70" spans="1:3">
      <c r="A70" s="180" t="s">
        <v>275</v>
      </c>
      <c r="B70" s="184" t="s">
        <v>137</v>
      </c>
      <c r="C70" s="184">
        <v>8</v>
      </c>
    </row>
    <row r="71" spans="1:3">
      <c r="A71" s="180" t="s">
        <v>275</v>
      </c>
      <c r="B71" s="184" t="s">
        <v>137</v>
      </c>
      <c r="C71" s="184">
        <v>8</v>
      </c>
    </row>
    <row r="72" spans="1:3">
      <c r="A72" s="180" t="s">
        <v>275</v>
      </c>
      <c r="B72" s="184" t="s">
        <v>137</v>
      </c>
      <c r="C72" s="184">
        <v>6</v>
      </c>
    </row>
    <row r="73" spans="1:3">
      <c r="A73" s="180" t="s">
        <v>275</v>
      </c>
      <c r="B73" s="184" t="s">
        <v>137</v>
      </c>
      <c r="C73" s="184">
        <v>4</v>
      </c>
    </row>
    <row r="74" spans="1:3">
      <c r="A74" s="180" t="s">
        <v>275</v>
      </c>
      <c r="B74" s="184" t="s">
        <v>137</v>
      </c>
      <c r="C74" s="184">
        <v>8</v>
      </c>
    </row>
    <row r="75" spans="1:3">
      <c r="A75" s="180" t="s">
        <v>275</v>
      </c>
      <c r="B75" s="184" t="s">
        <v>137</v>
      </c>
      <c r="C75" s="184">
        <v>8</v>
      </c>
    </row>
    <row r="76" spans="1:3">
      <c r="A76" s="180" t="s">
        <v>278</v>
      </c>
      <c r="B76" s="184" t="s">
        <v>137</v>
      </c>
      <c r="C76" s="184">
        <v>3</v>
      </c>
    </row>
    <row r="77" spans="1:3">
      <c r="A77" s="180" t="s">
        <v>278</v>
      </c>
      <c r="B77" s="184" t="s">
        <v>137</v>
      </c>
      <c r="C77" s="184">
        <v>2</v>
      </c>
    </row>
    <row r="78" spans="1:3">
      <c r="A78" s="180" t="s">
        <v>281</v>
      </c>
      <c r="B78" s="184" t="s">
        <v>137</v>
      </c>
      <c r="C78" s="184">
        <v>3</v>
      </c>
    </row>
    <row r="79" spans="1:3">
      <c r="A79" s="180" t="s">
        <v>281</v>
      </c>
      <c r="B79" s="184" t="s">
        <v>137</v>
      </c>
      <c r="C79" s="184">
        <v>8</v>
      </c>
    </row>
    <row r="80" spans="1:3">
      <c r="A80" s="180" t="s">
        <v>281</v>
      </c>
      <c r="B80" s="184" t="s">
        <v>137</v>
      </c>
      <c r="C80" s="184">
        <v>12</v>
      </c>
    </row>
    <row r="81" spans="1:3" ht="24">
      <c r="A81" s="180" t="s">
        <v>289</v>
      </c>
      <c r="B81" s="184" t="s">
        <v>232</v>
      </c>
      <c r="C81" s="184">
        <v>6</v>
      </c>
    </row>
    <row r="82" spans="1:3" ht="24">
      <c r="A82" s="180" t="s">
        <v>289</v>
      </c>
      <c r="B82" s="184" t="s">
        <v>232</v>
      </c>
      <c r="C82" s="184">
        <v>4</v>
      </c>
    </row>
    <row r="83" spans="1:3" ht="24">
      <c r="A83" s="180" t="s">
        <v>289</v>
      </c>
      <c r="B83" s="184" t="s">
        <v>232</v>
      </c>
      <c r="C83" s="184">
        <v>8</v>
      </c>
    </row>
    <row r="84" spans="1:3" ht="24">
      <c r="A84" s="180" t="s">
        <v>291</v>
      </c>
      <c r="B84" s="184" t="s">
        <v>158</v>
      </c>
      <c r="C84" s="184">
        <v>134</v>
      </c>
    </row>
    <row r="85" spans="1:3" ht="24">
      <c r="A85" s="180" t="s">
        <v>291</v>
      </c>
      <c r="B85" s="184" t="s">
        <v>158</v>
      </c>
      <c r="C85" s="184">
        <v>8</v>
      </c>
    </row>
    <row r="86" spans="1:3" ht="24">
      <c r="A86" s="180" t="s">
        <v>301</v>
      </c>
      <c r="B86" s="184" t="s">
        <v>137</v>
      </c>
      <c r="C86" s="184">
        <v>3</v>
      </c>
    </row>
    <row r="87" spans="1:3" ht="24">
      <c r="A87" s="180" t="s">
        <v>301</v>
      </c>
      <c r="B87" s="184" t="s">
        <v>137</v>
      </c>
      <c r="C87" s="184">
        <v>4</v>
      </c>
    </row>
    <row r="88" spans="1:3" ht="24">
      <c r="A88" s="180" t="s">
        <v>301</v>
      </c>
      <c r="B88" s="184" t="s">
        <v>137</v>
      </c>
      <c r="C88" s="184">
        <v>8</v>
      </c>
    </row>
    <row r="89" spans="1:3" ht="24">
      <c r="A89" s="180" t="s">
        <v>303</v>
      </c>
      <c r="B89" s="184" t="s">
        <v>137</v>
      </c>
      <c r="C89" s="184">
        <v>67</v>
      </c>
    </row>
    <row r="90" spans="1:3" ht="24">
      <c r="A90" s="180" t="s">
        <v>303</v>
      </c>
      <c r="B90" s="184" t="s">
        <v>137</v>
      </c>
      <c r="C90" s="184">
        <v>4</v>
      </c>
    </row>
    <row r="91" spans="1:3" ht="24">
      <c r="A91" s="180" t="s">
        <v>303</v>
      </c>
      <c r="B91" s="184" t="s">
        <v>137</v>
      </c>
      <c r="C91" s="184">
        <v>4</v>
      </c>
    </row>
    <row r="92" spans="1:3" ht="24">
      <c r="A92" s="180" t="s">
        <v>303</v>
      </c>
      <c r="B92" s="184" t="s">
        <v>137</v>
      </c>
      <c r="C92" s="184">
        <v>8</v>
      </c>
    </row>
    <row r="93" spans="1:3">
      <c r="A93" s="180" t="s">
        <v>310</v>
      </c>
      <c r="B93" s="184" t="s">
        <v>137</v>
      </c>
      <c r="C93" s="184">
        <v>36</v>
      </c>
    </row>
    <row r="94" spans="1:3">
      <c r="A94" s="180" t="s">
        <v>310</v>
      </c>
      <c r="B94" s="184" t="s">
        <v>137</v>
      </c>
      <c r="C94" s="184">
        <v>24</v>
      </c>
    </row>
    <row r="95" spans="1:3">
      <c r="A95" s="180" t="s">
        <v>314</v>
      </c>
      <c r="B95" s="184" t="s">
        <v>137</v>
      </c>
      <c r="C95" s="184">
        <v>804</v>
      </c>
    </row>
    <row r="96" spans="1:3">
      <c r="A96" s="180" t="s">
        <v>314</v>
      </c>
      <c r="B96" s="184" t="s">
        <v>137</v>
      </c>
      <c r="C96" s="184">
        <v>48</v>
      </c>
    </row>
    <row r="97" spans="1:3">
      <c r="A97" s="180" t="s">
        <v>314</v>
      </c>
      <c r="B97" s="184" t="s">
        <v>137</v>
      </c>
      <c r="C97" s="184">
        <v>48</v>
      </c>
    </row>
    <row r="98" spans="1:3">
      <c r="A98" s="180" t="s">
        <v>314</v>
      </c>
      <c r="B98" s="184" t="s">
        <v>137</v>
      </c>
      <c r="C98" s="184">
        <v>36</v>
      </c>
    </row>
    <row r="99" spans="1:3">
      <c r="A99" s="180" t="s">
        <v>314</v>
      </c>
      <c r="B99" s="184" t="s">
        <v>137</v>
      </c>
      <c r="C99" s="184">
        <v>24</v>
      </c>
    </row>
    <row r="100" spans="1:3">
      <c r="A100" s="180" t="s">
        <v>314</v>
      </c>
      <c r="B100" s="184" t="s">
        <v>137</v>
      </c>
      <c r="C100" s="184">
        <v>48</v>
      </c>
    </row>
    <row r="101" spans="1:3">
      <c r="A101" s="180" t="s">
        <v>314</v>
      </c>
      <c r="B101" s="184" t="s">
        <v>137</v>
      </c>
      <c r="C101" s="184">
        <v>48</v>
      </c>
    </row>
    <row r="102" spans="1:3">
      <c r="A102" s="180" t="s">
        <v>316</v>
      </c>
      <c r="B102" s="184" t="s">
        <v>137</v>
      </c>
      <c r="C102" s="184">
        <v>201</v>
      </c>
    </row>
    <row r="103" spans="1:3">
      <c r="A103" s="180" t="s">
        <v>316</v>
      </c>
      <c r="B103" s="184" t="s">
        <v>137</v>
      </c>
      <c r="C103" s="184">
        <v>12</v>
      </c>
    </row>
    <row r="104" spans="1:3">
      <c r="A104" s="180" t="s">
        <v>316</v>
      </c>
      <c r="B104" s="184" t="s">
        <v>137</v>
      </c>
      <c r="C104" s="184">
        <v>12</v>
      </c>
    </row>
    <row r="105" spans="1:3">
      <c r="A105" s="180" t="s">
        <v>316</v>
      </c>
      <c r="B105" s="184" t="s">
        <v>137</v>
      </c>
      <c r="C105" s="184">
        <v>9</v>
      </c>
    </row>
    <row r="106" spans="1:3">
      <c r="A106" s="180" t="s">
        <v>316</v>
      </c>
      <c r="B106" s="184" t="s">
        <v>137</v>
      </c>
      <c r="C106" s="184">
        <v>6</v>
      </c>
    </row>
    <row r="107" spans="1:3">
      <c r="A107" s="180" t="s">
        <v>316</v>
      </c>
      <c r="B107" s="184" t="s">
        <v>137</v>
      </c>
      <c r="C107" s="184">
        <v>12</v>
      </c>
    </row>
    <row r="108" spans="1:3">
      <c r="A108" s="180" t="s">
        <v>316</v>
      </c>
      <c r="B108" s="184" t="s">
        <v>137</v>
      </c>
      <c r="C108" s="184">
        <v>12</v>
      </c>
    </row>
    <row r="109" spans="1:3">
      <c r="A109" s="180" t="s">
        <v>323</v>
      </c>
      <c r="B109" s="184" t="s">
        <v>137</v>
      </c>
      <c r="C109" s="184">
        <v>1608</v>
      </c>
    </row>
    <row r="110" spans="1:3">
      <c r="A110" s="180" t="s">
        <v>323</v>
      </c>
      <c r="B110" s="184" t="s">
        <v>137</v>
      </c>
      <c r="C110" s="184">
        <v>96</v>
      </c>
    </row>
    <row r="111" spans="1:3">
      <c r="A111" s="180" t="s">
        <v>323</v>
      </c>
      <c r="B111" s="184" t="s">
        <v>137</v>
      </c>
      <c r="C111" s="184">
        <v>96</v>
      </c>
    </row>
    <row r="112" spans="1:3">
      <c r="A112" s="180" t="s">
        <v>323</v>
      </c>
      <c r="B112" s="184" t="s">
        <v>137</v>
      </c>
      <c r="C112" s="184">
        <v>72</v>
      </c>
    </row>
    <row r="113" spans="1:5">
      <c r="A113" s="180" t="s">
        <v>323</v>
      </c>
      <c r="B113" s="184" t="s">
        <v>137</v>
      </c>
      <c r="C113" s="184">
        <v>48</v>
      </c>
    </row>
    <row r="114" spans="1:5">
      <c r="A114" s="180" t="s">
        <v>323</v>
      </c>
      <c r="B114" s="184" t="s">
        <v>137</v>
      </c>
      <c r="C114" s="184">
        <v>96</v>
      </c>
    </row>
    <row r="115" spans="1:5">
      <c r="A115" s="180" t="s">
        <v>323</v>
      </c>
      <c r="B115" s="184" t="s">
        <v>137</v>
      </c>
      <c r="C115" s="184">
        <v>96</v>
      </c>
    </row>
    <row r="116" spans="1:5">
      <c r="A116" s="180" t="s">
        <v>350</v>
      </c>
      <c r="B116" s="184" t="s">
        <v>137</v>
      </c>
      <c r="C116" s="184">
        <v>25</v>
      </c>
      <c r="E116" s="179">
        <f>ROUNDUP((C116/18)*50,0)</f>
        <v>70</v>
      </c>
    </row>
    <row r="117" spans="1:5">
      <c r="A117" s="180" t="s">
        <v>530</v>
      </c>
      <c r="B117" s="184" t="s">
        <v>137</v>
      </c>
      <c r="C117" s="184">
        <v>3</v>
      </c>
      <c r="E117" s="179">
        <f t="shared" ref="E117:E161" si="0">ROUNDUP((C117/18)*50,0)</f>
        <v>9</v>
      </c>
    </row>
    <row r="118" spans="1:5">
      <c r="A118" s="180" t="s">
        <v>531</v>
      </c>
      <c r="B118" s="184" t="s">
        <v>137</v>
      </c>
      <c r="C118" s="184">
        <v>3</v>
      </c>
      <c r="E118" s="179">
        <f t="shared" si="0"/>
        <v>9</v>
      </c>
    </row>
    <row r="119" spans="1:5">
      <c r="A119" s="180" t="s">
        <v>532</v>
      </c>
      <c r="B119" s="184" t="s">
        <v>137</v>
      </c>
      <c r="C119" s="184">
        <v>3</v>
      </c>
      <c r="E119" s="179">
        <f t="shared" si="0"/>
        <v>9</v>
      </c>
    </row>
    <row r="120" spans="1:5">
      <c r="A120" s="180" t="s">
        <v>533</v>
      </c>
      <c r="B120" s="184" t="s">
        <v>137</v>
      </c>
      <c r="C120" s="184">
        <v>3</v>
      </c>
      <c r="E120" s="179">
        <f t="shared" si="0"/>
        <v>9</v>
      </c>
    </row>
    <row r="121" spans="1:5">
      <c r="A121" s="180" t="s">
        <v>534</v>
      </c>
      <c r="B121" s="184" t="s">
        <v>137</v>
      </c>
      <c r="C121" s="184">
        <v>3</v>
      </c>
      <c r="E121" s="179">
        <f t="shared" si="0"/>
        <v>9</v>
      </c>
    </row>
    <row r="122" spans="1:5">
      <c r="A122" s="180" t="s">
        <v>354</v>
      </c>
      <c r="B122" s="184" t="s">
        <v>175</v>
      </c>
      <c r="C122" s="184">
        <v>10</v>
      </c>
      <c r="E122" s="179">
        <f t="shared" si="0"/>
        <v>28</v>
      </c>
    </row>
    <row r="123" spans="1:5">
      <c r="A123" s="180" t="s">
        <v>535</v>
      </c>
      <c r="B123" s="184" t="s">
        <v>137</v>
      </c>
      <c r="C123" s="184">
        <v>3</v>
      </c>
      <c r="E123" s="179">
        <f t="shared" si="0"/>
        <v>9</v>
      </c>
    </row>
    <row r="124" spans="1:5">
      <c r="A124" s="180" t="s">
        <v>536</v>
      </c>
      <c r="B124" s="184" t="s">
        <v>137</v>
      </c>
      <c r="C124" s="184">
        <v>3</v>
      </c>
      <c r="E124" s="179">
        <f t="shared" si="0"/>
        <v>9</v>
      </c>
    </row>
    <row r="125" spans="1:5">
      <c r="A125" s="180" t="s">
        <v>537</v>
      </c>
      <c r="B125" s="184" t="s">
        <v>137</v>
      </c>
      <c r="C125" s="184">
        <v>3</v>
      </c>
      <c r="E125" s="179">
        <f t="shared" si="0"/>
        <v>9</v>
      </c>
    </row>
    <row r="126" spans="1:5">
      <c r="A126" s="180" t="s">
        <v>538</v>
      </c>
      <c r="B126" s="184" t="s">
        <v>137</v>
      </c>
      <c r="C126" s="184">
        <v>3</v>
      </c>
      <c r="E126" s="179">
        <f t="shared" si="0"/>
        <v>9</v>
      </c>
    </row>
    <row r="127" spans="1:5">
      <c r="A127" s="180" t="s">
        <v>539</v>
      </c>
      <c r="B127" s="184" t="s">
        <v>137</v>
      </c>
      <c r="C127" s="184">
        <v>3</v>
      </c>
      <c r="E127" s="179">
        <f t="shared" si="0"/>
        <v>9</v>
      </c>
    </row>
    <row r="128" spans="1:5">
      <c r="A128" s="180" t="s">
        <v>540</v>
      </c>
      <c r="B128" s="184" t="s">
        <v>137</v>
      </c>
      <c r="C128" s="184">
        <v>3</v>
      </c>
      <c r="E128" s="179">
        <f t="shared" si="0"/>
        <v>9</v>
      </c>
    </row>
    <row r="129" spans="1:5">
      <c r="A129" s="180" t="s">
        <v>541</v>
      </c>
      <c r="B129" s="184" t="s">
        <v>137</v>
      </c>
      <c r="C129" s="184">
        <v>3</v>
      </c>
      <c r="E129" s="179">
        <f t="shared" si="0"/>
        <v>9</v>
      </c>
    </row>
    <row r="130" spans="1:5">
      <c r="A130" s="180" t="s">
        <v>265</v>
      </c>
      <c r="B130" s="184" t="s">
        <v>137</v>
      </c>
      <c r="C130" s="184">
        <v>12</v>
      </c>
      <c r="E130" s="179">
        <f t="shared" si="0"/>
        <v>34</v>
      </c>
    </row>
    <row r="131" spans="1:5">
      <c r="A131" s="180" t="s">
        <v>542</v>
      </c>
      <c r="B131" s="184" t="s">
        <v>137</v>
      </c>
      <c r="C131" s="184">
        <v>3</v>
      </c>
      <c r="E131" s="179">
        <f t="shared" si="0"/>
        <v>9</v>
      </c>
    </row>
    <row r="132" spans="1:5">
      <c r="A132" s="180" t="s">
        <v>543</v>
      </c>
      <c r="B132" s="184" t="s">
        <v>137</v>
      </c>
      <c r="C132" s="184">
        <v>3</v>
      </c>
      <c r="E132" s="179">
        <f t="shared" si="0"/>
        <v>9</v>
      </c>
    </row>
    <row r="133" spans="1:5">
      <c r="A133" s="180" t="s">
        <v>544</v>
      </c>
      <c r="B133" s="184" t="s">
        <v>137</v>
      </c>
      <c r="C133" s="184">
        <v>3</v>
      </c>
      <c r="E133" s="179">
        <f t="shared" si="0"/>
        <v>9</v>
      </c>
    </row>
    <row r="134" spans="1:5">
      <c r="A134" s="180" t="s">
        <v>546</v>
      </c>
      <c r="B134" s="184" t="s">
        <v>137</v>
      </c>
      <c r="C134" s="184">
        <v>3</v>
      </c>
      <c r="E134" s="179">
        <f t="shared" si="0"/>
        <v>9</v>
      </c>
    </row>
    <row r="135" spans="1:5" ht="24">
      <c r="A135" s="180" t="s">
        <v>547</v>
      </c>
      <c r="B135" s="184" t="s">
        <v>232</v>
      </c>
      <c r="C135" s="184">
        <v>9</v>
      </c>
      <c r="E135" s="179">
        <f t="shared" si="0"/>
        <v>25</v>
      </c>
    </row>
    <row r="136" spans="1:5">
      <c r="A136" s="180" t="s">
        <v>549</v>
      </c>
      <c r="B136" s="184" t="s">
        <v>137</v>
      </c>
      <c r="C136" s="184">
        <v>2</v>
      </c>
      <c r="E136" s="179">
        <f t="shared" si="0"/>
        <v>6</v>
      </c>
    </row>
    <row r="137" spans="1:5" ht="24">
      <c r="A137" s="180" t="s">
        <v>550</v>
      </c>
      <c r="B137" s="184" t="s">
        <v>137</v>
      </c>
      <c r="C137" s="184">
        <v>2</v>
      </c>
      <c r="E137" s="179">
        <f t="shared" si="0"/>
        <v>6</v>
      </c>
    </row>
    <row r="138" spans="1:5">
      <c r="A138" s="180" t="s">
        <v>553</v>
      </c>
      <c r="B138" s="184" t="s">
        <v>137</v>
      </c>
      <c r="C138" s="184">
        <v>17</v>
      </c>
      <c r="E138" s="179">
        <f t="shared" si="0"/>
        <v>48</v>
      </c>
    </row>
    <row r="139" spans="1:5">
      <c r="A139" s="180" t="s">
        <v>323</v>
      </c>
      <c r="B139" s="184" t="s">
        <v>137</v>
      </c>
      <c r="C139" s="184">
        <v>34</v>
      </c>
      <c r="E139" s="179">
        <f t="shared" si="0"/>
        <v>95</v>
      </c>
    </row>
    <row r="140" spans="1:5">
      <c r="A140" s="180" t="s">
        <v>554</v>
      </c>
      <c r="B140" s="184" t="s">
        <v>137</v>
      </c>
      <c r="C140" s="184">
        <v>3</v>
      </c>
      <c r="E140" s="179">
        <f t="shared" si="0"/>
        <v>9</v>
      </c>
    </row>
    <row r="141" spans="1:5">
      <c r="A141" s="180" t="s">
        <v>555</v>
      </c>
      <c r="B141" s="184" t="s">
        <v>137</v>
      </c>
      <c r="C141" s="184">
        <v>3</v>
      </c>
      <c r="E141" s="179">
        <f t="shared" si="0"/>
        <v>9</v>
      </c>
    </row>
    <row r="142" spans="1:5">
      <c r="A142" s="180" t="s">
        <v>156</v>
      </c>
      <c r="B142" s="184" t="s">
        <v>137</v>
      </c>
      <c r="C142" s="184">
        <v>3</v>
      </c>
      <c r="E142" s="179">
        <f t="shared" si="0"/>
        <v>9</v>
      </c>
    </row>
    <row r="143" spans="1:5">
      <c r="A143" s="180" t="s">
        <v>556</v>
      </c>
      <c r="B143" s="184" t="s">
        <v>137</v>
      </c>
      <c r="C143" s="184">
        <v>3</v>
      </c>
      <c r="E143" s="179">
        <f t="shared" si="0"/>
        <v>9</v>
      </c>
    </row>
    <row r="144" spans="1:5">
      <c r="A144" s="180" t="s">
        <v>354</v>
      </c>
      <c r="B144" s="184" t="s">
        <v>175</v>
      </c>
      <c r="C144" s="184">
        <v>10</v>
      </c>
      <c r="E144" s="179">
        <f t="shared" si="0"/>
        <v>28</v>
      </c>
    </row>
    <row r="145" spans="1:5">
      <c r="A145" s="180" t="s">
        <v>229</v>
      </c>
      <c r="B145" s="184" t="s">
        <v>137</v>
      </c>
      <c r="C145" s="184">
        <v>3</v>
      </c>
      <c r="E145" s="179">
        <f t="shared" si="0"/>
        <v>9</v>
      </c>
    </row>
    <row r="146" spans="1:5">
      <c r="A146" s="180" t="s">
        <v>230</v>
      </c>
      <c r="B146" s="184" t="s">
        <v>137</v>
      </c>
      <c r="C146" s="184">
        <v>3</v>
      </c>
      <c r="E146" s="179">
        <f t="shared" si="0"/>
        <v>9</v>
      </c>
    </row>
    <row r="147" spans="1:5">
      <c r="A147" s="180" t="s">
        <v>557</v>
      </c>
      <c r="B147" s="184" t="s">
        <v>137</v>
      </c>
      <c r="C147" s="184">
        <v>3</v>
      </c>
      <c r="E147" s="179">
        <f t="shared" si="0"/>
        <v>9</v>
      </c>
    </row>
    <row r="148" spans="1:5">
      <c r="A148" s="180" t="s">
        <v>241</v>
      </c>
      <c r="B148" s="184" t="s">
        <v>137</v>
      </c>
      <c r="C148" s="184">
        <v>3</v>
      </c>
      <c r="E148" s="179">
        <f t="shared" si="0"/>
        <v>9</v>
      </c>
    </row>
    <row r="149" spans="1:5">
      <c r="A149" s="180" t="s">
        <v>558</v>
      </c>
      <c r="B149" s="184" t="s">
        <v>137</v>
      </c>
      <c r="C149" s="184">
        <v>3</v>
      </c>
      <c r="E149" s="179">
        <f t="shared" si="0"/>
        <v>9</v>
      </c>
    </row>
    <row r="150" spans="1:5">
      <c r="A150" s="180" t="s">
        <v>559</v>
      </c>
      <c r="B150" s="184" t="s">
        <v>137</v>
      </c>
      <c r="C150" s="184">
        <v>3</v>
      </c>
      <c r="E150" s="179">
        <f t="shared" si="0"/>
        <v>9</v>
      </c>
    </row>
    <row r="151" spans="1:5">
      <c r="A151" s="180" t="s">
        <v>560</v>
      </c>
      <c r="B151" s="184" t="s">
        <v>137</v>
      </c>
      <c r="C151" s="184">
        <v>3</v>
      </c>
      <c r="E151" s="179">
        <f t="shared" si="0"/>
        <v>9</v>
      </c>
    </row>
    <row r="152" spans="1:5">
      <c r="A152" s="180" t="s">
        <v>561</v>
      </c>
      <c r="B152" s="184" t="s">
        <v>137</v>
      </c>
      <c r="C152" s="184">
        <v>3</v>
      </c>
      <c r="E152" s="179">
        <f t="shared" si="0"/>
        <v>9</v>
      </c>
    </row>
    <row r="153" spans="1:5">
      <c r="A153" s="180" t="s">
        <v>562</v>
      </c>
      <c r="B153" s="184" t="s">
        <v>137</v>
      </c>
      <c r="C153" s="184">
        <v>3</v>
      </c>
      <c r="E153" s="179">
        <f t="shared" si="0"/>
        <v>9</v>
      </c>
    </row>
    <row r="154" spans="1:5">
      <c r="A154" s="180" t="s">
        <v>563</v>
      </c>
      <c r="B154" s="184" t="s">
        <v>137</v>
      </c>
      <c r="C154" s="184">
        <v>3</v>
      </c>
      <c r="E154" s="179">
        <f t="shared" si="0"/>
        <v>9</v>
      </c>
    </row>
    <row r="155" spans="1:5">
      <c r="A155" s="180" t="s">
        <v>564</v>
      </c>
      <c r="B155" s="184" t="s">
        <v>137</v>
      </c>
      <c r="C155" s="184">
        <v>3</v>
      </c>
      <c r="E155" s="179">
        <f t="shared" si="0"/>
        <v>9</v>
      </c>
    </row>
    <row r="156" spans="1:5">
      <c r="A156" s="180" t="s">
        <v>565</v>
      </c>
      <c r="B156" s="184" t="s">
        <v>137</v>
      </c>
      <c r="C156" s="184">
        <v>3</v>
      </c>
      <c r="E156" s="179">
        <f t="shared" si="0"/>
        <v>9</v>
      </c>
    </row>
    <row r="157" spans="1:5">
      <c r="A157" s="180" t="s">
        <v>566</v>
      </c>
      <c r="B157" s="184" t="s">
        <v>137</v>
      </c>
      <c r="C157" s="184">
        <v>3</v>
      </c>
      <c r="E157" s="179">
        <f t="shared" si="0"/>
        <v>9</v>
      </c>
    </row>
    <row r="158" spans="1:5">
      <c r="A158" s="180" t="s">
        <v>567</v>
      </c>
      <c r="B158" s="184" t="s">
        <v>137</v>
      </c>
      <c r="C158" s="184">
        <v>3</v>
      </c>
      <c r="E158" s="179">
        <f t="shared" si="0"/>
        <v>9</v>
      </c>
    </row>
    <row r="159" spans="1:5" ht="24">
      <c r="A159" s="180" t="s">
        <v>287</v>
      </c>
      <c r="B159" s="184" t="s">
        <v>232</v>
      </c>
      <c r="C159" s="184">
        <v>9</v>
      </c>
      <c r="E159" s="179">
        <f t="shared" si="0"/>
        <v>25</v>
      </c>
    </row>
    <row r="160" spans="1:5">
      <c r="A160" s="180" t="s">
        <v>298</v>
      </c>
      <c r="B160" s="184" t="s">
        <v>137</v>
      </c>
      <c r="C160" s="184">
        <v>3</v>
      </c>
      <c r="E160" s="179">
        <f t="shared" si="0"/>
        <v>9</v>
      </c>
    </row>
    <row r="161" spans="1:5" ht="24">
      <c r="A161" s="180" t="s">
        <v>568</v>
      </c>
      <c r="B161" s="184" t="s">
        <v>137</v>
      </c>
      <c r="C161" s="184">
        <v>3</v>
      </c>
      <c r="E161" s="179">
        <f t="shared" si="0"/>
        <v>9</v>
      </c>
    </row>
    <row r="162" spans="1:5">
      <c r="A162" s="180" t="s">
        <v>429</v>
      </c>
      <c r="B162" s="184" t="s">
        <v>137</v>
      </c>
      <c r="C162" s="184">
        <v>50</v>
      </c>
      <c r="E162" s="179">
        <f>ROUNDUP((C162/18)*150,0)</f>
        <v>417</v>
      </c>
    </row>
    <row r="163" spans="1:5">
      <c r="A163" s="180" t="s">
        <v>323</v>
      </c>
      <c r="B163" s="184" t="s">
        <v>137</v>
      </c>
      <c r="C163" s="184">
        <v>100</v>
      </c>
      <c r="E163" s="179">
        <f t="shared" ref="E163:E188" si="1">ROUNDUP((C163/18)*150,0)</f>
        <v>834</v>
      </c>
    </row>
    <row r="164" spans="1:5">
      <c r="A164" s="180" t="s">
        <v>570</v>
      </c>
      <c r="B164" s="184" t="s">
        <v>137</v>
      </c>
      <c r="C164" s="184">
        <v>9</v>
      </c>
      <c r="E164" s="179">
        <f t="shared" si="1"/>
        <v>75</v>
      </c>
    </row>
    <row r="165" spans="1:5">
      <c r="A165" s="180" t="s">
        <v>571</v>
      </c>
      <c r="B165" s="184" t="s">
        <v>137</v>
      </c>
      <c r="C165" s="184">
        <v>9</v>
      </c>
      <c r="E165" s="179">
        <f t="shared" si="1"/>
        <v>75</v>
      </c>
    </row>
    <row r="166" spans="1:5">
      <c r="A166" s="180" t="s">
        <v>151</v>
      </c>
      <c r="B166" s="184" t="s">
        <v>137</v>
      </c>
      <c r="C166" s="184">
        <v>9</v>
      </c>
      <c r="E166" s="179">
        <f t="shared" si="1"/>
        <v>75</v>
      </c>
    </row>
    <row r="167" spans="1:5">
      <c r="A167" s="180" t="s">
        <v>572</v>
      </c>
      <c r="B167" s="184" t="s">
        <v>137</v>
      </c>
      <c r="C167" s="184">
        <v>9</v>
      </c>
      <c r="E167" s="179">
        <f t="shared" si="1"/>
        <v>75</v>
      </c>
    </row>
    <row r="168" spans="1:5">
      <c r="A168" s="180" t="s">
        <v>573</v>
      </c>
      <c r="B168" s="184" t="s">
        <v>137</v>
      </c>
      <c r="C168" s="184">
        <v>9</v>
      </c>
      <c r="E168" s="179">
        <f t="shared" si="1"/>
        <v>75</v>
      </c>
    </row>
    <row r="169" spans="1:5">
      <c r="A169" s="180" t="s">
        <v>354</v>
      </c>
      <c r="B169" s="184" t="s">
        <v>175</v>
      </c>
      <c r="C169" s="184">
        <v>29</v>
      </c>
      <c r="E169" s="179">
        <f t="shared" si="1"/>
        <v>242</v>
      </c>
    </row>
    <row r="170" spans="1:5">
      <c r="A170" s="180" t="s">
        <v>574</v>
      </c>
      <c r="B170" s="184" t="s">
        <v>137</v>
      </c>
      <c r="C170" s="184">
        <v>9</v>
      </c>
      <c r="E170" s="179">
        <f t="shared" si="1"/>
        <v>75</v>
      </c>
    </row>
    <row r="171" spans="1:5">
      <c r="A171" s="180" t="s">
        <v>575</v>
      </c>
      <c r="B171" s="184" t="s">
        <v>137</v>
      </c>
      <c r="C171" s="184">
        <v>9</v>
      </c>
      <c r="E171" s="179">
        <f t="shared" si="1"/>
        <v>75</v>
      </c>
    </row>
    <row r="172" spans="1:5">
      <c r="A172" s="180" t="s">
        <v>576</v>
      </c>
      <c r="B172" s="184" t="s">
        <v>137</v>
      </c>
      <c r="C172" s="184">
        <v>9</v>
      </c>
      <c r="E172" s="179">
        <f t="shared" si="1"/>
        <v>75</v>
      </c>
    </row>
    <row r="173" spans="1:5">
      <c r="A173" s="180" t="s">
        <v>577</v>
      </c>
      <c r="B173" s="184" t="s">
        <v>137</v>
      </c>
      <c r="C173" s="184">
        <v>9</v>
      </c>
      <c r="E173" s="179">
        <f t="shared" si="1"/>
        <v>75</v>
      </c>
    </row>
    <row r="174" spans="1:5">
      <c r="A174" s="180" t="s">
        <v>578</v>
      </c>
      <c r="B174" s="184" t="s">
        <v>137</v>
      </c>
      <c r="C174" s="184">
        <v>9</v>
      </c>
      <c r="E174" s="179">
        <f t="shared" si="1"/>
        <v>75</v>
      </c>
    </row>
    <row r="175" spans="1:5">
      <c r="A175" s="180" t="s">
        <v>579</v>
      </c>
      <c r="B175" s="184" t="s">
        <v>137</v>
      </c>
      <c r="C175" s="184">
        <v>9</v>
      </c>
      <c r="E175" s="179">
        <f t="shared" si="1"/>
        <v>75</v>
      </c>
    </row>
    <row r="176" spans="1:5">
      <c r="A176" s="180" t="s">
        <v>580</v>
      </c>
      <c r="B176" s="184" t="s">
        <v>137</v>
      </c>
      <c r="C176" s="184">
        <v>9</v>
      </c>
      <c r="E176" s="179">
        <f t="shared" si="1"/>
        <v>75</v>
      </c>
    </row>
    <row r="177" spans="1:5">
      <c r="A177" s="180" t="s">
        <v>581</v>
      </c>
      <c r="B177" s="184" t="s">
        <v>137</v>
      </c>
      <c r="C177" s="184">
        <v>9</v>
      </c>
      <c r="E177" s="179">
        <f t="shared" si="1"/>
        <v>75</v>
      </c>
    </row>
    <row r="178" spans="1:5">
      <c r="A178" s="180" t="s">
        <v>265</v>
      </c>
      <c r="B178" s="184" t="s">
        <v>137</v>
      </c>
      <c r="C178" s="184">
        <v>100</v>
      </c>
      <c r="E178" s="179">
        <f t="shared" si="1"/>
        <v>834</v>
      </c>
    </row>
    <row r="179" spans="1:5">
      <c r="A179" s="180" t="s">
        <v>582</v>
      </c>
      <c r="B179" s="184" t="s">
        <v>137</v>
      </c>
      <c r="C179" s="184">
        <v>9</v>
      </c>
      <c r="E179" s="179">
        <f t="shared" si="1"/>
        <v>75</v>
      </c>
    </row>
    <row r="180" spans="1:5">
      <c r="A180" s="180" t="s">
        <v>283</v>
      </c>
      <c r="B180" s="184" t="s">
        <v>137</v>
      </c>
      <c r="C180" s="184">
        <v>9</v>
      </c>
      <c r="E180" s="179">
        <f t="shared" si="1"/>
        <v>75</v>
      </c>
    </row>
    <row r="181" spans="1:5">
      <c r="A181" s="180" t="s">
        <v>583</v>
      </c>
      <c r="B181" s="184" t="s">
        <v>137</v>
      </c>
      <c r="C181" s="184">
        <v>9</v>
      </c>
      <c r="E181" s="179">
        <f t="shared" si="1"/>
        <v>75</v>
      </c>
    </row>
    <row r="182" spans="1:5">
      <c r="A182" s="180" t="s">
        <v>584</v>
      </c>
      <c r="B182" s="184" t="s">
        <v>137</v>
      </c>
      <c r="C182" s="184">
        <v>9</v>
      </c>
      <c r="E182" s="179">
        <f t="shared" si="1"/>
        <v>75</v>
      </c>
    </row>
    <row r="183" spans="1:5">
      <c r="A183" s="180" t="s">
        <v>284</v>
      </c>
      <c r="B183" s="184" t="s">
        <v>137</v>
      </c>
      <c r="C183" s="184">
        <v>9</v>
      </c>
      <c r="E183" s="179">
        <f t="shared" si="1"/>
        <v>75</v>
      </c>
    </row>
    <row r="184" spans="1:5">
      <c r="A184" s="180" t="s">
        <v>585</v>
      </c>
      <c r="B184" s="184" t="s">
        <v>137</v>
      </c>
      <c r="C184" s="184">
        <v>9</v>
      </c>
      <c r="E184" s="179">
        <f t="shared" si="1"/>
        <v>75</v>
      </c>
    </row>
    <row r="185" spans="1:5">
      <c r="A185" s="180" t="s">
        <v>285</v>
      </c>
      <c r="B185" s="184" t="s">
        <v>137</v>
      </c>
      <c r="C185" s="184">
        <v>9</v>
      </c>
      <c r="E185" s="179">
        <f t="shared" si="1"/>
        <v>75</v>
      </c>
    </row>
    <row r="186" spans="1:5" ht="24">
      <c r="A186" s="180" t="s">
        <v>586</v>
      </c>
      <c r="B186" s="184" t="s">
        <v>232</v>
      </c>
      <c r="C186" s="184">
        <v>25</v>
      </c>
      <c r="E186" s="179">
        <f t="shared" si="1"/>
        <v>209</v>
      </c>
    </row>
    <row r="187" spans="1:5">
      <c r="A187" s="180" t="s">
        <v>588</v>
      </c>
      <c r="B187" s="184" t="s">
        <v>137</v>
      </c>
      <c r="C187" s="184">
        <v>9</v>
      </c>
      <c r="E187" s="179">
        <f t="shared" si="1"/>
        <v>75</v>
      </c>
    </row>
    <row r="188" spans="1:5" ht="24">
      <c r="A188" s="180" t="s">
        <v>589</v>
      </c>
      <c r="B188" s="184" t="s">
        <v>137</v>
      </c>
      <c r="C188" s="184">
        <v>9</v>
      </c>
      <c r="E188" s="179">
        <f t="shared" si="1"/>
        <v>75</v>
      </c>
    </row>
    <row r="189" spans="1:5">
      <c r="A189" s="180" t="s">
        <v>474</v>
      </c>
      <c r="B189" s="184" t="s">
        <v>137</v>
      </c>
      <c r="C189" s="184">
        <v>17</v>
      </c>
      <c r="E189" s="179">
        <f>ROUNDUP((C189/18)*50,0)</f>
        <v>48</v>
      </c>
    </row>
    <row r="190" spans="1:5">
      <c r="A190" s="180" t="s">
        <v>592</v>
      </c>
      <c r="B190" s="184" t="s">
        <v>137</v>
      </c>
      <c r="C190" s="184">
        <v>3</v>
      </c>
      <c r="E190" s="179">
        <f t="shared" ref="E190:E213" si="2">ROUNDUP((C190/18)*50,0)</f>
        <v>9</v>
      </c>
    </row>
    <row r="191" spans="1:5">
      <c r="A191" s="180" t="s">
        <v>593</v>
      </c>
      <c r="B191" s="184" t="s">
        <v>137</v>
      </c>
      <c r="C191" s="184">
        <v>3</v>
      </c>
      <c r="E191" s="179">
        <f t="shared" si="2"/>
        <v>9</v>
      </c>
    </row>
    <row r="192" spans="1:5">
      <c r="A192" s="180" t="s">
        <v>594</v>
      </c>
      <c r="B192" s="184" t="s">
        <v>137</v>
      </c>
      <c r="C192" s="184">
        <v>3</v>
      </c>
      <c r="E192" s="179">
        <f t="shared" si="2"/>
        <v>9</v>
      </c>
    </row>
    <row r="193" spans="1:5">
      <c r="A193" s="180" t="s">
        <v>595</v>
      </c>
      <c r="B193" s="184" t="s">
        <v>137</v>
      </c>
      <c r="C193" s="184">
        <v>3</v>
      </c>
      <c r="E193" s="179">
        <f t="shared" si="2"/>
        <v>9</v>
      </c>
    </row>
    <row r="194" spans="1:5">
      <c r="A194" s="180" t="s">
        <v>596</v>
      </c>
      <c r="B194" s="184" t="s">
        <v>137</v>
      </c>
      <c r="C194" s="184">
        <v>3</v>
      </c>
      <c r="E194" s="179">
        <f t="shared" si="2"/>
        <v>9</v>
      </c>
    </row>
    <row r="195" spans="1:5">
      <c r="A195" s="180" t="s">
        <v>354</v>
      </c>
      <c r="B195" s="184" t="s">
        <v>175</v>
      </c>
      <c r="C195" s="184">
        <v>10</v>
      </c>
      <c r="E195" s="179">
        <f t="shared" si="2"/>
        <v>28</v>
      </c>
    </row>
    <row r="196" spans="1:5">
      <c r="A196" s="180" t="s">
        <v>597</v>
      </c>
      <c r="B196" s="184" t="s">
        <v>137</v>
      </c>
      <c r="C196" s="184">
        <v>3</v>
      </c>
      <c r="E196" s="179">
        <f t="shared" si="2"/>
        <v>9</v>
      </c>
    </row>
    <row r="197" spans="1:5">
      <c r="A197" s="180" t="s">
        <v>598</v>
      </c>
      <c r="B197" s="184" t="s">
        <v>137</v>
      </c>
      <c r="C197" s="184">
        <v>3</v>
      </c>
      <c r="E197" s="179">
        <f t="shared" si="2"/>
        <v>9</v>
      </c>
    </row>
    <row r="198" spans="1:5">
      <c r="A198" s="180" t="s">
        <v>599</v>
      </c>
      <c r="B198" s="184" t="s">
        <v>137</v>
      </c>
      <c r="C198" s="184">
        <v>3</v>
      </c>
      <c r="E198" s="179">
        <f t="shared" si="2"/>
        <v>9</v>
      </c>
    </row>
    <row r="199" spans="1:5">
      <c r="A199" s="180" t="s">
        <v>600</v>
      </c>
      <c r="B199" s="184" t="s">
        <v>137</v>
      </c>
      <c r="C199" s="184">
        <v>3</v>
      </c>
      <c r="E199" s="179">
        <f t="shared" si="2"/>
        <v>9</v>
      </c>
    </row>
    <row r="200" spans="1:5">
      <c r="A200" s="180" t="s">
        <v>601</v>
      </c>
      <c r="B200" s="184" t="s">
        <v>137</v>
      </c>
      <c r="C200" s="184">
        <v>3</v>
      </c>
      <c r="E200" s="179">
        <f t="shared" si="2"/>
        <v>9</v>
      </c>
    </row>
    <row r="201" spans="1:5">
      <c r="A201" s="180" t="s">
        <v>602</v>
      </c>
      <c r="B201" s="184" t="s">
        <v>137</v>
      </c>
      <c r="C201" s="184">
        <v>3</v>
      </c>
      <c r="E201" s="179">
        <f t="shared" si="2"/>
        <v>9</v>
      </c>
    </row>
    <row r="202" spans="1:5">
      <c r="A202" s="180" t="s">
        <v>603</v>
      </c>
      <c r="B202" s="184" t="s">
        <v>137</v>
      </c>
      <c r="C202" s="184">
        <v>3</v>
      </c>
      <c r="E202" s="179">
        <f t="shared" si="2"/>
        <v>9</v>
      </c>
    </row>
    <row r="203" spans="1:5">
      <c r="A203" s="180" t="s">
        <v>604</v>
      </c>
      <c r="B203" s="184" t="s">
        <v>137</v>
      </c>
      <c r="C203" s="184">
        <v>3</v>
      </c>
      <c r="E203" s="179">
        <f t="shared" si="2"/>
        <v>9</v>
      </c>
    </row>
    <row r="204" spans="1:5">
      <c r="A204" s="180" t="s">
        <v>265</v>
      </c>
      <c r="B204" s="184" t="s">
        <v>137</v>
      </c>
      <c r="C204" s="184">
        <v>34</v>
      </c>
      <c r="E204" s="179">
        <f t="shared" si="2"/>
        <v>95</v>
      </c>
    </row>
    <row r="205" spans="1:5">
      <c r="A205" s="180" t="s">
        <v>605</v>
      </c>
      <c r="B205" s="184" t="s">
        <v>137</v>
      </c>
      <c r="C205" s="184">
        <v>3</v>
      </c>
      <c r="E205" s="179">
        <f t="shared" si="2"/>
        <v>9</v>
      </c>
    </row>
    <row r="206" spans="1:5">
      <c r="A206" s="180" t="s">
        <v>606</v>
      </c>
      <c r="B206" s="184" t="s">
        <v>137</v>
      </c>
      <c r="C206" s="184">
        <v>3</v>
      </c>
      <c r="E206" s="179">
        <f t="shared" si="2"/>
        <v>9</v>
      </c>
    </row>
    <row r="207" spans="1:5">
      <c r="A207" s="180" t="s">
        <v>607</v>
      </c>
      <c r="B207" s="184" t="s">
        <v>137</v>
      </c>
      <c r="C207" s="184">
        <v>3</v>
      </c>
      <c r="E207" s="179">
        <f t="shared" si="2"/>
        <v>9</v>
      </c>
    </row>
    <row r="208" spans="1:5">
      <c r="A208" s="180" t="s">
        <v>608</v>
      </c>
      <c r="B208" s="184" t="s">
        <v>137</v>
      </c>
      <c r="C208" s="184">
        <v>3</v>
      </c>
      <c r="E208" s="179">
        <f t="shared" si="2"/>
        <v>9</v>
      </c>
    </row>
    <row r="209" spans="1:5">
      <c r="A209" s="180" t="s">
        <v>609</v>
      </c>
      <c r="B209" s="184" t="s">
        <v>137</v>
      </c>
      <c r="C209" s="184">
        <v>3</v>
      </c>
      <c r="E209" s="179">
        <f t="shared" si="2"/>
        <v>9</v>
      </c>
    </row>
    <row r="210" spans="1:5">
      <c r="A210" s="180" t="s">
        <v>610</v>
      </c>
      <c r="B210" s="184" t="s">
        <v>137</v>
      </c>
      <c r="C210" s="184">
        <v>3</v>
      </c>
      <c r="E210" s="179">
        <f t="shared" si="2"/>
        <v>9</v>
      </c>
    </row>
    <row r="211" spans="1:5" ht="24">
      <c r="A211" s="180" t="s">
        <v>611</v>
      </c>
      <c r="B211" s="184" t="s">
        <v>232</v>
      </c>
      <c r="C211" s="184">
        <v>9</v>
      </c>
      <c r="E211" s="179">
        <f t="shared" si="2"/>
        <v>25</v>
      </c>
    </row>
    <row r="212" spans="1:5">
      <c r="A212" s="180" t="s">
        <v>613</v>
      </c>
      <c r="B212" s="184" t="s">
        <v>137</v>
      </c>
      <c r="C212" s="184">
        <v>3</v>
      </c>
      <c r="E212" s="179">
        <f t="shared" si="2"/>
        <v>9</v>
      </c>
    </row>
    <row r="213" spans="1:5" ht="24">
      <c r="A213" s="180" t="s">
        <v>614</v>
      </c>
      <c r="B213" s="184" t="s">
        <v>137</v>
      </c>
      <c r="C213" s="184">
        <v>3</v>
      </c>
      <c r="E213" s="179">
        <f t="shared" si="2"/>
        <v>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6"/>
  <sheetViews>
    <sheetView topLeftCell="A62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6" t="s">
        <v>622</v>
      </c>
    </row>
    <row r="2" spans="1:1">
      <c r="A2" s="187" t="s">
        <v>308</v>
      </c>
    </row>
    <row r="3" spans="1:1">
      <c r="A3" s="187" t="s">
        <v>310</v>
      </c>
    </row>
    <row r="4" spans="1:1">
      <c r="A4" s="187" t="s">
        <v>312</v>
      </c>
    </row>
    <row r="5" spans="1:1">
      <c r="A5" s="187" t="s">
        <v>314</v>
      </c>
    </row>
    <row r="6" spans="1:1">
      <c r="A6" s="187" t="s">
        <v>316</v>
      </c>
    </row>
    <row r="7" spans="1:1">
      <c r="A7" s="187" t="s">
        <v>319</v>
      </c>
    </row>
    <row r="8" spans="1:1">
      <c r="A8" s="187" t="s">
        <v>321</v>
      </c>
    </row>
    <row r="9" spans="1:1">
      <c r="A9" s="187" t="s">
        <v>323</v>
      </c>
    </row>
    <row r="10" spans="1:1">
      <c r="A10" s="187" t="s">
        <v>325</v>
      </c>
    </row>
    <row r="11" spans="1:1">
      <c r="A11" s="187" t="s">
        <v>135</v>
      </c>
    </row>
    <row r="12" spans="1:1">
      <c r="A12" s="187" t="s">
        <v>139</v>
      </c>
    </row>
    <row r="13" spans="1:1">
      <c r="A13" s="187" t="s">
        <v>326</v>
      </c>
    </row>
    <row r="14" spans="1:1">
      <c r="A14" s="187" t="s">
        <v>141</v>
      </c>
    </row>
    <row r="15" spans="1:1">
      <c r="A15" s="187" t="s">
        <v>143</v>
      </c>
    </row>
    <row r="16" spans="1:1">
      <c r="A16" s="187" t="s">
        <v>150</v>
      </c>
    </row>
    <row r="17" spans="1:1">
      <c r="A17" s="187" t="s">
        <v>151</v>
      </c>
    </row>
    <row r="18" spans="1:1">
      <c r="A18" s="187" t="s">
        <v>145</v>
      </c>
    </row>
    <row r="19" spans="1:1">
      <c r="A19" s="187" t="s">
        <v>147</v>
      </c>
    </row>
    <row r="20" spans="1:1">
      <c r="A20" s="187" t="s">
        <v>153</v>
      </c>
    </row>
    <row r="21" spans="1:1">
      <c r="A21" s="187" t="s">
        <v>156</v>
      </c>
    </row>
    <row r="22" spans="1:1">
      <c r="A22" s="187" t="s">
        <v>157</v>
      </c>
    </row>
    <row r="23" spans="1:1">
      <c r="A23" s="187" t="s">
        <v>160</v>
      </c>
    </row>
    <row r="24" spans="1:1">
      <c r="A24" s="187" t="s">
        <v>329</v>
      </c>
    </row>
    <row r="25" spans="1:1">
      <c r="A25" s="187" t="s">
        <v>163</v>
      </c>
    </row>
    <row r="26" spans="1:1">
      <c r="A26" s="187" t="s">
        <v>165</v>
      </c>
    </row>
    <row r="27" spans="1:1">
      <c r="A27" s="187" t="s">
        <v>166</v>
      </c>
    </row>
    <row r="28" spans="1:1">
      <c r="A28" s="187" t="s">
        <v>328</v>
      </c>
    </row>
    <row r="29" spans="1:1">
      <c r="A29" s="187" t="s">
        <v>167</v>
      </c>
    </row>
    <row r="30" spans="1:1">
      <c r="A30" s="187" t="s">
        <v>330</v>
      </c>
    </row>
    <row r="31" spans="1:1">
      <c r="A31" s="187" t="s">
        <v>170</v>
      </c>
    </row>
    <row r="32" spans="1:1">
      <c r="A32" s="187" t="s">
        <v>332</v>
      </c>
    </row>
    <row r="33" spans="1:1">
      <c r="A33" s="187" t="s">
        <v>334</v>
      </c>
    </row>
    <row r="34" spans="1:1">
      <c r="A34" s="187" t="s">
        <v>174</v>
      </c>
    </row>
    <row r="35" spans="1:1">
      <c r="A35" s="187" t="s">
        <v>178</v>
      </c>
    </row>
    <row r="36" spans="1:1">
      <c r="A36" s="187" t="s">
        <v>181</v>
      </c>
    </row>
    <row r="37" spans="1:1">
      <c r="A37" s="187" t="s">
        <v>183</v>
      </c>
    </row>
    <row r="38" spans="1:1">
      <c r="A38" s="187" t="s">
        <v>185</v>
      </c>
    </row>
    <row r="39" spans="1:1">
      <c r="A39" s="187" t="s">
        <v>187</v>
      </c>
    </row>
    <row r="40" spans="1:1">
      <c r="A40" s="187" t="s">
        <v>189</v>
      </c>
    </row>
    <row r="41" spans="1:1">
      <c r="A41" s="187" t="s">
        <v>191</v>
      </c>
    </row>
    <row r="42" spans="1:1">
      <c r="A42" s="187" t="s">
        <v>195</v>
      </c>
    </row>
    <row r="43" spans="1:1">
      <c r="A43" s="187" t="s">
        <v>197</v>
      </c>
    </row>
    <row r="44" spans="1:1">
      <c r="A44" s="187" t="s">
        <v>199</v>
      </c>
    </row>
    <row r="45" spans="1:1">
      <c r="A45" s="187" t="s">
        <v>201</v>
      </c>
    </row>
    <row r="46" spans="1:1">
      <c r="A46" s="187" t="s">
        <v>203</v>
      </c>
    </row>
    <row r="47" spans="1:1">
      <c r="A47" s="187" t="s">
        <v>193</v>
      </c>
    </row>
    <row r="48" spans="1:1">
      <c r="A48" s="187" t="s">
        <v>205</v>
      </c>
    </row>
    <row r="49" spans="1:1">
      <c r="A49" s="187" t="s">
        <v>207</v>
      </c>
    </row>
    <row r="50" spans="1:1">
      <c r="A50" s="187" t="s">
        <v>209</v>
      </c>
    </row>
    <row r="51" spans="1:1">
      <c r="A51" s="187" t="s">
        <v>211</v>
      </c>
    </row>
    <row r="52" spans="1:1">
      <c r="A52" s="187" t="s">
        <v>214</v>
      </c>
    </row>
    <row r="53" spans="1:1">
      <c r="A53" s="187" t="s">
        <v>216</v>
      </c>
    </row>
    <row r="54" spans="1:1">
      <c r="A54" s="187" t="s">
        <v>219</v>
      </c>
    </row>
    <row r="55" spans="1:1">
      <c r="A55" s="187" t="s">
        <v>222</v>
      </c>
    </row>
    <row r="56" spans="1:1">
      <c r="A56" s="187" t="s">
        <v>224</v>
      </c>
    </row>
    <row r="57" spans="1:1">
      <c r="A57" s="187" t="s">
        <v>226</v>
      </c>
    </row>
    <row r="58" spans="1:1">
      <c r="A58" s="187" t="s">
        <v>229</v>
      </c>
    </row>
    <row r="59" spans="1:1">
      <c r="A59" s="187" t="s">
        <v>230</v>
      </c>
    </row>
    <row r="60" spans="1:1">
      <c r="A60" s="187" t="s">
        <v>231</v>
      </c>
    </row>
    <row r="61" spans="1:1">
      <c r="A61" s="187" t="s">
        <v>235</v>
      </c>
    </row>
    <row r="62" spans="1:1">
      <c r="A62" s="187" t="s">
        <v>237</v>
      </c>
    </row>
    <row r="63" spans="1:1">
      <c r="A63" s="187" t="s">
        <v>239</v>
      </c>
    </row>
    <row r="64" spans="1:1">
      <c r="A64" s="187" t="s">
        <v>241</v>
      </c>
    </row>
    <row r="65" spans="1:1">
      <c r="A65" s="187" t="s">
        <v>242</v>
      </c>
    </row>
    <row r="66" spans="1:1">
      <c r="A66" s="187" t="s">
        <v>244</v>
      </c>
    </row>
    <row r="67" spans="1:1">
      <c r="A67" s="187" t="s">
        <v>246</v>
      </c>
    </row>
    <row r="68" spans="1:1">
      <c r="A68" s="187" t="s">
        <v>249</v>
      </c>
    </row>
    <row r="69" spans="1:1">
      <c r="A69" s="187" t="s">
        <v>251</v>
      </c>
    </row>
    <row r="70" spans="1:1">
      <c r="A70" s="187" t="s">
        <v>254</v>
      </c>
    </row>
    <row r="71" spans="1:1">
      <c r="A71" s="187" t="s">
        <v>257</v>
      </c>
    </row>
    <row r="72" spans="1:1">
      <c r="A72" s="187" t="s">
        <v>259</v>
      </c>
    </row>
    <row r="73" spans="1:1">
      <c r="A73" s="187" t="s">
        <v>261</v>
      </c>
    </row>
    <row r="74" spans="1:1">
      <c r="A74" s="187" t="s">
        <v>263</v>
      </c>
    </row>
    <row r="75" spans="1:1">
      <c r="A75" s="187" t="s">
        <v>265</v>
      </c>
    </row>
    <row r="76" spans="1:1">
      <c r="A76" s="187" t="s">
        <v>267</v>
      </c>
    </row>
    <row r="77" spans="1:1">
      <c r="A77" s="187" t="s">
        <v>268</v>
      </c>
    </row>
    <row r="78" spans="1:1">
      <c r="A78" s="187" t="s">
        <v>270</v>
      </c>
    </row>
    <row r="79" spans="1:1">
      <c r="A79" s="187" t="s">
        <v>273</v>
      </c>
    </row>
    <row r="80" spans="1:1">
      <c r="A80" s="187" t="s">
        <v>275</v>
      </c>
    </row>
    <row r="81" spans="1:1">
      <c r="A81" s="187" t="s">
        <v>278</v>
      </c>
    </row>
    <row r="82" spans="1:1">
      <c r="A82" s="187" t="s">
        <v>281</v>
      </c>
    </row>
    <row r="83" spans="1:1">
      <c r="A83" s="187" t="s">
        <v>283</v>
      </c>
    </row>
    <row r="84" spans="1:1">
      <c r="A84" s="187" t="s">
        <v>284</v>
      </c>
    </row>
    <row r="85" spans="1:1">
      <c r="A85" s="187" t="s">
        <v>285</v>
      </c>
    </row>
    <row r="86" spans="1:1">
      <c r="A86" s="187" t="s">
        <v>287</v>
      </c>
    </row>
    <row r="87" spans="1:1">
      <c r="A87" s="187" t="s">
        <v>289</v>
      </c>
    </row>
    <row r="88" spans="1:1">
      <c r="A88" s="187" t="s">
        <v>291</v>
      </c>
    </row>
    <row r="89" spans="1:1">
      <c r="A89" s="187" t="s">
        <v>293</v>
      </c>
    </row>
    <row r="90" spans="1:1">
      <c r="A90" s="187" t="s">
        <v>295</v>
      </c>
    </row>
    <row r="91" spans="1:1">
      <c r="A91" s="187" t="s">
        <v>298</v>
      </c>
    </row>
    <row r="92" spans="1:1">
      <c r="A92" s="187" t="s">
        <v>299</v>
      </c>
    </row>
    <row r="93" spans="1:1">
      <c r="A93" s="187" t="s">
        <v>301</v>
      </c>
    </row>
    <row r="94" spans="1:1">
      <c r="A94" s="187" t="s">
        <v>303</v>
      </c>
    </row>
    <row r="95" spans="1:1">
      <c r="A95" s="187" t="s">
        <v>306</v>
      </c>
    </row>
    <row r="96" spans="1:1">
      <c r="A96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7"/>
  <sheetViews>
    <sheetView topLeftCell="A172" workbookViewId="0">
      <selection activeCell="H215" sqref="H215"/>
    </sheetView>
  </sheetViews>
  <sheetFormatPr defaultRowHeight="15"/>
  <cols>
    <col min="1" max="1" width="117.42578125" bestFit="1" customWidth="1"/>
  </cols>
  <sheetData>
    <row r="1" spans="1:1">
      <c r="A1" s="186" t="s">
        <v>622</v>
      </c>
    </row>
    <row r="2" spans="1:1">
      <c r="A2" s="187" t="s">
        <v>350</v>
      </c>
    </row>
    <row r="3" spans="1:1">
      <c r="A3" s="187" t="s">
        <v>379</v>
      </c>
    </row>
    <row r="4" spans="1:1">
      <c r="A4" s="187" t="s">
        <v>553</v>
      </c>
    </row>
    <row r="5" spans="1:1">
      <c r="A5" s="187" t="s">
        <v>429</v>
      </c>
    </row>
    <row r="6" spans="1:1">
      <c r="A6" s="187" t="s">
        <v>474</v>
      </c>
    </row>
    <row r="7" spans="1:1">
      <c r="A7" s="187" t="s">
        <v>352</v>
      </c>
    </row>
    <row r="8" spans="1:1">
      <c r="A8" s="187" t="s">
        <v>381</v>
      </c>
    </row>
    <row r="9" spans="1:1">
      <c r="A9" s="187" t="s">
        <v>430</v>
      </c>
    </row>
    <row r="10" spans="1:1">
      <c r="A10" s="187" t="s">
        <v>475</v>
      </c>
    </row>
    <row r="11" spans="1:1">
      <c r="A11" s="187" t="s">
        <v>358</v>
      </c>
    </row>
    <row r="12" spans="1:1">
      <c r="A12" s="187" t="s">
        <v>408</v>
      </c>
    </row>
    <row r="13" spans="1:1">
      <c r="A13" s="187" t="s">
        <v>449</v>
      </c>
    </row>
    <row r="14" spans="1:1">
      <c r="A14" s="187" t="s">
        <v>480</v>
      </c>
    </row>
    <row r="15" spans="1:1">
      <c r="A15" s="187" t="s">
        <v>323</v>
      </c>
    </row>
    <row r="16" spans="1:1">
      <c r="A16" s="187" t="s">
        <v>489</v>
      </c>
    </row>
    <row r="17" spans="1:1">
      <c r="A17" s="187" t="s">
        <v>490</v>
      </c>
    </row>
    <row r="18" spans="1:1">
      <c r="A18" s="187" t="s">
        <v>492</v>
      </c>
    </row>
    <row r="19" spans="1:1">
      <c r="A19" s="187" t="s">
        <v>353</v>
      </c>
    </row>
    <row r="20" spans="1:1">
      <c r="A20" s="187" t="s">
        <v>383</v>
      </c>
    </row>
    <row r="21" spans="1:1">
      <c r="A21" s="187" t="s">
        <v>431</v>
      </c>
    </row>
    <row r="22" spans="1:1">
      <c r="A22" s="187" t="s">
        <v>139</v>
      </c>
    </row>
    <row r="23" spans="1:1">
      <c r="A23" s="187" t="s">
        <v>360</v>
      </c>
    </row>
    <row r="24" spans="1:1">
      <c r="A24" s="187" t="s">
        <v>410</v>
      </c>
    </row>
    <row r="25" spans="1:1">
      <c r="A25" s="187" t="s">
        <v>451</v>
      </c>
    </row>
    <row r="26" spans="1:1">
      <c r="A26" s="187" t="s">
        <v>482</v>
      </c>
    </row>
    <row r="27" spans="1:1">
      <c r="A27" s="187" t="s">
        <v>385</v>
      </c>
    </row>
    <row r="28" spans="1:1">
      <c r="A28" s="187" t="s">
        <v>387</v>
      </c>
    </row>
    <row r="29" spans="1:1">
      <c r="A29" s="187" t="s">
        <v>389</v>
      </c>
    </row>
    <row r="30" spans="1:1">
      <c r="A30" s="187" t="s">
        <v>432</v>
      </c>
    </row>
    <row r="31" spans="1:1">
      <c r="A31" s="187" t="s">
        <v>434</v>
      </c>
    </row>
    <row r="32" spans="1:1">
      <c r="A32" s="187" t="s">
        <v>436</v>
      </c>
    </row>
    <row r="33" spans="1:1">
      <c r="A33" s="187" t="s">
        <v>438</v>
      </c>
    </row>
    <row r="34" spans="1:1">
      <c r="A34" s="187" t="s">
        <v>477</v>
      </c>
    </row>
    <row r="35" spans="1:1">
      <c r="A35" s="187" t="s">
        <v>362</v>
      </c>
    </row>
    <row r="36" spans="1:1">
      <c r="A36" s="187" t="s">
        <v>364</v>
      </c>
    </row>
    <row r="37" spans="1:1">
      <c r="A37" s="187" t="s">
        <v>412</v>
      </c>
    </row>
    <row r="38" spans="1:1">
      <c r="A38" s="187" t="s">
        <v>414</v>
      </c>
    </row>
    <row r="39" spans="1:1">
      <c r="A39" s="187" t="s">
        <v>416</v>
      </c>
    </row>
    <row r="40" spans="1:1">
      <c r="A40" s="187" t="s">
        <v>453</v>
      </c>
    </row>
    <row r="41" spans="1:1">
      <c r="A41" s="187" t="s">
        <v>455</v>
      </c>
    </row>
    <row r="42" spans="1:1">
      <c r="A42" s="187" t="s">
        <v>457</v>
      </c>
    </row>
    <row r="43" spans="1:1">
      <c r="A43" s="187" t="s">
        <v>459</v>
      </c>
    </row>
    <row r="44" spans="1:1">
      <c r="A44" s="187" t="s">
        <v>150</v>
      </c>
    </row>
    <row r="45" spans="1:1">
      <c r="A45" s="187" t="s">
        <v>530</v>
      </c>
    </row>
    <row r="46" spans="1:1">
      <c r="A46" s="187" t="s">
        <v>531</v>
      </c>
    </row>
    <row r="47" spans="1:1">
      <c r="A47" s="187" t="s">
        <v>532</v>
      </c>
    </row>
    <row r="48" spans="1:1">
      <c r="A48" s="187" t="s">
        <v>554</v>
      </c>
    </row>
    <row r="49" spans="1:1">
      <c r="A49" s="187" t="s">
        <v>555</v>
      </c>
    </row>
    <row r="50" spans="1:1">
      <c r="A50" s="187" t="s">
        <v>570</v>
      </c>
    </row>
    <row r="51" spans="1:1">
      <c r="A51" s="187" t="s">
        <v>571</v>
      </c>
    </row>
    <row r="52" spans="1:1">
      <c r="A52" s="187" t="s">
        <v>151</v>
      </c>
    </row>
    <row r="53" spans="1:1">
      <c r="A53" s="187" t="s">
        <v>592</v>
      </c>
    </row>
    <row r="54" spans="1:1">
      <c r="A54" s="187" t="s">
        <v>593</v>
      </c>
    </row>
    <row r="55" spans="1:1">
      <c r="A55" s="187" t="s">
        <v>594</v>
      </c>
    </row>
    <row r="56" spans="1:1">
      <c r="A56" s="187" t="s">
        <v>533</v>
      </c>
    </row>
    <row r="57" spans="1:1">
      <c r="A57" s="187" t="s">
        <v>156</v>
      </c>
    </row>
    <row r="58" spans="1:1">
      <c r="A58" s="187" t="s">
        <v>572</v>
      </c>
    </row>
    <row r="59" spans="1:1">
      <c r="A59" s="187" t="s">
        <v>595</v>
      </c>
    </row>
    <row r="60" spans="1:1">
      <c r="A60" s="187" t="s">
        <v>534</v>
      </c>
    </row>
    <row r="61" spans="1:1">
      <c r="A61" s="187" t="s">
        <v>556</v>
      </c>
    </row>
    <row r="62" spans="1:1">
      <c r="A62" s="187" t="s">
        <v>573</v>
      </c>
    </row>
    <row r="63" spans="1:1">
      <c r="A63" s="187" t="s">
        <v>596</v>
      </c>
    </row>
    <row r="64" spans="1:1">
      <c r="A64" s="187" t="s">
        <v>354</v>
      </c>
    </row>
    <row r="65" spans="1:1">
      <c r="A65" s="187" t="s">
        <v>181</v>
      </c>
    </row>
    <row r="66" spans="1:1">
      <c r="A66" s="187" t="s">
        <v>183</v>
      </c>
    </row>
    <row r="67" spans="1:1">
      <c r="A67" s="187" t="s">
        <v>185</v>
      </c>
    </row>
    <row r="68" spans="1:1">
      <c r="A68" s="187" t="s">
        <v>187</v>
      </c>
    </row>
    <row r="69" spans="1:1">
      <c r="A69" s="187" t="s">
        <v>189</v>
      </c>
    </row>
    <row r="70" spans="1:1">
      <c r="A70" s="187" t="s">
        <v>391</v>
      </c>
    </row>
    <row r="71" spans="1:1">
      <c r="A71" s="187" t="s">
        <v>393</v>
      </c>
    </row>
    <row r="72" spans="1:1">
      <c r="A72" s="187" t="s">
        <v>395</v>
      </c>
    </row>
    <row r="73" spans="1:1">
      <c r="A73" s="187" t="s">
        <v>397</v>
      </c>
    </row>
    <row r="74" spans="1:1">
      <c r="A74" s="187" t="s">
        <v>399</v>
      </c>
    </row>
    <row r="75" spans="1:1">
      <c r="A75" s="187" t="s">
        <v>440</v>
      </c>
    </row>
    <row r="76" spans="1:1">
      <c r="A76" s="187" t="s">
        <v>191</v>
      </c>
    </row>
    <row r="77" spans="1:1">
      <c r="A77" s="187" t="s">
        <v>442</v>
      </c>
    </row>
    <row r="78" spans="1:1">
      <c r="A78" s="187" t="s">
        <v>444</v>
      </c>
    </row>
    <row r="79" spans="1:1">
      <c r="A79" s="187" t="s">
        <v>446</v>
      </c>
    </row>
    <row r="80" spans="1:1">
      <c r="A80" s="187" t="s">
        <v>478</v>
      </c>
    </row>
    <row r="81" spans="1:1">
      <c r="A81" s="187" t="s">
        <v>195</v>
      </c>
    </row>
    <row r="82" spans="1:1">
      <c r="A82" s="187" t="s">
        <v>197</v>
      </c>
    </row>
    <row r="83" spans="1:1">
      <c r="A83" s="187" t="s">
        <v>199</v>
      </c>
    </row>
    <row r="84" spans="1:1">
      <c r="A84" s="187" t="s">
        <v>201</v>
      </c>
    </row>
    <row r="85" spans="1:1">
      <c r="A85" s="187" t="s">
        <v>366</v>
      </c>
    </row>
    <row r="86" spans="1:1">
      <c r="A86" s="187" t="s">
        <v>368</v>
      </c>
    </row>
    <row r="87" spans="1:1">
      <c r="A87" s="187" t="s">
        <v>370</v>
      </c>
    </row>
    <row r="88" spans="1:1">
      <c r="A88" s="187" t="s">
        <v>372</v>
      </c>
    </row>
    <row r="89" spans="1:1">
      <c r="A89" s="187" t="s">
        <v>374</v>
      </c>
    </row>
    <row r="90" spans="1:1">
      <c r="A90" s="187" t="s">
        <v>418</v>
      </c>
    </row>
    <row r="91" spans="1:1">
      <c r="A91" s="187" t="s">
        <v>420</v>
      </c>
    </row>
    <row r="92" spans="1:1">
      <c r="A92" s="187" t="s">
        <v>422</v>
      </c>
    </row>
    <row r="93" spans="1:1">
      <c r="A93" s="187" t="s">
        <v>424</v>
      </c>
    </row>
    <row r="94" spans="1:1">
      <c r="A94" s="187" t="s">
        <v>461</v>
      </c>
    </row>
    <row r="95" spans="1:1">
      <c r="A95" s="187" t="s">
        <v>463</v>
      </c>
    </row>
    <row r="96" spans="1:1">
      <c r="A96" s="187" t="s">
        <v>465</v>
      </c>
    </row>
    <row r="97" spans="1:1">
      <c r="A97" s="187" t="s">
        <v>467</v>
      </c>
    </row>
    <row r="98" spans="1:1">
      <c r="A98" s="187" t="s">
        <v>469</v>
      </c>
    </row>
    <row r="99" spans="1:1">
      <c r="A99" s="187" t="s">
        <v>484</v>
      </c>
    </row>
    <row r="100" spans="1:1">
      <c r="A100" s="187" t="s">
        <v>205</v>
      </c>
    </row>
    <row r="101" spans="1:1">
      <c r="A101" s="187" t="s">
        <v>207</v>
      </c>
    </row>
    <row r="102" spans="1:1">
      <c r="A102" s="187" t="s">
        <v>209</v>
      </c>
    </row>
    <row r="103" spans="1:1">
      <c r="A103" s="187" t="s">
        <v>486</v>
      </c>
    </row>
    <row r="104" spans="1:1">
      <c r="A104" s="187" t="s">
        <v>535</v>
      </c>
    </row>
    <row r="105" spans="1:1">
      <c r="A105" s="187" t="s">
        <v>536</v>
      </c>
    </row>
    <row r="106" spans="1:1">
      <c r="A106" s="187" t="s">
        <v>229</v>
      </c>
    </row>
    <row r="107" spans="1:1">
      <c r="A107" s="187" t="s">
        <v>230</v>
      </c>
    </row>
    <row r="108" spans="1:1">
      <c r="A108" s="187" t="s">
        <v>574</v>
      </c>
    </row>
    <row r="109" spans="1:1">
      <c r="A109" s="187" t="s">
        <v>575</v>
      </c>
    </row>
    <row r="110" spans="1:1">
      <c r="A110" s="187" t="s">
        <v>597</v>
      </c>
    </row>
    <row r="111" spans="1:1">
      <c r="A111" s="187" t="s">
        <v>598</v>
      </c>
    </row>
    <row r="112" spans="1:1">
      <c r="A112" s="187" t="s">
        <v>537</v>
      </c>
    </row>
    <row r="113" spans="1:1">
      <c r="A113" s="187" t="s">
        <v>557</v>
      </c>
    </row>
    <row r="114" spans="1:1">
      <c r="A114" s="187" t="s">
        <v>576</v>
      </c>
    </row>
    <row r="115" spans="1:1">
      <c r="A115" s="187" t="s">
        <v>599</v>
      </c>
    </row>
    <row r="116" spans="1:1">
      <c r="A116" s="187" t="s">
        <v>514</v>
      </c>
    </row>
    <row r="117" spans="1:1">
      <c r="A117" s="187" t="s">
        <v>493</v>
      </c>
    </row>
    <row r="118" spans="1:1">
      <c r="A118" s="187" t="s">
        <v>522</v>
      </c>
    </row>
    <row r="119" spans="1:1">
      <c r="A119" s="187" t="s">
        <v>356</v>
      </c>
    </row>
    <row r="120" spans="1:1">
      <c r="A120" s="187" t="s">
        <v>515</v>
      </c>
    </row>
    <row r="121" spans="1:1">
      <c r="A121" s="187" t="s">
        <v>495</v>
      </c>
    </row>
    <row r="122" spans="1:1">
      <c r="A122" s="187" t="s">
        <v>523</v>
      </c>
    </row>
    <row r="123" spans="1:1">
      <c r="A123" s="187" t="s">
        <v>516</v>
      </c>
    </row>
    <row r="124" spans="1:1">
      <c r="A124" s="187" t="s">
        <v>497</v>
      </c>
    </row>
    <row r="125" spans="1:1">
      <c r="A125" s="187" t="s">
        <v>524</v>
      </c>
    </row>
    <row r="126" spans="1:1">
      <c r="A126" s="187" t="s">
        <v>499</v>
      </c>
    </row>
    <row r="127" spans="1:1">
      <c r="A127" s="187" t="s">
        <v>517</v>
      </c>
    </row>
    <row r="128" spans="1:1">
      <c r="A128" s="187" t="s">
        <v>525</v>
      </c>
    </row>
    <row r="129" spans="1:1">
      <c r="A129" s="187" t="s">
        <v>376</v>
      </c>
    </row>
    <row r="130" spans="1:1">
      <c r="A130" s="187" t="s">
        <v>426</v>
      </c>
    </row>
    <row r="131" spans="1:1">
      <c r="A131" s="187" t="s">
        <v>471</v>
      </c>
    </row>
    <row r="132" spans="1:1">
      <c r="A132" s="187" t="s">
        <v>231</v>
      </c>
    </row>
    <row r="133" spans="1:1">
      <c r="A133" s="187" t="s">
        <v>235</v>
      </c>
    </row>
    <row r="134" spans="1:1">
      <c r="A134" s="187" t="s">
        <v>401</v>
      </c>
    </row>
    <row r="135" spans="1:1">
      <c r="A135" s="187" t="s">
        <v>237</v>
      </c>
    </row>
    <row r="136" spans="1:1">
      <c r="A136" s="187" t="s">
        <v>239</v>
      </c>
    </row>
    <row r="137" spans="1:1">
      <c r="A137" s="187" t="s">
        <v>538</v>
      </c>
    </row>
    <row r="138" spans="1:1">
      <c r="A138" s="187" t="s">
        <v>241</v>
      </c>
    </row>
    <row r="139" spans="1:1">
      <c r="A139" s="187" t="s">
        <v>577</v>
      </c>
    </row>
    <row r="140" spans="1:1">
      <c r="A140" s="187" t="s">
        <v>600</v>
      </c>
    </row>
    <row r="141" spans="1:1">
      <c r="A141" s="187" t="s">
        <v>403</v>
      </c>
    </row>
    <row r="142" spans="1:1">
      <c r="A142" s="187" t="s">
        <v>244</v>
      </c>
    </row>
    <row r="143" spans="1:1">
      <c r="A143" s="187" t="s">
        <v>539</v>
      </c>
    </row>
    <row r="144" spans="1:1">
      <c r="A144" s="187" t="s">
        <v>540</v>
      </c>
    </row>
    <row r="145" spans="1:1">
      <c r="A145" s="187" t="s">
        <v>558</v>
      </c>
    </row>
    <row r="146" spans="1:1">
      <c r="A146" s="187" t="s">
        <v>559</v>
      </c>
    </row>
    <row r="147" spans="1:1">
      <c r="A147" s="187" t="s">
        <v>578</v>
      </c>
    </row>
    <row r="148" spans="1:1">
      <c r="A148" s="187" t="s">
        <v>579</v>
      </c>
    </row>
    <row r="149" spans="1:1">
      <c r="A149" s="187" t="s">
        <v>580</v>
      </c>
    </row>
    <row r="150" spans="1:1">
      <c r="A150" s="187" t="s">
        <v>601</v>
      </c>
    </row>
    <row r="151" spans="1:1">
      <c r="A151" s="187" t="s">
        <v>602</v>
      </c>
    </row>
    <row r="152" spans="1:1">
      <c r="A152" s="187" t="s">
        <v>603</v>
      </c>
    </row>
    <row r="153" spans="1:1">
      <c r="A153" s="187" t="s">
        <v>541</v>
      </c>
    </row>
    <row r="154" spans="1:1">
      <c r="A154" s="187" t="s">
        <v>560</v>
      </c>
    </row>
    <row r="155" spans="1:1">
      <c r="A155" s="187" t="s">
        <v>581</v>
      </c>
    </row>
    <row r="156" spans="1:1">
      <c r="A156" s="187" t="s">
        <v>604</v>
      </c>
    </row>
    <row r="157" spans="1:1">
      <c r="A157" s="187" t="s">
        <v>561</v>
      </c>
    </row>
    <row r="158" spans="1:1">
      <c r="A158" s="187" t="s">
        <v>501</v>
      </c>
    </row>
    <row r="159" spans="1:1">
      <c r="A159" s="187" t="s">
        <v>405</v>
      </c>
    </row>
    <row r="160" spans="1:1">
      <c r="A160" s="187" t="s">
        <v>261</v>
      </c>
    </row>
    <row r="161" spans="1:1">
      <c r="A161" s="187" t="s">
        <v>263</v>
      </c>
    </row>
    <row r="162" spans="1:1">
      <c r="A162" s="187" t="s">
        <v>265</v>
      </c>
    </row>
    <row r="163" spans="1:1">
      <c r="A163" s="187" t="s">
        <v>503</v>
      </c>
    </row>
    <row r="164" spans="1:1">
      <c r="A164" s="187" t="s">
        <v>505</v>
      </c>
    </row>
    <row r="165" spans="1:1">
      <c r="A165" s="187" t="s">
        <v>518</v>
      </c>
    </row>
    <row r="166" spans="1:1">
      <c r="A166" s="187" t="s">
        <v>526</v>
      </c>
    </row>
    <row r="167" spans="1:1">
      <c r="A167" s="187" t="s">
        <v>542</v>
      </c>
    </row>
    <row r="168" spans="1:1">
      <c r="A168" s="187" t="s">
        <v>562</v>
      </c>
    </row>
    <row r="169" spans="1:1">
      <c r="A169" s="187" t="s">
        <v>582</v>
      </c>
    </row>
    <row r="170" spans="1:1">
      <c r="A170" s="187" t="s">
        <v>605</v>
      </c>
    </row>
    <row r="171" spans="1:1">
      <c r="A171" s="187" t="s">
        <v>543</v>
      </c>
    </row>
    <row r="172" spans="1:1">
      <c r="A172" s="187" t="s">
        <v>563</v>
      </c>
    </row>
    <row r="173" spans="1:1">
      <c r="A173" s="187" t="s">
        <v>283</v>
      </c>
    </row>
    <row r="174" spans="1:1">
      <c r="A174" s="187" t="s">
        <v>606</v>
      </c>
    </row>
    <row r="175" spans="1:1">
      <c r="A175" s="187" t="s">
        <v>544</v>
      </c>
    </row>
    <row r="176" spans="1:1">
      <c r="A176" s="187" t="s">
        <v>564</v>
      </c>
    </row>
    <row r="177" spans="1:1">
      <c r="A177" s="187" t="s">
        <v>565</v>
      </c>
    </row>
    <row r="178" spans="1:1">
      <c r="A178" s="187" t="s">
        <v>583</v>
      </c>
    </row>
    <row r="179" spans="1:1">
      <c r="A179" s="187" t="s">
        <v>584</v>
      </c>
    </row>
    <row r="180" spans="1:1">
      <c r="A180" s="187" t="s">
        <v>607</v>
      </c>
    </row>
    <row r="181" spans="1:1">
      <c r="A181" s="187" t="s">
        <v>608</v>
      </c>
    </row>
    <row r="182" spans="1:1">
      <c r="A182" s="187" t="s">
        <v>546</v>
      </c>
    </row>
    <row r="183" spans="1:1">
      <c r="A183" s="187" t="s">
        <v>566</v>
      </c>
    </row>
    <row r="184" spans="1:1">
      <c r="A184" s="187" t="s">
        <v>567</v>
      </c>
    </row>
    <row r="185" spans="1:1">
      <c r="A185" s="187" t="s">
        <v>284</v>
      </c>
    </row>
    <row r="186" spans="1:1">
      <c r="A186" s="187" t="s">
        <v>609</v>
      </c>
    </row>
    <row r="187" spans="1:1">
      <c r="A187" s="187" t="s">
        <v>610</v>
      </c>
    </row>
    <row r="188" spans="1:1">
      <c r="A188" s="187" t="s">
        <v>520</v>
      </c>
    </row>
    <row r="189" spans="1:1">
      <c r="A189" s="187" t="s">
        <v>507</v>
      </c>
    </row>
    <row r="190" spans="1:1">
      <c r="A190" s="187" t="s">
        <v>528</v>
      </c>
    </row>
    <row r="191" spans="1:1">
      <c r="A191" s="187" t="s">
        <v>585</v>
      </c>
    </row>
    <row r="192" spans="1:1">
      <c r="A192" s="187" t="s">
        <v>285</v>
      </c>
    </row>
    <row r="193" spans="1:1">
      <c r="A193" s="187" t="s">
        <v>509</v>
      </c>
    </row>
    <row r="194" spans="1:1">
      <c r="A194" s="187" t="s">
        <v>287</v>
      </c>
    </row>
    <row r="195" spans="1:1">
      <c r="A195" s="187" t="s">
        <v>611</v>
      </c>
    </row>
    <row r="196" spans="1:1">
      <c r="A196" s="187" t="s">
        <v>547</v>
      </c>
    </row>
    <row r="197" spans="1:1">
      <c r="A197" s="187" t="s">
        <v>586</v>
      </c>
    </row>
    <row r="198" spans="1:1">
      <c r="A198" s="187" t="s">
        <v>549</v>
      </c>
    </row>
    <row r="199" spans="1:1">
      <c r="A199" s="187" t="s">
        <v>298</v>
      </c>
    </row>
    <row r="200" spans="1:1">
      <c r="A200" s="187" t="s">
        <v>588</v>
      </c>
    </row>
    <row r="201" spans="1:1">
      <c r="A201" s="187" t="s">
        <v>613</v>
      </c>
    </row>
    <row r="202" spans="1:1">
      <c r="A202" s="187" t="s">
        <v>589</v>
      </c>
    </row>
    <row r="203" spans="1:1">
      <c r="A203" s="187" t="s">
        <v>614</v>
      </c>
    </row>
    <row r="204" spans="1:1">
      <c r="A204" s="187" t="s">
        <v>550</v>
      </c>
    </row>
    <row r="205" spans="1:1">
      <c r="A205" s="187" t="s">
        <v>568</v>
      </c>
    </row>
    <row r="206" spans="1:1">
      <c r="A206" s="187" t="s">
        <v>511</v>
      </c>
    </row>
    <row r="207" spans="1:1">
      <c r="A207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00"/>
  <sheetViews>
    <sheetView topLeftCell="A266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t="s">
        <v>622</v>
      </c>
    </row>
    <row r="2" spans="1:1">
      <c r="A2" t="s">
        <v>308</v>
      </c>
    </row>
    <row r="3" spans="1:1">
      <c r="A3" t="s">
        <v>310</v>
      </c>
    </row>
    <row r="4" spans="1:1">
      <c r="A4" t="s">
        <v>312</v>
      </c>
    </row>
    <row r="5" spans="1:1">
      <c r="A5" t="s">
        <v>314</v>
      </c>
    </row>
    <row r="6" spans="1:1">
      <c r="A6" t="s">
        <v>316</v>
      </c>
    </row>
    <row r="7" spans="1:1">
      <c r="A7" t="s">
        <v>319</v>
      </c>
    </row>
    <row r="8" spans="1:1">
      <c r="A8" t="s">
        <v>321</v>
      </c>
    </row>
    <row r="9" spans="1:1">
      <c r="A9" t="s">
        <v>323</v>
      </c>
    </row>
    <row r="10" spans="1:1">
      <c r="A10" t="s">
        <v>325</v>
      </c>
    </row>
    <row r="11" spans="1:1">
      <c r="A11" t="s">
        <v>135</v>
      </c>
    </row>
    <row r="12" spans="1:1">
      <c r="A12" t="s">
        <v>139</v>
      </c>
    </row>
    <row r="13" spans="1:1">
      <c r="A13" t="s">
        <v>326</v>
      </c>
    </row>
    <row r="14" spans="1:1">
      <c r="A14" t="s">
        <v>141</v>
      </c>
    </row>
    <row r="15" spans="1:1">
      <c r="A15" t="s">
        <v>143</v>
      </c>
    </row>
    <row r="16" spans="1:1">
      <c r="A16" t="s">
        <v>150</v>
      </c>
    </row>
    <row r="17" spans="1:1">
      <c r="A17" t="s">
        <v>151</v>
      </c>
    </row>
    <row r="18" spans="1:1">
      <c r="A18" t="s">
        <v>145</v>
      </c>
    </row>
    <row r="19" spans="1:1">
      <c r="A19" t="s">
        <v>147</v>
      </c>
    </row>
    <row r="20" spans="1:1">
      <c r="A20" t="s">
        <v>153</v>
      </c>
    </row>
    <row r="21" spans="1:1">
      <c r="A21" t="s">
        <v>156</v>
      </c>
    </row>
    <row r="22" spans="1:1">
      <c r="A22" t="s">
        <v>157</v>
      </c>
    </row>
    <row r="23" spans="1:1">
      <c r="A23" t="s">
        <v>160</v>
      </c>
    </row>
    <row r="24" spans="1:1">
      <c r="A24" t="s">
        <v>329</v>
      </c>
    </row>
    <row r="25" spans="1:1">
      <c r="A25" t="s">
        <v>163</v>
      </c>
    </row>
    <row r="26" spans="1:1">
      <c r="A26" t="s">
        <v>165</v>
      </c>
    </row>
    <row r="27" spans="1:1">
      <c r="A27" t="s">
        <v>166</v>
      </c>
    </row>
    <row r="28" spans="1:1">
      <c r="A28" t="s">
        <v>328</v>
      </c>
    </row>
    <row r="29" spans="1:1">
      <c r="A29" t="s">
        <v>167</v>
      </c>
    </row>
    <row r="30" spans="1:1">
      <c r="A30" t="s">
        <v>330</v>
      </c>
    </row>
    <row r="31" spans="1:1">
      <c r="A31" t="s">
        <v>170</v>
      </c>
    </row>
    <row r="32" spans="1:1">
      <c r="A32" t="s">
        <v>332</v>
      </c>
    </row>
    <row r="33" spans="1:1">
      <c r="A33" t="s">
        <v>334</v>
      </c>
    </row>
    <row r="34" spans="1:1">
      <c r="A34" t="s">
        <v>174</v>
      </c>
    </row>
    <row r="35" spans="1:1">
      <c r="A35" t="s">
        <v>178</v>
      </c>
    </row>
    <row r="36" spans="1:1">
      <c r="A36" t="s">
        <v>181</v>
      </c>
    </row>
    <row r="37" spans="1:1">
      <c r="A37" t="s">
        <v>183</v>
      </c>
    </row>
    <row r="38" spans="1:1">
      <c r="A38" t="s">
        <v>185</v>
      </c>
    </row>
    <row r="39" spans="1:1">
      <c r="A39" t="s">
        <v>187</v>
      </c>
    </row>
    <row r="40" spans="1:1">
      <c r="A40" t="s">
        <v>189</v>
      </c>
    </row>
    <row r="41" spans="1:1">
      <c r="A41" t="s">
        <v>191</v>
      </c>
    </row>
    <row r="42" spans="1:1">
      <c r="A42" t="s">
        <v>195</v>
      </c>
    </row>
    <row r="43" spans="1:1">
      <c r="A43" t="s">
        <v>197</v>
      </c>
    </row>
    <row r="44" spans="1:1">
      <c r="A44" t="s">
        <v>199</v>
      </c>
    </row>
    <row r="45" spans="1:1">
      <c r="A45" t="s">
        <v>201</v>
      </c>
    </row>
    <row r="46" spans="1:1">
      <c r="A46" t="s">
        <v>203</v>
      </c>
    </row>
    <row r="47" spans="1:1">
      <c r="A47" t="s">
        <v>193</v>
      </c>
    </row>
    <row r="48" spans="1:1">
      <c r="A48" t="s">
        <v>205</v>
      </c>
    </row>
    <row r="49" spans="1:1">
      <c r="A49" t="s">
        <v>207</v>
      </c>
    </row>
    <row r="50" spans="1:1">
      <c r="A50" t="s">
        <v>209</v>
      </c>
    </row>
    <row r="51" spans="1:1">
      <c r="A51" t="s">
        <v>211</v>
      </c>
    </row>
    <row r="52" spans="1:1">
      <c r="A52" t="s">
        <v>214</v>
      </c>
    </row>
    <row r="53" spans="1:1">
      <c r="A53" t="s">
        <v>216</v>
      </c>
    </row>
    <row r="54" spans="1:1">
      <c r="A54" t="s">
        <v>219</v>
      </c>
    </row>
    <row r="55" spans="1:1">
      <c r="A55" t="s">
        <v>222</v>
      </c>
    </row>
    <row r="56" spans="1:1">
      <c r="A56" t="s">
        <v>224</v>
      </c>
    </row>
    <row r="57" spans="1:1">
      <c r="A57" t="s">
        <v>226</v>
      </c>
    </row>
    <row r="58" spans="1:1">
      <c r="A58" t="s">
        <v>229</v>
      </c>
    </row>
    <row r="59" spans="1:1">
      <c r="A59" t="s">
        <v>230</v>
      </c>
    </row>
    <row r="60" spans="1:1">
      <c r="A60" t="s">
        <v>231</v>
      </c>
    </row>
    <row r="61" spans="1:1">
      <c r="A61" t="s">
        <v>235</v>
      </c>
    </row>
    <row r="62" spans="1:1">
      <c r="A62" t="s">
        <v>237</v>
      </c>
    </row>
    <row r="63" spans="1:1">
      <c r="A63" t="s">
        <v>239</v>
      </c>
    </row>
    <row r="64" spans="1:1">
      <c r="A64" t="s">
        <v>241</v>
      </c>
    </row>
    <row r="65" spans="1:1">
      <c r="A65" t="s">
        <v>242</v>
      </c>
    </row>
    <row r="66" spans="1:1">
      <c r="A66" t="s">
        <v>244</v>
      </c>
    </row>
    <row r="67" spans="1:1">
      <c r="A67" t="s">
        <v>246</v>
      </c>
    </row>
    <row r="68" spans="1:1">
      <c r="A68" t="s">
        <v>249</v>
      </c>
    </row>
    <row r="69" spans="1:1">
      <c r="A69" t="s">
        <v>251</v>
      </c>
    </row>
    <row r="70" spans="1:1">
      <c r="A70" t="s">
        <v>254</v>
      </c>
    </row>
    <row r="71" spans="1:1">
      <c r="A71" t="s">
        <v>257</v>
      </c>
    </row>
    <row r="72" spans="1:1">
      <c r="A72" t="s">
        <v>259</v>
      </c>
    </row>
    <row r="73" spans="1:1">
      <c r="A73" t="s">
        <v>261</v>
      </c>
    </row>
    <row r="74" spans="1:1">
      <c r="A74" t="s">
        <v>263</v>
      </c>
    </row>
    <row r="75" spans="1:1">
      <c r="A75" t="s">
        <v>265</v>
      </c>
    </row>
    <row r="76" spans="1:1">
      <c r="A76" t="s">
        <v>267</v>
      </c>
    </row>
    <row r="77" spans="1:1">
      <c r="A77" t="s">
        <v>268</v>
      </c>
    </row>
    <row r="78" spans="1:1">
      <c r="A78" t="s">
        <v>270</v>
      </c>
    </row>
    <row r="79" spans="1:1">
      <c r="A79" t="s">
        <v>273</v>
      </c>
    </row>
    <row r="80" spans="1:1">
      <c r="A80" t="s">
        <v>275</v>
      </c>
    </row>
    <row r="81" spans="1:1">
      <c r="A81" t="s">
        <v>278</v>
      </c>
    </row>
    <row r="82" spans="1:1">
      <c r="A82" t="s">
        <v>281</v>
      </c>
    </row>
    <row r="83" spans="1:1">
      <c r="A83" t="s">
        <v>283</v>
      </c>
    </row>
    <row r="84" spans="1:1">
      <c r="A84" t="s">
        <v>284</v>
      </c>
    </row>
    <row r="85" spans="1:1">
      <c r="A85" t="s">
        <v>285</v>
      </c>
    </row>
    <row r="86" spans="1:1">
      <c r="A86" t="s">
        <v>287</v>
      </c>
    </row>
    <row r="87" spans="1:1">
      <c r="A87" t="s">
        <v>289</v>
      </c>
    </row>
    <row r="88" spans="1:1">
      <c r="A88" t="s">
        <v>291</v>
      </c>
    </row>
    <row r="89" spans="1:1">
      <c r="A89" t="s">
        <v>293</v>
      </c>
    </row>
    <row r="90" spans="1:1">
      <c r="A90" t="s">
        <v>295</v>
      </c>
    </row>
    <row r="91" spans="1:1">
      <c r="A91" t="s">
        <v>298</v>
      </c>
    </row>
    <row r="92" spans="1:1">
      <c r="A92" t="s">
        <v>299</v>
      </c>
    </row>
    <row r="93" spans="1:1">
      <c r="A93" t="s">
        <v>301</v>
      </c>
    </row>
    <row r="94" spans="1:1">
      <c r="A94" t="s">
        <v>303</v>
      </c>
    </row>
    <row r="95" spans="1:1">
      <c r="A95" t="s">
        <v>306</v>
      </c>
    </row>
    <row r="96" spans="1:1">
      <c r="A96" t="s">
        <v>350</v>
      </c>
    </row>
    <row r="97" spans="1:1">
      <c r="A97" t="s">
        <v>379</v>
      </c>
    </row>
    <row r="98" spans="1:1">
      <c r="A98" t="s">
        <v>553</v>
      </c>
    </row>
    <row r="99" spans="1:1">
      <c r="A99" t="s">
        <v>429</v>
      </c>
    </row>
    <row r="100" spans="1:1">
      <c r="A100" t="s">
        <v>474</v>
      </c>
    </row>
    <row r="101" spans="1:1">
      <c r="A101" t="s">
        <v>352</v>
      </c>
    </row>
    <row r="102" spans="1:1">
      <c r="A102" t="s">
        <v>381</v>
      </c>
    </row>
    <row r="103" spans="1:1">
      <c r="A103" t="s">
        <v>430</v>
      </c>
    </row>
    <row r="104" spans="1:1">
      <c r="A104" t="s">
        <v>475</v>
      </c>
    </row>
    <row r="105" spans="1:1">
      <c r="A105" t="s">
        <v>358</v>
      </c>
    </row>
    <row r="106" spans="1:1">
      <c r="A106" t="s">
        <v>408</v>
      </c>
    </row>
    <row r="107" spans="1:1">
      <c r="A107" t="s">
        <v>449</v>
      </c>
    </row>
    <row r="108" spans="1:1">
      <c r="A108" t="s">
        <v>480</v>
      </c>
    </row>
    <row r="109" spans="1:1">
      <c r="A109" t="s">
        <v>323</v>
      </c>
    </row>
    <row r="110" spans="1:1">
      <c r="A110" t="s">
        <v>489</v>
      </c>
    </row>
    <row r="111" spans="1:1">
      <c r="A111" t="s">
        <v>490</v>
      </c>
    </row>
    <row r="112" spans="1:1">
      <c r="A112" t="s">
        <v>492</v>
      </c>
    </row>
    <row r="113" spans="1:1">
      <c r="A113" t="s">
        <v>353</v>
      </c>
    </row>
    <row r="114" spans="1:1">
      <c r="A114" t="s">
        <v>383</v>
      </c>
    </row>
    <row r="115" spans="1:1">
      <c r="A115" t="s">
        <v>431</v>
      </c>
    </row>
    <row r="116" spans="1:1">
      <c r="A116" t="s">
        <v>139</v>
      </c>
    </row>
    <row r="117" spans="1:1">
      <c r="A117" t="s">
        <v>360</v>
      </c>
    </row>
    <row r="118" spans="1:1">
      <c r="A118" t="s">
        <v>410</v>
      </c>
    </row>
    <row r="119" spans="1:1">
      <c r="A119" t="s">
        <v>451</v>
      </c>
    </row>
    <row r="120" spans="1:1">
      <c r="A120" t="s">
        <v>482</v>
      </c>
    </row>
    <row r="121" spans="1:1">
      <c r="A121" t="s">
        <v>385</v>
      </c>
    </row>
    <row r="122" spans="1:1">
      <c r="A122" t="s">
        <v>387</v>
      </c>
    </row>
    <row r="123" spans="1:1">
      <c r="A123" t="s">
        <v>389</v>
      </c>
    </row>
    <row r="124" spans="1:1">
      <c r="A124" t="s">
        <v>432</v>
      </c>
    </row>
    <row r="125" spans="1:1">
      <c r="A125" t="s">
        <v>434</v>
      </c>
    </row>
    <row r="126" spans="1:1">
      <c r="A126" t="s">
        <v>436</v>
      </c>
    </row>
    <row r="127" spans="1:1">
      <c r="A127" t="s">
        <v>438</v>
      </c>
    </row>
    <row r="128" spans="1:1">
      <c r="A128" t="s">
        <v>477</v>
      </c>
    </row>
    <row r="129" spans="1:1">
      <c r="A129" t="s">
        <v>362</v>
      </c>
    </row>
    <row r="130" spans="1:1">
      <c r="A130" t="s">
        <v>364</v>
      </c>
    </row>
    <row r="131" spans="1:1">
      <c r="A131" t="s">
        <v>412</v>
      </c>
    </row>
    <row r="132" spans="1:1">
      <c r="A132" t="s">
        <v>414</v>
      </c>
    </row>
    <row r="133" spans="1:1">
      <c r="A133" t="s">
        <v>416</v>
      </c>
    </row>
    <row r="134" spans="1:1">
      <c r="A134" t="s">
        <v>453</v>
      </c>
    </row>
    <row r="135" spans="1:1">
      <c r="A135" t="s">
        <v>455</v>
      </c>
    </row>
    <row r="136" spans="1:1">
      <c r="A136" t="s">
        <v>457</v>
      </c>
    </row>
    <row r="137" spans="1:1">
      <c r="A137" t="s">
        <v>459</v>
      </c>
    </row>
    <row r="138" spans="1:1">
      <c r="A138" t="s">
        <v>150</v>
      </c>
    </row>
    <row r="139" spans="1:1">
      <c r="A139" t="s">
        <v>530</v>
      </c>
    </row>
    <row r="140" spans="1:1">
      <c r="A140" t="s">
        <v>531</v>
      </c>
    </row>
    <row r="141" spans="1:1">
      <c r="A141" t="s">
        <v>532</v>
      </c>
    </row>
    <row r="142" spans="1:1">
      <c r="A142" t="s">
        <v>554</v>
      </c>
    </row>
    <row r="143" spans="1:1">
      <c r="A143" t="s">
        <v>555</v>
      </c>
    </row>
    <row r="144" spans="1:1">
      <c r="A144" t="s">
        <v>570</v>
      </c>
    </row>
    <row r="145" spans="1:1">
      <c r="A145" t="s">
        <v>571</v>
      </c>
    </row>
    <row r="146" spans="1:1">
      <c r="A146" t="s">
        <v>151</v>
      </c>
    </row>
    <row r="147" spans="1:1">
      <c r="A147" t="s">
        <v>592</v>
      </c>
    </row>
    <row r="148" spans="1:1">
      <c r="A148" t="s">
        <v>593</v>
      </c>
    </row>
    <row r="149" spans="1:1">
      <c r="A149" t="s">
        <v>594</v>
      </c>
    </row>
    <row r="150" spans="1:1">
      <c r="A150" t="s">
        <v>533</v>
      </c>
    </row>
    <row r="151" spans="1:1">
      <c r="A151" t="s">
        <v>156</v>
      </c>
    </row>
    <row r="152" spans="1:1">
      <c r="A152" t="s">
        <v>572</v>
      </c>
    </row>
    <row r="153" spans="1:1">
      <c r="A153" t="s">
        <v>595</v>
      </c>
    </row>
    <row r="154" spans="1:1">
      <c r="A154" t="s">
        <v>534</v>
      </c>
    </row>
    <row r="155" spans="1:1">
      <c r="A155" t="s">
        <v>556</v>
      </c>
    </row>
    <row r="156" spans="1:1">
      <c r="A156" t="s">
        <v>573</v>
      </c>
    </row>
    <row r="157" spans="1:1">
      <c r="A157" t="s">
        <v>596</v>
      </c>
    </row>
    <row r="158" spans="1:1">
      <c r="A158" t="s">
        <v>354</v>
      </c>
    </row>
    <row r="159" spans="1:1">
      <c r="A159" t="s">
        <v>181</v>
      </c>
    </row>
    <row r="160" spans="1:1">
      <c r="A160" t="s">
        <v>183</v>
      </c>
    </row>
    <row r="161" spans="1:1">
      <c r="A161" t="s">
        <v>185</v>
      </c>
    </row>
    <row r="162" spans="1:1">
      <c r="A162" t="s">
        <v>187</v>
      </c>
    </row>
    <row r="163" spans="1:1">
      <c r="A163" t="s">
        <v>189</v>
      </c>
    </row>
    <row r="164" spans="1:1">
      <c r="A164" t="s">
        <v>391</v>
      </c>
    </row>
    <row r="165" spans="1:1">
      <c r="A165" t="s">
        <v>393</v>
      </c>
    </row>
    <row r="166" spans="1:1">
      <c r="A166" t="s">
        <v>395</v>
      </c>
    </row>
    <row r="167" spans="1:1">
      <c r="A167" t="s">
        <v>397</v>
      </c>
    </row>
    <row r="168" spans="1:1">
      <c r="A168" t="s">
        <v>399</v>
      </c>
    </row>
    <row r="169" spans="1:1">
      <c r="A169" t="s">
        <v>440</v>
      </c>
    </row>
    <row r="170" spans="1:1">
      <c r="A170" t="s">
        <v>191</v>
      </c>
    </row>
    <row r="171" spans="1:1">
      <c r="A171" t="s">
        <v>442</v>
      </c>
    </row>
    <row r="172" spans="1:1">
      <c r="A172" t="s">
        <v>444</v>
      </c>
    </row>
    <row r="173" spans="1:1">
      <c r="A173" t="s">
        <v>446</v>
      </c>
    </row>
    <row r="174" spans="1:1">
      <c r="A174" t="s">
        <v>478</v>
      </c>
    </row>
    <row r="175" spans="1:1">
      <c r="A175" t="s">
        <v>195</v>
      </c>
    </row>
    <row r="176" spans="1:1">
      <c r="A176" t="s">
        <v>197</v>
      </c>
    </row>
    <row r="177" spans="1:1">
      <c r="A177" t="s">
        <v>199</v>
      </c>
    </row>
    <row r="178" spans="1:1">
      <c r="A178" t="s">
        <v>201</v>
      </c>
    </row>
    <row r="179" spans="1:1">
      <c r="A179" t="s">
        <v>366</v>
      </c>
    </row>
    <row r="180" spans="1:1">
      <c r="A180" t="s">
        <v>368</v>
      </c>
    </row>
    <row r="181" spans="1:1">
      <c r="A181" t="s">
        <v>370</v>
      </c>
    </row>
    <row r="182" spans="1:1">
      <c r="A182" t="s">
        <v>372</v>
      </c>
    </row>
    <row r="183" spans="1:1">
      <c r="A183" t="s">
        <v>374</v>
      </c>
    </row>
    <row r="184" spans="1:1">
      <c r="A184" t="s">
        <v>418</v>
      </c>
    </row>
    <row r="185" spans="1:1">
      <c r="A185" t="s">
        <v>420</v>
      </c>
    </row>
    <row r="186" spans="1:1">
      <c r="A186" t="s">
        <v>422</v>
      </c>
    </row>
    <row r="187" spans="1:1">
      <c r="A187" t="s">
        <v>424</v>
      </c>
    </row>
    <row r="188" spans="1:1">
      <c r="A188" t="s">
        <v>461</v>
      </c>
    </row>
    <row r="189" spans="1:1">
      <c r="A189" t="s">
        <v>463</v>
      </c>
    </row>
    <row r="190" spans="1:1">
      <c r="A190" t="s">
        <v>465</v>
      </c>
    </row>
    <row r="191" spans="1:1">
      <c r="A191" t="s">
        <v>467</v>
      </c>
    </row>
    <row r="192" spans="1:1">
      <c r="A192" t="s">
        <v>469</v>
      </c>
    </row>
    <row r="193" spans="1:1">
      <c r="A193" t="s">
        <v>484</v>
      </c>
    </row>
    <row r="194" spans="1:1">
      <c r="A194" t="s">
        <v>205</v>
      </c>
    </row>
    <row r="195" spans="1:1">
      <c r="A195" t="s">
        <v>207</v>
      </c>
    </row>
    <row r="196" spans="1:1">
      <c r="A196" t="s">
        <v>209</v>
      </c>
    </row>
    <row r="197" spans="1:1">
      <c r="A197" t="s">
        <v>486</v>
      </c>
    </row>
    <row r="198" spans="1:1">
      <c r="A198" t="s">
        <v>535</v>
      </c>
    </row>
    <row r="199" spans="1:1">
      <c r="A199" t="s">
        <v>536</v>
      </c>
    </row>
    <row r="200" spans="1:1">
      <c r="A200" t="s">
        <v>229</v>
      </c>
    </row>
    <row r="201" spans="1:1">
      <c r="A201" t="s">
        <v>230</v>
      </c>
    </row>
    <row r="202" spans="1:1">
      <c r="A202" t="s">
        <v>574</v>
      </c>
    </row>
    <row r="203" spans="1:1">
      <c r="A203" t="s">
        <v>575</v>
      </c>
    </row>
    <row r="204" spans="1:1">
      <c r="A204" t="s">
        <v>597</v>
      </c>
    </row>
    <row r="205" spans="1:1">
      <c r="A205" t="s">
        <v>598</v>
      </c>
    </row>
    <row r="206" spans="1:1">
      <c r="A206" t="s">
        <v>537</v>
      </c>
    </row>
    <row r="207" spans="1:1">
      <c r="A207" t="s">
        <v>557</v>
      </c>
    </row>
    <row r="208" spans="1:1">
      <c r="A208" t="s">
        <v>576</v>
      </c>
    </row>
    <row r="209" spans="1:1">
      <c r="A209" t="s">
        <v>599</v>
      </c>
    </row>
    <row r="210" spans="1:1">
      <c r="A210" t="s">
        <v>514</v>
      </c>
    </row>
    <row r="211" spans="1:1">
      <c r="A211" t="s">
        <v>493</v>
      </c>
    </row>
    <row r="212" spans="1:1">
      <c r="A212" t="s">
        <v>522</v>
      </c>
    </row>
    <row r="213" spans="1:1">
      <c r="A213" t="s">
        <v>356</v>
      </c>
    </row>
    <row r="214" spans="1:1">
      <c r="A214" t="s">
        <v>515</v>
      </c>
    </row>
    <row r="215" spans="1:1">
      <c r="A215" t="s">
        <v>495</v>
      </c>
    </row>
    <row r="216" spans="1:1">
      <c r="A216" t="s">
        <v>523</v>
      </c>
    </row>
    <row r="217" spans="1:1">
      <c r="A217" t="s">
        <v>516</v>
      </c>
    </row>
    <row r="218" spans="1:1">
      <c r="A218" t="s">
        <v>497</v>
      </c>
    </row>
    <row r="219" spans="1:1">
      <c r="A219" t="s">
        <v>524</v>
      </c>
    </row>
    <row r="220" spans="1:1">
      <c r="A220" t="s">
        <v>499</v>
      </c>
    </row>
    <row r="221" spans="1:1">
      <c r="A221" t="s">
        <v>517</v>
      </c>
    </row>
    <row r="222" spans="1:1">
      <c r="A222" t="s">
        <v>525</v>
      </c>
    </row>
    <row r="223" spans="1:1">
      <c r="A223" t="s">
        <v>376</v>
      </c>
    </row>
    <row r="224" spans="1:1">
      <c r="A224" t="s">
        <v>426</v>
      </c>
    </row>
    <row r="225" spans="1:1">
      <c r="A225" t="s">
        <v>471</v>
      </c>
    </row>
    <row r="226" spans="1:1">
      <c r="A226" t="s">
        <v>231</v>
      </c>
    </row>
    <row r="227" spans="1:1">
      <c r="A227" t="s">
        <v>235</v>
      </c>
    </row>
    <row r="228" spans="1:1">
      <c r="A228" t="s">
        <v>401</v>
      </c>
    </row>
    <row r="229" spans="1:1">
      <c r="A229" t="s">
        <v>237</v>
      </c>
    </row>
    <row r="230" spans="1:1">
      <c r="A230" t="s">
        <v>239</v>
      </c>
    </row>
    <row r="231" spans="1:1">
      <c r="A231" t="s">
        <v>538</v>
      </c>
    </row>
    <row r="232" spans="1:1">
      <c r="A232" t="s">
        <v>241</v>
      </c>
    </row>
    <row r="233" spans="1:1">
      <c r="A233" t="s">
        <v>577</v>
      </c>
    </row>
    <row r="234" spans="1:1">
      <c r="A234" t="s">
        <v>600</v>
      </c>
    </row>
    <row r="235" spans="1:1">
      <c r="A235" t="s">
        <v>403</v>
      </c>
    </row>
    <row r="236" spans="1:1">
      <c r="A236" t="s">
        <v>244</v>
      </c>
    </row>
    <row r="237" spans="1:1">
      <c r="A237" t="s">
        <v>539</v>
      </c>
    </row>
    <row r="238" spans="1:1">
      <c r="A238" t="s">
        <v>540</v>
      </c>
    </row>
    <row r="239" spans="1:1">
      <c r="A239" t="s">
        <v>558</v>
      </c>
    </row>
    <row r="240" spans="1:1">
      <c r="A240" t="s">
        <v>559</v>
      </c>
    </row>
    <row r="241" spans="1:1">
      <c r="A241" t="s">
        <v>578</v>
      </c>
    </row>
    <row r="242" spans="1:1">
      <c r="A242" t="s">
        <v>579</v>
      </c>
    </row>
    <row r="243" spans="1:1">
      <c r="A243" t="s">
        <v>580</v>
      </c>
    </row>
    <row r="244" spans="1:1">
      <c r="A244" t="s">
        <v>601</v>
      </c>
    </row>
    <row r="245" spans="1:1">
      <c r="A245" t="s">
        <v>602</v>
      </c>
    </row>
    <row r="246" spans="1:1">
      <c r="A246" t="s">
        <v>603</v>
      </c>
    </row>
    <row r="247" spans="1:1">
      <c r="A247" t="s">
        <v>541</v>
      </c>
    </row>
    <row r="248" spans="1:1">
      <c r="A248" t="s">
        <v>560</v>
      </c>
    </row>
    <row r="249" spans="1:1">
      <c r="A249" t="s">
        <v>581</v>
      </c>
    </row>
    <row r="250" spans="1:1">
      <c r="A250" t="s">
        <v>604</v>
      </c>
    </row>
    <row r="251" spans="1:1">
      <c r="A251" t="s">
        <v>561</v>
      </c>
    </row>
    <row r="252" spans="1:1">
      <c r="A252" t="s">
        <v>501</v>
      </c>
    </row>
    <row r="253" spans="1:1">
      <c r="A253" t="s">
        <v>405</v>
      </c>
    </row>
    <row r="254" spans="1:1">
      <c r="A254" t="s">
        <v>261</v>
      </c>
    </row>
    <row r="255" spans="1:1">
      <c r="A255" t="s">
        <v>263</v>
      </c>
    </row>
    <row r="256" spans="1:1">
      <c r="A256" t="s">
        <v>265</v>
      </c>
    </row>
    <row r="257" spans="1:1">
      <c r="A257" t="s">
        <v>503</v>
      </c>
    </row>
    <row r="258" spans="1:1">
      <c r="A258" t="s">
        <v>505</v>
      </c>
    </row>
    <row r="259" spans="1:1">
      <c r="A259" t="s">
        <v>518</v>
      </c>
    </row>
    <row r="260" spans="1:1">
      <c r="A260" t="s">
        <v>526</v>
      </c>
    </row>
    <row r="261" spans="1:1">
      <c r="A261" t="s">
        <v>542</v>
      </c>
    </row>
    <row r="262" spans="1:1">
      <c r="A262" t="s">
        <v>562</v>
      </c>
    </row>
    <row r="263" spans="1:1">
      <c r="A263" t="s">
        <v>582</v>
      </c>
    </row>
    <row r="264" spans="1:1">
      <c r="A264" t="s">
        <v>605</v>
      </c>
    </row>
    <row r="265" spans="1:1">
      <c r="A265" t="s">
        <v>543</v>
      </c>
    </row>
    <row r="266" spans="1:1">
      <c r="A266" t="s">
        <v>563</v>
      </c>
    </row>
    <row r="267" spans="1:1">
      <c r="A267" t="s">
        <v>283</v>
      </c>
    </row>
    <row r="268" spans="1:1">
      <c r="A268" t="s">
        <v>606</v>
      </c>
    </row>
    <row r="269" spans="1:1">
      <c r="A269" t="s">
        <v>544</v>
      </c>
    </row>
    <row r="270" spans="1:1">
      <c r="A270" t="s">
        <v>564</v>
      </c>
    </row>
    <row r="271" spans="1:1">
      <c r="A271" t="s">
        <v>565</v>
      </c>
    </row>
    <row r="272" spans="1:1">
      <c r="A272" t="s">
        <v>583</v>
      </c>
    </row>
    <row r="273" spans="1:1">
      <c r="A273" t="s">
        <v>584</v>
      </c>
    </row>
    <row r="274" spans="1:1">
      <c r="A274" t="s">
        <v>607</v>
      </c>
    </row>
    <row r="275" spans="1:1">
      <c r="A275" t="s">
        <v>608</v>
      </c>
    </row>
    <row r="276" spans="1:1">
      <c r="A276" t="s">
        <v>546</v>
      </c>
    </row>
    <row r="277" spans="1:1">
      <c r="A277" t="s">
        <v>566</v>
      </c>
    </row>
    <row r="278" spans="1:1">
      <c r="A278" t="s">
        <v>567</v>
      </c>
    </row>
    <row r="279" spans="1:1">
      <c r="A279" t="s">
        <v>284</v>
      </c>
    </row>
    <row r="280" spans="1:1">
      <c r="A280" t="s">
        <v>609</v>
      </c>
    </row>
    <row r="281" spans="1:1">
      <c r="A281" t="s">
        <v>610</v>
      </c>
    </row>
    <row r="282" spans="1:1">
      <c r="A282" t="s">
        <v>520</v>
      </c>
    </row>
    <row r="283" spans="1:1">
      <c r="A283" t="s">
        <v>507</v>
      </c>
    </row>
    <row r="284" spans="1:1">
      <c r="A284" t="s">
        <v>528</v>
      </c>
    </row>
    <row r="285" spans="1:1">
      <c r="A285" t="s">
        <v>585</v>
      </c>
    </row>
    <row r="286" spans="1:1">
      <c r="A286" t="s">
        <v>285</v>
      </c>
    </row>
    <row r="287" spans="1:1">
      <c r="A287" t="s">
        <v>509</v>
      </c>
    </row>
    <row r="288" spans="1:1">
      <c r="A288" t="s">
        <v>287</v>
      </c>
    </row>
    <row r="289" spans="1:1">
      <c r="A289" t="s">
        <v>611</v>
      </c>
    </row>
    <row r="290" spans="1:1">
      <c r="A290" t="s">
        <v>547</v>
      </c>
    </row>
    <row r="291" spans="1:1">
      <c r="A291" t="s">
        <v>586</v>
      </c>
    </row>
    <row r="292" spans="1:1">
      <c r="A292" t="s">
        <v>549</v>
      </c>
    </row>
    <row r="293" spans="1:1">
      <c r="A293" t="s">
        <v>298</v>
      </c>
    </row>
    <row r="294" spans="1:1">
      <c r="A294" t="s">
        <v>588</v>
      </c>
    </row>
    <row r="295" spans="1:1">
      <c r="A295" t="s">
        <v>613</v>
      </c>
    </row>
    <row r="296" spans="1:1">
      <c r="A296" t="s">
        <v>589</v>
      </c>
    </row>
    <row r="297" spans="1:1">
      <c r="A297" t="s">
        <v>614</v>
      </c>
    </row>
    <row r="298" spans="1:1">
      <c r="A298" t="s">
        <v>550</v>
      </c>
    </row>
    <row r="299" spans="1:1">
      <c r="A299" t="s">
        <v>568</v>
      </c>
    </row>
    <row r="300" spans="1:1">
      <c r="A300" t="s">
        <v>511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67"/>
  <sheetViews>
    <sheetView topLeftCell="A233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6" t="s">
        <v>622</v>
      </c>
    </row>
    <row r="2" spans="1:1">
      <c r="A2" s="187" t="s">
        <v>350</v>
      </c>
    </row>
    <row r="3" spans="1:1">
      <c r="A3" s="187" t="s">
        <v>379</v>
      </c>
    </row>
    <row r="4" spans="1:1">
      <c r="A4" s="187" t="s">
        <v>553</v>
      </c>
    </row>
    <row r="5" spans="1:1">
      <c r="A5" s="187" t="s">
        <v>429</v>
      </c>
    </row>
    <row r="6" spans="1:1">
      <c r="A6" s="187" t="s">
        <v>474</v>
      </c>
    </row>
    <row r="7" spans="1:1">
      <c r="A7" s="187" t="s">
        <v>308</v>
      </c>
    </row>
    <row r="8" spans="1:1">
      <c r="A8" s="187" t="s">
        <v>310</v>
      </c>
    </row>
    <row r="9" spans="1:1">
      <c r="A9" s="187" t="s">
        <v>312</v>
      </c>
    </row>
    <row r="10" spans="1:1">
      <c r="A10" s="187" t="s">
        <v>314</v>
      </c>
    </row>
    <row r="11" spans="1:1">
      <c r="A11" s="187" t="s">
        <v>316</v>
      </c>
    </row>
    <row r="12" spans="1:1">
      <c r="A12" s="187" t="s">
        <v>352</v>
      </c>
    </row>
    <row r="13" spans="1:1">
      <c r="A13" s="187" t="s">
        <v>381</v>
      </c>
    </row>
    <row r="14" spans="1:1">
      <c r="A14" s="187" t="s">
        <v>430</v>
      </c>
    </row>
    <row r="15" spans="1:1">
      <c r="A15" s="187" t="s">
        <v>475</v>
      </c>
    </row>
    <row r="16" spans="1:1">
      <c r="A16" s="187" t="s">
        <v>358</v>
      </c>
    </row>
    <row r="17" spans="1:1">
      <c r="A17" s="187" t="s">
        <v>408</v>
      </c>
    </row>
    <row r="18" spans="1:1">
      <c r="A18" s="187" t="s">
        <v>449</v>
      </c>
    </row>
    <row r="19" spans="1:1">
      <c r="A19" s="187" t="s">
        <v>480</v>
      </c>
    </row>
    <row r="20" spans="1:1">
      <c r="A20" s="187" t="s">
        <v>319</v>
      </c>
    </row>
    <row r="21" spans="1:1">
      <c r="A21" s="187" t="s">
        <v>321</v>
      </c>
    </row>
    <row r="22" spans="1:1">
      <c r="A22" s="187" t="s">
        <v>323</v>
      </c>
    </row>
    <row r="23" spans="1:1">
      <c r="A23" s="187" t="s">
        <v>325</v>
      </c>
    </row>
    <row r="24" spans="1:1">
      <c r="A24" s="187" t="s">
        <v>489</v>
      </c>
    </row>
    <row r="25" spans="1:1">
      <c r="A25" s="187" t="s">
        <v>490</v>
      </c>
    </row>
    <row r="26" spans="1:1">
      <c r="A26" s="187" t="s">
        <v>492</v>
      </c>
    </row>
    <row r="27" spans="1:1">
      <c r="A27" s="187" t="s">
        <v>353</v>
      </c>
    </row>
    <row r="28" spans="1:1">
      <c r="A28" s="187" t="s">
        <v>383</v>
      </c>
    </row>
    <row r="29" spans="1:1">
      <c r="A29" s="187" t="s">
        <v>431</v>
      </c>
    </row>
    <row r="30" spans="1:1">
      <c r="A30" s="187" t="s">
        <v>135</v>
      </c>
    </row>
    <row r="31" spans="1:1">
      <c r="A31" s="187" t="s">
        <v>139</v>
      </c>
    </row>
    <row r="32" spans="1:1">
      <c r="A32" s="187" t="s">
        <v>360</v>
      </c>
    </row>
    <row r="33" spans="1:1">
      <c r="A33" s="187" t="s">
        <v>410</v>
      </c>
    </row>
    <row r="34" spans="1:1">
      <c r="A34" s="187" t="s">
        <v>451</v>
      </c>
    </row>
    <row r="35" spans="1:1">
      <c r="A35" s="187" t="s">
        <v>482</v>
      </c>
    </row>
    <row r="36" spans="1:1">
      <c r="A36" s="187" t="s">
        <v>326</v>
      </c>
    </row>
    <row r="37" spans="1:1">
      <c r="A37" s="187" t="s">
        <v>141</v>
      </c>
    </row>
    <row r="38" spans="1:1">
      <c r="A38" s="187" t="s">
        <v>143</v>
      </c>
    </row>
    <row r="39" spans="1:1">
      <c r="A39" s="187" t="s">
        <v>385</v>
      </c>
    </row>
    <row r="40" spans="1:1">
      <c r="A40" s="187" t="s">
        <v>387</v>
      </c>
    </row>
    <row r="41" spans="1:1">
      <c r="A41" s="187" t="s">
        <v>389</v>
      </c>
    </row>
    <row r="42" spans="1:1">
      <c r="A42" s="187" t="s">
        <v>432</v>
      </c>
    </row>
    <row r="43" spans="1:1">
      <c r="A43" s="187" t="s">
        <v>434</v>
      </c>
    </row>
    <row r="44" spans="1:1">
      <c r="A44" s="187" t="s">
        <v>436</v>
      </c>
    </row>
    <row r="45" spans="1:1">
      <c r="A45" s="187" t="s">
        <v>438</v>
      </c>
    </row>
    <row r="46" spans="1:1">
      <c r="A46" s="187" t="s">
        <v>477</v>
      </c>
    </row>
    <row r="47" spans="1:1">
      <c r="A47" s="187" t="s">
        <v>362</v>
      </c>
    </row>
    <row r="48" spans="1:1">
      <c r="A48" s="187" t="s">
        <v>364</v>
      </c>
    </row>
    <row r="49" spans="1:1">
      <c r="A49" s="187" t="s">
        <v>412</v>
      </c>
    </row>
    <row r="50" spans="1:1">
      <c r="A50" s="187" t="s">
        <v>414</v>
      </c>
    </row>
    <row r="51" spans="1:1">
      <c r="A51" s="187" t="s">
        <v>416</v>
      </c>
    </row>
    <row r="52" spans="1:1">
      <c r="A52" s="187" t="s">
        <v>453</v>
      </c>
    </row>
    <row r="53" spans="1:1">
      <c r="A53" s="187" t="s">
        <v>455</v>
      </c>
    </row>
    <row r="54" spans="1:1">
      <c r="A54" s="187" t="s">
        <v>457</v>
      </c>
    </row>
    <row r="55" spans="1:1">
      <c r="A55" s="187" t="s">
        <v>459</v>
      </c>
    </row>
    <row r="56" spans="1:1">
      <c r="A56" s="187" t="s">
        <v>150</v>
      </c>
    </row>
    <row r="57" spans="1:1">
      <c r="A57" s="187" t="s">
        <v>530</v>
      </c>
    </row>
    <row r="58" spans="1:1">
      <c r="A58" s="187" t="s">
        <v>531</v>
      </c>
    </row>
    <row r="59" spans="1:1">
      <c r="A59" s="187" t="s">
        <v>532</v>
      </c>
    </row>
    <row r="60" spans="1:1">
      <c r="A60" s="187" t="s">
        <v>554</v>
      </c>
    </row>
    <row r="61" spans="1:1">
      <c r="A61" s="187" t="s">
        <v>555</v>
      </c>
    </row>
    <row r="62" spans="1:1">
      <c r="A62" s="187" t="s">
        <v>570</v>
      </c>
    </row>
    <row r="63" spans="1:1">
      <c r="A63" s="187" t="s">
        <v>571</v>
      </c>
    </row>
    <row r="64" spans="1:1">
      <c r="A64" s="187" t="s">
        <v>151</v>
      </c>
    </row>
    <row r="65" spans="1:1">
      <c r="A65" s="187" t="s">
        <v>592</v>
      </c>
    </row>
    <row r="66" spans="1:1">
      <c r="A66" s="187" t="s">
        <v>593</v>
      </c>
    </row>
    <row r="67" spans="1:1">
      <c r="A67" s="187" t="s">
        <v>594</v>
      </c>
    </row>
    <row r="68" spans="1:1">
      <c r="A68" s="187" t="s">
        <v>145</v>
      </c>
    </row>
    <row r="69" spans="1:1">
      <c r="A69" s="187" t="s">
        <v>147</v>
      </c>
    </row>
    <row r="70" spans="1:1">
      <c r="A70" s="187" t="s">
        <v>153</v>
      </c>
    </row>
    <row r="71" spans="1:1">
      <c r="A71" s="187" t="s">
        <v>533</v>
      </c>
    </row>
    <row r="72" spans="1:1">
      <c r="A72" s="187" t="s">
        <v>156</v>
      </c>
    </row>
    <row r="73" spans="1:1">
      <c r="A73" s="187" t="s">
        <v>572</v>
      </c>
    </row>
    <row r="74" spans="1:1">
      <c r="A74" s="187" t="s">
        <v>595</v>
      </c>
    </row>
    <row r="75" spans="1:1">
      <c r="A75" s="187" t="s">
        <v>534</v>
      </c>
    </row>
    <row r="76" spans="1:1">
      <c r="A76" s="187" t="s">
        <v>556</v>
      </c>
    </row>
    <row r="77" spans="1:1">
      <c r="A77" s="187" t="s">
        <v>573</v>
      </c>
    </row>
    <row r="78" spans="1:1">
      <c r="A78" s="187" t="s">
        <v>596</v>
      </c>
    </row>
    <row r="79" spans="1:1">
      <c r="A79" s="187" t="s">
        <v>157</v>
      </c>
    </row>
    <row r="80" spans="1:1">
      <c r="A80" s="187" t="s">
        <v>160</v>
      </c>
    </row>
    <row r="81" spans="1:1">
      <c r="A81" s="187" t="s">
        <v>329</v>
      </c>
    </row>
    <row r="82" spans="1:1">
      <c r="A82" s="187" t="s">
        <v>163</v>
      </c>
    </row>
    <row r="83" spans="1:1">
      <c r="A83" s="187" t="s">
        <v>165</v>
      </c>
    </row>
    <row r="84" spans="1:1">
      <c r="A84" s="187" t="s">
        <v>166</v>
      </c>
    </row>
    <row r="85" spans="1:1">
      <c r="A85" s="187" t="s">
        <v>328</v>
      </c>
    </row>
    <row r="86" spans="1:1">
      <c r="A86" s="187" t="s">
        <v>167</v>
      </c>
    </row>
    <row r="87" spans="1:1">
      <c r="A87" s="187" t="s">
        <v>330</v>
      </c>
    </row>
    <row r="88" spans="1:1">
      <c r="A88" s="187" t="s">
        <v>170</v>
      </c>
    </row>
    <row r="89" spans="1:1">
      <c r="A89" s="187" t="s">
        <v>332</v>
      </c>
    </row>
    <row r="90" spans="1:1">
      <c r="A90" s="187" t="s">
        <v>334</v>
      </c>
    </row>
    <row r="91" spans="1:1">
      <c r="A91" s="187" t="s">
        <v>354</v>
      </c>
    </row>
    <row r="92" spans="1:1">
      <c r="A92" s="187" t="s">
        <v>174</v>
      </c>
    </row>
    <row r="93" spans="1:1">
      <c r="A93" s="187" t="s">
        <v>178</v>
      </c>
    </row>
    <row r="94" spans="1:1">
      <c r="A94" s="187" t="s">
        <v>181</v>
      </c>
    </row>
    <row r="95" spans="1:1">
      <c r="A95" s="187" t="s">
        <v>183</v>
      </c>
    </row>
    <row r="96" spans="1:1">
      <c r="A96" s="187" t="s">
        <v>185</v>
      </c>
    </row>
    <row r="97" spans="1:1">
      <c r="A97" s="187" t="s">
        <v>187</v>
      </c>
    </row>
    <row r="98" spans="1:1">
      <c r="A98" s="187" t="s">
        <v>189</v>
      </c>
    </row>
    <row r="99" spans="1:1">
      <c r="A99" s="187" t="s">
        <v>391</v>
      </c>
    </row>
    <row r="100" spans="1:1">
      <c r="A100" s="187" t="s">
        <v>393</v>
      </c>
    </row>
    <row r="101" spans="1:1">
      <c r="A101" s="187" t="s">
        <v>395</v>
      </c>
    </row>
    <row r="102" spans="1:1">
      <c r="A102" s="187" t="s">
        <v>397</v>
      </c>
    </row>
    <row r="103" spans="1:1">
      <c r="A103" s="187" t="s">
        <v>399</v>
      </c>
    </row>
    <row r="104" spans="1:1">
      <c r="A104" s="187" t="s">
        <v>440</v>
      </c>
    </row>
    <row r="105" spans="1:1">
      <c r="A105" s="187" t="s">
        <v>191</v>
      </c>
    </row>
    <row r="106" spans="1:1">
      <c r="A106" s="187" t="s">
        <v>442</v>
      </c>
    </row>
    <row r="107" spans="1:1">
      <c r="A107" s="187" t="s">
        <v>444</v>
      </c>
    </row>
    <row r="108" spans="1:1">
      <c r="A108" s="187" t="s">
        <v>446</v>
      </c>
    </row>
    <row r="109" spans="1:1">
      <c r="A109" s="187" t="s">
        <v>478</v>
      </c>
    </row>
    <row r="110" spans="1:1">
      <c r="A110" s="187" t="s">
        <v>195</v>
      </c>
    </row>
    <row r="111" spans="1:1">
      <c r="A111" s="187" t="s">
        <v>197</v>
      </c>
    </row>
    <row r="112" spans="1:1">
      <c r="A112" s="187" t="s">
        <v>199</v>
      </c>
    </row>
    <row r="113" spans="1:1">
      <c r="A113" s="187" t="s">
        <v>201</v>
      </c>
    </row>
    <row r="114" spans="1:1">
      <c r="A114" s="187" t="s">
        <v>203</v>
      </c>
    </row>
    <row r="115" spans="1:1">
      <c r="A115" s="187" t="s">
        <v>193</v>
      </c>
    </row>
    <row r="116" spans="1:1">
      <c r="A116" s="187" t="s">
        <v>366</v>
      </c>
    </row>
    <row r="117" spans="1:1">
      <c r="A117" s="187" t="s">
        <v>368</v>
      </c>
    </row>
    <row r="118" spans="1:1">
      <c r="A118" s="187" t="s">
        <v>370</v>
      </c>
    </row>
    <row r="119" spans="1:1">
      <c r="A119" s="187" t="s">
        <v>372</v>
      </c>
    </row>
    <row r="120" spans="1:1">
      <c r="A120" s="187" t="s">
        <v>374</v>
      </c>
    </row>
    <row r="121" spans="1:1">
      <c r="A121" s="187" t="s">
        <v>418</v>
      </c>
    </row>
    <row r="122" spans="1:1">
      <c r="A122" s="187" t="s">
        <v>420</v>
      </c>
    </row>
    <row r="123" spans="1:1">
      <c r="A123" s="187" t="s">
        <v>422</v>
      </c>
    </row>
    <row r="124" spans="1:1">
      <c r="A124" s="187" t="s">
        <v>424</v>
      </c>
    </row>
    <row r="125" spans="1:1">
      <c r="A125" s="187" t="s">
        <v>461</v>
      </c>
    </row>
    <row r="126" spans="1:1">
      <c r="A126" s="187" t="s">
        <v>463</v>
      </c>
    </row>
    <row r="127" spans="1:1">
      <c r="A127" s="187" t="s">
        <v>465</v>
      </c>
    </row>
    <row r="128" spans="1:1">
      <c r="A128" s="187" t="s">
        <v>467</v>
      </c>
    </row>
    <row r="129" spans="1:1">
      <c r="A129" s="187" t="s">
        <v>469</v>
      </c>
    </row>
    <row r="130" spans="1:1">
      <c r="A130" s="187" t="s">
        <v>484</v>
      </c>
    </row>
    <row r="131" spans="1:1">
      <c r="A131" s="187" t="s">
        <v>205</v>
      </c>
    </row>
    <row r="132" spans="1:1">
      <c r="A132" s="187" t="s">
        <v>207</v>
      </c>
    </row>
    <row r="133" spans="1:1">
      <c r="A133" s="187" t="s">
        <v>209</v>
      </c>
    </row>
    <row r="134" spans="1:1">
      <c r="A134" s="187" t="s">
        <v>486</v>
      </c>
    </row>
    <row r="135" spans="1:1">
      <c r="A135" s="187" t="s">
        <v>211</v>
      </c>
    </row>
    <row r="136" spans="1:1">
      <c r="A136" s="187" t="s">
        <v>214</v>
      </c>
    </row>
    <row r="137" spans="1:1">
      <c r="A137" s="187" t="s">
        <v>216</v>
      </c>
    </row>
    <row r="138" spans="1:1">
      <c r="A138" s="187" t="s">
        <v>219</v>
      </c>
    </row>
    <row r="139" spans="1:1">
      <c r="A139" s="187" t="s">
        <v>222</v>
      </c>
    </row>
    <row r="140" spans="1:1">
      <c r="A140" s="187" t="s">
        <v>224</v>
      </c>
    </row>
    <row r="141" spans="1:1">
      <c r="A141" s="187" t="s">
        <v>226</v>
      </c>
    </row>
    <row r="142" spans="1:1">
      <c r="A142" s="187" t="s">
        <v>535</v>
      </c>
    </row>
    <row r="143" spans="1:1">
      <c r="A143" s="187" t="s">
        <v>536</v>
      </c>
    </row>
    <row r="144" spans="1:1">
      <c r="A144" s="187" t="s">
        <v>229</v>
      </c>
    </row>
    <row r="145" spans="1:1">
      <c r="A145" s="187" t="s">
        <v>230</v>
      </c>
    </row>
    <row r="146" spans="1:1">
      <c r="A146" s="187" t="s">
        <v>574</v>
      </c>
    </row>
    <row r="147" spans="1:1">
      <c r="A147" s="187" t="s">
        <v>575</v>
      </c>
    </row>
    <row r="148" spans="1:1">
      <c r="A148" s="187" t="s">
        <v>597</v>
      </c>
    </row>
    <row r="149" spans="1:1">
      <c r="A149" s="187" t="s">
        <v>598</v>
      </c>
    </row>
    <row r="150" spans="1:1">
      <c r="A150" s="187" t="s">
        <v>537</v>
      </c>
    </row>
    <row r="151" spans="1:1">
      <c r="A151" s="187" t="s">
        <v>557</v>
      </c>
    </row>
    <row r="152" spans="1:1">
      <c r="A152" s="187" t="s">
        <v>576</v>
      </c>
    </row>
    <row r="153" spans="1:1">
      <c r="A153" s="187" t="s">
        <v>599</v>
      </c>
    </row>
    <row r="154" spans="1:1">
      <c r="A154" s="187" t="s">
        <v>514</v>
      </c>
    </row>
    <row r="155" spans="1:1">
      <c r="A155" s="187" t="s">
        <v>493</v>
      </c>
    </row>
    <row r="156" spans="1:1">
      <c r="A156" s="187" t="s">
        <v>522</v>
      </c>
    </row>
    <row r="157" spans="1:1">
      <c r="A157" s="187" t="s">
        <v>356</v>
      </c>
    </row>
    <row r="158" spans="1:1">
      <c r="A158" s="187" t="s">
        <v>515</v>
      </c>
    </row>
    <row r="159" spans="1:1">
      <c r="A159" s="187" t="s">
        <v>495</v>
      </c>
    </row>
    <row r="160" spans="1:1">
      <c r="A160" s="187" t="s">
        <v>523</v>
      </c>
    </row>
    <row r="161" spans="1:1">
      <c r="A161" s="187" t="s">
        <v>516</v>
      </c>
    </row>
    <row r="162" spans="1:1">
      <c r="A162" s="187" t="s">
        <v>497</v>
      </c>
    </row>
    <row r="163" spans="1:1">
      <c r="A163" s="187" t="s">
        <v>524</v>
      </c>
    </row>
    <row r="164" spans="1:1">
      <c r="A164" s="187" t="s">
        <v>499</v>
      </c>
    </row>
    <row r="165" spans="1:1">
      <c r="A165" s="187" t="s">
        <v>517</v>
      </c>
    </row>
    <row r="166" spans="1:1">
      <c r="A166" s="187" t="s">
        <v>525</v>
      </c>
    </row>
    <row r="167" spans="1:1">
      <c r="A167" s="187" t="s">
        <v>376</v>
      </c>
    </row>
    <row r="168" spans="1:1">
      <c r="A168" s="187" t="s">
        <v>426</v>
      </c>
    </row>
    <row r="169" spans="1:1">
      <c r="A169" s="187" t="s">
        <v>471</v>
      </c>
    </row>
    <row r="170" spans="1:1">
      <c r="A170" s="187" t="s">
        <v>231</v>
      </c>
    </row>
    <row r="171" spans="1:1">
      <c r="A171" s="187" t="s">
        <v>235</v>
      </c>
    </row>
    <row r="172" spans="1:1">
      <c r="A172" s="187" t="s">
        <v>401</v>
      </c>
    </row>
    <row r="173" spans="1:1">
      <c r="A173" s="187" t="s">
        <v>237</v>
      </c>
    </row>
    <row r="174" spans="1:1">
      <c r="A174" s="187" t="s">
        <v>239</v>
      </c>
    </row>
    <row r="175" spans="1:1">
      <c r="A175" s="187" t="s">
        <v>538</v>
      </c>
    </row>
    <row r="176" spans="1:1">
      <c r="A176" s="187" t="s">
        <v>241</v>
      </c>
    </row>
    <row r="177" spans="1:1">
      <c r="A177" s="187" t="s">
        <v>577</v>
      </c>
    </row>
    <row r="178" spans="1:1">
      <c r="A178" s="187" t="s">
        <v>600</v>
      </c>
    </row>
    <row r="179" spans="1:1">
      <c r="A179" s="187" t="s">
        <v>242</v>
      </c>
    </row>
    <row r="180" spans="1:1">
      <c r="A180" s="187" t="s">
        <v>403</v>
      </c>
    </row>
    <row r="181" spans="1:1">
      <c r="A181" s="187" t="s">
        <v>244</v>
      </c>
    </row>
    <row r="182" spans="1:1">
      <c r="A182" s="187" t="s">
        <v>539</v>
      </c>
    </row>
    <row r="183" spans="1:1">
      <c r="A183" s="187" t="s">
        <v>540</v>
      </c>
    </row>
    <row r="184" spans="1:1">
      <c r="A184" s="187" t="s">
        <v>558</v>
      </c>
    </row>
    <row r="185" spans="1:1">
      <c r="A185" s="187" t="s">
        <v>559</v>
      </c>
    </row>
    <row r="186" spans="1:1">
      <c r="A186" s="187" t="s">
        <v>578</v>
      </c>
    </row>
    <row r="187" spans="1:1">
      <c r="A187" s="187" t="s">
        <v>579</v>
      </c>
    </row>
    <row r="188" spans="1:1">
      <c r="A188" s="187" t="s">
        <v>580</v>
      </c>
    </row>
    <row r="189" spans="1:1">
      <c r="A189" s="187" t="s">
        <v>601</v>
      </c>
    </row>
    <row r="190" spans="1:1">
      <c r="A190" s="187" t="s">
        <v>602</v>
      </c>
    </row>
    <row r="191" spans="1:1">
      <c r="A191" s="187" t="s">
        <v>603</v>
      </c>
    </row>
    <row r="192" spans="1:1">
      <c r="A192" s="187" t="s">
        <v>246</v>
      </c>
    </row>
    <row r="193" spans="1:1">
      <c r="A193" s="187" t="s">
        <v>541</v>
      </c>
    </row>
    <row r="194" spans="1:1">
      <c r="A194" s="187" t="s">
        <v>560</v>
      </c>
    </row>
    <row r="195" spans="1:1">
      <c r="A195" s="187" t="s">
        <v>581</v>
      </c>
    </row>
    <row r="196" spans="1:1">
      <c r="A196" s="187" t="s">
        <v>604</v>
      </c>
    </row>
    <row r="197" spans="1:1">
      <c r="A197" s="187" t="s">
        <v>561</v>
      </c>
    </row>
    <row r="198" spans="1:1">
      <c r="A198" s="187" t="s">
        <v>249</v>
      </c>
    </row>
    <row r="199" spans="1:1">
      <c r="A199" s="187" t="s">
        <v>251</v>
      </c>
    </row>
    <row r="200" spans="1:1">
      <c r="A200" s="187" t="s">
        <v>501</v>
      </c>
    </row>
    <row r="201" spans="1:1">
      <c r="A201" s="187" t="s">
        <v>254</v>
      </c>
    </row>
    <row r="202" spans="1:1">
      <c r="A202" s="187" t="s">
        <v>257</v>
      </c>
    </row>
    <row r="203" spans="1:1">
      <c r="A203" s="187" t="s">
        <v>259</v>
      </c>
    </row>
    <row r="204" spans="1:1">
      <c r="A204" s="187" t="s">
        <v>405</v>
      </c>
    </row>
    <row r="205" spans="1:1">
      <c r="A205" s="187" t="s">
        <v>261</v>
      </c>
    </row>
    <row r="206" spans="1:1">
      <c r="A206" s="187" t="s">
        <v>263</v>
      </c>
    </row>
    <row r="207" spans="1:1">
      <c r="A207" s="187" t="s">
        <v>265</v>
      </c>
    </row>
    <row r="208" spans="1:1">
      <c r="A208" s="187" t="s">
        <v>267</v>
      </c>
    </row>
    <row r="209" spans="1:1">
      <c r="A209" s="187" t="s">
        <v>268</v>
      </c>
    </row>
    <row r="210" spans="1:1">
      <c r="A210" s="187" t="s">
        <v>270</v>
      </c>
    </row>
    <row r="211" spans="1:1">
      <c r="A211" s="187" t="s">
        <v>273</v>
      </c>
    </row>
    <row r="212" spans="1:1">
      <c r="A212" s="187" t="s">
        <v>275</v>
      </c>
    </row>
    <row r="213" spans="1:1">
      <c r="A213" s="187" t="s">
        <v>278</v>
      </c>
    </row>
    <row r="214" spans="1:1">
      <c r="A214" s="187" t="s">
        <v>503</v>
      </c>
    </row>
    <row r="215" spans="1:1">
      <c r="A215" s="187" t="s">
        <v>505</v>
      </c>
    </row>
    <row r="216" spans="1:1">
      <c r="A216" s="187" t="s">
        <v>518</v>
      </c>
    </row>
    <row r="217" spans="1:1">
      <c r="A217" s="187" t="s">
        <v>526</v>
      </c>
    </row>
    <row r="218" spans="1:1">
      <c r="A218" s="187" t="s">
        <v>281</v>
      </c>
    </row>
    <row r="219" spans="1:1">
      <c r="A219" s="187" t="s">
        <v>542</v>
      </c>
    </row>
    <row r="220" spans="1:1">
      <c r="A220" s="187" t="s">
        <v>562</v>
      </c>
    </row>
    <row r="221" spans="1:1">
      <c r="A221" s="187" t="s">
        <v>582</v>
      </c>
    </row>
    <row r="222" spans="1:1">
      <c r="A222" s="187" t="s">
        <v>605</v>
      </c>
    </row>
    <row r="223" spans="1:1">
      <c r="A223" s="187" t="s">
        <v>543</v>
      </c>
    </row>
    <row r="224" spans="1:1">
      <c r="A224" s="187" t="s">
        <v>563</v>
      </c>
    </row>
    <row r="225" spans="1:1">
      <c r="A225" s="187" t="s">
        <v>283</v>
      </c>
    </row>
    <row r="226" spans="1:1">
      <c r="A226" s="187" t="s">
        <v>606</v>
      </c>
    </row>
    <row r="227" spans="1:1">
      <c r="A227" s="187" t="s">
        <v>544</v>
      </c>
    </row>
    <row r="228" spans="1:1">
      <c r="A228" s="187" t="s">
        <v>564</v>
      </c>
    </row>
    <row r="229" spans="1:1">
      <c r="A229" s="187" t="s">
        <v>565</v>
      </c>
    </row>
    <row r="230" spans="1:1">
      <c r="A230" s="187" t="s">
        <v>583</v>
      </c>
    </row>
    <row r="231" spans="1:1">
      <c r="A231" s="187" t="s">
        <v>584</v>
      </c>
    </row>
    <row r="232" spans="1:1">
      <c r="A232" s="187" t="s">
        <v>607</v>
      </c>
    </row>
    <row r="233" spans="1:1">
      <c r="A233" s="187" t="s">
        <v>608</v>
      </c>
    </row>
    <row r="234" spans="1:1">
      <c r="A234" s="187" t="s">
        <v>546</v>
      </c>
    </row>
    <row r="235" spans="1:1">
      <c r="A235" s="187" t="s">
        <v>566</v>
      </c>
    </row>
    <row r="236" spans="1:1">
      <c r="A236" s="187" t="s">
        <v>567</v>
      </c>
    </row>
    <row r="237" spans="1:1">
      <c r="A237" s="187" t="s">
        <v>284</v>
      </c>
    </row>
    <row r="238" spans="1:1">
      <c r="A238" s="187" t="s">
        <v>609</v>
      </c>
    </row>
    <row r="239" spans="1:1">
      <c r="A239" s="187" t="s">
        <v>610</v>
      </c>
    </row>
    <row r="240" spans="1:1">
      <c r="A240" s="187" t="s">
        <v>520</v>
      </c>
    </row>
    <row r="241" spans="1:1">
      <c r="A241" s="187" t="s">
        <v>507</v>
      </c>
    </row>
    <row r="242" spans="1:1">
      <c r="A242" s="187" t="s">
        <v>528</v>
      </c>
    </row>
    <row r="243" spans="1:1">
      <c r="A243" s="187" t="s">
        <v>585</v>
      </c>
    </row>
    <row r="244" spans="1:1">
      <c r="A244" s="187" t="s">
        <v>285</v>
      </c>
    </row>
    <row r="245" spans="1:1">
      <c r="A245" s="187" t="s">
        <v>509</v>
      </c>
    </row>
    <row r="246" spans="1:1">
      <c r="A246" s="187" t="s">
        <v>287</v>
      </c>
    </row>
    <row r="247" spans="1:1">
      <c r="A247" s="187" t="s">
        <v>611</v>
      </c>
    </row>
    <row r="248" spans="1:1">
      <c r="A248" s="187" t="s">
        <v>547</v>
      </c>
    </row>
    <row r="249" spans="1:1">
      <c r="A249" s="187" t="s">
        <v>586</v>
      </c>
    </row>
    <row r="250" spans="1:1">
      <c r="A250" s="187" t="s">
        <v>289</v>
      </c>
    </row>
    <row r="251" spans="1:1">
      <c r="A251" s="187" t="s">
        <v>291</v>
      </c>
    </row>
    <row r="252" spans="1:1">
      <c r="A252" s="187" t="s">
        <v>293</v>
      </c>
    </row>
    <row r="253" spans="1:1">
      <c r="A253" s="187" t="s">
        <v>295</v>
      </c>
    </row>
    <row r="254" spans="1:1">
      <c r="A254" s="187" t="s">
        <v>549</v>
      </c>
    </row>
    <row r="255" spans="1:1">
      <c r="A255" s="187" t="s">
        <v>298</v>
      </c>
    </row>
    <row r="256" spans="1:1">
      <c r="A256" s="187" t="s">
        <v>588</v>
      </c>
    </row>
    <row r="257" spans="1:1">
      <c r="A257" s="187" t="s">
        <v>613</v>
      </c>
    </row>
    <row r="258" spans="1:1">
      <c r="A258" s="187" t="s">
        <v>299</v>
      </c>
    </row>
    <row r="259" spans="1:1">
      <c r="A259" s="187" t="s">
        <v>301</v>
      </c>
    </row>
    <row r="260" spans="1:1">
      <c r="A260" s="187" t="s">
        <v>589</v>
      </c>
    </row>
    <row r="261" spans="1:1">
      <c r="A261" s="187" t="s">
        <v>614</v>
      </c>
    </row>
    <row r="262" spans="1:1">
      <c r="A262" s="187" t="s">
        <v>550</v>
      </c>
    </row>
    <row r="263" spans="1:1">
      <c r="A263" s="187" t="s">
        <v>568</v>
      </c>
    </row>
    <row r="264" spans="1:1">
      <c r="A264" s="187" t="s">
        <v>303</v>
      </c>
    </row>
    <row r="265" spans="1:1">
      <c r="A265" s="187" t="s">
        <v>306</v>
      </c>
    </row>
    <row r="266" spans="1:1">
      <c r="A266" s="187" t="s">
        <v>511</v>
      </c>
    </row>
    <row r="267" spans="1:1">
      <c r="A267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47"/>
  <sheetViews>
    <sheetView topLeftCell="A196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8" t="s">
        <v>622</v>
      </c>
    </row>
    <row r="2" spans="1:1">
      <c r="A2" s="188" t="s">
        <v>310</v>
      </c>
    </row>
    <row r="3" spans="1:1">
      <c r="A3" s="188" t="s">
        <v>308</v>
      </c>
    </row>
    <row r="4" spans="1:1">
      <c r="A4" s="188" t="s">
        <v>314</v>
      </c>
    </row>
    <row r="5" spans="1:1">
      <c r="A5" s="188" t="s">
        <v>350</v>
      </c>
    </row>
    <row r="6" spans="1:1">
      <c r="A6" s="188" t="s">
        <v>379</v>
      </c>
    </row>
    <row r="7" spans="1:1">
      <c r="A7" s="188" t="s">
        <v>312</v>
      </c>
    </row>
    <row r="8" spans="1:1">
      <c r="A8" s="188" t="s">
        <v>316</v>
      </c>
    </row>
    <row r="9" spans="1:1">
      <c r="A9" s="188" t="s">
        <v>475</v>
      </c>
    </row>
    <row r="10" spans="1:1">
      <c r="A10" s="188" t="s">
        <v>352</v>
      </c>
    </row>
    <row r="11" spans="1:1">
      <c r="A11" s="188" t="s">
        <v>381</v>
      </c>
    </row>
    <row r="12" spans="1:1">
      <c r="A12" s="188" t="s">
        <v>430</v>
      </c>
    </row>
    <row r="13" spans="1:1">
      <c r="A13" s="188" t="s">
        <v>480</v>
      </c>
    </row>
    <row r="14" spans="1:1">
      <c r="A14" s="188" t="s">
        <v>358</v>
      </c>
    </row>
    <row r="15" spans="1:1">
      <c r="A15" s="188" t="s">
        <v>408</v>
      </c>
    </row>
    <row r="16" spans="1:1">
      <c r="A16" s="188" t="s">
        <v>449</v>
      </c>
    </row>
    <row r="17" spans="1:1">
      <c r="A17" s="188" t="s">
        <v>323</v>
      </c>
    </row>
    <row r="18" spans="1:1">
      <c r="A18" s="188" t="s">
        <v>325</v>
      </c>
    </row>
    <row r="19" spans="1:1">
      <c r="A19" s="188" t="s">
        <v>489</v>
      </c>
    </row>
    <row r="20" spans="1:1">
      <c r="A20" s="188" t="s">
        <v>490</v>
      </c>
    </row>
    <row r="21" spans="1:1">
      <c r="A21" s="188" t="s">
        <v>492</v>
      </c>
    </row>
    <row r="22" spans="1:1">
      <c r="A22" s="188" t="s">
        <v>139</v>
      </c>
    </row>
    <row r="23" spans="1:1">
      <c r="A23" s="188" t="s">
        <v>353</v>
      </c>
    </row>
    <row r="24" spans="1:1">
      <c r="A24" s="188" t="s">
        <v>383</v>
      </c>
    </row>
    <row r="25" spans="1:1">
      <c r="A25" s="188" t="s">
        <v>431</v>
      </c>
    </row>
    <row r="26" spans="1:1">
      <c r="A26" s="188" t="s">
        <v>482</v>
      </c>
    </row>
    <row r="27" spans="1:1">
      <c r="A27" s="188" t="s">
        <v>360</v>
      </c>
    </row>
    <row r="28" spans="1:1">
      <c r="A28" s="188" t="s">
        <v>410</v>
      </c>
    </row>
    <row r="29" spans="1:1">
      <c r="A29" s="188" t="s">
        <v>451</v>
      </c>
    </row>
    <row r="30" spans="1:1">
      <c r="A30" s="188" t="s">
        <v>141</v>
      </c>
    </row>
    <row r="31" spans="1:1">
      <c r="A31" s="188" t="s">
        <v>143</v>
      </c>
    </row>
    <row r="32" spans="1:1">
      <c r="A32" s="188" t="s">
        <v>385</v>
      </c>
    </row>
    <row r="33" spans="1:1">
      <c r="A33" s="188" t="s">
        <v>387</v>
      </c>
    </row>
    <row r="34" spans="1:1">
      <c r="A34" s="188" t="s">
        <v>389</v>
      </c>
    </row>
    <row r="35" spans="1:1">
      <c r="A35" s="188" t="s">
        <v>432</v>
      </c>
    </row>
    <row r="36" spans="1:1">
      <c r="A36" s="188" t="s">
        <v>434</v>
      </c>
    </row>
    <row r="37" spans="1:1">
      <c r="A37" s="188" t="s">
        <v>436</v>
      </c>
    </row>
    <row r="38" spans="1:1">
      <c r="A38" s="188" t="s">
        <v>438</v>
      </c>
    </row>
    <row r="39" spans="1:1">
      <c r="A39" s="188" t="s">
        <v>477</v>
      </c>
    </row>
    <row r="40" spans="1:1">
      <c r="A40" s="188" t="s">
        <v>362</v>
      </c>
    </row>
    <row r="41" spans="1:1">
      <c r="A41" s="188" t="s">
        <v>364</v>
      </c>
    </row>
    <row r="42" spans="1:1">
      <c r="A42" s="188" t="s">
        <v>412</v>
      </c>
    </row>
    <row r="43" spans="1:1">
      <c r="A43" s="188" t="s">
        <v>414</v>
      </c>
    </row>
    <row r="44" spans="1:1">
      <c r="A44" s="188" t="s">
        <v>416</v>
      </c>
    </row>
    <row r="45" spans="1:1">
      <c r="A45" s="188" t="s">
        <v>453</v>
      </c>
    </row>
    <row r="46" spans="1:1">
      <c r="A46" s="188" t="s">
        <v>455</v>
      </c>
    </row>
    <row r="47" spans="1:1">
      <c r="A47" s="188" t="s">
        <v>457</v>
      </c>
    </row>
    <row r="48" spans="1:1">
      <c r="A48" s="188" t="s">
        <v>459</v>
      </c>
    </row>
    <row r="49" spans="1:1">
      <c r="A49" s="188" t="s">
        <v>150</v>
      </c>
    </row>
    <row r="50" spans="1:1">
      <c r="A50" s="188" t="s">
        <v>530</v>
      </c>
    </row>
    <row r="51" spans="1:1">
      <c r="A51" s="188" t="s">
        <v>531</v>
      </c>
    </row>
    <row r="52" spans="1:1">
      <c r="A52" s="188" t="s">
        <v>532</v>
      </c>
    </row>
    <row r="53" spans="1:1">
      <c r="A53" s="188" t="s">
        <v>554</v>
      </c>
    </row>
    <row r="54" spans="1:1">
      <c r="A54" s="188" t="s">
        <v>555</v>
      </c>
    </row>
    <row r="55" spans="1:1">
      <c r="A55" s="188" t="s">
        <v>570</v>
      </c>
    </row>
    <row r="56" spans="1:1">
      <c r="A56" s="188" t="s">
        <v>571</v>
      </c>
    </row>
    <row r="57" spans="1:1">
      <c r="A57" s="188" t="s">
        <v>151</v>
      </c>
    </row>
    <row r="58" spans="1:1">
      <c r="A58" s="188" t="s">
        <v>592</v>
      </c>
    </row>
    <row r="59" spans="1:1">
      <c r="A59" s="188" t="s">
        <v>593</v>
      </c>
    </row>
    <row r="60" spans="1:1">
      <c r="A60" s="188" t="s">
        <v>594</v>
      </c>
    </row>
    <row r="61" spans="1:1">
      <c r="A61" s="188" t="s">
        <v>145</v>
      </c>
    </row>
    <row r="62" spans="1:1">
      <c r="A62" s="188" t="s">
        <v>153</v>
      </c>
    </row>
    <row r="63" spans="1:1">
      <c r="A63" s="188" t="s">
        <v>533</v>
      </c>
    </row>
    <row r="64" spans="1:1">
      <c r="A64" s="188" t="s">
        <v>156</v>
      </c>
    </row>
    <row r="65" spans="1:1">
      <c r="A65" s="188" t="s">
        <v>572</v>
      </c>
    </row>
    <row r="66" spans="1:1">
      <c r="A66" s="188" t="s">
        <v>595</v>
      </c>
    </row>
    <row r="67" spans="1:1">
      <c r="A67" s="188" t="s">
        <v>157</v>
      </c>
    </row>
    <row r="68" spans="1:1">
      <c r="A68" s="188" t="s">
        <v>160</v>
      </c>
    </row>
    <row r="69" spans="1:1">
      <c r="A69" s="188" t="s">
        <v>329</v>
      </c>
    </row>
    <row r="70" spans="1:1">
      <c r="A70" s="188" t="s">
        <v>163</v>
      </c>
    </row>
    <row r="71" spans="1:1">
      <c r="A71" s="188" t="s">
        <v>165</v>
      </c>
    </row>
    <row r="72" spans="1:1">
      <c r="A72" s="188" t="s">
        <v>166</v>
      </c>
    </row>
    <row r="73" spans="1:1">
      <c r="A73" s="188" t="s">
        <v>328</v>
      </c>
    </row>
    <row r="74" spans="1:1">
      <c r="A74" s="188" t="s">
        <v>167</v>
      </c>
    </row>
    <row r="75" spans="1:1">
      <c r="A75" s="188" t="s">
        <v>330</v>
      </c>
    </row>
    <row r="76" spans="1:1">
      <c r="A76" s="188" t="s">
        <v>170</v>
      </c>
    </row>
    <row r="77" spans="1:1">
      <c r="A77" s="188" t="s">
        <v>332</v>
      </c>
    </row>
    <row r="78" spans="1:1">
      <c r="A78" s="188" t="s">
        <v>334</v>
      </c>
    </row>
    <row r="79" spans="1:1">
      <c r="A79" s="188" t="s">
        <v>354</v>
      </c>
    </row>
    <row r="80" spans="1:1">
      <c r="A80" s="188" t="s">
        <v>178</v>
      </c>
    </row>
    <row r="81" spans="1:1">
      <c r="A81" s="188" t="s">
        <v>181</v>
      </c>
    </row>
    <row r="82" spans="1:1">
      <c r="A82" s="188" t="s">
        <v>183</v>
      </c>
    </row>
    <row r="83" spans="1:1">
      <c r="A83" s="188" t="s">
        <v>185</v>
      </c>
    </row>
    <row r="84" spans="1:1">
      <c r="A84" s="188" t="s">
        <v>187</v>
      </c>
    </row>
    <row r="85" spans="1:1">
      <c r="A85" s="188" t="s">
        <v>189</v>
      </c>
    </row>
    <row r="86" spans="1:1">
      <c r="A86" s="188" t="s">
        <v>391</v>
      </c>
    </row>
    <row r="87" spans="1:1">
      <c r="A87" s="188" t="s">
        <v>393</v>
      </c>
    </row>
    <row r="88" spans="1:1">
      <c r="A88" s="188" t="s">
        <v>395</v>
      </c>
    </row>
    <row r="89" spans="1:1">
      <c r="A89" s="188" t="s">
        <v>397</v>
      </c>
    </row>
    <row r="90" spans="1:1">
      <c r="A90" s="188" t="s">
        <v>399</v>
      </c>
    </row>
    <row r="91" spans="1:1">
      <c r="A91" s="188" t="s">
        <v>440</v>
      </c>
    </row>
    <row r="92" spans="1:1">
      <c r="A92" s="188" t="s">
        <v>191</v>
      </c>
    </row>
    <row r="93" spans="1:1">
      <c r="A93" s="188" t="s">
        <v>442</v>
      </c>
    </row>
    <row r="94" spans="1:1">
      <c r="A94" s="188" t="s">
        <v>444</v>
      </c>
    </row>
    <row r="95" spans="1:1">
      <c r="A95" s="188" t="s">
        <v>446</v>
      </c>
    </row>
    <row r="96" spans="1:1">
      <c r="A96" s="188" t="s">
        <v>478</v>
      </c>
    </row>
    <row r="97" spans="1:1">
      <c r="A97" s="188" t="s">
        <v>195</v>
      </c>
    </row>
    <row r="98" spans="1:1">
      <c r="A98" s="188" t="s">
        <v>197</v>
      </c>
    </row>
    <row r="99" spans="1:1">
      <c r="A99" s="188" t="s">
        <v>199</v>
      </c>
    </row>
    <row r="100" spans="1:1">
      <c r="A100" s="188" t="s">
        <v>201</v>
      </c>
    </row>
    <row r="101" spans="1:1">
      <c r="A101" s="188" t="s">
        <v>203</v>
      </c>
    </row>
    <row r="102" spans="1:1">
      <c r="A102" s="188" t="s">
        <v>366</v>
      </c>
    </row>
    <row r="103" spans="1:1">
      <c r="A103" s="188" t="s">
        <v>368</v>
      </c>
    </row>
    <row r="104" spans="1:1">
      <c r="A104" s="188" t="s">
        <v>370</v>
      </c>
    </row>
    <row r="105" spans="1:1">
      <c r="A105" s="188" t="s">
        <v>372</v>
      </c>
    </row>
    <row r="106" spans="1:1">
      <c r="A106" s="188" t="s">
        <v>374</v>
      </c>
    </row>
    <row r="107" spans="1:1">
      <c r="A107" s="188" t="s">
        <v>418</v>
      </c>
    </row>
    <row r="108" spans="1:1">
      <c r="A108" s="188" t="s">
        <v>420</v>
      </c>
    </row>
    <row r="109" spans="1:1">
      <c r="A109" s="188" t="s">
        <v>422</v>
      </c>
    </row>
    <row r="110" spans="1:1">
      <c r="A110" s="188" t="s">
        <v>424</v>
      </c>
    </row>
    <row r="111" spans="1:1">
      <c r="A111" s="188" t="s">
        <v>461</v>
      </c>
    </row>
    <row r="112" spans="1:1">
      <c r="A112" s="188" t="s">
        <v>463</v>
      </c>
    </row>
    <row r="113" spans="1:1">
      <c r="A113" s="188" t="s">
        <v>465</v>
      </c>
    </row>
    <row r="114" spans="1:1">
      <c r="A114" s="188" t="s">
        <v>467</v>
      </c>
    </row>
    <row r="115" spans="1:1">
      <c r="A115" s="188" t="s">
        <v>469</v>
      </c>
    </row>
    <row r="116" spans="1:1">
      <c r="A116" s="188" t="s">
        <v>484</v>
      </c>
    </row>
    <row r="117" spans="1:1">
      <c r="A117" s="188" t="s">
        <v>205</v>
      </c>
    </row>
    <row r="118" spans="1:1">
      <c r="A118" s="188" t="s">
        <v>207</v>
      </c>
    </row>
    <row r="119" spans="1:1">
      <c r="A119" s="188" t="s">
        <v>209</v>
      </c>
    </row>
    <row r="120" spans="1:1">
      <c r="A120" s="188" t="s">
        <v>486</v>
      </c>
    </row>
    <row r="121" spans="1:1">
      <c r="A121" s="188" t="s">
        <v>211</v>
      </c>
    </row>
    <row r="122" spans="1:1">
      <c r="A122" s="188" t="s">
        <v>214</v>
      </c>
    </row>
    <row r="123" spans="1:1">
      <c r="A123" s="188" t="s">
        <v>216</v>
      </c>
    </row>
    <row r="124" spans="1:1">
      <c r="A124" s="188" t="s">
        <v>219</v>
      </c>
    </row>
    <row r="125" spans="1:1">
      <c r="A125" s="188" t="s">
        <v>222</v>
      </c>
    </row>
    <row r="126" spans="1:1">
      <c r="A126" s="188" t="s">
        <v>224</v>
      </c>
    </row>
    <row r="127" spans="1:1">
      <c r="A127" s="188" t="s">
        <v>226</v>
      </c>
    </row>
    <row r="128" spans="1:1">
      <c r="A128" s="188" t="s">
        <v>535</v>
      </c>
    </row>
    <row r="129" spans="1:1">
      <c r="A129" s="188" t="s">
        <v>536</v>
      </c>
    </row>
    <row r="130" spans="1:1">
      <c r="A130" s="188" t="s">
        <v>229</v>
      </c>
    </row>
    <row r="131" spans="1:1">
      <c r="A131" s="188" t="s">
        <v>230</v>
      </c>
    </row>
    <row r="132" spans="1:1">
      <c r="A132" s="188" t="s">
        <v>574</v>
      </c>
    </row>
    <row r="133" spans="1:1">
      <c r="A133" s="188" t="s">
        <v>575</v>
      </c>
    </row>
    <row r="134" spans="1:1">
      <c r="A134" s="188" t="s">
        <v>597</v>
      </c>
    </row>
    <row r="135" spans="1:1">
      <c r="A135" s="188" t="s">
        <v>598</v>
      </c>
    </row>
    <row r="136" spans="1:1">
      <c r="A136" s="188" t="s">
        <v>537</v>
      </c>
    </row>
    <row r="137" spans="1:1">
      <c r="A137" s="188" t="s">
        <v>557</v>
      </c>
    </row>
    <row r="138" spans="1:1">
      <c r="A138" s="188" t="s">
        <v>576</v>
      </c>
    </row>
    <row r="139" spans="1:1">
      <c r="A139" s="188" t="s">
        <v>599</v>
      </c>
    </row>
    <row r="140" spans="1:1">
      <c r="A140" s="188" t="s">
        <v>514</v>
      </c>
    </row>
    <row r="141" spans="1:1">
      <c r="A141" s="188" t="s">
        <v>493</v>
      </c>
    </row>
    <row r="142" spans="1:1">
      <c r="A142" s="188" t="s">
        <v>522</v>
      </c>
    </row>
    <row r="143" spans="1:1">
      <c r="A143" s="188" t="s">
        <v>356</v>
      </c>
    </row>
    <row r="144" spans="1:1">
      <c r="A144" s="188" t="s">
        <v>515</v>
      </c>
    </row>
    <row r="145" spans="1:1">
      <c r="A145" s="188" t="s">
        <v>495</v>
      </c>
    </row>
    <row r="146" spans="1:1">
      <c r="A146" s="188" t="s">
        <v>523</v>
      </c>
    </row>
    <row r="147" spans="1:1">
      <c r="A147" s="188" t="s">
        <v>516</v>
      </c>
    </row>
    <row r="148" spans="1:1">
      <c r="A148" s="188" t="s">
        <v>497</v>
      </c>
    </row>
    <row r="149" spans="1:1">
      <c r="A149" s="188" t="s">
        <v>524</v>
      </c>
    </row>
    <row r="150" spans="1:1">
      <c r="A150" s="188" t="s">
        <v>499</v>
      </c>
    </row>
    <row r="151" spans="1:1">
      <c r="A151" s="188" t="s">
        <v>517</v>
      </c>
    </row>
    <row r="152" spans="1:1">
      <c r="A152" s="188" t="s">
        <v>525</v>
      </c>
    </row>
    <row r="153" spans="1:1">
      <c r="A153" s="188" t="s">
        <v>376</v>
      </c>
    </row>
    <row r="154" spans="1:1">
      <c r="A154" s="188" t="s">
        <v>426</v>
      </c>
    </row>
    <row r="155" spans="1:1">
      <c r="A155" s="188" t="s">
        <v>471</v>
      </c>
    </row>
    <row r="156" spans="1:1">
      <c r="A156" s="188" t="s">
        <v>231</v>
      </c>
    </row>
    <row r="157" spans="1:1">
      <c r="A157" s="188" t="s">
        <v>235</v>
      </c>
    </row>
    <row r="158" spans="1:1">
      <c r="A158" s="188" t="s">
        <v>401</v>
      </c>
    </row>
    <row r="159" spans="1:1">
      <c r="A159" s="188" t="s">
        <v>237</v>
      </c>
    </row>
    <row r="160" spans="1:1">
      <c r="A160" s="188" t="s">
        <v>239</v>
      </c>
    </row>
    <row r="161" spans="1:1">
      <c r="A161" s="188" t="s">
        <v>538</v>
      </c>
    </row>
    <row r="162" spans="1:1">
      <c r="A162" s="188" t="s">
        <v>241</v>
      </c>
    </row>
    <row r="163" spans="1:1">
      <c r="A163" s="188" t="s">
        <v>577</v>
      </c>
    </row>
    <row r="164" spans="1:1">
      <c r="A164" s="188" t="s">
        <v>600</v>
      </c>
    </row>
    <row r="165" spans="1:1">
      <c r="A165" s="188" t="s">
        <v>242</v>
      </c>
    </row>
    <row r="166" spans="1:1">
      <c r="A166" s="188" t="s">
        <v>403</v>
      </c>
    </row>
    <row r="167" spans="1:1">
      <c r="A167" s="188" t="s">
        <v>244</v>
      </c>
    </row>
    <row r="168" spans="1:1">
      <c r="A168" s="188" t="s">
        <v>539</v>
      </c>
    </row>
    <row r="169" spans="1:1">
      <c r="A169" s="188" t="s">
        <v>540</v>
      </c>
    </row>
    <row r="170" spans="1:1">
      <c r="A170" s="188" t="s">
        <v>558</v>
      </c>
    </row>
    <row r="171" spans="1:1">
      <c r="A171" s="188" t="s">
        <v>559</v>
      </c>
    </row>
    <row r="172" spans="1:1">
      <c r="A172" s="188" t="s">
        <v>578</v>
      </c>
    </row>
    <row r="173" spans="1:1">
      <c r="A173" s="188" t="s">
        <v>579</v>
      </c>
    </row>
    <row r="174" spans="1:1">
      <c r="A174" s="188" t="s">
        <v>580</v>
      </c>
    </row>
    <row r="175" spans="1:1">
      <c r="A175" s="188" t="s">
        <v>601</v>
      </c>
    </row>
    <row r="176" spans="1:1">
      <c r="A176" s="188" t="s">
        <v>602</v>
      </c>
    </row>
    <row r="177" spans="1:1">
      <c r="A177" s="188" t="s">
        <v>603</v>
      </c>
    </row>
    <row r="178" spans="1:1">
      <c r="A178" s="188" t="s">
        <v>246</v>
      </c>
    </row>
    <row r="179" spans="1:1">
      <c r="A179" s="188" t="s">
        <v>541</v>
      </c>
    </row>
    <row r="180" spans="1:1">
      <c r="A180" s="188" t="s">
        <v>560</v>
      </c>
    </row>
    <row r="181" spans="1:1">
      <c r="A181" s="188" t="s">
        <v>581</v>
      </c>
    </row>
    <row r="182" spans="1:1">
      <c r="A182" s="188" t="s">
        <v>604</v>
      </c>
    </row>
    <row r="183" spans="1:1">
      <c r="A183" s="188" t="s">
        <v>561</v>
      </c>
    </row>
    <row r="184" spans="1:1">
      <c r="A184" s="188" t="s">
        <v>249</v>
      </c>
    </row>
    <row r="185" spans="1:1">
      <c r="A185" s="188" t="s">
        <v>251</v>
      </c>
    </row>
    <row r="186" spans="1:1">
      <c r="A186" s="188" t="s">
        <v>501</v>
      </c>
    </row>
    <row r="187" spans="1:1">
      <c r="A187" s="188" t="s">
        <v>254</v>
      </c>
    </row>
    <row r="188" spans="1:1">
      <c r="A188" s="188" t="s">
        <v>257</v>
      </c>
    </row>
    <row r="189" spans="1:1">
      <c r="A189" s="188" t="s">
        <v>265</v>
      </c>
    </row>
    <row r="190" spans="1:1">
      <c r="A190" s="188" t="s">
        <v>267</v>
      </c>
    </row>
    <row r="191" spans="1:1">
      <c r="A191" s="188" t="s">
        <v>268</v>
      </c>
    </row>
    <row r="192" spans="1:1">
      <c r="A192" s="188" t="s">
        <v>270</v>
      </c>
    </row>
    <row r="193" spans="1:1">
      <c r="A193" s="188" t="s">
        <v>273</v>
      </c>
    </row>
    <row r="194" spans="1:1">
      <c r="A194" s="188" t="s">
        <v>275</v>
      </c>
    </row>
    <row r="195" spans="1:1">
      <c r="A195" s="188" t="s">
        <v>278</v>
      </c>
    </row>
    <row r="196" spans="1:1">
      <c r="A196" s="188" t="s">
        <v>503</v>
      </c>
    </row>
    <row r="197" spans="1:1">
      <c r="A197" s="188" t="s">
        <v>505</v>
      </c>
    </row>
    <row r="198" spans="1:1">
      <c r="A198" s="188" t="s">
        <v>518</v>
      </c>
    </row>
    <row r="199" spans="1:1">
      <c r="A199" s="188" t="s">
        <v>526</v>
      </c>
    </row>
    <row r="200" spans="1:1">
      <c r="A200" s="188" t="s">
        <v>281</v>
      </c>
    </row>
    <row r="201" spans="1:1">
      <c r="A201" s="188" t="s">
        <v>542</v>
      </c>
    </row>
    <row r="202" spans="1:1">
      <c r="A202" s="188" t="s">
        <v>562</v>
      </c>
    </row>
    <row r="203" spans="1:1">
      <c r="A203" s="188" t="s">
        <v>582</v>
      </c>
    </row>
    <row r="204" spans="1:1">
      <c r="A204" s="188" t="s">
        <v>605</v>
      </c>
    </row>
    <row r="205" spans="1:1">
      <c r="A205" s="188" t="s">
        <v>543</v>
      </c>
    </row>
    <row r="206" spans="1:1">
      <c r="A206" s="188" t="s">
        <v>563</v>
      </c>
    </row>
    <row r="207" spans="1:1">
      <c r="A207" s="188" t="s">
        <v>283</v>
      </c>
    </row>
    <row r="208" spans="1:1">
      <c r="A208" s="188" t="s">
        <v>606</v>
      </c>
    </row>
    <row r="209" spans="1:1">
      <c r="A209" s="188" t="s">
        <v>544</v>
      </c>
    </row>
    <row r="210" spans="1:1">
      <c r="A210" s="188" t="s">
        <v>564</v>
      </c>
    </row>
    <row r="211" spans="1:1">
      <c r="A211" s="188" t="s">
        <v>565</v>
      </c>
    </row>
    <row r="212" spans="1:1">
      <c r="A212" s="188" t="s">
        <v>583</v>
      </c>
    </row>
    <row r="213" spans="1:1">
      <c r="A213" s="188" t="s">
        <v>584</v>
      </c>
    </row>
    <row r="214" spans="1:1">
      <c r="A214" s="188" t="s">
        <v>585</v>
      </c>
    </row>
    <row r="215" spans="1:1">
      <c r="A215" s="188" t="s">
        <v>285</v>
      </c>
    </row>
    <row r="216" spans="1:1">
      <c r="A216" s="188" t="s">
        <v>607</v>
      </c>
    </row>
    <row r="217" spans="1:1">
      <c r="A217" s="188" t="s">
        <v>608</v>
      </c>
    </row>
    <row r="218" spans="1:1">
      <c r="A218" s="188" t="s">
        <v>546</v>
      </c>
    </row>
    <row r="219" spans="1:1">
      <c r="A219" s="188" t="s">
        <v>566</v>
      </c>
    </row>
    <row r="220" spans="1:1">
      <c r="A220" s="188" t="s">
        <v>567</v>
      </c>
    </row>
    <row r="221" spans="1:1">
      <c r="A221" s="188" t="s">
        <v>284</v>
      </c>
    </row>
    <row r="222" spans="1:1">
      <c r="A222" s="188" t="s">
        <v>609</v>
      </c>
    </row>
    <row r="223" spans="1:1">
      <c r="A223" s="188" t="s">
        <v>610</v>
      </c>
    </row>
    <row r="224" spans="1:1">
      <c r="A224" s="188" t="s">
        <v>520</v>
      </c>
    </row>
    <row r="225" spans="1:1">
      <c r="A225" s="188" t="s">
        <v>507</v>
      </c>
    </row>
    <row r="226" spans="1:1">
      <c r="A226" s="188" t="s">
        <v>528</v>
      </c>
    </row>
    <row r="227" spans="1:1">
      <c r="A227" s="188" t="s">
        <v>509</v>
      </c>
    </row>
    <row r="228" spans="1:1">
      <c r="A228" s="188" t="s">
        <v>287</v>
      </c>
    </row>
    <row r="229" spans="1:1">
      <c r="A229" s="188" t="s">
        <v>611</v>
      </c>
    </row>
    <row r="230" spans="1:1">
      <c r="A230" s="188" t="s">
        <v>547</v>
      </c>
    </row>
    <row r="231" spans="1:1">
      <c r="A231" s="188" t="s">
        <v>586</v>
      </c>
    </row>
    <row r="232" spans="1:1">
      <c r="A232" s="188" t="s">
        <v>289</v>
      </c>
    </row>
    <row r="233" spans="1:1">
      <c r="A233" s="188" t="s">
        <v>291</v>
      </c>
    </row>
    <row r="234" spans="1:1">
      <c r="A234" s="188" t="s">
        <v>293</v>
      </c>
    </row>
    <row r="235" spans="1:1">
      <c r="A235" s="188" t="s">
        <v>295</v>
      </c>
    </row>
    <row r="236" spans="1:1">
      <c r="A236" s="188" t="s">
        <v>549</v>
      </c>
    </row>
    <row r="237" spans="1:1">
      <c r="A237" s="188" t="s">
        <v>298</v>
      </c>
    </row>
    <row r="238" spans="1:1">
      <c r="A238" s="188" t="s">
        <v>588</v>
      </c>
    </row>
    <row r="239" spans="1:1">
      <c r="A239" s="188" t="s">
        <v>613</v>
      </c>
    </row>
    <row r="240" spans="1:1">
      <c r="A240" s="188" t="s">
        <v>299</v>
      </c>
    </row>
    <row r="241" spans="1:1">
      <c r="A241" s="188" t="s">
        <v>301</v>
      </c>
    </row>
    <row r="242" spans="1:1">
      <c r="A242" s="188" t="s">
        <v>589</v>
      </c>
    </row>
    <row r="243" spans="1:1">
      <c r="A243" s="188" t="s">
        <v>614</v>
      </c>
    </row>
    <row r="244" spans="1:1">
      <c r="A244" s="188" t="s">
        <v>550</v>
      </c>
    </row>
    <row r="245" spans="1:1">
      <c r="A245" s="188" t="s">
        <v>568</v>
      </c>
    </row>
    <row r="246" spans="1:1">
      <c r="A246" s="188" t="s">
        <v>306</v>
      </c>
    </row>
    <row r="247" spans="1:1">
      <c r="A247" s="188" t="s">
        <v>511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FD7A8355-2266-49BC-847F-7AC9557E36D8}"/>
</file>

<file path=customXml/itemProps2.xml><?xml version="1.0" encoding="utf-8"?>
<ds:datastoreItem xmlns:ds="http://schemas.openxmlformats.org/officeDocument/2006/customXml" ds:itemID="{5E40EB42-B63D-4EC9-9FA7-9C105757FCF6}"/>
</file>

<file path=customXml/itemProps3.xml><?xml version="1.0" encoding="utf-8"?>
<ds:datastoreItem xmlns:ds="http://schemas.openxmlformats.org/officeDocument/2006/customXml" ds:itemID="{F1D51CDA-9AFA-4C01-99D5-753ABE442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Custo_MI_Device</vt:lpstr>
      <vt:lpstr>Insumos_Device</vt:lpstr>
      <vt:lpstr>Custo_MI_Infra</vt:lpstr>
      <vt:lpstr>Insumos_Infra</vt:lpstr>
      <vt:lpstr>Lista explodida</vt:lpstr>
      <vt:lpstr>Tab Din Device</vt:lpstr>
      <vt:lpstr>Tab Din Infra</vt:lpstr>
      <vt:lpstr>Geral</vt:lpstr>
      <vt:lpstr>Tab Din Geral</vt:lpstr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Fernanda</dc:creator>
  <cp:lastModifiedBy>Francisco C. Pignata</cp:lastModifiedBy>
  <dcterms:created xsi:type="dcterms:W3CDTF">2016-03-29T20:23:24Z</dcterms:created>
  <dcterms:modified xsi:type="dcterms:W3CDTF">2025-10-23T18:38:54Z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