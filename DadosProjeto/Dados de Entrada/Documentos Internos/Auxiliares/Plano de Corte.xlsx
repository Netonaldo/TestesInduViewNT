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GERAL2\Comercial\Propostas\2026\SADA\PD_ATK_102_25_(SADA_MCG_Processo_Montagem)_Consolidada\Auxiliares\"/>
    </mc:Choice>
  </mc:AlternateContent>
  <xr:revisionPtr revIDLastSave="0" documentId="13_ncr:1_{C9E46DA9-58FC-458A-A452-1B972CC83796}" xr6:coauthVersionLast="47" xr6:coauthVersionMax="47" xr10:uidLastSave="{00000000-0000-0000-0000-000000000000}"/>
  <bookViews>
    <workbookView xWindow="-23148" yWindow="-108" windowWidth="23256" windowHeight="12456" activeTab="1" xr2:uid="{9B3319F1-510D-4357-9547-028B33ADA97F}"/>
  </bookViews>
  <sheets>
    <sheet name="Plano de Corte - N e PE" sheetId="2" r:id="rId1"/>
    <sheet name="Plano de Corte - F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7" i="1" l="1"/>
  <c r="BB28" i="1"/>
  <c r="BB26" i="1"/>
  <c r="AZ11" i="1"/>
  <c r="AZ14" i="1" s="1"/>
  <c r="AZ12" i="1"/>
  <c r="AZ13" i="1"/>
  <c r="B42" i="1" l="1"/>
  <c r="B43" i="1"/>
  <c r="B44" i="1"/>
  <c r="B45" i="1"/>
  <c r="B46" i="1"/>
  <c r="B47" i="1"/>
  <c r="B48" i="1"/>
  <c r="B49" i="1"/>
  <c r="B50" i="1"/>
  <c r="B41" i="1"/>
  <c r="H12" i="2"/>
  <c r="B10" i="2"/>
  <c r="B11" i="2" s="1"/>
  <c r="B51" i="1" l="1"/>
  <c r="N64" i="2"/>
  <c r="N48" i="2"/>
  <c r="N32" i="2"/>
  <c r="N17" i="2"/>
  <c r="H40" i="2"/>
  <c r="H22" i="2"/>
  <c r="B30" i="2"/>
  <c r="B22" i="2"/>
  <c r="T124" i="1"/>
  <c r="N101" i="1"/>
  <c r="N77" i="1"/>
  <c r="N42" i="1"/>
  <c r="H88" i="1"/>
  <c r="H66" i="1"/>
  <c r="AA37" i="1"/>
  <c r="AA22" i="1"/>
  <c r="H14" i="1"/>
  <c r="B81" i="1"/>
  <c r="B63" i="1"/>
  <c r="B26" i="1"/>
  <c r="B27" i="1"/>
  <c r="B28" i="1"/>
  <c r="B29" i="1"/>
  <c r="B30" i="1"/>
  <c r="B31" i="1"/>
  <c r="B32" i="1"/>
  <c r="B33" i="1"/>
  <c r="B34" i="1"/>
  <c r="B35" i="1"/>
  <c r="B25" i="1"/>
  <c r="B17" i="1"/>
  <c r="B21" i="1" s="1"/>
  <c r="B36" i="1" l="1"/>
</calcChain>
</file>

<file path=xl/sharedStrings.xml><?xml version="1.0" encoding="utf-8"?>
<sst xmlns="http://schemas.openxmlformats.org/spreadsheetml/2006/main" count="648" uniqueCount="360">
  <si>
    <t>TR3-2500kVA- QGBT3</t>
  </si>
  <si>
    <t>CCM-2.2</t>
  </si>
  <si>
    <t>TR2-2500kVA- QGBT2</t>
  </si>
  <si>
    <t>TR1-2500kVA- QGBT1</t>
  </si>
  <si>
    <t>DIST (M)</t>
  </si>
  <si>
    <t>PERNAS</t>
  </si>
  <si>
    <t>EQUIPAMENTO</t>
  </si>
  <si>
    <t>QTDE (M)</t>
  </si>
  <si>
    <t>BOBINA</t>
  </si>
  <si>
    <t>CABO 240mm² PRETO</t>
  </si>
  <si>
    <t>CCM-4.2</t>
  </si>
  <si>
    <t>CCM-4.3</t>
  </si>
  <si>
    <t>CCM-5.5</t>
  </si>
  <si>
    <t>13 BCE-4007 A</t>
  </si>
  <si>
    <t>14 BCE-4007 B</t>
  </si>
  <si>
    <t>15 BCE-4007 C</t>
  </si>
  <si>
    <t>03 SCD-4001</t>
  </si>
  <si>
    <t>14 SCD-4002</t>
  </si>
  <si>
    <t>07 SCD-4003</t>
  </si>
  <si>
    <t>G.DIESEL 1</t>
  </si>
  <si>
    <t>G.DIESEL 2</t>
  </si>
  <si>
    <t>G.DIESEL 3</t>
  </si>
  <si>
    <t>G.DIESEL 4</t>
  </si>
  <si>
    <t>Total</t>
  </si>
  <si>
    <t>CABO 185mm² PRETO</t>
  </si>
  <si>
    <t>CCM-1.2</t>
  </si>
  <si>
    <t>CCM-1.3</t>
  </si>
  <si>
    <t>CCM-1.4</t>
  </si>
  <si>
    <t>CCM-2.1</t>
  </si>
  <si>
    <t>CCM-3.11</t>
  </si>
  <si>
    <t>CCM-DCT-4001</t>
  </si>
  <si>
    <t>CCM-DCT-4002</t>
  </si>
  <si>
    <t>CCM-DCT-4003</t>
  </si>
  <si>
    <t>CCM-DCT-4004</t>
  </si>
  <si>
    <t>CCM-RFD-4001</t>
  </si>
  <si>
    <t>CCM-5.6</t>
  </si>
  <si>
    <t>CABO 150mm² PRETO</t>
  </si>
  <si>
    <t>05 MOP-101</t>
  </si>
  <si>
    <t>10 MOP-102</t>
  </si>
  <si>
    <t>21 MOP-103</t>
  </si>
  <si>
    <t>01 BCE-3001</t>
  </si>
  <si>
    <t>02 BCE-3002</t>
  </si>
  <si>
    <t>04 BCE-3004</t>
  </si>
  <si>
    <t>03 BCE-3003</t>
  </si>
  <si>
    <t>05 BCE-3005</t>
  </si>
  <si>
    <t>06 BCE-3006</t>
  </si>
  <si>
    <t>CCM-6.2</t>
  </si>
  <si>
    <t>CABO 120mm² PRETO</t>
  </si>
  <si>
    <t>CCM-1.1</t>
  </si>
  <si>
    <t>CCM-TRT-002</t>
  </si>
  <si>
    <t>21 BCE-3014 A</t>
  </si>
  <si>
    <t>22 BCE-3014 B</t>
  </si>
  <si>
    <t>25 BCE-3017A</t>
  </si>
  <si>
    <t>26 BCE-3017B</t>
  </si>
  <si>
    <t>11 BCE-7008</t>
  </si>
  <si>
    <t>CABO 95mm² PRETO</t>
  </si>
  <si>
    <t>CCM-TRF-001</t>
  </si>
  <si>
    <t>06 PRM-2001</t>
  </si>
  <si>
    <t>83 - SOP-3001</t>
  </si>
  <si>
    <t>17 BCE-4009 A</t>
  </si>
  <si>
    <t>11 DCT-4001(M01)</t>
  </si>
  <si>
    <t>18 BCE-4009 B</t>
  </si>
  <si>
    <t>19 BCE-4009 C</t>
  </si>
  <si>
    <t>84 - SOP-3002</t>
  </si>
  <si>
    <t>85 - SOP-3003</t>
  </si>
  <si>
    <t>20 BCE-4009 D</t>
  </si>
  <si>
    <t>19 DCT-4003(M01)</t>
  </si>
  <si>
    <t>01 DCT-4004(M01)</t>
  </si>
  <si>
    <t>CABO 70mm² PRETO</t>
  </si>
  <si>
    <t>CCM-4.4</t>
  </si>
  <si>
    <t>CCM-SCT-3001</t>
  </si>
  <si>
    <t>CCM-SCT-3002</t>
  </si>
  <si>
    <t>CCM-SCT-3003</t>
  </si>
  <si>
    <t>CCM-SCT-3004</t>
  </si>
  <si>
    <t>64 SCT-3001(ME-01)</t>
  </si>
  <si>
    <t>68 SCT-3002(ME-01)</t>
  </si>
  <si>
    <t>71 SCT-3003(ME-01)</t>
  </si>
  <si>
    <t>86 - SCT-3004(ME-01)</t>
  </si>
  <si>
    <t>21 RFD-4001(M01)</t>
  </si>
  <si>
    <t>CABO 50mm² PRETO</t>
  </si>
  <si>
    <t>CCM-PR-2001</t>
  </si>
  <si>
    <t>14 BCE-3011 A</t>
  </si>
  <si>
    <t>19 BCE 3013A</t>
  </si>
  <si>
    <t>12 MIS-4002</t>
  </si>
  <si>
    <t>16 VNT-4002</t>
  </si>
  <si>
    <t>09 BCE-7005</t>
  </si>
  <si>
    <t>15 BCE-3011 B</t>
  </si>
  <si>
    <t>20 BCE 3013B</t>
  </si>
  <si>
    <t>24 BCE 3016</t>
  </si>
  <si>
    <t>05 MIS-4003</t>
  </si>
  <si>
    <t>09 VNT-4003</t>
  </si>
  <si>
    <t>CABO 35mm² PRETO</t>
  </si>
  <si>
    <t>03 BCE - 2002 A</t>
  </si>
  <si>
    <t>04 BCE - 2002 B</t>
  </si>
  <si>
    <t>01 MIS-4001</t>
  </si>
  <si>
    <t>05 VNT-4001</t>
  </si>
  <si>
    <t>24 RFD-4001(M04)</t>
  </si>
  <si>
    <t>19 BCE-5011A</t>
  </si>
  <si>
    <t>20 BCE-5011B</t>
  </si>
  <si>
    <t>26 TCT-5001 (M01)</t>
  </si>
  <si>
    <t>01 BCE-7001</t>
  </si>
  <si>
    <t>10 BCE-7006</t>
  </si>
  <si>
    <t>12 BCE-7009</t>
  </si>
  <si>
    <t>CABO 4x25mm²</t>
  </si>
  <si>
    <t>CCM-TCT-5001</t>
  </si>
  <si>
    <t>09 BCE-3009 A</t>
  </si>
  <si>
    <t>10 BCE-3009 B</t>
  </si>
  <si>
    <t>11 BCE-3009 C</t>
  </si>
  <si>
    <t>12 BCE-3010 A</t>
  </si>
  <si>
    <t>13 BCE-3010 B</t>
  </si>
  <si>
    <t>27 AGT-3001</t>
  </si>
  <si>
    <t>28 AGT-3002</t>
  </si>
  <si>
    <t>29 AGT-3003</t>
  </si>
  <si>
    <t>30 AGT-3004</t>
  </si>
  <si>
    <t>31 AGT-3005</t>
  </si>
  <si>
    <t>32 AGT-3006</t>
  </si>
  <si>
    <t>81 CPR-3001</t>
  </si>
  <si>
    <t>25 RED-4005</t>
  </si>
  <si>
    <t>38 MIS-4001</t>
  </si>
  <si>
    <t>CABO 4x16mm²</t>
  </si>
  <si>
    <t>06 EXA-101</t>
  </si>
  <si>
    <t>11 EXA-102</t>
  </si>
  <si>
    <t>22 EXA-103</t>
  </si>
  <si>
    <t>01 BCE - 2001 A</t>
  </si>
  <si>
    <t>02 BCE - 2001 B</t>
  </si>
  <si>
    <t>07 BCE-3007</t>
  </si>
  <si>
    <t>08 BCE-3008</t>
  </si>
  <si>
    <t>33 AGT-3007</t>
  </si>
  <si>
    <t>36 AGT-3010</t>
  </si>
  <si>
    <t>24 RED-4004</t>
  </si>
  <si>
    <t>12 DCT-4001(M02)</t>
  </si>
  <si>
    <t>16 DCT-4002(M02)</t>
  </si>
  <si>
    <t>20 DCT-4003(M02)</t>
  </si>
  <si>
    <t>13 RSC-4102</t>
  </si>
  <si>
    <t>02 DCT-4004(M02)</t>
  </si>
  <si>
    <t>06 RSC-4103</t>
  </si>
  <si>
    <t>14 BCE-5008</t>
  </si>
  <si>
    <t>01 ECA-101</t>
  </si>
  <si>
    <t>02 FCL-101</t>
  </si>
  <si>
    <t>08 FCL-102</t>
  </si>
  <si>
    <t>13 FCL-103</t>
  </si>
  <si>
    <t>15 ECA-103</t>
  </si>
  <si>
    <t>24 FCL-104</t>
  </si>
  <si>
    <t>08 AGT-2001</t>
  </si>
  <si>
    <t>09 AGT-2002</t>
  </si>
  <si>
    <t>10 AGT-2003</t>
  </si>
  <si>
    <t>11 AGT 2004</t>
  </si>
  <si>
    <t>34 AGT-3008</t>
  </si>
  <si>
    <t>35 AGT-3009</t>
  </si>
  <si>
    <t>37 AGT-3012</t>
  </si>
  <si>
    <t>61 PRO-3001</t>
  </si>
  <si>
    <t>01 BCE-4001 A</t>
  </si>
  <si>
    <t>02 BCE-4001 B</t>
  </si>
  <si>
    <t>07 BCE-4004 A</t>
  </si>
  <si>
    <t>08 BCE-4004 B</t>
  </si>
  <si>
    <t>11 BCE-4006 A</t>
  </si>
  <si>
    <t>12 BCE-4006 B</t>
  </si>
  <si>
    <t>35 RED-4015</t>
  </si>
  <si>
    <t>37 ECA-4001</t>
  </si>
  <si>
    <t>39 PRO-4001</t>
  </si>
  <si>
    <t>02 RSC-4101</t>
  </si>
  <si>
    <t>07 RSC-4107</t>
  </si>
  <si>
    <t>18 RSC-4108</t>
  </si>
  <si>
    <t>21 RSC-4114</t>
  </si>
  <si>
    <t>10 RSC-4106</t>
  </si>
  <si>
    <t>11 RSC-4109</t>
  </si>
  <si>
    <t>14 RSC-4115</t>
  </si>
  <si>
    <t>16 CHL-4003HP-ABSO</t>
  </si>
  <si>
    <t>05 BCE-5003A</t>
  </si>
  <si>
    <t>06 BCE-5003B</t>
  </si>
  <si>
    <t>07 BCE-5004A</t>
  </si>
  <si>
    <t>08 BCE-5004B</t>
  </si>
  <si>
    <t>21 PRO-5001</t>
  </si>
  <si>
    <t>27 TCT-5001 (M02)</t>
  </si>
  <si>
    <t>13 BCE-7010</t>
  </si>
  <si>
    <t>CABO 4x10mm²</t>
  </si>
  <si>
    <t>CABO 4x6mm²</t>
  </si>
  <si>
    <t>CCM-PRO-4001</t>
  </si>
  <si>
    <t>CCM-PRM-3001</t>
  </si>
  <si>
    <t>CCM-PRO-5001</t>
  </si>
  <si>
    <t>38 AGT-3013</t>
  </si>
  <si>
    <t>65 SCT-3001(ME-02)</t>
  </si>
  <si>
    <t>69 SCT-3002(ME-02)</t>
  </si>
  <si>
    <t>72 SCT-3003(ME-02)</t>
  </si>
  <si>
    <t>79 SCT-3004(ME-02)</t>
  </si>
  <si>
    <t>03 BCE-4002 A</t>
  </si>
  <si>
    <t>04 BCE-4002 B</t>
  </si>
  <si>
    <t>05 BCE-4003 A</t>
  </si>
  <si>
    <t>06 BCE-4003 B</t>
  </si>
  <si>
    <t>09 BCE-4005 A</t>
  </si>
  <si>
    <t>10 BCE-4005 B</t>
  </si>
  <si>
    <t>36 RED-4017</t>
  </si>
  <si>
    <t>01 CHL-4001-HP_ABSO</t>
  </si>
  <si>
    <t>06 CHL-4002-HP_ABSO</t>
  </si>
  <si>
    <t>06 RSC-4104</t>
  </si>
  <si>
    <t>10 RSC-4113</t>
  </si>
  <si>
    <t>17 RSC-4105</t>
  </si>
  <si>
    <t>19 RSC-4111-1</t>
  </si>
  <si>
    <t>12 RSC-4112-1</t>
  </si>
  <si>
    <t>23 RFD-4001(M03)</t>
  </si>
  <si>
    <t>09 BCE-5005A</t>
  </si>
  <si>
    <t>10 BCE-5005B</t>
  </si>
  <si>
    <t>16 BCE-5010A</t>
  </si>
  <si>
    <t>17 BCE-5010B</t>
  </si>
  <si>
    <t>18 BCE-5010C</t>
  </si>
  <si>
    <t>24 BCE-5012A</t>
  </si>
  <si>
    <t>25 BCE-5012B</t>
  </si>
  <si>
    <t>CABO 4x4,0mm²</t>
  </si>
  <si>
    <t>CCM-CHL-4001</t>
  </si>
  <si>
    <t>CCM-CHL-4002</t>
  </si>
  <si>
    <t>CCM-CHL-4003</t>
  </si>
  <si>
    <t>05 BCE - 2003</t>
  </si>
  <si>
    <t>16 BCE-3012A</t>
  </si>
  <si>
    <t>17 BCE-3012B</t>
  </si>
  <si>
    <t>18 BCE-3012C</t>
  </si>
  <si>
    <t>23 BCE 3015</t>
  </si>
  <si>
    <t>16 BCE-4008</t>
  </si>
  <si>
    <t>23 RED 4003</t>
  </si>
  <si>
    <t>08 RSC-4110-1</t>
  </si>
  <si>
    <t>01 BCE-5001A</t>
  </si>
  <si>
    <t>02 BCE-5001B</t>
  </si>
  <si>
    <t>13 BCE-5007</t>
  </si>
  <si>
    <t>15 BCE-5009</t>
  </si>
  <si>
    <t>04 BDO-7001</t>
  </si>
  <si>
    <t>05 BDO-7002</t>
  </si>
  <si>
    <t>07 BCE-7007</t>
  </si>
  <si>
    <t>14 AGT-7001</t>
  </si>
  <si>
    <t>15 AGT-7002</t>
  </si>
  <si>
    <t>16 BCE-3018A</t>
  </si>
  <si>
    <t>17 BCE-3018B</t>
  </si>
  <si>
    <t>03 RDL-101</t>
  </si>
  <si>
    <t>04 ALI-101</t>
  </si>
  <si>
    <t>07 ROS-101</t>
  </si>
  <si>
    <t>09 ALI-102</t>
  </si>
  <si>
    <t>12 ROS -102</t>
  </si>
  <si>
    <t>14 RDL-102</t>
  </si>
  <si>
    <t>16 TRC-101</t>
  </si>
  <si>
    <t>17 TRC-102</t>
  </si>
  <si>
    <t>18 ECA-102</t>
  </si>
  <si>
    <t>19 VRT-103</t>
  </si>
  <si>
    <t>20 ALI-103</t>
  </si>
  <si>
    <t>23 ROS -103</t>
  </si>
  <si>
    <t>25 TRC-103</t>
  </si>
  <si>
    <t>26 TRC-104</t>
  </si>
  <si>
    <t>27 ECA-104</t>
  </si>
  <si>
    <t>28 RDL-103</t>
  </si>
  <si>
    <t>07 FCV-2007</t>
  </si>
  <si>
    <t>12 CLT-2001</t>
  </si>
  <si>
    <t>13 CLT-2002</t>
  </si>
  <si>
    <t>14 CLT-2003</t>
  </si>
  <si>
    <t>15 CLT-2004</t>
  </si>
  <si>
    <t>16 CLT-2005</t>
  </si>
  <si>
    <t>17 CLT-2006</t>
  </si>
  <si>
    <t>18 CLT-2007</t>
  </si>
  <si>
    <t>19 CLT-2008</t>
  </si>
  <si>
    <t>39 CLT-3001</t>
  </si>
  <si>
    <t>40 CLT-3002</t>
  </si>
  <si>
    <t>41 CLT-3003</t>
  </si>
  <si>
    <t>42 CLT-3004</t>
  </si>
  <si>
    <t>43 CLT-3005</t>
  </si>
  <si>
    <t>44 CLT-3006</t>
  </si>
  <si>
    <t>45 CLT-3007</t>
  </si>
  <si>
    <t>46 CLT-3008</t>
  </si>
  <si>
    <t>47 CLT-3009</t>
  </si>
  <si>
    <t>48 CLT-3010</t>
  </si>
  <si>
    <t>49 CLT-3011</t>
  </si>
  <si>
    <t>50 CLT-3012</t>
  </si>
  <si>
    <t>51 CLT-3013</t>
  </si>
  <si>
    <t>52 CLT-3014</t>
  </si>
  <si>
    <t>53 CLT-3017</t>
  </si>
  <si>
    <t>54 CLT-3018</t>
  </si>
  <si>
    <t>55 CLT-3019</t>
  </si>
  <si>
    <t>56 CLT-3020</t>
  </si>
  <si>
    <t>57 CLT-3023</t>
  </si>
  <si>
    <t>58 CLT-3024</t>
  </si>
  <si>
    <t>59 CLT-3025</t>
  </si>
  <si>
    <t>60 CLT-3026</t>
  </si>
  <si>
    <t>62 PRO-3003</t>
  </si>
  <si>
    <t>63 FAL-3001</t>
  </si>
  <si>
    <t>66 SCT-3001(ME-03)</t>
  </si>
  <si>
    <t>70 SCT-302(ME-003)</t>
  </si>
  <si>
    <t>73 SCT-3003(ME-03)</t>
  </si>
  <si>
    <t>74 CLT-3015</t>
  </si>
  <si>
    <t>75 CLT-3016</t>
  </si>
  <si>
    <t>76 CLT-3021</t>
  </si>
  <si>
    <t>77 CLT-3022</t>
  </si>
  <si>
    <t>78 PRO-3002</t>
  </si>
  <si>
    <t>80 SCT-3004(ME-03)</t>
  </si>
  <si>
    <t>82 BDP-3001</t>
  </si>
  <si>
    <t>21 RED-4001</t>
  </si>
  <si>
    <t>22 RED-4002</t>
  </si>
  <si>
    <t>26 RED-4006</t>
  </si>
  <si>
    <t>27 RED-4007</t>
  </si>
  <si>
    <t>28 RED-4008</t>
  </si>
  <si>
    <t>29 RED-4009</t>
  </si>
  <si>
    <t>30 RED-4010</t>
  </si>
  <si>
    <t>31 RED-4011</t>
  </si>
  <si>
    <t>32 RED-4012</t>
  </si>
  <si>
    <t>33 RED-4013</t>
  </si>
  <si>
    <t>34 RED-4014</t>
  </si>
  <si>
    <t>40 PRO-4002</t>
  </si>
  <si>
    <t>41 PRO-4003</t>
  </si>
  <si>
    <t>42 VRT-4001</t>
  </si>
  <si>
    <t>43 VRT-4002</t>
  </si>
  <si>
    <t>44 VRT-4003</t>
  </si>
  <si>
    <t>02 CHL-4001-LP_ABSO</t>
  </si>
  <si>
    <t>03 CHL-4001-PP</t>
  </si>
  <si>
    <t>04 CHL-4001-PR</t>
  </si>
  <si>
    <t>05 CHL-4001-PLC</t>
  </si>
  <si>
    <t>07 CHL-4002-LP_ABSO</t>
  </si>
  <si>
    <t>08 CHL-4002-PP</t>
  </si>
  <si>
    <t>09 CHL-4002-PR</t>
  </si>
  <si>
    <t>10 CHL-4002-PLC</t>
  </si>
  <si>
    <t>13 DCT-4001(M03)</t>
  </si>
  <si>
    <t>14 DCT-4001(M15)</t>
  </si>
  <si>
    <t>17 DCT-4002(M03)</t>
  </si>
  <si>
    <t>18 DCT-4002(M15)</t>
  </si>
  <si>
    <t>21 DCT-4003(M03)</t>
  </si>
  <si>
    <t>22 DCT-4003(M15)</t>
  </si>
  <si>
    <t>04 UHL-4101</t>
  </si>
  <si>
    <t>09 RSC-4110-2</t>
  </si>
  <si>
    <t>11 VRT-4101</t>
  </si>
  <si>
    <t>15 UHL-4102</t>
  </si>
  <si>
    <t>20 RSC-4111-2</t>
  </si>
  <si>
    <t>22 VRT-4102</t>
  </si>
  <si>
    <t>03 DCT-4004(M03)</t>
  </si>
  <si>
    <t>04 DCT-4004(M015)</t>
  </si>
  <si>
    <t>08 UHL-4103</t>
  </si>
  <si>
    <t>13 RSC-4112-2</t>
  </si>
  <si>
    <t>15 VRT-4103</t>
  </si>
  <si>
    <t>17 CHL-4003-LP_ABSO</t>
  </si>
  <si>
    <t>18 CHL-4003-PP</t>
  </si>
  <si>
    <t>19 CHL-4003-PR</t>
  </si>
  <si>
    <t>20 CHL-4003-PLC</t>
  </si>
  <si>
    <t>22 RFD-4001(M02)</t>
  </si>
  <si>
    <t>03 BCE-5002A</t>
  </si>
  <si>
    <t>04 BCE-5002B</t>
  </si>
  <si>
    <t>11 BCE-5006A</t>
  </si>
  <si>
    <t>12 BCE-5006B</t>
  </si>
  <si>
    <t>22 PRO-5002</t>
  </si>
  <si>
    <t>23 PRO-5003</t>
  </si>
  <si>
    <t>02 BCE-7002</t>
  </si>
  <si>
    <t>03 BCE-7004</t>
  </si>
  <si>
    <t>06 BDP-7001</t>
  </si>
  <si>
    <t>08 BCE-7003</t>
  </si>
  <si>
    <t>18 BDO-7007</t>
  </si>
  <si>
    <t>19 BDO-7008</t>
  </si>
  <si>
    <t>CABO 4x2,5mm²</t>
  </si>
  <si>
    <t>CABO 240mm² VERDE</t>
  </si>
  <si>
    <t>CABO 185mm² VERDE</t>
  </si>
  <si>
    <t>CABO 150mm² VERDE</t>
  </si>
  <si>
    <t>CABO 120mm² VERDE</t>
  </si>
  <si>
    <t>CABO 95mm² VERDE</t>
  </si>
  <si>
    <t>CABO 70mm² VERDE</t>
  </si>
  <si>
    <t>CABO 50mm² VERDE</t>
  </si>
  <si>
    <t>15 DCT-4002(M01)</t>
  </si>
  <si>
    <t>CABO 35mm² VERDE</t>
  </si>
  <si>
    <t>CABO 25mm² VERDE</t>
  </si>
  <si>
    <t>CABO 16mm² VERDE</t>
  </si>
  <si>
    <t>G.DIESEL 1 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</si>
</sst>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8"/>
      <name val="Times New Roman"/>
      <charset val="204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2EC9-7499-48A7-9758-B722DBDDFDB1}">
  <dimension ref="A2:Q69"/>
  <sheetViews>
    <sheetView topLeftCell="A40" zoomScale="85" zoomScaleNormal="85" workbookViewId="0">
      <selection activeCell="K17" sqref="K17:K21"/>
    </sheetView>
  </sheetViews>
  <sheetFormatPr defaultRowHeight="12.75" x14ac:dyDescent="0.2"/>
  <cols>
    <col min="1" max="1" width="9.33203125" style="2"/>
    <col min="2" max="2" width="10.5" style="2" bestFit="1" customWidth="1"/>
    <col min="3" max="3" width="23.83203125" style="2" bestFit="1" customWidth="1"/>
    <col min="4" max="4" width="9.1640625" style="2" bestFit="1" customWidth="1"/>
    <col min="5" max="5" width="9.6640625" style="2" bestFit="1" customWidth="1"/>
    <col min="6" max="6" width="9.33203125" style="2"/>
    <col min="7" max="7" width="9.1640625" style="2" bestFit="1" customWidth="1"/>
    <col min="8" max="8" width="10.5" style="2" bestFit="1" customWidth="1"/>
    <col min="9" max="9" width="23.5" style="2" bestFit="1" customWidth="1"/>
    <col min="10" max="10" width="9.1640625" style="2" bestFit="1" customWidth="1"/>
    <col min="11" max="11" width="9.6640625" style="2" bestFit="1" customWidth="1"/>
    <col min="12" max="12" width="9.33203125" style="2"/>
    <col min="13" max="13" width="9.5" style="1" bestFit="1" customWidth="1"/>
    <col min="14" max="14" width="11.5" style="1" bestFit="1" customWidth="1"/>
    <col min="15" max="15" width="23.5" style="1" bestFit="1" customWidth="1"/>
    <col min="16" max="16" width="9.5" style="1" bestFit="1" customWidth="1"/>
    <col min="17" max="17" width="10.33203125" style="1" bestFit="1" customWidth="1"/>
    <col min="18" max="16384" width="9.33203125" style="1"/>
  </cols>
  <sheetData>
    <row r="2" spans="1:17" x14ac:dyDescent="0.2">
      <c r="A2" s="16" t="s">
        <v>348</v>
      </c>
      <c r="B2" s="16"/>
      <c r="C2" s="16"/>
      <c r="D2" s="16"/>
      <c r="E2" s="16"/>
      <c r="G2" s="16" t="s">
        <v>351</v>
      </c>
      <c r="H2" s="16"/>
      <c r="I2" s="16"/>
      <c r="J2" s="16"/>
      <c r="K2" s="16"/>
      <c r="M2" s="16" t="s">
        <v>354</v>
      </c>
      <c r="N2" s="16"/>
      <c r="O2" s="16"/>
      <c r="P2" s="16"/>
      <c r="Q2" s="16"/>
    </row>
    <row r="3" spans="1:17" x14ac:dyDescent="0.2">
      <c r="A3" s="4" t="s">
        <v>8</v>
      </c>
      <c r="B3" s="4" t="s">
        <v>7</v>
      </c>
      <c r="C3" s="4" t="s">
        <v>6</v>
      </c>
      <c r="D3" s="4" t="s">
        <v>5</v>
      </c>
      <c r="E3" s="4" t="s">
        <v>4</v>
      </c>
      <c r="G3" s="4" t="s">
        <v>8</v>
      </c>
      <c r="H3" s="4" t="s">
        <v>7</v>
      </c>
      <c r="I3" s="4" t="s">
        <v>6</v>
      </c>
      <c r="J3" s="4" t="s">
        <v>5</v>
      </c>
      <c r="K3" s="4" t="s">
        <v>4</v>
      </c>
      <c r="M3" s="4" t="s">
        <v>8</v>
      </c>
      <c r="N3" s="4" t="s">
        <v>7</v>
      </c>
      <c r="O3" s="4" t="s">
        <v>6</v>
      </c>
      <c r="P3" s="4" t="s">
        <v>5</v>
      </c>
      <c r="Q3" s="4" t="s">
        <v>4</v>
      </c>
    </row>
    <row r="4" spans="1:17" x14ac:dyDescent="0.2">
      <c r="A4" s="16">
        <v>1</v>
      </c>
      <c r="B4" s="5">
        <v>75</v>
      </c>
      <c r="C4" s="4" t="s">
        <v>3</v>
      </c>
      <c r="D4" s="5">
        <v>5</v>
      </c>
      <c r="E4" s="4">
        <v>15</v>
      </c>
      <c r="G4" s="20">
        <v>1</v>
      </c>
      <c r="H4" s="4">
        <v>20</v>
      </c>
      <c r="I4" s="4" t="s">
        <v>48</v>
      </c>
      <c r="J4" s="4">
        <v>1</v>
      </c>
      <c r="K4" s="4">
        <v>20</v>
      </c>
      <c r="M4" s="16">
        <v>1</v>
      </c>
      <c r="N4" s="4">
        <v>10</v>
      </c>
      <c r="O4" s="4" t="s">
        <v>56</v>
      </c>
      <c r="P4" s="4">
        <v>1</v>
      </c>
      <c r="Q4" s="4">
        <v>10</v>
      </c>
    </row>
    <row r="5" spans="1:17" x14ac:dyDescent="0.2">
      <c r="A5" s="16"/>
      <c r="B5" s="4">
        <v>75</v>
      </c>
      <c r="C5" s="4" t="s">
        <v>2</v>
      </c>
      <c r="D5" s="5">
        <v>5</v>
      </c>
      <c r="E5" s="4">
        <v>15</v>
      </c>
      <c r="G5" s="21"/>
      <c r="H5" s="4">
        <v>20</v>
      </c>
      <c r="I5" s="4" t="s">
        <v>10</v>
      </c>
      <c r="J5" s="4">
        <v>1</v>
      </c>
      <c r="K5" s="4">
        <v>20</v>
      </c>
      <c r="M5" s="16"/>
      <c r="N5" s="4">
        <v>150</v>
      </c>
      <c r="O5" s="4" t="s">
        <v>57</v>
      </c>
      <c r="P5" s="4">
        <v>1</v>
      </c>
      <c r="Q5" s="4">
        <v>150</v>
      </c>
    </row>
    <row r="6" spans="1:17" x14ac:dyDescent="0.2">
      <c r="A6" s="16"/>
      <c r="B6" s="4">
        <v>75</v>
      </c>
      <c r="C6" s="4" t="s">
        <v>0</v>
      </c>
      <c r="D6" s="5">
        <v>5</v>
      </c>
      <c r="E6" s="4">
        <v>15</v>
      </c>
      <c r="G6" s="21"/>
      <c r="H6" s="4">
        <v>100</v>
      </c>
      <c r="I6" s="4" t="s">
        <v>13</v>
      </c>
      <c r="J6" s="4">
        <v>1</v>
      </c>
      <c r="K6" s="4">
        <v>100</v>
      </c>
      <c r="M6" s="16"/>
      <c r="N6" s="4">
        <v>150</v>
      </c>
      <c r="O6" s="4" t="s">
        <v>58</v>
      </c>
      <c r="P6" s="4">
        <v>1</v>
      </c>
      <c r="Q6" s="4">
        <v>150</v>
      </c>
    </row>
    <row r="7" spans="1:17" x14ac:dyDescent="0.2">
      <c r="A7" s="16"/>
      <c r="B7" s="4">
        <v>60</v>
      </c>
      <c r="C7" s="4" t="s">
        <v>1</v>
      </c>
      <c r="D7" s="5">
        <v>3</v>
      </c>
      <c r="E7" s="4">
        <v>20</v>
      </c>
      <c r="G7" s="21"/>
      <c r="H7" s="4">
        <v>100</v>
      </c>
      <c r="I7" s="4" t="s">
        <v>14</v>
      </c>
      <c r="J7" s="4">
        <v>1</v>
      </c>
      <c r="K7" s="4">
        <v>100</v>
      </c>
      <c r="M7" s="16"/>
      <c r="N7" s="4">
        <v>150</v>
      </c>
      <c r="O7" s="4" t="s">
        <v>63</v>
      </c>
      <c r="P7" s="4">
        <v>1</v>
      </c>
      <c r="Q7" s="4">
        <v>150</v>
      </c>
    </row>
    <row r="8" spans="1:17" x14ac:dyDescent="0.2">
      <c r="A8" s="16"/>
      <c r="B8" s="4">
        <v>60</v>
      </c>
      <c r="C8" s="4" t="s">
        <v>11</v>
      </c>
      <c r="D8" s="4">
        <v>3</v>
      </c>
      <c r="E8" s="4">
        <v>20</v>
      </c>
      <c r="G8" s="21"/>
      <c r="H8" s="4">
        <v>100</v>
      </c>
      <c r="I8" s="4" t="s">
        <v>15</v>
      </c>
      <c r="J8" s="4">
        <v>1</v>
      </c>
      <c r="K8" s="4">
        <v>100</v>
      </c>
      <c r="M8" s="16"/>
      <c r="N8" s="4">
        <v>150</v>
      </c>
      <c r="O8" s="4" t="s">
        <v>64</v>
      </c>
      <c r="P8" s="4">
        <v>1</v>
      </c>
      <c r="Q8" s="4">
        <v>150</v>
      </c>
    </row>
    <row r="9" spans="1:17" x14ac:dyDescent="0.2">
      <c r="A9" s="16"/>
      <c r="B9" s="4">
        <v>60</v>
      </c>
      <c r="C9" s="4" t="s">
        <v>12</v>
      </c>
      <c r="D9" s="4">
        <v>3</v>
      </c>
      <c r="E9" s="4">
        <v>20</v>
      </c>
      <c r="G9" s="21"/>
      <c r="H9" s="4">
        <v>190</v>
      </c>
      <c r="I9" s="4" t="s">
        <v>16</v>
      </c>
      <c r="J9" s="4">
        <v>1</v>
      </c>
      <c r="K9" s="4">
        <v>190</v>
      </c>
      <c r="M9" s="16"/>
      <c r="N9" s="4">
        <v>115</v>
      </c>
      <c r="O9" s="4" t="s">
        <v>59</v>
      </c>
      <c r="P9" s="4">
        <v>1</v>
      </c>
      <c r="Q9" s="4">
        <v>115</v>
      </c>
    </row>
    <row r="10" spans="1:17" x14ac:dyDescent="0.2">
      <c r="A10" s="4"/>
      <c r="B10" s="4">
        <f>D10*E10</f>
        <v>320</v>
      </c>
      <c r="C10" s="4" t="s">
        <v>359</v>
      </c>
      <c r="D10" s="4">
        <v>8</v>
      </c>
      <c r="E10" s="4">
        <v>40</v>
      </c>
      <c r="G10" s="21"/>
      <c r="H10" s="4">
        <v>230</v>
      </c>
      <c r="I10" s="4" t="s">
        <v>17</v>
      </c>
      <c r="J10" s="4">
        <v>1</v>
      </c>
      <c r="K10" s="4">
        <v>230</v>
      </c>
      <c r="M10" s="16"/>
      <c r="N10" s="4">
        <v>115</v>
      </c>
      <c r="O10" s="4" t="s">
        <v>61</v>
      </c>
      <c r="P10" s="4">
        <v>1</v>
      </c>
      <c r="Q10" s="4">
        <v>115</v>
      </c>
    </row>
    <row r="11" spans="1:17" x14ac:dyDescent="0.2">
      <c r="A11" s="9" t="s">
        <v>23</v>
      </c>
      <c r="B11" s="12">
        <f>SUM(B4:B10)</f>
        <v>725</v>
      </c>
      <c r="G11" s="22"/>
      <c r="H11" s="4">
        <v>250</v>
      </c>
      <c r="I11" s="4" t="s">
        <v>18</v>
      </c>
      <c r="J11" s="4">
        <v>1</v>
      </c>
      <c r="K11" s="4">
        <v>250</v>
      </c>
      <c r="M11" s="16"/>
      <c r="N11" s="4">
        <v>115</v>
      </c>
      <c r="O11" s="4" t="s">
        <v>62</v>
      </c>
      <c r="P11" s="4">
        <v>1</v>
      </c>
      <c r="Q11" s="4">
        <v>115</v>
      </c>
    </row>
    <row r="12" spans="1:17" x14ac:dyDescent="0.2">
      <c r="A12" s="10"/>
      <c r="G12" s="9" t="s">
        <v>23</v>
      </c>
      <c r="H12" s="12">
        <f>SUM(H4:H11)</f>
        <v>1010</v>
      </c>
      <c r="M12" s="16"/>
      <c r="N12" s="4">
        <v>115</v>
      </c>
      <c r="O12" s="4" t="s">
        <v>65</v>
      </c>
      <c r="P12" s="4">
        <v>1</v>
      </c>
      <c r="Q12" s="4">
        <v>115</v>
      </c>
    </row>
    <row r="13" spans="1:17" x14ac:dyDescent="0.2">
      <c r="M13" s="16"/>
      <c r="N13" s="4">
        <v>115</v>
      </c>
      <c r="O13" s="4" t="s">
        <v>60</v>
      </c>
      <c r="P13" s="4">
        <v>1</v>
      </c>
      <c r="Q13" s="4">
        <v>115</v>
      </c>
    </row>
    <row r="14" spans="1:17" x14ac:dyDescent="0.2">
      <c r="A14" s="17" t="s">
        <v>349</v>
      </c>
      <c r="B14" s="18"/>
      <c r="C14" s="18"/>
      <c r="D14" s="18"/>
      <c r="E14" s="19"/>
      <c r="M14" s="16"/>
      <c r="N14" s="4">
        <v>125</v>
      </c>
      <c r="O14" s="4" t="s">
        <v>355</v>
      </c>
      <c r="P14" s="4">
        <v>1</v>
      </c>
      <c r="Q14" s="4">
        <v>125</v>
      </c>
    </row>
    <row r="15" spans="1:17" x14ac:dyDescent="0.2">
      <c r="A15" s="4" t="s">
        <v>8</v>
      </c>
      <c r="B15" s="4" t="s">
        <v>7</v>
      </c>
      <c r="C15" s="4" t="s">
        <v>6</v>
      </c>
      <c r="D15" s="4" t="s">
        <v>5</v>
      </c>
      <c r="E15" s="4" t="s">
        <v>4</v>
      </c>
      <c r="G15" s="16" t="s">
        <v>352</v>
      </c>
      <c r="H15" s="16"/>
      <c r="I15" s="16"/>
      <c r="J15" s="16"/>
      <c r="K15" s="16"/>
      <c r="M15" s="16"/>
      <c r="N15" s="4">
        <v>120</v>
      </c>
      <c r="O15" s="4" t="s">
        <v>66</v>
      </c>
      <c r="P15" s="4">
        <v>1</v>
      </c>
      <c r="Q15" s="4">
        <v>120</v>
      </c>
    </row>
    <row r="16" spans="1:17" x14ac:dyDescent="0.2">
      <c r="A16" s="20">
        <v>1</v>
      </c>
      <c r="B16" s="5">
        <v>20</v>
      </c>
      <c r="C16" s="4" t="s">
        <v>25</v>
      </c>
      <c r="D16" s="5">
        <v>1</v>
      </c>
      <c r="E16" s="4">
        <v>20</v>
      </c>
      <c r="G16" s="4" t="s">
        <v>8</v>
      </c>
      <c r="H16" s="4" t="s">
        <v>7</v>
      </c>
      <c r="I16" s="4" t="s">
        <v>6</v>
      </c>
      <c r="J16" s="4" t="s">
        <v>5</v>
      </c>
      <c r="K16" s="4" t="s">
        <v>4</v>
      </c>
      <c r="M16" s="16"/>
      <c r="N16" s="4">
        <v>160</v>
      </c>
      <c r="O16" s="4" t="s">
        <v>67</v>
      </c>
      <c r="P16" s="4">
        <v>1</v>
      </c>
      <c r="Q16" s="4">
        <v>160</v>
      </c>
    </row>
    <row r="17" spans="1:17" x14ac:dyDescent="0.2">
      <c r="A17" s="21"/>
      <c r="B17" s="5">
        <v>20</v>
      </c>
      <c r="C17" s="4" t="s">
        <v>26</v>
      </c>
      <c r="D17" s="5">
        <v>1</v>
      </c>
      <c r="E17" s="4">
        <v>20</v>
      </c>
      <c r="G17" s="16">
        <v>1</v>
      </c>
      <c r="H17" s="4">
        <v>30</v>
      </c>
      <c r="I17" s="4" t="s">
        <v>30</v>
      </c>
      <c r="J17" s="4">
        <v>1</v>
      </c>
      <c r="K17" s="4">
        <v>30</v>
      </c>
      <c r="M17" s="9" t="s">
        <v>23</v>
      </c>
      <c r="N17" s="5">
        <f>SUM(N4:N16)</f>
        <v>1590</v>
      </c>
      <c r="O17" s="2"/>
      <c r="P17" s="2"/>
      <c r="Q17" s="2"/>
    </row>
    <row r="18" spans="1:17" x14ac:dyDescent="0.2">
      <c r="A18" s="21"/>
      <c r="B18" s="5">
        <v>20</v>
      </c>
      <c r="C18" s="4" t="s">
        <v>27</v>
      </c>
      <c r="D18" s="5">
        <v>1</v>
      </c>
      <c r="E18" s="4">
        <v>20</v>
      </c>
      <c r="G18" s="16"/>
      <c r="H18" s="4">
        <v>30</v>
      </c>
      <c r="I18" s="4" t="s">
        <v>31</v>
      </c>
      <c r="J18" s="4">
        <v>1</v>
      </c>
      <c r="K18" s="4">
        <v>30</v>
      </c>
      <c r="M18" s="2"/>
      <c r="N18" s="2"/>
      <c r="O18" s="2"/>
      <c r="P18" s="2"/>
      <c r="Q18" s="2"/>
    </row>
    <row r="19" spans="1:17" x14ac:dyDescent="0.2">
      <c r="A19" s="21"/>
      <c r="B19" s="5">
        <v>20</v>
      </c>
      <c r="C19" s="4" t="s">
        <v>28</v>
      </c>
      <c r="D19" s="5">
        <v>1</v>
      </c>
      <c r="E19" s="4">
        <v>20</v>
      </c>
      <c r="G19" s="16"/>
      <c r="H19" s="4">
        <v>30</v>
      </c>
      <c r="I19" s="4" t="s">
        <v>32</v>
      </c>
      <c r="J19" s="4">
        <v>1</v>
      </c>
      <c r="K19" s="4">
        <v>30</v>
      </c>
      <c r="M19" s="2"/>
      <c r="N19" s="2"/>
      <c r="O19" s="2"/>
      <c r="P19" s="2"/>
      <c r="Q19" s="2"/>
    </row>
    <row r="20" spans="1:17" x14ac:dyDescent="0.2">
      <c r="A20" s="21"/>
      <c r="B20" s="5">
        <v>20</v>
      </c>
      <c r="C20" s="4" t="s">
        <v>29</v>
      </c>
      <c r="D20" s="4">
        <v>1</v>
      </c>
      <c r="E20" s="4">
        <v>20</v>
      </c>
      <c r="G20" s="16"/>
      <c r="H20" s="4">
        <v>30</v>
      </c>
      <c r="I20" s="4" t="s">
        <v>33</v>
      </c>
      <c r="J20" s="4">
        <v>1</v>
      </c>
      <c r="K20" s="4">
        <v>30</v>
      </c>
      <c r="M20" s="17" t="s">
        <v>356</v>
      </c>
      <c r="N20" s="18"/>
      <c r="O20" s="18"/>
      <c r="P20" s="18"/>
      <c r="Q20" s="19"/>
    </row>
    <row r="21" spans="1:17" x14ac:dyDescent="0.2">
      <c r="A21" s="22"/>
      <c r="B21" s="4">
        <v>20</v>
      </c>
      <c r="C21" s="4" t="s">
        <v>35</v>
      </c>
      <c r="D21" s="4">
        <v>1</v>
      </c>
      <c r="E21" s="4">
        <v>20</v>
      </c>
      <c r="G21" s="16"/>
      <c r="H21" s="4">
        <v>30</v>
      </c>
      <c r="I21" s="4" t="s">
        <v>34</v>
      </c>
      <c r="J21" s="4">
        <v>1</v>
      </c>
      <c r="K21" s="4">
        <v>30</v>
      </c>
      <c r="M21" s="4" t="s">
        <v>8</v>
      </c>
      <c r="N21" s="4" t="s">
        <v>7</v>
      </c>
      <c r="O21" s="4" t="s">
        <v>6</v>
      </c>
      <c r="P21" s="4" t="s">
        <v>5</v>
      </c>
      <c r="Q21" s="4" t="s">
        <v>4</v>
      </c>
    </row>
    <row r="22" spans="1:17" x14ac:dyDescent="0.2">
      <c r="A22" s="9" t="s">
        <v>23</v>
      </c>
      <c r="B22" s="12">
        <f>SUM(B16:B21)</f>
        <v>120</v>
      </c>
      <c r="G22" s="9" t="s">
        <v>23</v>
      </c>
      <c r="H22" s="12">
        <f>SUM(H17:H21)</f>
        <v>150</v>
      </c>
      <c r="M22" s="16">
        <v>1</v>
      </c>
      <c r="N22" s="4">
        <v>20</v>
      </c>
      <c r="O22" s="4" t="s">
        <v>69</v>
      </c>
      <c r="P22" s="4">
        <v>1</v>
      </c>
      <c r="Q22" s="4">
        <v>20</v>
      </c>
    </row>
    <row r="23" spans="1:17" x14ac:dyDescent="0.2">
      <c r="A23" s="10"/>
      <c r="B23" s="3"/>
      <c r="G23" s="10"/>
      <c r="M23" s="16"/>
      <c r="N23" s="4">
        <v>20</v>
      </c>
      <c r="O23" s="4" t="s">
        <v>70</v>
      </c>
      <c r="P23" s="4">
        <v>1</v>
      </c>
      <c r="Q23" s="4">
        <v>20</v>
      </c>
    </row>
    <row r="24" spans="1:17" x14ac:dyDescent="0.2">
      <c r="A24" s="10"/>
      <c r="B24" s="3"/>
      <c r="G24" s="10"/>
      <c r="M24" s="16"/>
      <c r="N24" s="4">
        <v>20</v>
      </c>
      <c r="O24" s="4" t="s">
        <v>71</v>
      </c>
      <c r="P24" s="4">
        <v>1</v>
      </c>
      <c r="Q24" s="4">
        <v>20</v>
      </c>
    </row>
    <row r="25" spans="1:17" x14ac:dyDescent="0.2">
      <c r="A25" s="16" t="s">
        <v>350</v>
      </c>
      <c r="B25" s="16"/>
      <c r="C25" s="16"/>
      <c r="D25" s="16"/>
      <c r="E25" s="16"/>
      <c r="G25" s="16" t="s">
        <v>353</v>
      </c>
      <c r="H25" s="16"/>
      <c r="I25" s="16"/>
      <c r="J25" s="16"/>
      <c r="K25" s="16"/>
      <c r="M25" s="16"/>
      <c r="N25" s="4">
        <v>20</v>
      </c>
      <c r="O25" s="4" t="s">
        <v>72</v>
      </c>
      <c r="P25" s="4">
        <v>1</v>
      </c>
      <c r="Q25" s="4">
        <v>20</v>
      </c>
    </row>
    <row r="26" spans="1:17" x14ac:dyDescent="0.2">
      <c r="A26" s="4" t="s">
        <v>8</v>
      </c>
      <c r="B26" s="4" t="s">
        <v>7</v>
      </c>
      <c r="C26" s="4" t="s">
        <v>6</v>
      </c>
      <c r="D26" s="4" t="s">
        <v>5</v>
      </c>
      <c r="E26" s="4" t="s">
        <v>4</v>
      </c>
      <c r="G26" s="4" t="s">
        <v>8</v>
      </c>
      <c r="H26" s="4" t="s">
        <v>7</v>
      </c>
      <c r="I26" s="4" t="s">
        <v>6</v>
      </c>
      <c r="J26" s="4" t="s">
        <v>5</v>
      </c>
      <c r="K26" s="4" t="s">
        <v>4</v>
      </c>
      <c r="M26" s="16"/>
      <c r="N26" s="4">
        <v>20</v>
      </c>
      <c r="O26" s="4" t="s">
        <v>73</v>
      </c>
      <c r="P26" s="4">
        <v>1</v>
      </c>
      <c r="Q26" s="4">
        <v>20</v>
      </c>
    </row>
    <row r="27" spans="1:17" x14ac:dyDescent="0.2">
      <c r="A27" s="20">
        <v>1</v>
      </c>
      <c r="B27" s="5">
        <v>170</v>
      </c>
      <c r="C27" s="4" t="s">
        <v>37</v>
      </c>
      <c r="D27" s="5">
        <v>1</v>
      </c>
      <c r="E27" s="4">
        <v>170</v>
      </c>
      <c r="G27" s="16">
        <v>1</v>
      </c>
      <c r="H27" s="4">
        <v>20</v>
      </c>
      <c r="I27" s="4" t="s">
        <v>49</v>
      </c>
      <c r="J27" s="4">
        <v>1</v>
      </c>
      <c r="K27" s="4">
        <v>20</v>
      </c>
      <c r="M27" s="16"/>
      <c r="N27" s="4">
        <v>130</v>
      </c>
      <c r="O27" s="4" t="s">
        <v>74</v>
      </c>
      <c r="P27" s="4">
        <v>1</v>
      </c>
      <c r="Q27" s="4">
        <v>130</v>
      </c>
    </row>
    <row r="28" spans="1:17" x14ac:dyDescent="0.2">
      <c r="A28" s="21"/>
      <c r="B28" s="5">
        <v>170</v>
      </c>
      <c r="C28" s="4" t="s">
        <v>38</v>
      </c>
      <c r="D28" s="5">
        <v>1</v>
      </c>
      <c r="E28" s="4">
        <v>170</v>
      </c>
      <c r="G28" s="16"/>
      <c r="H28" s="4">
        <v>20</v>
      </c>
      <c r="I28" s="4" t="s">
        <v>46</v>
      </c>
      <c r="J28" s="4">
        <v>1</v>
      </c>
      <c r="K28" s="4">
        <v>20</v>
      </c>
      <c r="M28" s="16"/>
      <c r="N28" s="4">
        <v>145</v>
      </c>
      <c r="O28" s="4" t="s">
        <v>75</v>
      </c>
      <c r="P28" s="4">
        <v>1</v>
      </c>
      <c r="Q28" s="4">
        <v>145</v>
      </c>
    </row>
    <row r="29" spans="1:17" x14ac:dyDescent="0.2">
      <c r="A29" s="22"/>
      <c r="B29" s="5">
        <v>170</v>
      </c>
      <c r="C29" s="4" t="s">
        <v>39</v>
      </c>
      <c r="D29" s="5">
        <v>1</v>
      </c>
      <c r="E29" s="4">
        <v>170</v>
      </c>
      <c r="G29" s="16"/>
      <c r="H29" s="4">
        <v>65</v>
      </c>
      <c r="I29" s="4" t="s">
        <v>40</v>
      </c>
      <c r="J29" s="4">
        <v>1</v>
      </c>
      <c r="K29" s="4">
        <v>65</v>
      </c>
      <c r="M29" s="16"/>
      <c r="N29" s="4">
        <v>135</v>
      </c>
      <c r="O29" s="4" t="s">
        <v>76</v>
      </c>
      <c r="P29" s="4">
        <v>1</v>
      </c>
      <c r="Q29" s="4">
        <v>135</v>
      </c>
    </row>
    <row r="30" spans="1:17" x14ac:dyDescent="0.2">
      <c r="A30" s="9" t="s">
        <v>23</v>
      </c>
      <c r="B30" s="12">
        <f>SUM(B27:B29)</f>
        <v>510</v>
      </c>
      <c r="D30" s="3"/>
      <c r="G30" s="16"/>
      <c r="H30" s="4">
        <v>65</v>
      </c>
      <c r="I30" s="4" t="s">
        <v>41</v>
      </c>
      <c r="J30" s="4">
        <v>1</v>
      </c>
      <c r="K30" s="4">
        <v>65</v>
      </c>
      <c r="M30" s="16"/>
      <c r="N30" s="4">
        <v>150</v>
      </c>
      <c r="O30" s="4" t="s">
        <v>77</v>
      </c>
      <c r="P30" s="4">
        <v>1</v>
      </c>
      <c r="Q30" s="4">
        <v>150</v>
      </c>
    </row>
    <row r="31" spans="1:17" x14ac:dyDescent="0.2">
      <c r="G31" s="16"/>
      <c r="H31" s="4">
        <v>85</v>
      </c>
      <c r="I31" s="4" t="s">
        <v>43</v>
      </c>
      <c r="J31" s="4">
        <v>1</v>
      </c>
      <c r="K31" s="4">
        <v>85</v>
      </c>
      <c r="M31" s="16"/>
      <c r="N31" s="4">
        <v>160</v>
      </c>
      <c r="O31" s="4" t="s">
        <v>78</v>
      </c>
      <c r="P31" s="4">
        <v>1</v>
      </c>
      <c r="Q31" s="4">
        <v>160</v>
      </c>
    </row>
    <row r="32" spans="1:17" x14ac:dyDescent="0.2">
      <c r="G32" s="16"/>
      <c r="H32" s="4">
        <v>100</v>
      </c>
      <c r="I32" s="4" t="s">
        <v>42</v>
      </c>
      <c r="J32" s="4">
        <v>1</v>
      </c>
      <c r="K32" s="4">
        <v>100</v>
      </c>
      <c r="M32" s="9" t="s">
        <v>23</v>
      </c>
      <c r="N32" s="12">
        <f>SUM(N22:N31)</f>
        <v>820</v>
      </c>
      <c r="O32" s="2"/>
      <c r="P32" s="2"/>
      <c r="Q32" s="2"/>
    </row>
    <row r="33" spans="7:17" x14ac:dyDescent="0.2">
      <c r="G33" s="16"/>
      <c r="H33" s="4">
        <v>85</v>
      </c>
      <c r="I33" s="4" t="s">
        <v>44</v>
      </c>
      <c r="J33" s="4">
        <v>1</v>
      </c>
      <c r="K33" s="4">
        <v>85</v>
      </c>
      <c r="M33" s="2"/>
      <c r="N33" s="2"/>
      <c r="O33" s="2"/>
      <c r="P33" s="2"/>
      <c r="Q33" s="2"/>
    </row>
    <row r="34" spans="7:17" x14ac:dyDescent="0.2">
      <c r="G34" s="16"/>
      <c r="H34" s="4">
        <v>85</v>
      </c>
      <c r="I34" s="4" t="s">
        <v>45</v>
      </c>
      <c r="J34" s="4">
        <v>1</v>
      </c>
      <c r="K34" s="4">
        <v>85</v>
      </c>
      <c r="M34" s="2"/>
      <c r="N34" s="2"/>
      <c r="O34" s="2"/>
      <c r="P34" s="2"/>
      <c r="Q34" s="2"/>
    </row>
    <row r="35" spans="7:17" x14ac:dyDescent="0.2">
      <c r="G35" s="16"/>
      <c r="H35" s="4">
        <v>105</v>
      </c>
      <c r="I35" s="4" t="s">
        <v>50</v>
      </c>
      <c r="J35" s="4">
        <v>1</v>
      </c>
      <c r="K35" s="4">
        <v>105</v>
      </c>
      <c r="M35" s="17" t="s">
        <v>357</v>
      </c>
      <c r="N35" s="18"/>
      <c r="O35" s="18"/>
      <c r="P35" s="18"/>
      <c r="Q35" s="19"/>
    </row>
    <row r="36" spans="7:17" x14ac:dyDescent="0.2">
      <c r="G36" s="16"/>
      <c r="H36" s="4">
        <v>100</v>
      </c>
      <c r="I36" s="4" t="s">
        <v>51</v>
      </c>
      <c r="J36" s="4">
        <v>1</v>
      </c>
      <c r="K36" s="4">
        <v>100</v>
      </c>
      <c r="M36" s="4" t="s">
        <v>8</v>
      </c>
      <c r="N36" s="4" t="s">
        <v>7</v>
      </c>
      <c r="O36" s="4" t="s">
        <v>6</v>
      </c>
      <c r="P36" s="4" t="s">
        <v>5</v>
      </c>
      <c r="Q36" s="4" t="s">
        <v>4</v>
      </c>
    </row>
    <row r="37" spans="7:17" x14ac:dyDescent="0.2">
      <c r="G37" s="16"/>
      <c r="H37" s="4">
        <v>150</v>
      </c>
      <c r="I37" s="4" t="s">
        <v>52</v>
      </c>
      <c r="J37" s="4">
        <v>1</v>
      </c>
      <c r="K37" s="4">
        <v>150</v>
      </c>
      <c r="M37" s="16">
        <v>1</v>
      </c>
      <c r="N37" s="4">
        <v>20</v>
      </c>
      <c r="O37" s="4" t="s">
        <v>80</v>
      </c>
      <c r="P37" s="4">
        <v>1</v>
      </c>
      <c r="Q37" s="4">
        <v>20</v>
      </c>
    </row>
    <row r="38" spans="7:17" x14ac:dyDescent="0.2">
      <c r="G38" s="16"/>
      <c r="H38" s="4">
        <v>150</v>
      </c>
      <c r="I38" s="4" t="s">
        <v>53</v>
      </c>
      <c r="J38" s="4">
        <v>1</v>
      </c>
      <c r="K38" s="4">
        <v>150</v>
      </c>
      <c r="M38" s="16"/>
      <c r="N38" s="4">
        <v>125</v>
      </c>
      <c r="O38" s="4" t="s">
        <v>81</v>
      </c>
      <c r="P38" s="4">
        <v>1</v>
      </c>
      <c r="Q38" s="4">
        <v>125</v>
      </c>
    </row>
    <row r="39" spans="7:17" x14ac:dyDescent="0.2">
      <c r="G39" s="16"/>
      <c r="H39" s="4">
        <v>130</v>
      </c>
      <c r="I39" s="4" t="s">
        <v>54</v>
      </c>
      <c r="J39" s="4">
        <v>1</v>
      </c>
      <c r="K39" s="4">
        <v>130</v>
      </c>
      <c r="M39" s="16"/>
      <c r="N39" s="4">
        <v>125</v>
      </c>
      <c r="O39" s="4" t="s">
        <v>86</v>
      </c>
      <c r="P39" s="4">
        <v>1</v>
      </c>
      <c r="Q39" s="4">
        <v>125</v>
      </c>
    </row>
    <row r="40" spans="7:17" x14ac:dyDescent="0.2">
      <c r="G40" s="9" t="s">
        <v>23</v>
      </c>
      <c r="H40" s="12">
        <f>SUM(H27:H39)</f>
        <v>1160</v>
      </c>
      <c r="M40" s="16"/>
      <c r="N40" s="4">
        <v>105</v>
      </c>
      <c r="O40" s="4" t="s">
        <v>82</v>
      </c>
      <c r="P40" s="4">
        <v>1</v>
      </c>
      <c r="Q40" s="4">
        <v>105</v>
      </c>
    </row>
    <row r="41" spans="7:17" x14ac:dyDescent="0.2">
      <c r="M41" s="16"/>
      <c r="N41" s="4">
        <v>105</v>
      </c>
      <c r="O41" s="4" t="s">
        <v>87</v>
      </c>
      <c r="P41" s="4">
        <v>1</v>
      </c>
      <c r="Q41" s="4">
        <v>105</v>
      </c>
    </row>
    <row r="42" spans="7:17" x14ac:dyDescent="0.2">
      <c r="M42" s="16"/>
      <c r="N42" s="4">
        <v>100</v>
      </c>
      <c r="O42" s="4" t="s">
        <v>88</v>
      </c>
      <c r="P42" s="4">
        <v>1</v>
      </c>
      <c r="Q42" s="4">
        <v>100</v>
      </c>
    </row>
    <row r="43" spans="7:17" x14ac:dyDescent="0.2">
      <c r="M43" s="16"/>
      <c r="N43" s="4">
        <v>230</v>
      </c>
      <c r="O43" s="4" t="s">
        <v>83</v>
      </c>
      <c r="P43" s="4">
        <v>1</v>
      </c>
      <c r="Q43" s="4">
        <v>230</v>
      </c>
    </row>
    <row r="44" spans="7:17" x14ac:dyDescent="0.2">
      <c r="M44" s="16"/>
      <c r="N44" s="4">
        <v>230</v>
      </c>
      <c r="O44" s="4" t="s">
        <v>84</v>
      </c>
      <c r="P44" s="4">
        <v>1</v>
      </c>
      <c r="Q44" s="4">
        <v>230</v>
      </c>
    </row>
    <row r="45" spans="7:17" x14ac:dyDescent="0.2">
      <c r="M45" s="16"/>
      <c r="N45" s="4">
        <v>250</v>
      </c>
      <c r="O45" s="4" t="s">
        <v>89</v>
      </c>
      <c r="P45" s="4">
        <v>1</v>
      </c>
      <c r="Q45" s="4">
        <v>250</v>
      </c>
    </row>
    <row r="46" spans="7:17" x14ac:dyDescent="0.2">
      <c r="M46" s="16"/>
      <c r="N46" s="4">
        <v>250</v>
      </c>
      <c r="O46" s="4" t="s">
        <v>90</v>
      </c>
      <c r="P46" s="4">
        <v>1</v>
      </c>
      <c r="Q46" s="4">
        <v>250</v>
      </c>
    </row>
    <row r="47" spans="7:17" x14ac:dyDescent="0.2">
      <c r="M47" s="16"/>
      <c r="N47" s="4">
        <v>130</v>
      </c>
      <c r="O47" s="4" t="s">
        <v>85</v>
      </c>
      <c r="P47" s="4">
        <v>1</v>
      </c>
      <c r="Q47" s="4">
        <v>130</v>
      </c>
    </row>
    <row r="48" spans="7:17" x14ac:dyDescent="0.2">
      <c r="M48" s="9" t="s">
        <v>23</v>
      </c>
      <c r="N48" s="12">
        <f>SUM(N37:N47)</f>
        <v>1670</v>
      </c>
      <c r="O48" s="2"/>
      <c r="P48" s="2"/>
      <c r="Q48" s="2"/>
    </row>
    <row r="49" spans="13:17" x14ac:dyDescent="0.2">
      <c r="M49" s="10"/>
      <c r="N49" s="2"/>
      <c r="O49" s="2"/>
      <c r="P49" s="2"/>
      <c r="Q49" s="2"/>
    </row>
    <row r="50" spans="13:17" x14ac:dyDescent="0.2">
      <c r="M50" s="10"/>
      <c r="N50" s="2"/>
      <c r="O50" s="2"/>
      <c r="P50" s="2"/>
      <c r="Q50" s="2"/>
    </row>
    <row r="51" spans="13:17" x14ac:dyDescent="0.2">
      <c r="M51" s="16" t="s">
        <v>358</v>
      </c>
      <c r="N51" s="16"/>
      <c r="O51" s="16"/>
      <c r="P51" s="16"/>
      <c r="Q51" s="16"/>
    </row>
    <row r="52" spans="13:17" x14ac:dyDescent="0.2">
      <c r="M52" s="4" t="s">
        <v>8</v>
      </c>
      <c r="N52" s="4" t="s">
        <v>7</v>
      </c>
      <c r="O52" s="4" t="s">
        <v>6</v>
      </c>
      <c r="P52" s="4" t="s">
        <v>5</v>
      </c>
      <c r="Q52" s="4" t="s">
        <v>4</v>
      </c>
    </row>
    <row r="53" spans="13:17" x14ac:dyDescent="0.2">
      <c r="M53" s="16">
        <v>1</v>
      </c>
      <c r="N53" s="4">
        <v>140</v>
      </c>
      <c r="O53" s="4" t="s">
        <v>92</v>
      </c>
      <c r="P53" s="4">
        <v>1</v>
      </c>
      <c r="Q53" s="4">
        <v>140</v>
      </c>
    </row>
    <row r="54" spans="13:17" x14ac:dyDescent="0.2">
      <c r="M54" s="16"/>
      <c r="N54" s="4">
        <v>140</v>
      </c>
      <c r="O54" s="4" t="s">
        <v>93</v>
      </c>
      <c r="P54" s="4">
        <v>1</v>
      </c>
      <c r="Q54" s="4">
        <v>140</v>
      </c>
    </row>
    <row r="55" spans="13:17" x14ac:dyDescent="0.2">
      <c r="M55" s="16"/>
      <c r="N55" s="4">
        <v>190</v>
      </c>
      <c r="O55" s="4" t="s">
        <v>94</v>
      </c>
      <c r="P55" s="4">
        <v>1</v>
      </c>
      <c r="Q55" s="4">
        <v>190</v>
      </c>
    </row>
    <row r="56" spans="13:17" x14ac:dyDescent="0.2">
      <c r="M56" s="16"/>
      <c r="N56" s="4">
        <v>190</v>
      </c>
      <c r="O56" s="4" t="s">
        <v>95</v>
      </c>
      <c r="P56" s="4">
        <v>1</v>
      </c>
      <c r="Q56" s="4">
        <v>190</v>
      </c>
    </row>
    <row r="57" spans="13:17" x14ac:dyDescent="0.2">
      <c r="M57" s="16"/>
      <c r="N57" s="4">
        <v>160</v>
      </c>
      <c r="O57" s="4" t="s">
        <v>96</v>
      </c>
      <c r="P57" s="4">
        <v>1</v>
      </c>
      <c r="Q57" s="4">
        <v>160</v>
      </c>
    </row>
    <row r="58" spans="13:17" x14ac:dyDescent="0.2">
      <c r="M58" s="16"/>
      <c r="N58" s="4">
        <v>125</v>
      </c>
      <c r="O58" s="4" t="s">
        <v>97</v>
      </c>
      <c r="P58" s="4">
        <v>1</v>
      </c>
      <c r="Q58" s="4">
        <v>125</v>
      </c>
    </row>
    <row r="59" spans="13:17" x14ac:dyDescent="0.2">
      <c r="M59" s="16"/>
      <c r="N59" s="4">
        <v>125</v>
      </c>
      <c r="O59" s="4" t="s">
        <v>98</v>
      </c>
      <c r="P59" s="4">
        <v>1</v>
      </c>
      <c r="Q59" s="4">
        <v>125</v>
      </c>
    </row>
    <row r="60" spans="13:17" x14ac:dyDescent="0.2">
      <c r="M60" s="16"/>
      <c r="N60" s="4">
        <v>125</v>
      </c>
      <c r="O60" s="4" t="s">
        <v>99</v>
      </c>
      <c r="P60" s="4">
        <v>1</v>
      </c>
      <c r="Q60" s="4">
        <v>125</v>
      </c>
    </row>
    <row r="61" spans="13:17" x14ac:dyDescent="0.2">
      <c r="M61" s="16"/>
      <c r="N61" s="4">
        <v>110</v>
      </c>
      <c r="O61" s="4" t="s">
        <v>100</v>
      </c>
      <c r="P61" s="4">
        <v>1</v>
      </c>
      <c r="Q61" s="4">
        <v>110</v>
      </c>
    </row>
    <row r="62" spans="13:17" x14ac:dyDescent="0.2">
      <c r="M62" s="16"/>
      <c r="N62" s="4">
        <v>130</v>
      </c>
      <c r="O62" s="4" t="s">
        <v>101</v>
      </c>
      <c r="P62" s="4">
        <v>1</v>
      </c>
      <c r="Q62" s="4">
        <v>130</v>
      </c>
    </row>
    <row r="63" spans="13:17" x14ac:dyDescent="0.2">
      <c r="M63" s="16"/>
      <c r="N63" s="4">
        <v>135</v>
      </c>
      <c r="O63" s="4" t="s">
        <v>102</v>
      </c>
      <c r="P63" s="4">
        <v>1</v>
      </c>
      <c r="Q63" s="4">
        <v>135</v>
      </c>
    </row>
    <row r="64" spans="13:17" x14ac:dyDescent="0.2">
      <c r="M64" s="9" t="s">
        <v>23</v>
      </c>
      <c r="N64" s="12">
        <f>SUM(N53:N63)</f>
        <v>1570</v>
      </c>
      <c r="O64" s="2"/>
      <c r="P64" s="2"/>
      <c r="Q64" s="2"/>
    </row>
    <row r="65" spans="7:7" x14ac:dyDescent="0.2">
      <c r="G65" s="10"/>
    </row>
    <row r="66" spans="7:7" x14ac:dyDescent="0.2">
      <c r="G66" s="10"/>
    </row>
    <row r="67" spans="7:7" x14ac:dyDescent="0.2">
      <c r="G67" s="10"/>
    </row>
    <row r="68" spans="7:7" x14ac:dyDescent="0.2">
      <c r="G68" s="10"/>
    </row>
    <row r="69" spans="7:7" x14ac:dyDescent="0.2">
      <c r="G69" s="10"/>
    </row>
  </sheetData>
  <mergeCells count="20">
    <mergeCell ref="M51:Q51"/>
    <mergeCell ref="M53:M63"/>
    <mergeCell ref="A4:A9"/>
    <mergeCell ref="A14:E14"/>
    <mergeCell ref="A16:A21"/>
    <mergeCell ref="G17:G21"/>
    <mergeCell ref="G4:G11"/>
    <mergeCell ref="A25:E25"/>
    <mergeCell ref="A27:A29"/>
    <mergeCell ref="M4:M16"/>
    <mergeCell ref="M20:Q20"/>
    <mergeCell ref="M22:M31"/>
    <mergeCell ref="M35:Q35"/>
    <mergeCell ref="M37:M47"/>
    <mergeCell ref="M2:Q2"/>
    <mergeCell ref="A2:E2"/>
    <mergeCell ref="G25:K25"/>
    <mergeCell ref="G27:G39"/>
    <mergeCell ref="G2:K2"/>
    <mergeCell ref="G15:K1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CB99-B306-47C3-BD6C-02EF32152F9A}">
  <dimension ref="A2:BD124"/>
  <sheetViews>
    <sheetView tabSelected="1" topLeftCell="AB13" zoomScale="85" zoomScaleNormal="85" workbookViewId="0">
      <selection activeCell="AN34" sqref="AN34"/>
    </sheetView>
  </sheetViews>
  <sheetFormatPr defaultRowHeight="12.75" x14ac:dyDescent="0.2"/>
  <cols>
    <col min="1" max="1" width="9.33203125" style="2"/>
    <col min="2" max="2" width="10.5" style="2" bestFit="1" customWidth="1"/>
    <col min="3" max="3" width="23.83203125" style="2" bestFit="1" customWidth="1"/>
    <col min="4" max="4" width="9.1640625" style="2" bestFit="1" customWidth="1"/>
    <col min="5" max="5" width="9.6640625" style="2" bestFit="1" customWidth="1"/>
    <col min="6" max="6" width="9.33203125" style="2"/>
    <col min="7" max="7" width="9.1640625" style="2" bestFit="1" customWidth="1"/>
    <col min="8" max="8" width="10.5" style="2" bestFit="1" customWidth="1"/>
    <col min="9" max="9" width="23.5" style="2" bestFit="1" customWidth="1"/>
    <col min="10" max="10" width="9.1640625" style="2" bestFit="1" customWidth="1"/>
    <col min="11" max="11" width="9.6640625" style="2" bestFit="1" customWidth="1"/>
    <col min="12" max="12" width="9.33203125" style="2"/>
    <col min="13" max="13" width="9.1640625" style="1" bestFit="1" customWidth="1"/>
    <col min="14" max="14" width="10.5" style="1" bestFit="1" customWidth="1"/>
    <col min="15" max="15" width="24.83203125" style="1" bestFit="1" customWidth="1"/>
    <col min="16" max="16" width="9.1640625" style="1" bestFit="1" customWidth="1"/>
    <col min="17" max="17" width="9.6640625" style="1" bestFit="1" customWidth="1"/>
    <col min="18" max="18" width="9.33203125" style="1"/>
    <col min="19" max="19" width="10.1640625" style="2" bestFit="1" customWidth="1"/>
    <col min="20" max="20" width="11.33203125" style="2" bestFit="1" customWidth="1"/>
    <col min="21" max="21" width="25.6640625" style="2" bestFit="1" customWidth="1"/>
    <col min="22" max="22" width="10.33203125" style="2" bestFit="1" customWidth="1"/>
    <col min="23" max="23" width="10.1640625" style="2" bestFit="1" customWidth="1"/>
    <col min="24" max="26" width="9.33203125" style="1"/>
    <col min="27" max="27" width="23.83203125" style="1" bestFit="1" customWidth="1"/>
    <col min="28" max="28" width="19.83203125" style="1" bestFit="1" customWidth="1"/>
    <col min="29" max="29" width="9.33203125" style="1"/>
    <col min="30" max="30" width="10.33203125" style="1" bestFit="1" customWidth="1"/>
    <col min="31" max="31" width="9.33203125" style="1"/>
    <col min="32" max="32" width="16.1640625" style="15" bestFit="1" customWidth="1"/>
    <col min="33" max="33" width="9.33203125" style="15"/>
    <col min="34" max="34" width="16" style="15" bestFit="1" customWidth="1"/>
    <col min="35" max="35" width="9.33203125" style="15"/>
    <col min="36" max="36" width="15.33203125" style="15" bestFit="1" customWidth="1"/>
    <col min="37" max="37" width="9.33203125" style="15"/>
    <col min="38" max="38" width="15" style="15" bestFit="1" customWidth="1"/>
    <col min="39" max="39" width="9.33203125" style="15"/>
    <col min="40" max="40" width="20" style="15" bestFit="1" customWidth="1"/>
    <col min="41" max="41" width="9.33203125" style="15"/>
    <col min="42" max="42" width="15.6640625" style="15" bestFit="1" customWidth="1"/>
    <col min="43" max="43" width="9.33203125" style="15"/>
    <col min="44" max="44" width="15.33203125" style="15" bestFit="1" customWidth="1"/>
    <col min="45" max="45" width="9.33203125" style="15"/>
    <col min="46" max="46" width="21.1640625" style="15" bestFit="1" customWidth="1"/>
    <col min="47" max="47" width="9.33203125" style="15"/>
    <col min="48" max="48" width="13.83203125" style="15" bestFit="1" customWidth="1"/>
    <col min="49" max="49" width="9.33203125" style="15"/>
    <col min="50" max="50" width="13.83203125" style="15" bestFit="1" customWidth="1"/>
    <col min="51" max="51" width="9.33203125" style="15"/>
    <col min="52" max="52" width="13.83203125" style="15" bestFit="1" customWidth="1"/>
    <col min="53" max="53" width="15" style="15" bestFit="1" customWidth="1"/>
    <col min="54" max="56" width="9.33203125" style="15"/>
    <col min="57" max="16384" width="9.33203125" style="1"/>
  </cols>
  <sheetData>
    <row r="2" spans="1:54" x14ac:dyDescent="0.2">
      <c r="A2" s="16" t="s">
        <v>9</v>
      </c>
      <c r="B2" s="16"/>
      <c r="C2" s="16"/>
      <c r="D2" s="16"/>
      <c r="E2" s="16"/>
      <c r="G2" s="16" t="s">
        <v>68</v>
      </c>
      <c r="H2" s="16"/>
      <c r="I2" s="16"/>
      <c r="J2" s="16"/>
      <c r="K2" s="16"/>
      <c r="M2" s="16" t="s">
        <v>175</v>
      </c>
      <c r="N2" s="16"/>
      <c r="O2" s="16"/>
      <c r="P2" s="16"/>
      <c r="Q2" s="16"/>
      <c r="S2" s="16" t="s">
        <v>347</v>
      </c>
      <c r="T2" s="16"/>
      <c r="U2" s="16"/>
      <c r="V2" s="16"/>
      <c r="W2" s="16"/>
    </row>
    <row r="3" spans="1:54" x14ac:dyDescent="0.2">
      <c r="A3" s="4" t="s">
        <v>8</v>
      </c>
      <c r="B3" s="4" t="s">
        <v>7</v>
      </c>
      <c r="C3" s="4" t="s">
        <v>6</v>
      </c>
      <c r="D3" s="4" t="s">
        <v>5</v>
      </c>
      <c r="E3" s="4" t="s">
        <v>4</v>
      </c>
      <c r="G3" s="4" t="s">
        <v>8</v>
      </c>
      <c r="H3" s="4" t="s">
        <v>7</v>
      </c>
      <c r="I3" s="4" t="s">
        <v>6</v>
      </c>
      <c r="J3" s="4" t="s">
        <v>5</v>
      </c>
      <c r="K3" s="4" t="s">
        <v>4</v>
      </c>
      <c r="M3" s="4" t="s">
        <v>8</v>
      </c>
      <c r="N3" s="4" t="s">
        <v>7</v>
      </c>
      <c r="O3" s="4" t="s">
        <v>6</v>
      </c>
      <c r="P3" s="4" t="s">
        <v>5</v>
      </c>
      <c r="Q3" s="4" t="s">
        <v>4</v>
      </c>
      <c r="S3" s="4" t="s">
        <v>8</v>
      </c>
      <c r="T3" s="4" t="s">
        <v>7</v>
      </c>
      <c r="U3" s="4" t="s">
        <v>6</v>
      </c>
      <c r="V3" s="4" t="s">
        <v>5</v>
      </c>
      <c r="W3" s="4" t="s">
        <v>4</v>
      </c>
    </row>
    <row r="4" spans="1:54" x14ac:dyDescent="0.2">
      <c r="A4" s="20">
        <v>1</v>
      </c>
      <c r="B4" s="5">
        <v>405</v>
      </c>
      <c r="C4" s="4" t="s">
        <v>3</v>
      </c>
      <c r="D4" s="5">
        <v>27</v>
      </c>
      <c r="E4" s="4">
        <v>15</v>
      </c>
      <c r="G4" s="16">
        <v>1</v>
      </c>
      <c r="H4" s="4">
        <v>60</v>
      </c>
      <c r="I4" s="4" t="s">
        <v>69</v>
      </c>
      <c r="J4" s="4">
        <v>3</v>
      </c>
      <c r="K4" s="4">
        <v>20</v>
      </c>
      <c r="M4" s="20">
        <v>1</v>
      </c>
      <c r="N4" s="4">
        <v>165</v>
      </c>
      <c r="O4" s="4" t="s">
        <v>137</v>
      </c>
      <c r="P4" s="4">
        <v>1</v>
      </c>
      <c r="Q4" s="4">
        <v>165</v>
      </c>
      <c r="S4" s="20">
        <v>1</v>
      </c>
      <c r="T4" s="4">
        <v>165</v>
      </c>
      <c r="U4" s="4" t="s">
        <v>230</v>
      </c>
      <c r="V4" s="4">
        <v>1</v>
      </c>
      <c r="W4" s="4">
        <v>165</v>
      </c>
    </row>
    <row r="5" spans="1:54" x14ac:dyDescent="0.2">
      <c r="A5" s="21"/>
      <c r="B5" s="4">
        <v>405</v>
      </c>
      <c r="C5" s="4" t="s">
        <v>2</v>
      </c>
      <c r="D5" s="5">
        <v>27</v>
      </c>
      <c r="E5" s="4">
        <v>15</v>
      </c>
      <c r="G5" s="16"/>
      <c r="H5" s="4">
        <v>60</v>
      </c>
      <c r="I5" s="4" t="s">
        <v>70</v>
      </c>
      <c r="J5" s="4">
        <v>3</v>
      </c>
      <c r="K5" s="4">
        <v>20</v>
      </c>
      <c r="M5" s="21"/>
      <c r="N5" s="4">
        <v>165</v>
      </c>
      <c r="O5" s="4" t="s">
        <v>138</v>
      </c>
      <c r="P5" s="4">
        <v>1</v>
      </c>
      <c r="Q5" s="4">
        <v>165</v>
      </c>
      <c r="S5" s="21"/>
      <c r="T5" s="4">
        <v>165</v>
      </c>
      <c r="U5" s="4" t="s">
        <v>231</v>
      </c>
      <c r="V5" s="4">
        <v>1</v>
      </c>
      <c r="W5" s="4">
        <v>165</v>
      </c>
    </row>
    <row r="6" spans="1:54" x14ac:dyDescent="0.2">
      <c r="A6" s="22"/>
      <c r="B6" s="4">
        <v>360</v>
      </c>
      <c r="C6" s="4" t="s">
        <v>1</v>
      </c>
      <c r="D6" s="5">
        <v>18</v>
      </c>
      <c r="E6" s="4">
        <v>20</v>
      </c>
      <c r="G6" s="16"/>
      <c r="H6" s="4">
        <v>60</v>
      </c>
      <c r="I6" s="4" t="s">
        <v>71</v>
      </c>
      <c r="J6" s="4">
        <v>3</v>
      </c>
      <c r="K6" s="4">
        <v>20</v>
      </c>
      <c r="M6" s="21"/>
      <c r="N6" s="4">
        <v>165</v>
      </c>
      <c r="O6" s="4" t="s">
        <v>139</v>
      </c>
      <c r="P6" s="4">
        <v>1</v>
      </c>
      <c r="Q6" s="4">
        <v>165</v>
      </c>
      <c r="S6" s="21"/>
      <c r="T6" s="4">
        <v>165</v>
      </c>
      <c r="U6" s="4" t="s">
        <v>232</v>
      </c>
      <c r="V6" s="4">
        <v>1</v>
      </c>
      <c r="W6" s="4">
        <v>165</v>
      </c>
    </row>
    <row r="7" spans="1:54" x14ac:dyDescent="0.2">
      <c r="A7" s="23">
        <v>2</v>
      </c>
      <c r="B7" s="6">
        <v>405</v>
      </c>
      <c r="C7" s="6" t="s">
        <v>0</v>
      </c>
      <c r="D7" s="7">
        <v>27</v>
      </c>
      <c r="E7" s="6">
        <v>15</v>
      </c>
      <c r="G7" s="16"/>
      <c r="H7" s="4">
        <v>60</v>
      </c>
      <c r="I7" s="4" t="s">
        <v>72</v>
      </c>
      <c r="J7" s="4">
        <v>3</v>
      </c>
      <c r="K7" s="4">
        <v>20</v>
      </c>
      <c r="M7" s="21"/>
      <c r="N7" s="4">
        <v>165</v>
      </c>
      <c r="O7" s="4" t="s">
        <v>140</v>
      </c>
      <c r="P7" s="4">
        <v>1</v>
      </c>
      <c r="Q7" s="4">
        <v>165</v>
      </c>
      <c r="S7" s="21"/>
      <c r="T7" s="4">
        <v>165</v>
      </c>
      <c r="U7" s="4" t="s">
        <v>233</v>
      </c>
      <c r="V7" s="4">
        <v>1</v>
      </c>
      <c r="W7" s="4">
        <v>165</v>
      </c>
    </row>
    <row r="8" spans="1:54" x14ac:dyDescent="0.2">
      <c r="A8" s="28"/>
      <c r="B8" s="6">
        <v>60</v>
      </c>
      <c r="C8" s="6" t="s">
        <v>10</v>
      </c>
      <c r="D8" s="6">
        <v>3</v>
      </c>
      <c r="E8" s="6">
        <v>20</v>
      </c>
      <c r="G8" s="16"/>
      <c r="H8" s="4">
        <v>60</v>
      </c>
      <c r="I8" s="4" t="s">
        <v>73</v>
      </c>
      <c r="J8" s="4">
        <v>3</v>
      </c>
      <c r="K8" s="4">
        <v>20</v>
      </c>
      <c r="M8" s="21"/>
      <c r="N8" s="4">
        <v>165</v>
      </c>
      <c r="O8" s="4" t="s">
        <v>141</v>
      </c>
      <c r="P8" s="4">
        <v>1</v>
      </c>
      <c r="Q8" s="4">
        <v>165</v>
      </c>
      <c r="S8" s="21"/>
      <c r="T8" s="4">
        <v>165</v>
      </c>
      <c r="U8" s="4" t="s">
        <v>234</v>
      </c>
      <c r="V8" s="4">
        <v>1</v>
      </c>
      <c r="W8" s="4">
        <v>165</v>
      </c>
    </row>
    <row r="9" spans="1:54" x14ac:dyDescent="0.2">
      <c r="A9" s="28"/>
      <c r="B9" s="6">
        <v>300</v>
      </c>
      <c r="C9" s="6" t="s">
        <v>11</v>
      </c>
      <c r="D9" s="6">
        <v>15</v>
      </c>
      <c r="E9" s="6">
        <v>20</v>
      </c>
      <c r="G9" s="16"/>
      <c r="H9" s="4">
        <v>390</v>
      </c>
      <c r="I9" s="4" t="s">
        <v>74</v>
      </c>
      <c r="J9" s="4">
        <v>3</v>
      </c>
      <c r="K9" s="4">
        <v>130</v>
      </c>
      <c r="M9" s="21"/>
      <c r="N9" s="4">
        <v>165</v>
      </c>
      <c r="O9" s="4" t="s">
        <v>142</v>
      </c>
      <c r="P9" s="4">
        <v>1</v>
      </c>
      <c r="Q9" s="4">
        <v>165</v>
      </c>
      <c r="S9" s="21"/>
      <c r="T9" s="4">
        <v>165</v>
      </c>
      <c r="U9" s="4" t="s">
        <v>235</v>
      </c>
      <c r="V9" s="4">
        <v>1</v>
      </c>
      <c r="W9" s="4">
        <v>165</v>
      </c>
      <c r="Z9" s="16" t="s">
        <v>79</v>
      </c>
      <c r="AA9" s="16"/>
      <c r="AB9" s="16"/>
      <c r="AC9" s="16"/>
      <c r="AD9" s="16"/>
      <c r="AF9" s="31"/>
      <c r="AG9" s="32"/>
      <c r="AH9" s="31"/>
      <c r="AI9" s="2"/>
    </row>
    <row r="10" spans="1:54" x14ac:dyDescent="0.2">
      <c r="A10" s="24"/>
      <c r="B10" s="6">
        <v>300</v>
      </c>
      <c r="C10" s="6" t="s">
        <v>12</v>
      </c>
      <c r="D10" s="6">
        <v>15</v>
      </c>
      <c r="E10" s="6">
        <v>20</v>
      </c>
      <c r="G10" s="16"/>
      <c r="H10" s="4">
        <v>435</v>
      </c>
      <c r="I10" s="4" t="s">
        <v>75</v>
      </c>
      <c r="J10" s="4">
        <v>3</v>
      </c>
      <c r="K10" s="4">
        <v>145</v>
      </c>
      <c r="M10" s="21"/>
      <c r="N10" s="4">
        <v>130</v>
      </c>
      <c r="O10" s="4" t="s">
        <v>143</v>
      </c>
      <c r="P10" s="4">
        <v>1</v>
      </c>
      <c r="Q10" s="4">
        <v>130</v>
      </c>
      <c r="S10" s="21"/>
      <c r="T10" s="4">
        <v>165</v>
      </c>
      <c r="U10" s="4" t="s">
        <v>236</v>
      </c>
      <c r="V10" s="4">
        <v>1</v>
      </c>
      <c r="W10" s="4">
        <v>165</v>
      </c>
      <c r="Z10" s="4" t="s">
        <v>8</v>
      </c>
      <c r="AA10" s="4" t="s">
        <v>7</v>
      </c>
      <c r="AB10" s="4" t="s">
        <v>6</v>
      </c>
      <c r="AC10" s="4" t="s">
        <v>5</v>
      </c>
      <c r="AD10" s="4" t="s">
        <v>4</v>
      </c>
      <c r="AF10" s="31"/>
      <c r="AG10" s="32"/>
      <c r="AH10" s="31"/>
      <c r="AI10" s="2"/>
    </row>
    <row r="11" spans="1:54" x14ac:dyDescent="0.2">
      <c r="A11" s="20">
        <v>3</v>
      </c>
      <c r="B11" s="4">
        <v>300</v>
      </c>
      <c r="C11" s="4" t="s">
        <v>13</v>
      </c>
      <c r="D11" s="4">
        <v>3</v>
      </c>
      <c r="E11" s="4">
        <v>100</v>
      </c>
      <c r="G11" s="16"/>
      <c r="H11" s="4">
        <v>405</v>
      </c>
      <c r="I11" s="4" t="s">
        <v>76</v>
      </c>
      <c r="J11" s="4">
        <v>3</v>
      </c>
      <c r="K11" s="4">
        <v>135</v>
      </c>
      <c r="M11" s="21"/>
      <c r="N11" s="8">
        <v>130</v>
      </c>
      <c r="O11" s="8" t="s">
        <v>144</v>
      </c>
      <c r="P11" s="8">
        <v>1</v>
      </c>
      <c r="Q11" s="8">
        <v>130</v>
      </c>
      <c r="S11" s="21"/>
      <c r="T11" s="4">
        <v>165</v>
      </c>
      <c r="U11" s="4" t="s">
        <v>237</v>
      </c>
      <c r="V11" s="4">
        <v>1</v>
      </c>
      <c r="W11" s="4">
        <v>165</v>
      </c>
      <c r="Z11" s="20">
        <v>1</v>
      </c>
      <c r="AA11" s="4">
        <v>60</v>
      </c>
      <c r="AB11" s="33" t="s">
        <v>80</v>
      </c>
      <c r="AC11" s="4">
        <v>3</v>
      </c>
      <c r="AD11" s="4">
        <v>20</v>
      </c>
      <c r="AF11" s="4" t="s">
        <v>81</v>
      </c>
      <c r="AG11" s="32">
        <v>125</v>
      </c>
      <c r="AH11" s="6" t="s">
        <v>86</v>
      </c>
      <c r="AI11" s="2">
        <v>125</v>
      </c>
      <c r="AJ11" s="31" t="s">
        <v>82</v>
      </c>
      <c r="AK11" s="32">
        <v>105</v>
      </c>
      <c r="AL11" s="31" t="s">
        <v>87</v>
      </c>
      <c r="AM11" s="2">
        <v>105</v>
      </c>
      <c r="AN11" s="15" t="s">
        <v>83</v>
      </c>
      <c r="AO11" s="15">
        <v>230</v>
      </c>
      <c r="AP11" s="15" t="s">
        <v>89</v>
      </c>
      <c r="AQ11" s="15">
        <v>250</v>
      </c>
      <c r="AR11" s="15" t="s">
        <v>84</v>
      </c>
      <c r="AS11" s="15">
        <v>230</v>
      </c>
      <c r="AT11" s="15" t="s">
        <v>90</v>
      </c>
      <c r="AU11" s="15">
        <v>250</v>
      </c>
      <c r="AV11" s="15" t="s">
        <v>85</v>
      </c>
      <c r="AW11" s="15">
        <v>130</v>
      </c>
      <c r="AX11" s="15" t="s">
        <v>88</v>
      </c>
      <c r="AY11" s="15">
        <v>100</v>
      </c>
      <c r="AZ11" s="15">
        <f>AG11+AI11+AK11+AM11+AO11+AQ11+AS11+AU11+AW11+AY11+BB11</f>
        <v>1710</v>
      </c>
      <c r="BA11" s="15" t="s">
        <v>80</v>
      </c>
      <c r="BB11" s="15">
        <v>60</v>
      </c>
    </row>
    <row r="12" spans="1:54" x14ac:dyDescent="0.2">
      <c r="A12" s="22"/>
      <c r="B12" s="4">
        <v>570</v>
      </c>
      <c r="C12" s="4" t="s">
        <v>16</v>
      </c>
      <c r="D12" s="4">
        <v>3</v>
      </c>
      <c r="E12" s="4">
        <v>190</v>
      </c>
      <c r="G12" s="16"/>
      <c r="H12" s="4">
        <v>450</v>
      </c>
      <c r="I12" s="4" t="s">
        <v>77</v>
      </c>
      <c r="J12" s="4">
        <v>3</v>
      </c>
      <c r="K12" s="4">
        <v>150</v>
      </c>
      <c r="M12" s="21"/>
      <c r="N12" s="4">
        <v>150</v>
      </c>
      <c r="O12" s="4" t="s">
        <v>145</v>
      </c>
      <c r="P12" s="4">
        <v>1</v>
      </c>
      <c r="Q12" s="4">
        <v>150</v>
      </c>
      <c r="S12" s="21"/>
      <c r="T12" s="4">
        <v>165</v>
      </c>
      <c r="U12" s="4" t="s">
        <v>238</v>
      </c>
      <c r="V12" s="4">
        <v>1</v>
      </c>
      <c r="W12" s="4">
        <v>165</v>
      </c>
      <c r="Z12" s="21"/>
      <c r="AA12" s="4">
        <v>375</v>
      </c>
      <c r="AB12" s="33" t="s">
        <v>81</v>
      </c>
      <c r="AC12" s="4">
        <v>3</v>
      </c>
      <c r="AD12" s="4">
        <v>125</v>
      </c>
      <c r="AF12" s="4" t="s">
        <v>81</v>
      </c>
      <c r="AG12" s="32">
        <v>125</v>
      </c>
      <c r="AH12" s="6" t="s">
        <v>86</v>
      </c>
      <c r="AI12" s="2">
        <v>125</v>
      </c>
      <c r="AJ12" s="31" t="s">
        <v>82</v>
      </c>
      <c r="AK12" s="32">
        <v>105</v>
      </c>
      <c r="AL12" s="31" t="s">
        <v>87</v>
      </c>
      <c r="AM12" s="2">
        <v>105</v>
      </c>
      <c r="AN12" s="15" t="s">
        <v>83</v>
      </c>
      <c r="AO12" s="15">
        <v>230</v>
      </c>
      <c r="AP12" s="15" t="s">
        <v>89</v>
      </c>
      <c r="AQ12" s="15">
        <v>250</v>
      </c>
      <c r="AR12" s="15" t="s">
        <v>84</v>
      </c>
      <c r="AS12" s="15">
        <v>230</v>
      </c>
      <c r="AT12" s="15" t="s">
        <v>90</v>
      </c>
      <c r="AU12" s="15">
        <v>250</v>
      </c>
      <c r="AV12" s="15" t="s">
        <v>85</v>
      </c>
      <c r="AW12" s="15">
        <v>130</v>
      </c>
      <c r="AX12" s="15" t="s">
        <v>88</v>
      </c>
      <c r="AY12" s="15">
        <v>100</v>
      </c>
      <c r="AZ12" s="15">
        <f t="shared" ref="AZ12:AZ13" si="0">AG12+AI12+AK12+AM12+AO12+AQ12+AS12+AU12+AW12+AY12</f>
        <v>1650</v>
      </c>
    </row>
    <row r="13" spans="1:54" x14ac:dyDescent="0.2">
      <c r="A13" s="23">
        <v>4</v>
      </c>
      <c r="B13" s="6">
        <v>300</v>
      </c>
      <c r="C13" s="6" t="s">
        <v>14</v>
      </c>
      <c r="D13" s="6">
        <v>3</v>
      </c>
      <c r="E13" s="6">
        <v>100</v>
      </c>
      <c r="G13" s="16"/>
      <c r="H13" s="4">
        <v>480</v>
      </c>
      <c r="I13" s="4" t="s">
        <v>78</v>
      </c>
      <c r="J13" s="4">
        <v>3</v>
      </c>
      <c r="K13" s="4">
        <v>160</v>
      </c>
      <c r="M13" s="21"/>
      <c r="N13" s="4">
        <v>150</v>
      </c>
      <c r="O13" s="4" t="s">
        <v>146</v>
      </c>
      <c r="P13" s="4">
        <v>1</v>
      </c>
      <c r="Q13" s="4">
        <v>150</v>
      </c>
      <c r="S13" s="21"/>
      <c r="T13" s="4">
        <v>165</v>
      </c>
      <c r="U13" s="4" t="s">
        <v>239</v>
      </c>
      <c r="V13" s="4">
        <v>1</v>
      </c>
      <c r="W13" s="4">
        <v>165</v>
      </c>
      <c r="Z13" s="21"/>
      <c r="AA13" s="4">
        <v>315</v>
      </c>
      <c r="AB13" s="33" t="s">
        <v>82</v>
      </c>
      <c r="AC13" s="4">
        <v>3</v>
      </c>
      <c r="AD13" s="4">
        <v>105</v>
      </c>
      <c r="AF13" s="4" t="s">
        <v>81</v>
      </c>
      <c r="AG13" s="32">
        <v>125</v>
      </c>
      <c r="AH13" s="6" t="s">
        <v>86</v>
      </c>
      <c r="AI13" s="2">
        <v>125</v>
      </c>
      <c r="AJ13" s="31" t="s">
        <v>82</v>
      </c>
      <c r="AK13" s="32">
        <v>105</v>
      </c>
      <c r="AL13" s="31" t="s">
        <v>87</v>
      </c>
      <c r="AM13" s="2">
        <v>105</v>
      </c>
      <c r="AN13" s="15" t="s">
        <v>83</v>
      </c>
      <c r="AO13" s="15">
        <v>230</v>
      </c>
      <c r="AP13" s="15" t="s">
        <v>89</v>
      </c>
      <c r="AQ13" s="15">
        <v>250</v>
      </c>
      <c r="AR13" s="15" t="s">
        <v>84</v>
      </c>
      <c r="AS13" s="15">
        <v>230</v>
      </c>
      <c r="AT13" s="15" t="s">
        <v>90</v>
      </c>
      <c r="AU13" s="15">
        <v>250</v>
      </c>
      <c r="AV13" s="15" t="s">
        <v>85</v>
      </c>
      <c r="AW13" s="15">
        <v>130</v>
      </c>
      <c r="AX13" s="15" t="s">
        <v>88</v>
      </c>
      <c r="AY13" s="15">
        <v>100</v>
      </c>
      <c r="AZ13" s="15">
        <f t="shared" si="0"/>
        <v>1650</v>
      </c>
    </row>
    <row r="14" spans="1:54" x14ac:dyDescent="0.2">
      <c r="A14" s="24"/>
      <c r="B14" s="6">
        <v>690</v>
      </c>
      <c r="C14" s="6" t="s">
        <v>17</v>
      </c>
      <c r="D14" s="6">
        <v>3</v>
      </c>
      <c r="E14" s="6">
        <v>230</v>
      </c>
      <c r="G14" s="4" t="s">
        <v>23</v>
      </c>
      <c r="H14" s="5">
        <f>SUM(H4:H13)</f>
        <v>2460</v>
      </c>
      <c r="M14" s="22"/>
      <c r="N14" s="4">
        <v>100</v>
      </c>
      <c r="O14" s="4" t="s">
        <v>147</v>
      </c>
      <c r="P14" s="4">
        <v>1</v>
      </c>
      <c r="Q14" s="4">
        <v>100</v>
      </c>
      <c r="S14" s="21"/>
      <c r="T14" s="4">
        <v>165</v>
      </c>
      <c r="U14" s="4" t="s">
        <v>240</v>
      </c>
      <c r="V14" s="4">
        <v>1</v>
      </c>
      <c r="W14" s="4">
        <v>165</v>
      </c>
      <c r="Z14" s="21"/>
      <c r="AA14" s="4">
        <v>690</v>
      </c>
      <c r="AB14" s="33" t="s">
        <v>83</v>
      </c>
      <c r="AC14" s="4">
        <v>3</v>
      </c>
      <c r="AD14" s="4">
        <v>230</v>
      </c>
      <c r="AF14" s="31"/>
      <c r="AG14" s="32"/>
      <c r="AZ14" s="15">
        <f>SUM(AZ11:AZ13)</f>
        <v>5010</v>
      </c>
    </row>
    <row r="15" spans="1:54" x14ac:dyDescent="0.2">
      <c r="A15" s="20">
        <v>5</v>
      </c>
      <c r="B15" s="4">
        <v>300</v>
      </c>
      <c r="C15" s="4" t="s">
        <v>15</v>
      </c>
      <c r="D15" s="4">
        <v>3</v>
      </c>
      <c r="E15" s="4">
        <v>100</v>
      </c>
      <c r="G15" s="10"/>
      <c r="M15" s="30">
        <v>2</v>
      </c>
      <c r="N15" s="6">
        <v>135</v>
      </c>
      <c r="O15" s="6" t="s">
        <v>148</v>
      </c>
      <c r="P15" s="6">
        <v>1</v>
      </c>
      <c r="Q15" s="6">
        <v>135</v>
      </c>
      <c r="S15" s="21"/>
      <c r="T15" s="4">
        <v>165</v>
      </c>
      <c r="U15" s="4" t="s">
        <v>241</v>
      </c>
      <c r="V15" s="4">
        <v>1</v>
      </c>
      <c r="W15" s="4">
        <v>165</v>
      </c>
      <c r="Z15" s="21"/>
      <c r="AA15" s="4">
        <v>690</v>
      </c>
      <c r="AB15" s="33" t="s">
        <v>84</v>
      </c>
      <c r="AC15" s="4">
        <v>3</v>
      </c>
      <c r="AD15" s="4">
        <v>230</v>
      </c>
      <c r="AF15" s="31"/>
      <c r="AG15" s="32"/>
    </row>
    <row r="16" spans="1:54" x14ac:dyDescent="0.2">
      <c r="A16" s="22"/>
      <c r="B16" s="4">
        <v>750</v>
      </c>
      <c r="C16" s="4" t="s">
        <v>18</v>
      </c>
      <c r="D16" s="4">
        <v>3</v>
      </c>
      <c r="E16" s="4">
        <v>250</v>
      </c>
      <c r="G16" s="10"/>
      <c r="M16" s="30"/>
      <c r="N16" s="6">
        <v>150</v>
      </c>
      <c r="O16" s="6" t="s">
        <v>149</v>
      </c>
      <c r="P16" s="6">
        <v>1</v>
      </c>
      <c r="Q16" s="6">
        <v>150</v>
      </c>
      <c r="S16" s="21"/>
      <c r="T16" s="4">
        <v>165</v>
      </c>
      <c r="U16" s="4" t="s">
        <v>242</v>
      </c>
      <c r="V16" s="4">
        <v>1</v>
      </c>
      <c r="W16" s="4">
        <v>165</v>
      </c>
      <c r="Z16" s="22"/>
      <c r="AA16" s="4">
        <v>390</v>
      </c>
      <c r="AB16" s="33" t="s">
        <v>85</v>
      </c>
      <c r="AC16" s="4">
        <v>3</v>
      </c>
      <c r="AD16" s="4">
        <v>130</v>
      </c>
      <c r="AF16" s="31"/>
      <c r="AG16" s="32"/>
    </row>
    <row r="17" spans="1:54" x14ac:dyDescent="0.2">
      <c r="A17" s="23">
        <v>6</v>
      </c>
      <c r="B17" s="6">
        <f>D17*E17</f>
        <v>360</v>
      </c>
      <c r="C17" s="6" t="s">
        <v>19</v>
      </c>
      <c r="D17" s="6">
        <v>9</v>
      </c>
      <c r="E17" s="6">
        <v>40</v>
      </c>
      <c r="M17" s="30"/>
      <c r="N17" s="6">
        <v>160</v>
      </c>
      <c r="O17" s="6" t="s">
        <v>150</v>
      </c>
      <c r="P17" s="6">
        <v>1</v>
      </c>
      <c r="Q17" s="6">
        <v>160</v>
      </c>
      <c r="S17" s="21"/>
      <c r="T17" s="4">
        <v>165</v>
      </c>
      <c r="U17" s="4" t="s">
        <v>243</v>
      </c>
      <c r="V17" s="4">
        <v>1</v>
      </c>
      <c r="W17" s="4">
        <v>165</v>
      </c>
      <c r="Z17" s="23">
        <v>2</v>
      </c>
      <c r="AA17" s="6">
        <v>375</v>
      </c>
      <c r="AB17" s="34" t="s">
        <v>86</v>
      </c>
      <c r="AC17" s="6">
        <v>3</v>
      </c>
      <c r="AD17" s="6">
        <v>125</v>
      </c>
      <c r="AF17" s="31"/>
      <c r="AG17" s="32"/>
      <c r="AH17" s="31"/>
      <c r="AI17" s="2"/>
    </row>
    <row r="18" spans="1:54" x14ac:dyDescent="0.2">
      <c r="A18" s="24"/>
      <c r="B18" s="6">
        <v>360</v>
      </c>
      <c r="C18" s="6" t="s">
        <v>20</v>
      </c>
      <c r="D18" s="6">
        <v>9</v>
      </c>
      <c r="E18" s="6">
        <v>40</v>
      </c>
      <c r="M18" s="30"/>
      <c r="N18" s="6">
        <v>130</v>
      </c>
      <c r="O18" s="6" t="s">
        <v>151</v>
      </c>
      <c r="P18" s="6">
        <v>1</v>
      </c>
      <c r="Q18" s="6">
        <v>130</v>
      </c>
      <c r="S18" s="21"/>
      <c r="T18" s="4">
        <v>165</v>
      </c>
      <c r="U18" s="4" t="s">
        <v>244</v>
      </c>
      <c r="V18" s="4">
        <v>1</v>
      </c>
      <c r="W18" s="4">
        <v>165</v>
      </c>
      <c r="Z18" s="28"/>
      <c r="AA18" s="6">
        <v>315</v>
      </c>
      <c r="AB18" s="34" t="s">
        <v>87</v>
      </c>
      <c r="AC18" s="6">
        <v>3</v>
      </c>
      <c r="AD18" s="6">
        <v>105</v>
      </c>
    </row>
    <row r="19" spans="1:54" x14ac:dyDescent="0.2">
      <c r="A19" s="20">
        <v>7</v>
      </c>
      <c r="B19" s="4">
        <v>360</v>
      </c>
      <c r="C19" s="4" t="s">
        <v>21</v>
      </c>
      <c r="D19" s="4">
        <v>9</v>
      </c>
      <c r="E19" s="4">
        <v>40</v>
      </c>
      <c r="M19" s="30"/>
      <c r="N19" s="6">
        <v>130</v>
      </c>
      <c r="O19" s="6" t="s">
        <v>152</v>
      </c>
      <c r="P19" s="6">
        <v>1</v>
      </c>
      <c r="Q19" s="6">
        <v>130</v>
      </c>
      <c r="S19" s="21"/>
      <c r="T19" s="4">
        <v>165</v>
      </c>
      <c r="U19" s="4" t="s">
        <v>245</v>
      </c>
      <c r="V19" s="4">
        <v>1</v>
      </c>
      <c r="W19" s="4">
        <v>165</v>
      </c>
      <c r="Z19" s="28"/>
      <c r="AA19" s="6">
        <v>300</v>
      </c>
      <c r="AB19" s="34" t="s">
        <v>88</v>
      </c>
      <c r="AC19" s="6">
        <v>3</v>
      </c>
      <c r="AD19" s="6">
        <v>100</v>
      </c>
    </row>
    <row r="20" spans="1:54" x14ac:dyDescent="0.2">
      <c r="A20" s="22"/>
      <c r="B20" s="4">
        <v>360</v>
      </c>
      <c r="C20" s="4" t="s">
        <v>22</v>
      </c>
      <c r="D20" s="4">
        <v>9</v>
      </c>
      <c r="E20" s="4">
        <v>40</v>
      </c>
      <c r="M20" s="30"/>
      <c r="N20" s="6">
        <v>200</v>
      </c>
      <c r="O20" s="6" t="s">
        <v>153</v>
      </c>
      <c r="P20" s="6">
        <v>1</v>
      </c>
      <c r="Q20" s="6">
        <v>200</v>
      </c>
      <c r="S20" s="21"/>
      <c r="T20" s="4">
        <v>150</v>
      </c>
      <c r="U20" s="4" t="s">
        <v>246</v>
      </c>
      <c r="V20" s="4">
        <v>1</v>
      </c>
      <c r="W20" s="4">
        <v>150</v>
      </c>
      <c r="Z20" s="28"/>
      <c r="AA20" s="6">
        <v>750</v>
      </c>
      <c r="AB20" s="34" t="s">
        <v>89</v>
      </c>
      <c r="AC20" s="6">
        <v>3</v>
      </c>
      <c r="AD20" s="6">
        <v>250</v>
      </c>
    </row>
    <row r="21" spans="1:54" x14ac:dyDescent="0.2">
      <c r="A21" s="4" t="s">
        <v>23</v>
      </c>
      <c r="B21" s="5">
        <f>SUM(B4:B20)</f>
        <v>6585</v>
      </c>
      <c r="M21" s="30"/>
      <c r="N21" s="6">
        <v>200</v>
      </c>
      <c r="O21" s="6" t="s">
        <v>154</v>
      </c>
      <c r="P21" s="6">
        <v>1</v>
      </c>
      <c r="Q21" s="6">
        <v>200</v>
      </c>
      <c r="S21" s="21"/>
      <c r="T21" s="4">
        <v>150</v>
      </c>
      <c r="U21" s="4" t="s">
        <v>247</v>
      </c>
      <c r="V21" s="4">
        <v>1</v>
      </c>
      <c r="W21" s="4">
        <v>150</v>
      </c>
      <c r="Z21" s="24"/>
      <c r="AA21" s="14">
        <v>750</v>
      </c>
      <c r="AB21" s="34" t="s">
        <v>90</v>
      </c>
      <c r="AC21" s="6">
        <v>3</v>
      </c>
      <c r="AD21" s="6">
        <v>250</v>
      </c>
    </row>
    <row r="22" spans="1:54" x14ac:dyDescent="0.2">
      <c r="M22" s="30"/>
      <c r="N22" s="14">
        <v>210</v>
      </c>
      <c r="O22" s="14" t="s">
        <v>155</v>
      </c>
      <c r="P22" s="6">
        <v>1</v>
      </c>
      <c r="Q22" s="14">
        <v>210</v>
      </c>
      <c r="S22" s="21"/>
      <c r="T22" s="4">
        <v>150</v>
      </c>
      <c r="U22" s="4" t="s">
        <v>248</v>
      </c>
      <c r="V22" s="4">
        <v>1</v>
      </c>
      <c r="W22" s="4">
        <v>150</v>
      </c>
      <c r="Z22" s="9" t="s">
        <v>23</v>
      </c>
      <c r="AA22" s="5">
        <f>SUM(AA11:AA21)</f>
        <v>5010</v>
      </c>
      <c r="AB22" s="2"/>
      <c r="AC22" s="2"/>
      <c r="AD22" s="2"/>
    </row>
    <row r="23" spans="1:54" x14ac:dyDescent="0.2">
      <c r="A23" s="16" t="s">
        <v>24</v>
      </c>
      <c r="B23" s="16"/>
      <c r="C23" s="16"/>
      <c r="D23" s="16"/>
      <c r="E23" s="16"/>
      <c r="M23" s="30"/>
      <c r="N23" s="14">
        <v>210</v>
      </c>
      <c r="O23" s="14" t="s">
        <v>156</v>
      </c>
      <c r="P23" s="6">
        <v>1</v>
      </c>
      <c r="Q23" s="14">
        <v>210</v>
      </c>
      <c r="S23" s="21"/>
      <c r="T23" s="5">
        <v>150</v>
      </c>
      <c r="U23" s="4" t="s">
        <v>249</v>
      </c>
      <c r="V23" s="4">
        <v>1</v>
      </c>
      <c r="W23" s="4">
        <v>150</v>
      </c>
    </row>
    <row r="24" spans="1:54" x14ac:dyDescent="0.2">
      <c r="A24" s="4" t="s">
        <v>8</v>
      </c>
      <c r="B24" s="4" t="s">
        <v>7</v>
      </c>
      <c r="C24" s="4" t="s">
        <v>6</v>
      </c>
      <c r="D24" s="4" t="s">
        <v>5</v>
      </c>
      <c r="E24" s="4" t="s">
        <v>4</v>
      </c>
      <c r="M24" s="16">
        <v>3</v>
      </c>
      <c r="N24" s="13">
        <v>190</v>
      </c>
      <c r="O24" s="13" t="s">
        <v>157</v>
      </c>
      <c r="P24" s="4">
        <v>1</v>
      </c>
      <c r="Q24" s="13">
        <v>190</v>
      </c>
      <c r="S24" s="21"/>
      <c r="T24" s="4">
        <v>150</v>
      </c>
      <c r="U24" s="4" t="s">
        <v>250</v>
      </c>
      <c r="V24" s="4">
        <v>1</v>
      </c>
      <c r="W24" s="4">
        <v>150</v>
      </c>
      <c r="Z24" s="16" t="s">
        <v>91</v>
      </c>
      <c r="AA24" s="16"/>
      <c r="AB24" s="16"/>
      <c r="AC24" s="16"/>
      <c r="AD24" s="16"/>
    </row>
    <row r="25" spans="1:54" x14ac:dyDescent="0.2">
      <c r="A25" s="16">
        <v>1</v>
      </c>
      <c r="B25" s="5">
        <f>D25*E25</f>
        <v>120</v>
      </c>
      <c r="C25" s="4" t="s">
        <v>25</v>
      </c>
      <c r="D25" s="5">
        <v>6</v>
      </c>
      <c r="E25" s="4">
        <v>20</v>
      </c>
      <c r="M25" s="16"/>
      <c r="N25" s="13">
        <v>205</v>
      </c>
      <c r="O25" s="13" t="s">
        <v>158</v>
      </c>
      <c r="P25" s="4">
        <v>1</v>
      </c>
      <c r="Q25" s="13">
        <v>205</v>
      </c>
      <c r="S25" s="21"/>
      <c r="T25" s="4">
        <v>150</v>
      </c>
      <c r="U25" s="4" t="s">
        <v>251</v>
      </c>
      <c r="V25" s="4">
        <v>1</v>
      </c>
      <c r="W25" s="4">
        <v>150</v>
      </c>
      <c r="Z25" s="4" t="s">
        <v>8</v>
      </c>
      <c r="AA25" s="4" t="s">
        <v>7</v>
      </c>
      <c r="AB25" s="4" t="s">
        <v>6</v>
      </c>
      <c r="AC25" s="4" t="s">
        <v>5</v>
      </c>
      <c r="AD25" s="4" t="s">
        <v>4</v>
      </c>
    </row>
    <row r="26" spans="1:54" x14ac:dyDescent="0.2">
      <c r="A26" s="16"/>
      <c r="B26" s="5">
        <f t="shared" ref="B26:B35" si="1">D26*E26</f>
        <v>120</v>
      </c>
      <c r="C26" s="4" t="s">
        <v>26</v>
      </c>
      <c r="D26" s="5">
        <v>6</v>
      </c>
      <c r="E26" s="4">
        <v>20</v>
      </c>
      <c r="M26" s="16"/>
      <c r="N26" s="13">
        <v>160</v>
      </c>
      <c r="O26" s="13" t="s">
        <v>159</v>
      </c>
      <c r="P26" s="4">
        <v>1</v>
      </c>
      <c r="Q26" s="13">
        <v>160</v>
      </c>
      <c r="S26" s="21"/>
      <c r="T26" s="4">
        <v>150</v>
      </c>
      <c r="U26" s="4" t="s">
        <v>252</v>
      </c>
      <c r="V26" s="4">
        <v>1</v>
      </c>
      <c r="W26" s="4">
        <v>150</v>
      </c>
      <c r="Z26" s="20">
        <v>1</v>
      </c>
      <c r="AA26" s="4">
        <v>420</v>
      </c>
      <c r="AB26" s="33" t="s">
        <v>92</v>
      </c>
      <c r="AC26" s="4">
        <v>3</v>
      </c>
      <c r="AD26" s="4">
        <v>140</v>
      </c>
      <c r="AF26" s="4" t="s">
        <v>92</v>
      </c>
      <c r="AG26" s="15">
        <v>140</v>
      </c>
      <c r="AH26" s="15" t="s">
        <v>93</v>
      </c>
      <c r="AI26" s="15">
        <v>140</v>
      </c>
      <c r="AJ26" s="15" t="s">
        <v>94</v>
      </c>
      <c r="AK26" s="15">
        <v>190</v>
      </c>
      <c r="AL26" s="15" t="s">
        <v>95</v>
      </c>
      <c r="AM26" s="15">
        <v>190</v>
      </c>
      <c r="AN26" s="15" t="s">
        <v>96</v>
      </c>
      <c r="AO26" s="15">
        <v>160</v>
      </c>
      <c r="AP26" s="15" t="s">
        <v>97</v>
      </c>
      <c r="AQ26" s="15">
        <v>125</v>
      </c>
      <c r="AR26" s="15" t="s">
        <v>98</v>
      </c>
      <c r="AS26" s="15">
        <v>125</v>
      </c>
      <c r="AT26" s="15" t="s">
        <v>99</v>
      </c>
      <c r="AU26" s="15">
        <v>125</v>
      </c>
      <c r="AV26" s="15" t="s">
        <v>100</v>
      </c>
      <c r="AW26" s="15">
        <v>110</v>
      </c>
      <c r="AX26" s="15" t="s">
        <v>101</v>
      </c>
      <c r="AY26" s="15">
        <v>130</v>
      </c>
      <c r="AZ26" s="15" t="s">
        <v>102</v>
      </c>
      <c r="BA26" s="15">
        <v>135</v>
      </c>
      <c r="BB26" s="15">
        <f>AG26+AI26+AK26+AM26+AO26+AQ26+AS26+AU26+AW26+AY26+BA26</f>
        <v>1570</v>
      </c>
    </row>
    <row r="27" spans="1:54" x14ac:dyDescent="0.2">
      <c r="A27" s="16"/>
      <c r="B27" s="5">
        <f t="shared" si="1"/>
        <v>120</v>
      </c>
      <c r="C27" s="4" t="s">
        <v>27</v>
      </c>
      <c r="D27" s="5">
        <v>6</v>
      </c>
      <c r="E27" s="4">
        <v>20</v>
      </c>
      <c r="M27" s="16"/>
      <c r="N27" s="13">
        <v>190</v>
      </c>
      <c r="O27" s="13" t="s">
        <v>160</v>
      </c>
      <c r="P27" s="4">
        <v>1</v>
      </c>
      <c r="Q27" s="13">
        <v>190</v>
      </c>
      <c r="S27" s="21"/>
      <c r="T27" s="4">
        <v>150</v>
      </c>
      <c r="U27" s="4" t="s">
        <v>253</v>
      </c>
      <c r="V27" s="4">
        <v>1</v>
      </c>
      <c r="W27" s="4">
        <v>150</v>
      </c>
      <c r="Z27" s="21"/>
      <c r="AA27" s="4">
        <v>420</v>
      </c>
      <c r="AB27" s="33" t="s">
        <v>93</v>
      </c>
      <c r="AC27" s="4">
        <v>3</v>
      </c>
      <c r="AD27" s="4">
        <v>140</v>
      </c>
      <c r="AF27" s="4" t="s">
        <v>92</v>
      </c>
      <c r="AG27" s="15">
        <v>140</v>
      </c>
      <c r="AH27" s="15" t="s">
        <v>93</v>
      </c>
      <c r="AI27" s="15">
        <v>140</v>
      </c>
      <c r="AJ27" s="15" t="s">
        <v>94</v>
      </c>
      <c r="AK27" s="15">
        <v>190</v>
      </c>
      <c r="AL27" s="15" t="s">
        <v>95</v>
      </c>
      <c r="AM27" s="15">
        <v>190</v>
      </c>
      <c r="AN27" s="15" t="s">
        <v>96</v>
      </c>
      <c r="AO27" s="15">
        <v>160</v>
      </c>
      <c r="AP27" s="15" t="s">
        <v>97</v>
      </c>
      <c r="AQ27" s="15">
        <v>125</v>
      </c>
      <c r="AR27" s="15" t="s">
        <v>98</v>
      </c>
      <c r="AS27" s="15">
        <v>125</v>
      </c>
      <c r="AT27" s="15" t="s">
        <v>99</v>
      </c>
      <c r="AU27" s="15">
        <v>125</v>
      </c>
      <c r="AV27" s="15" t="s">
        <v>100</v>
      </c>
      <c r="AW27" s="15">
        <v>110</v>
      </c>
      <c r="AX27" s="15" t="s">
        <v>101</v>
      </c>
      <c r="AY27" s="15">
        <v>130</v>
      </c>
      <c r="AZ27" s="15" t="s">
        <v>102</v>
      </c>
      <c r="BA27" s="15">
        <v>135</v>
      </c>
      <c r="BB27" s="15">
        <f t="shared" ref="BB27:BB28" si="2">AG27+AI27+AK27+AM27+AO27+AQ27+AS27+AU27+AW27+AY27+BA27</f>
        <v>1570</v>
      </c>
    </row>
    <row r="28" spans="1:54" x14ac:dyDescent="0.2">
      <c r="A28" s="16"/>
      <c r="B28" s="5">
        <f t="shared" si="1"/>
        <v>120</v>
      </c>
      <c r="C28" s="4" t="s">
        <v>28</v>
      </c>
      <c r="D28" s="5">
        <v>6</v>
      </c>
      <c r="E28" s="4">
        <v>20</v>
      </c>
      <c r="M28" s="16"/>
      <c r="N28" s="13">
        <v>190</v>
      </c>
      <c r="O28" s="13" t="s">
        <v>161</v>
      </c>
      <c r="P28" s="4">
        <v>1</v>
      </c>
      <c r="Q28" s="13">
        <v>190</v>
      </c>
      <c r="S28" s="21"/>
      <c r="T28" s="4">
        <v>150</v>
      </c>
      <c r="U28" s="4" t="s">
        <v>254</v>
      </c>
      <c r="V28" s="4">
        <v>1</v>
      </c>
      <c r="W28" s="4">
        <v>150</v>
      </c>
      <c r="Z28" s="21"/>
      <c r="AA28" s="4">
        <v>570</v>
      </c>
      <c r="AB28" s="33" t="s">
        <v>94</v>
      </c>
      <c r="AC28" s="4">
        <v>3</v>
      </c>
      <c r="AD28" s="4">
        <v>190</v>
      </c>
      <c r="AF28" s="4" t="s">
        <v>92</v>
      </c>
      <c r="AG28" s="15">
        <v>140</v>
      </c>
      <c r="AH28" s="15" t="s">
        <v>93</v>
      </c>
      <c r="AI28" s="15">
        <v>140</v>
      </c>
      <c r="AJ28" s="15" t="s">
        <v>94</v>
      </c>
      <c r="AK28" s="15">
        <v>190</v>
      </c>
      <c r="AL28" s="15" t="s">
        <v>95</v>
      </c>
      <c r="AM28" s="15">
        <v>190</v>
      </c>
      <c r="AN28" s="15" t="s">
        <v>96</v>
      </c>
      <c r="AO28" s="15">
        <v>160</v>
      </c>
      <c r="AP28" s="15" t="s">
        <v>97</v>
      </c>
      <c r="AQ28" s="15">
        <v>125</v>
      </c>
      <c r="AR28" s="15" t="s">
        <v>98</v>
      </c>
      <c r="AS28" s="15">
        <v>125</v>
      </c>
      <c r="AT28" s="15" t="s">
        <v>99</v>
      </c>
      <c r="AU28" s="15">
        <v>125</v>
      </c>
      <c r="AV28" s="15" t="s">
        <v>100</v>
      </c>
      <c r="AW28" s="15">
        <v>110</v>
      </c>
      <c r="AX28" s="15" t="s">
        <v>101</v>
      </c>
      <c r="AY28" s="15">
        <v>130</v>
      </c>
      <c r="AZ28" s="15" t="s">
        <v>102</v>
      </c>
      <c r="BA28" s="15">
        <v>135</v>
      </c>
      <c r="BB28" s="15">
        <f t="shared" si="2"/>
        <v>1570</v>
      </c>
    </row>
    <row r="29" spans="1:54" x14ac:dyDescent="0.2">
      <c r="A29" s="16"/>
      <c r="B29" s="5">
        <f t="shared" si="1"/>
        <v>120</v>
      </c>
      <c r="C29" s="4" t="s">
        <v>29</v>
      </c>
      <c r="D29" s="4">
        <v>6</v>
      </c>
      <c r="E29" s="4">
        <v>20</v>
      </c>
      <c r="M29" s="16"/>
      <c r="N29" s="13">
        <v>230</v>
      </c>
      <c r="O29" s="13" t="s">
        <v>162</v>
      </c>
      <c r="P29" s="4">
        <v>1</v>
      </c>
      <c r="Q29" s="13">
        <v>230</v>
      </c>
      <c r="S29" s="21"/>
      <c r="T29" s="4">
        <v>150</v>
      </c>
      <c r="U29" s="4" t="s">
        <v>212</v>
      </c>
      <c r="V29" s="4">
        <v>1</v>
      </c>
      <c r="W29" s="4">
        <v>150</v>
      </c>
      <c r="Z29" s="21"/>
      <c r="AA29" s="4">
        <v>570</v>
      </c>
      <c r="AB29" s="33" t="s">
        <v>95</v>
      </c>
      <c r="AC29" s="4">
        <v>3</v>
      </c>
      <c r="AD29" s="4">
        <v>190</v>
      </c>
    </row>
    <row r="30" spans="1:54" x14ac:dyDescent="0.2">
      <c r="A30" s="16"/>
      <c r="B30" s="5">
        <f t="shared" si="1"/>
        <v>60</v>
      </c>
      <c r="C30" s="4" t="s">
        <v>30</v>
      </c>
      <c r="D30" s="4">
        <v>3</v>
      </c>
      <c r="E30" s="4">
        <v>20</v>
      </c>
      <c r="M30" s="16"/>
      <c r="N30" s="13">
        <v>230</v>
      </c>
      <c r="O30" s="13" t="s">
        <v>163</v>
      </c>
      <c r="P30" s="4">
        <v>1</v>
      </c>
      <c r="Q30" s="13">
        <v>230</v>
      </c>
      <c r="S30" s="21"/>
      <c r="T30" s="4">
        <v>150</v>
      </c>
      <c r="U30" s="4" t="s">
        <v>213</v>
      </c>
      <c r="V30" s="4">
        <v>1</v>
      </c>
      <c r="W30" s="4">
        <v>150</v>
      </c>
      <c r="Z30" s="21"/>
      <c r="AA30" s="4">
        <v>480</v>
      </c>
      <c r="AB30" s="33" t="s">
        <v>96</v>
      </c>
      <c r="AC30" s="4">
        <v>3</v>
      </c>
      <c r="AD30" s="4">
        <v>160</v>
      </c>
    </row>
    <row r="31" spans="1:54" x14ac:dyDescent="0.2">
      <c r="A31" s="16"/>
      <c r="B31" s="5">
        <f t="shared" si="1"/>
        <v>60</v>
      </c>
      <c r="C31" s="4" t="s">
        <v>31</v>
      </c>
      <c r="D31" s="4">
        <v>3</v>
      </c>
      <c r="E31" s="4">
        <v>20</v>
      </c>
      <c r="G31" s="1"/>
      <c r="H31" s="1"/>
      <c r="M31" s="16"/>
      <c r="N31" s="13">
        <v>250</v>
      </c>
      <c r="O31" s="13" t="s">
        <v>164</v>
      </c>
      <c r="P31" s="4">
        <v>1</v>
      </c>
      <c r="Q31" s="13">
        <v>250</v>
      </c>
      <c r="S31" s="21"/>
      <c r="T31" s="4">
        <v>150</v>
      </c>
      <c r="U31" s="4" t="s">
        <v>214</v>
      </c>
      <c r="V31" s="4">
        <v>1</v>
      </c>
      <c r="W31" s="4">
        <v>150</v>
      </c>
      <c r="Z31" s="21"/>
      <c r="AA31" s="4">
        <v>375</v>
      </c>
      <c r="AB31" s="33" t="s">
        <v>97</v>
      </c>
      <c r="AC31" s="4">
        <v>3</v>
      </c>
      <c r="AD31" s="4">
        <v>125</v>
      </c>
    </row>
    <row r="32" spans="1:54" x14ac:dyDescent="0.2">
      <c r="A32" s="16"/>
      <c r="B32" s="5">
        <f t="shared" si="1"/>
        <v>60</v>
      </c>
      <c r="C32" s="4" t="s">
        <v>32</v>
      </c>
      <c r="D32" s="4">
        <v>3</v>
      </c>
      <c r="E32" s="4">
        <v>20</v>
      </c>
      <c r="M32" s="30">
        <v>4</v>
      </c>
      <c r="N32" s="6">
        <v>250</v>
      </c>
      <c r="O32" s="6" t="s">
        <v>165</v>
      </c>
      <c r="P32" s="6">
        <v>1</v>
      </c>
      <c r="Q32" s="6">
        <v>250</v>
      </c>
      <c r="S32" s="21"/>
      <c r="T32" s="4">
        <v>150</v>
      </c>
      <c r="U32" s="4" t="s">
        <v>255</v>
      </c>
      <c r="V32" s="4">
        <v>1</v>
      </c>
      <c r="W32" s="4">
        <v>150</v>
      </c>
      <c r="Z32" s="21"/>
      <c r="AA32" s="4">
        <v>375</v>
      </c>
      <c r="AB32" s="33" t="s">
        <v>98</v>
      </c>
      <c r="AC32" s="4">
        <v>3</v>
      </c>
      <c r="AD32" s="4">
        <v>125</v>
      </c>
    </row>
    <row r="33" spans="1:30" x14ac:dyDescent="0.2">
      <c r="A33" s="16"/>
      <c r="B33" s="5">
        <f t="shared" si="1"/>
        <v>60</v>
      </c>
      <c r="C33" s="4" t="s">
        <v>33</v>
      </c>
      <c r="D33" s="4">
        <v>3</v>
      </c>
      <c r="E33" s="4">
        <v>20</v>
      </c>
      <c r="M33" s="30"/>
      <c r="N33" s="6">
        <v>250</v>
      </c>
      <c r="O33" s="6" t="s">
        <v>166</v>
      </c>
      <c r="P33" s="6">
        <v>1</v>
      </c>
      <c r="Q33" s="6">
        <v>250</v>
      </c>
      <c r="S33" s="22"/>
      <c r="T33" s="4">
        <v>150</v>
      </c>
      <c r="U33" s="4" t="s">
        <v>256</v>
      </c>
      <c r="V33" s="4">
        <v>1</v>
      </c>
      <c r="W33" s="4">
        <v>150</v>
      </c>
      <c r="Z33" s="21"/>
      <c r="AA33" s="4">
        <v>375</v>
      </c>
      <c r="AB33" s="33" t="s">
        <v>99</v>
      </c>
      <c r="AC33" s="4">
        <v>3</v>
      </c>
      <c r="AD33" s="4">
        <v>125</v>
      </c>
    </row>
    <row r="34" spans="1:30" x14ac:dyDescent="0.2">
      <c r="A34" s="16"/>
      <c r="B34" s="5">
        <f t="shared" si="1"/>
        <v>60</v>
      </c>
      <c r="C34" s="4" t="s">
        <v>34</v>
      </c>
      <c r="D34" s="4">
        <v>3</v>
      </c>
      <c r="E34" s="4">
        <v>20</v>
      </c>
      <c r="M34" s="30"/>
      <c r="N34" s="6">
        <v>270</v>
      </c>
      <c r="O34" s="6" t="s">
        <v>167</v>
      </c>
      <c r="P34" s="6">
        <v>1</v>
      </c>
      <c r="Q34" s="6">
        <v>270</v>
      </c>
      <c r="S34" s="23">
        <v>2</v>
      </c>
      <c r="T34" s="6">
        <v>150</v>
      </c>
      <c r="U34" s="6" t="s">
        <v>257</v>
      </c>
      <c r="V34" s="6">
        <v>1</v>
      </c>
      <c r="W34" s="6">
        <v>150</v>
      </c>
      <c r="Z34" s="21"/>
      <c r="AA34" s="4">
        <v>330</v>
      </c>
      <c r="AB34" s="33" t="s">
        <v>100</v>
      </c>
      <c r="AC34" s="4">
        <v>3</v>
      </c>
      <c r="AD34" s="4">
        <v>110</v>
      </c>
    </row>
    <row r="35" spans="1:30" x14ac:dyDescent="0.2">
      <c r="A35" s="16"/>
      <c r="B35" s="5">
        <f t="shared" si="1"/>
        <v>120</v>
      </c>
      <c r="C35" s="4" t="s">
        <v>35</v>
      </c>
      <c r="D35" s="4">
        <v>6</v>
      </c>
      <c r="E35" s="4">
        <v>20</v>
      </c>
      <c r="M35" s="30"/>
      <c r="N35" s="6">
        <v>125</v>
      </c>
      <c r="O35" s="6" t="s">
        <v>168</v>
      </c>
      <c r="P35" s="6">
        <v>1</v>
      </c>
      <c r="Q35" s="6">
        <v>125</v>
      </c>
      <c r="S35" s="28"/>
      <c r="T35" s="6">
        <v>150</v>
      </c>
      <c r="U35" s="6" t="s">
        <v>258</v>
      </c>
      <c r="V35" s="6">
        <v>1</v>
      </c>
      <c r="W35" s="6">
        <v>150</v>
      </c>
      <c r="Z35" s="21"/>
      <c r="AA35" s="4">
        <v>390</v>
      </c>
      <c r="AB35" s="33" t="s">
        <v>101</v>
      </c>
      <c r="AC35" s="4">
        <v>3</v>
      </c>
      <c r="AD35" s="4">
        <v>130</v>
      </c>
    </row>
    <row r="36" spans="1:30" x14ac:dyDescent="0.2">
      <c r="A36" s="4" t="s">
        <v>23</v>
      </c>
      <c r="B36" s="5">
        <f>SUM(B25:B35)</f>
        <v>1020</v>
      </c>
      <c r="M36" s="30"/>
      <c r="N36" s="6">
        <v>125</v>
      </c>
      <c r="O36" s="6" t="s">
        <v>169</v>
      </c>
      <c r="P36" s="6">
        <v>1</v>
      </c>
      <c r="Q36" s="6">
        <v>125</v>
      </c>
      <c r="S36" s="28"/>
      <c r="T36" s="6">
        <v>150</v>
      </c>
      <c r="U36" s="6" t="s">
        <v>259</v>
      </c>
      <c r="V36" s="6">
        <v>1</v>
      </c>
      <c r="W36" s="6">
        <v>150</v>
      </c>
      <c r="Z36" s="22"/>
      <c r="AA36" s="13">
        <v>405</v>
      </c>
      <c r="AB36" s="33" t="s">
        <v>102</v>
      </c>
      <c r="AC36" s="4">
        <v>3</v>
      </c>
      <c r="AD36" s="4">
        <v>135</v>
      </c>
    </row>
    <row r="37" spans="1:30" x14ac:dyDescent="0.2">
      <c r="M37" s="30"/>
      <c r="N37" s="6">
        <v>125</v>
      </c>
      <c r="O37" s="6" t="s">
        <v>170</v>
      </c>
      <c r="P37" s="6">
        <v>1</v>
      </c>
      <c r="Q37" s="6">
        <v>125</v>
      </c>
      <c r="S37" s="28"/>
      <c r="T37" s="6">
        <v>150</v>
      </c>
      <c r="U37" s="6" t="s">
        <v>260</v>
      </c>
      <c r="V37" s="6">
        <v>1</v>
      </c>
      <c r="W37" s="6">
        <v>150</v>
      </c>
      <c r="Z37" s="9" t="s">
        <v>23</v>
      </c>
      <c r="AA37" s="5">
        <f>SUM(AA26:AA36)</f>
        <v>4710</v>
      </c>
      <c r="AB37" s="2"/>
      <c r="AC37" s="2"/>
      <c r="AD37" s="2"/>
    </row>
    <row r="38" spans="1:30" x14ac:dyDescent="0.2">
      <c r="M38" s="30"/>
      <c r="N38" s="6">
        <v>125</v>
      </c>
      <c r="O38" s="6" t="s">
        <v>171</v>
      </c>
      <c r="P38" s="6">
        <v>1</v>
      </c>
      <c r="Q38" s="6">
        <v>125</v>
      </c>
      <c r="S38" s="28"/>
      <c r="T38" s="6">
        <v>150</v>
      </c>
      <c r="U38" s="6" t="s">
        <v>261</v>
      </c>
      <c r="V38" s="6">
        <v>1</v>
      </c>
      <c r="W38" s="6">
        <v>150</v>
      </c>
    </row>
    <row r="39" spans="1:30" x14ac:dyDescent="0.2">
      <c r="A39" s="16" t="s">
        <v>36</v>
      </c>
      <c r="B39" s="16"/>
      <c r="C39" s="16"/>
      <c r="D39" s="16"/>
      <c r="E39" s="16"/>
      <c r="M39" s="30"/>
      <c r="N39" s="6">
        <v>125</v>
      </c>
      <c r="O39" s="6" t="s">
        <v>172</v>
      </c>
      <c r="P39" s="6">
        <v>1</v>
      </c>
      <c r="Q39" s="6">
        <v>125</v>
      </c>
      <c r="S39" s="28"/>
      <c r="T39" s="6">
        <v>150</v>
      </c>
      <c r="U39" s="6" t="s">
        <v>262</v>
      </c>
      <c r="V39" s="6">
        <v>1</v>
      </c>
      <c r="W39" s="6">
        <v>150</v>
      </c>
    </row>
    <row r="40" spans="1:30" x14ac:dyDescent="0.2">
      <c r="A40" s="4" t="s">
        <v>8</v>
      </c>
      <c r="B40" s="4" t="s">
        <v>7</v>
      </c>
      <c r="C40" s="4" t="s">
        <v>6</v>
      </c>
      <c r="D40" s="4" t="s">
        <v>5</v>
      </c>
      <c r="E40" s="4" t="s">
        <v>4</v>
      </c>
      <c r="M40" s="30"/>
      <c r="N40" s="6">
        <v>125</v>
      </c>
      <c r="O40" s="6" t="s">
        <v>173</v>
      </c>
      <c r="P40" s="6">
        <v>1</v>
      </c>
      <c r="Q40" s="6">
        <v>125</v>
      </c>
      <c r="S40" s="28"/>
      <c r="T40" s="6">
        <v>150</v>
      </c>
      <c r="U40" s="6" t="s">
        <v>263</v>
      </c>
      <c r="V40" s="6">
        <v>1</v>
      </c>
      <c r="W40" s="6">
        <v>150</v>
      </c>
    </row>
    <row r="41" spans="1:30" x14ac:dyDescent="0.2">
      <c r="A41" s="20">
        <v>1</v>
      </c>
      <c r="B41" s="5">
        <f>D41*E41</f>
        <v>990</v>
      </c>
      <c r="C41" s="4" t="s">
        <v>37</v>
      </c>
      <c r="D41" s="5">
        <v>6</v>
      </c>
      <c r="E41" s="4">
        <v>165</v>
      </c>
      <c r="M41" s="30"/>
      <c r="N41" s="6">
        <v>130</v>
      </c>
      <c r="O41" s="6" t="s">
        <v>174</v>
      </c>
      <c r="P41" s="6">
        <v>1</v>
      </c>
      <c r="Q41" s="6">
        <v>130</v>
      </c>
      <c r="S41" s="28"/>
      <c r="T41" s="6">
        <v>150</v>
      </c>
      <c r="U41" s="6" t="s">
        <v>264</v>
      </c>
      <c r="V41" s="6">
        <v>1</v>
      </c>
      <c r="W41" s="6">
        <v>150</v>
      </c>
    </row>
    <row r="42" spans="1:30" x14ac:dyDescent="0.2">
      <c r="A42" s="21"/>
      <c r="B42" s="5">
        <f t="shared" ref="B42:B50" si="3">D42*E42</f>
        <v>195</v>
      </c>
      <c r="C42" s="4" t="s">
        <v>40</v>
      </c>
      <c r="D42" s="5">
        <v>3</v>
      </c>
      <c r="E42" s="4">
        <v>65</v>
      </c>
      <c r="M42" s="9" t="s">
        <v>23</v>
      </c>
      <c r="N42" s="12">
        <f>SUM(N4:N41)</f>
        <v>6470</v>
      </c>
      <c r="S42" s="28"/>
      <c r="T42" s="6">
        <v>150</v>
      </c>
      <c r="U42" s="6" t="s">
        <v>265</v>
      </c>
      <c r="V42" s="6">
        <v>1</v>
      </c>
      <c r="W42" s="6">
        <v>150</v>
      </c>
    </row>
    <row r="43" spans="1:30" x14ac:dyDescent="0.2">
      <c r="A43" s="22"/>
      <c r="B43" s="5">
        <f t="shared" si="3"/>
        <v>195</v>
      </c>
      <c r="C43" s="4" t="s">
        <v>41</v>
      </c>
      <c r="D43" s="5">
        <v>3</v>
      </c>
      <c r="E43" s="4">
        <v>65</v>
      </c>
      <c r="S43" s="28"/>
      <c r="T43" s="6">
        <v>150</v>
      </c>
      <c r="U43" s="6" t="s">
        <v>266</v>
      </c>
      <c r="V43" s="6">
        <v>1</v>
      </c>
      <c r="W43" s="6">
        <v>150</v>
      </c>
    </row>
    <row r="44" spans="1:30" x14ac:dyDescent="0.2">
      <c r="A44" s="23">
        <v>2</v>
      </c>
      <c r="B44" s="7">
        <f t="shared" si="3"/>
        <v>990</v>
      </c>
      <c r="C44" s="6" t="s">
        <v>38</v>
      </c>
      <c r="D44" s="7">
        <v>6</v>
      </c>
      <c r="E44" s="6">
        <v>165</v>
      </c>
      <c r="S44" s="28"/>
      <c r="T44" s="6">
        <v>150</v>
      </c>
      <c r="U44" s="6" t="s">
        <v>267</v>
      </c>
      <c r="V44" s="6">
        <v>1</v>
      </c>
      <c r="W44" s="6">
        <v>150</v>
      </c>
    </row>
    <row r="45" spans="1:30" x14ac:dyDescent="0.2">
      <c r="A45" s="24"/>
      <c r="B45" s="7">
        <f t="shared" si="3"/>
        <v>300</v>
      </c>
      <c r="C45" s="6" t="s">
        <v>42</v>
      </c>
      <c r="D45" s="6">
        <v>3</v>
      </c>
      <c r="E45" s="6">
        <v>100</v>
      </c>
      <c r="M45" s="16" t="s">
        <v>176</v>
      </c>
      <c r="N45" s="16"/>
      <c r="O45" s="16"/>
      <c r="P45" s="16"/>
      <c r="Q45" s="16"/>
      <c r="S45" s="28"/>
      <c r="T45" s="6">
        <v>150</v>
      </c>
      <c r="U45" s="6" t="s">
        <v>268</v>
      </c>
      <c r="V45" s="6">
        <v>1</v>
      </c>
      <c r="W45" s="6">
        <v>150</v>
      </c>
    </row>
    <row r="46" spans="1:30" x14ac:dyDescent="0.2">
      <c r="A46" s="4">
        <v>3</v>
      </c>
      <c r="B46" s="5">
        <f t="shared" si="3"/>
        <v>990</v>
      </c>
      <c r="C46" s="4" t="s">
        <v>39</v>
      </c>
      <c r="D46" s="4">
        <v>6</v>
      </c>
      <c r="E46" s="4">
        <v>165</v>
      </c>
      <c r="M46" s="4" t="s">
        <v>8</v>
      </c>
      <c r="N46" s="4" t="s">
        <v>7</v>
      </c>
      <c r="O46" s="4" t="s">
        <v>6</v>
      </c>
      <c r="P46" s="4" t="s">
        <v>5</v>
      </c>
      <c r="Q46" s="4" t="s">
        <v>4</v>
      </c>
      <c r="S46" s="28"/>
      <c r="T46" s="6">
        <v>150</v>
      </c>
      <c r="U46" s="6" t="s">
        <v>269</v>
      </c>
      <c r="V46" s="6">
        <v>1</v>
      </c>
      <c r="W46" s="6">
        <v>150</v>
      </c>
    </row>
    <row r="47" spans="1:30" x14ac:dyDescent="0.2">
      <c r="A47" s="23">
        <v>4</v>
      </c>
      <c r="B47" s="7">
        <f t="shared" si="3"/>
        <v>60</v>
      </c>
      <c r="C47" s="6" t="s">
        <v>43</v>
      </c>
      <c r="D47" s="6">
        <v>3</v>
      </c>
      <c r="E47" s="6">
        <v>20</v>
      </c>
      <c r="M47" s="16">
        <v>1</v>
      </c>
      <c r="N47" s="4">
        <v>20</v>
      </c>
      <c r="O47" s="4" t="s">
        <v>177</v>
      </c>
      <c r="P47" s="4">
        <v>1</v>
      </c>
      <c r="Q47" s="4">
        <v>20</v>
      </c>
      <c r="S47" s="28"/>
      <c r="T47" s="6">
        <v>150</v>
      </c>
      <c r="U47" s="6" t="s">
        <v>270</v>
      </c>
      <c r="V47" s="6">
        <v>1</v>
      </c>
      <c r="W47" s="6">
        <v>150</v>
      </c>
    </row>
    <row r="48" spans="1:30" x14ac:dyDescent="0.2">
      <c r="A48" s="28"/>
      <c r="B48" s="7">
        <f t="shared" si="3"/>
        <v>255</v>
      </c>
      <c r="C48" s="6" t="s">
        <v>44</v>
      </c>
      <c r="D48" s="6">
        <v>3</v>
      </c>
      <c r="E48" s="6">
        <v>85</v>
      </c>
      <c r="M48" s="16"/>
      <c r="N48" s="4">
        <v>20</v>
      </c>
      <c r="O48" s="4" t="s">
        <v>178</v>
      </c>
      <c r="P48" s="4">
        <v>1</v>
      </c>
      <c r="Q48" s="4">
        <v>20</v>
      </c>
      <c r="S48" s="28"/>
      <c r="T48" s="6">
        <v>150</v>
      </c>
      <c r="U48" s="6" t="s">
        <v>271</v>
      </c>
      <c r="V48" s="6">
        <v>1</v>
      </c>
      <c r="W48" s="6">
        <v>150</v>
      </c>
    </row>
    <row r="49" spans="1:23" x14ac:dyDescent="0.2">
      <c r="A49" s="28"/>
      <c r="B49" s="7">
        <f t="shared" si="3"/>
        <v>255</v>
      </c>
      <c r="C49" s="6" t="s">
        <v>45</v>
      </c>
      <c r="D49" s="6">
        <v>3</v>
      </c>
      <c r="E49" s="6">
        <v>85</v>
      </c>
      <c r="G49" s="16" t="s">
        <v>103</v>
      </c>
      <c r="H49" s="16"/>
      <c r="I49" s="16"/>
      <c r="J49" s="16"/>
      <c r="K49" s="16"/>
      <c r="M49" s="16"/>
      <c r="N49" s="4">
        <v>10</v>
      </c>
      <c r="O49" s="4" t="s">
        <v>179</v>
      </c>
      <c r="P49" s="4">
        <v>1</v>
      </c>
      <c r="Q49" s="4">
        <v>10</v>
      </c>
      <c r="S49" s="28"/>
      <c r="T49" s="6">
        <v>150</v>
      </c>
      <c r="U49" s="6" t="s">
        <v>272</v>
      </c>
      <c r="V49" s="6">
        <v>1</v>
      </c>
      <c r="W49" s="6">
        <v>150</v>
      </c>
    </row>
    <row r="50" spans="1:23" x14ac:dyDescent="0.2">
      <c r="A50" s="24"/>
      <c r="B50" s="7">
        <f t="shared" si="3"/>
        <v>255</v>
      </c>
      <c r="C50" s="6" t="s">
        <v>46</v>
      </c>
      <c r="D50" s="6">
        <v>3</v>
      </c>
      <c r="E50" s="6">
        <v>85</v>
      </c>
      <c r="G50" s="4" t="s">
        <v>8</v>
      </c>
      <c r="H50" s="4" t="s">
        <v>7</v>
      </c>
      <c r="I50" s="4" t="s">
        <v>6</v>
      </c>
      <c r="J50" s="4" t="s">
        <v>5</v>
      </c>
      <c r="K50" s="4" t="s">
        <v>4</v>
      </c>
      <c r="M50" s="16"/>
      <c r="N50" s="4">
        <v>150</v>
      </c>
      <c r="O50" s="4" t="s">
        <v>180</v>
      </c>
      <c r="P50" s="4">
        <v>1</v>
      </c>
      <c r="Q50" s="4">
        <v>150</v>
      </c>
      <c r="S50" s="28"/>
      <c r="T50" s="6">
        <v>150</v>
      </c>
      <c r="U50" s="6" t="s">
        <v>273</v>
      </c>
      <c r="V50" s="6">
        <v>1</v>
      </c>
      <c r="W50" s="6">
        <v>150</v>
      </c>
    </row>
    <row r="51" spans="1:23" x14ac:dyDescent="0.2">
      <c r="A51" s="4" t="s">
        <v>23</v>
      </c>
      <c r="B51" s="5">
        <f>SUM(B41:B50)</f>
        <v>4485</v>
      </c>
      <c r="G51" s="20">
        <v>1</v>
      </c>
      <c r="H51" s="4">
        <v>20</v>
      </c>
      <c r="I51" s="4" t="s">
        <v>104</v>
      </c>
      <c r="J51" s="4">
        <v>1</v>
      </c>
      <c r="K51" s="4">
        <v>20</v>
      </c>
      <c r="M51" s="16"/>
      <c r="N51" s="4">
        <v>130</v>
      </c>
      <c r="O51" s="4" t="s">
        <v>181</v>
      </c>
      <c r="P51" s="4">
        <v>1</v>
      </c>
      <c r="Q51" s="4">
        <v>130</v>
      </c>
      <c r="S51" s="28"/>
      <c r="T51" s="6">
        <v>150</v>
      </c>
      <c r="U51" s="6" t="s">
        <v>274</v>
      </c>
      <c r="V51" s="6">
        <v>1</v>
      </c>
      <c r="W51" s="6">
        <v>150</v>
      </c>
    </row>
    <row r="52" spans="1:23" x14ac:dyDescent="0.2">
      <c r="G52" s="21"/>
      <c r="H52" s="4">
        <v>125</v>
      </c>
      <c r="I52" s="4" t="s">
        <v>105</v>
      </c>
      <c r="J52" s="4">
        <v>1</v>
      </c>
      <c r="K52" s="4">
        <v>125</v>
      </c>
      <c r="M52" s="16"/>
      <c r="N52" s="4">
        <v>145</v>
      </c>
      <c r="O52" s="4" t="s">
        <v>182</v>
      </c>
      <c r="P52" s="4">
        <v>1</v>
      </c>
      <c r="Q52" s="4">
        <v>145</v>
      </c>
      <c r="S52" s="28"/>
      <c r="T52" s="6">
        <v>150</v>
      </c>
      <c r="U52" s="6" t="s">
        <v>275</v>
      </c>
      <c r="V52" s="6">
        <v>1</v>
      </c>
      <c r="W52" s="6">
        <v>150</v>
      </c>
    </row>
    <row r="53" spans="1:23" x14ac:dyDescent="0.2">
      <c r="G53" s="21"/>
      <c r="H53" s="4">
        <v>125</v>
      </c>
      <c r="I53" s="4" t="s">
        <v>106</v>
      </c>
      <c r="J53" s="4">
        <v>1</v>
      </c>
      <c r="K53" s="4">
        <v>125</v>
      </c>
      <c r="M53" s="16"/>
      <c r="N53" s="4">
        <v>135</v>
      </c>
      <c r="O53" s="4" t="s">
        <v>183</v>
      </c>
      <c r="P53" s="4">
        <v>1</v>
      </c>
      <c r="Q53" s="4">
        <v>135</v>
      </c>
      <c r="S53" s="28"/>
      <c r="T53" s="6">
        <v>150</v>
      </c>
      <c r="U53" s="6" t="s">
        <v>276</v>
      </c>
      <c r="V53" s="6">
        <v>1</v>
      </c>
      <c r="W53" s="6">
        <v>150</v>
      </c>
    </row>
    <row r="54" spans="1:23" x14ac:dyDescent="0.2">
      <c r="A54" s="16" t="s">
        <v>47</v>
      </c>
      <c r="B54" s="16"/>
      <c r="C54" s="16"/>
      <c r="D54" s="16"/>
      <c r="E54" s="16"/>
      <c r="G54" s="21"/>
      <c r="H54" s="4">
        <v>125</v>
      </c>
      <c r="I54" s="4" t="s">
        <v>107</v>
      </c>
      <c r="J54" s="4">
        <v>1</v>
      </c>
      <c r="K54" s="4">
        <v>125</v>
      </c>
      <c r="M54" s="16"/>
      <c r="N54" s="4">
        <v>150</v>
      </c>
      <c r="O54" s="4" t="s">
        <v>184</v>
      </c>
      <c r="P54" s="4">
        <v>1</v>
      </c>
      <c r="Q54" s="4">
        <v>150</v>
      </c>
      <c r="S54" s="28"/>
      <c r="T54" s="6">
        <v>160</v>
      </c>
      <c r="U54" s="6" t="s">
        <v>277</v>
      </c>
      <c r="V54" s="6">
        <v>1</v>
      </c>
      <c r="W54" s="6">
        <v>160</v>
      </c>
    </row>
    <row r="55" spans="1:23" x14ac:dyDescent="0.2">
      <c r="A55" s="4" t="s">
        <v>8</v>
      </c>
      <c r="B55" s="4" t="s">
        <v>7</v>
      </c>
      <c r="C55" s="4" t="s">
        <v>6</v>
      </c>
      <c r="D55" s="4" t="s">
        <v>5</v>
      </c>
      <c r="E55" s="4" t="s">
        <v>4</v>
      </c>
      <c r="G55" s="21"/>
      <c r="H55" s="4">
        <v>125</v>
      </c>
      <c r="I55" s="4" t="s">
        <v>108</v>
      </c>
      <c r="J55" s="4">
        <v>1</v>
      </c>
      <c r="K55" s="4">
        <v>125</v>
      </c>
      <c r="M55" s="16"/>
      <c r="N55" s="4">
        <v>155</v>
      </c>
      <c r="O55" s="4" t="s">
        <v>185</v>
      </c>
      <c r="P55" s="4">
        <v>1</v>
      </c>
      <c r="Q55" s="4">
        <v>155</v>
      </c>
      <c r="S55" s="28"/>
      <c r="T55" s="6">
        <v>150</v>
      </c>
      <c r="U55" s="6" t="s">
        <v>278</v>
      </c>
      <c r="V55" s="6">
        <v>1</v>
      </c>
      <c r="W55" s="6">
        <v>150</v>
      </c>
    </row>
    <row r="56" spans="1:23" x14ac:dyDescent="0.2">
      <c r="A56" s="20">
        <v>1</v>
      </c>
      <c r="B56" s="4">
        <v>120</v>
      </c>
      <c r="C56" s="4" t="s">
        <v>48</v>
      </c>
      <c r="D56" s="4">
        <v>6</v>
      </c>
      <c r="E56" s="4">
        <v>20</v>
      </c>
      <c r="G56" s="21"/>
      <c r="H56" s="4">
        <v>125</v>
      </c>
      <c r="I56" s="4" t="s">
        <v>109</v>
      </c>
      <c r="J56" s="4">
        <v>1</v>
      </c>
      <c r="K56" s="4">
        <v>125</v>
      </c>
      <c r="M56" s="16"/>
      <c r="N56" s="4">
        <v>155</v>
      </c>
      <c r="O56" s="4" t="s">
        <v>186</v>
      </c>
      <c r="P56" s="4">
        <v>1</v>
      </c>
      <c r="Q56" s="4">
        <v>155</v>
      </c>
      <c r="S56" s="28"/>
      <c r="T56" s="6">
        <v>130</v>
      </c>
      <c r="U56" s="6" t="s">
        <v>279</v>
      </c>
      <c r="V56" s="6">
        <v>1</v>
      </c>
      <c r="W56" s="6">
        <v>130</v>
      </c>
    </row>
    <row r="57" spans="1:23" x14ac:dyDescent="0.2">
      <c r="A57" s="21"/>
      <c r="B57" s="4">
        <v>60</v>
      </c>
      <c r="C57" s="4" t="s">
        <v>49</v>
      </c>
      <c r="D57" s="4">
        <v>3</v>
      </c>
      <c r="E57" s="4">
        <v>20</v>
      </c>
      <c r="G57" s="21"/>
      <c r="H57" s="4">
        <v>80</v>
      </c>
      <c r="I57" s="4" t="s">
        <v>110</v>
      </c>
      <c r="J57" s="4">
        <v>1</v>
      </c>
      <c r="K57" s="4">
        <v>80</v>
      </c>
      <c r="M57" s="16"/>
      <c r="N57" s="4">
        <v>155</v>
      </c>
      <c r="O57" s="4" t="s">
        <v>187</v>
      </c>
      <c r="P57" s="4">
        <v>1</v>
      </c>
      <c r="Q57" s="4">
        <v>155</v>
      </c>
      <c r="S57" s="28"/>
      <c r="T57" s="6">
        <v>145</v>
      </c>
      <c r="U57" s="6" t="s">
        <v>280</v>
      </c>
      <c r="V57" s="6">
        <v>1</v>
      </c>
      <c r="W57" s="6">
        <v>145</v>
      </c>
    </row>
    <row r="58" spans="1:23" x14ac:dyDescent="0.2">
      <c r="A58" s="21"/>
      <c r="B58" s="4">
        <v>315</v>
      </c>
      <c r="C58" s="4" t="s">
        <v>50</v>
      </c>
      <c r="D58" s="4">
        <v>3</v>
      </c>
      <c r="E58" s="4">
        <v>105</v>
      </c>
      <c r="G58" s="21"/>
      <c r="H58" s="8">
        <v>80</v>
      </c>
      <c r="I58" s="8" t="s">
        <v>111</v>
      </c>
      <c r="J58" s="8">
        <v>1</v>
      </c>
      <c r="K58" s="8">
        <v>80</v>
      </c>
      <c r="M58" s="16"/>
      <c r="N58" s="4">
        <v>155</v>
      </c>
      <c r="O58" s="4" t="s">
        <v>188</v>
      </c>
      <c r="P58" s="4">
        <v>1</v>
      </c>
      <c r="Q58" s="4">
        <v>155</v>
      </c>
      <c r="S58" s="28"/>
      <c r="T58" s="6">
        <v>135</v>
      </c>
      <c r="U58" s="6" t="s">
        <v>281</v>
      </c>
      <c r="V58" s="6">
        <v>1</v>
      </c>
      <c r="W58" s="6">
        <v>135</v>
      </c>
    </row>
    <row r="59" spans="1:23" x14ac:dyDescent="0.2">
      <c r="A59" s="21"/>
      <c r="B59" s="4">
        <v>300</v>
      </c>
      <c r="C59" s="4" t="s">
        <v>51</v>
      </c>
      <c r="D59" s="4">
        <v>3</v>
      </c>
      <c r="E59" s="4">
        <v>100</v>
      </c>
      <c r="G59" s="29">
        <v>2</v>
      </c>
      <c r="H59" s="11">
        <v>100</v>
      </c>
      <c r="I59" s="11" t="s">
        <v>112</v>
      </c>
      <c r="J59" s="11">
        <v>1</v>
      </c>
      <c r="K59" s="11">
        <v>100</v>
      </c>
      <c r="M59" s="30">
        <v>2</v>
      </c>
      <c r="N59" s="6">
        <v>165</v>
      </c>
      <c r="O59" s="6" t="s">
        <v>189</v>
      </c>
      <c r="P59" s="6">
        <v>1</v>
      </c>
      <c r="Q59" s="6">
        <v>165</v>
      </c>
      <c r="S59" s="28"/>
      <c r="T59" s="6">
        <v>150</v>
      </c>
      <c r="U59" s="6" t="s">
        <v>282</v>
      </c>
      <c r="V59" s="6">
        <v>1</v>
      </c>
      <c r="W59" s="6">
        <v>150</v>
      </c>
    </row>
    <row r="60" spans="1:23" x14ac:dyDescent="0.2">
      <c r="A60" s="21"/>
      <c r="B60" s="4">
        <v>450</v>
      </c>
      <c r="C60" s="4" t="s">
        <v>52</v>
      </c>
      <c r="D60" s="4">
        <v>3</v>
      </c>
      <c r="E60" s="4">
        <v>150</v>
      </c>
      <c r="G60" s="29"/>
      <c r="H60" s="11">
        <v>115</v>
      </c>
      <c r="I60" s="11" t="s">
        <v>113</v>
      </c>
      <c r="J60" s="11">
        <v>1</v>
      </c>
      <c r="K60" s="11">
        <v>115</v>
      </c>
      <c r="M60" s="30"/>
      <c r="N60" s="6">
        <v>165</v>
      </c>
      <c r="O60" s="6" t="s">
        <v>190</v>
      </c>
      <c r="P60" s="6">
        <v>1</v>
      </c>
      <c r="Q60" s="6">
        <v>165</v>
      </c>
      <c r="S60" s="28"/>
      <c r="T60" s="6">
        <v>150</v>
      </c>
      <c r="U60" s="6" t="s">
        <v>283</v>
      </c>
      <c r="V60" s="6">
        <v>1</v>
      </c>
      <c r="W60" s="6">
        <v>150</v>
      </c>
    </row>
    <row r="61" spans="1:23" x14ac:dyDescent="0.2">
      <c r="A61" s="21"/>
      <c r="B61" s="4">
        <v>450</v>
      </c>
      <c r="C61" s="4" t="s">
        <v>53</v>
      </c>
      <c r="D61" s="4">
        <v>3</v>
      </c>
      <c r="E61" s="4">
        <v>150</v>
      </c>
      <c r="G61" s="29"/>
      <c r="H61" s="11">
        <v>100</v>
      </c>
      <c r="I61" s="11" t="s">
        <v>114</v>
      </c>
      <c r="J61" s="11">
        <v>1</v>
      </c>
      <c r="K61" s="11">
        <v>100</v>
      </c>
      <c r="M61" s="30"/>
      <c r="N61" s="6">
        <v>220</v>
      </c>
      <c r="O61" s="6" t="s">
        <v>191</v>
      </c>
      <c r="P61" s="6">
        <v>1</v>
      </c>
      <c r="Q61" s="6">
        <v>220</v>
      </c>
      <c r="S61" s="28"/>
      <c r="T61" s="6">
        <v>150</v>
      </c>
      <c r="U61" s="6" t="s">
        <v>284</v>
      </c>
      <c r="V61" s="6">
        <v>1</v>
      </c>
      <c r="W61" s="6">
        <v>150</v>
      </c>
    </row>
    <row r="62" spans="1:23" x14ac:dyDescent="0.2">
      <c r="A62" s="21"/>
      <c r="B62" s="4">
        <v>390</v>
      </c>
      <c r="C62" s="4" t="s">
        <v>54</v>
      </c>
      <c r="D62" s="4">
        <v>3</v>
      </c>
      <c r="E62" s="4">
        <v>130</v>
      </c>
      <c r="G62" s="29"/>
      <c r="H62" s="11">
        <v>100</v>
      </c>
      <c r="I62" s="11" t="s">
        <v>115</v>
      </c>
      <c r="J62" s="11">
        <v>1</v>
      </c>
      <c r="K62" s="11">
        <v>100</v>
      </c>
      <c r="M62" s="30"/>
      <c r="N62" s="6">
        <v>160</v>
      </c>
      <c r="O62" s="6" t="s">
        <v>192</v>
      </c>
      <c r="P62" s="6">
        <v>1</v>
      </c>
      <c r="Q62" s="6">
        <v>160</v>
      </c>
      <c r="S62" s="28"/>
      <c r="T62" s="6">
        <v>150</v>
      </c>
      <c r="U62" s="6" t="s">
        <v>285</v>
      </c>
      <c r="V62" s="6">
        <v>1</v>
      </c>
      <c r="W62" s="6">
        <v>150</v>
      </c>
    </row>
    <row r="63" spans="1:23" x14ac:dyDescent="0.2">
      <c r="A63" s="4" t="s">
        <v>23</v>
      </c>
      <c r="B63" s="5">
        <f>SUM(B56:B62)</f>
        <v>2085</v>
      </c>
      <c r="G63" s="29"/>
      <c r="H63" s="11">
        <v>150</v>
      </c>
      <c r="I63" s="11" t="s">
        <v>116</v>
      </c>
      <c r="J63" s="11">
        <v>1</v>
      </c>
      <c r="K63" s="11">
        <v>150</v>
      </c>
      <c r="M63" s="30"/>
      <c r="N63" s="6">
        <v>150</v>
      </c>
      <c r="O63" s="6" t="s">
        <v>193</v>
      </c>
      <c r="P63" s="6">
        <v>1</v>
      </c>
      <c r="Q63" s="6">
        <v>150</v>
      </c>
      <c r="S63" s="28"/>
      <c r="T63" s="6">
        <v>160</v>
      </c>
      <c r="U63" s="6" t="s">
        <v>286</v>
      </c>
      <c r="V63" s="6">
        <v>1</v>
      </c>
      <c r="W63" s="6">
        <v>160</v>
      </c>
    </row>
    <row r="64" spans="1:23" x14ac:dyDescent="0.2">
      <c r="G64" s="29"/>
      <c r="H64" s="11">
        <v>180</v>
      </c>
      <c r="I64" s="11" t="s">
        <v>117</v>
      </c>
      <c r="J64" s="11">
        <v>1</v>
      </c>
      <c r="K64" s="11">
        <v>180</v>
      </c>
      <c r="M64" s="30"/>
      <c r="N64" s="6">
        <v>190</v>
      </c>
      <c r="O64" s="6" t="s">
        <v>194</v>
      </c>
      <c r="P64" s="6">
        <v>1</v>
      </c>
      <c r="Q64" s="6">
        <v>190</v>
      </c>
      <c r="S64" s="28"/>
      <c r="T64" s="6">
        <v>150</v>
      </c>
      <c r="U64" s="6" t="s">
        <v>287</v>
      </c>
      <c r="V64" s="6">
        <v>1</v>
      </c>
      <c r="W64" s="6">
        <v>150</v>
      </c>
    </row>
    <row r="65" spans="1:23" x14ac:dyDescent="0.2">
      <c r="B65" s="3"/>
      <c r="G65" s="29"/>
      <c r="H65" s="11">
        <v>115</v>
      </c>
      <c r="I65" s="11" t="s">
        <v>118</v>
      </c>
      <c r="J65" s="11">
        <v>1</v>
      </c>
      <c r="K65" s="11">
        <v>115</v>
      </c>
      <c r="M65" s="30"/>
      <c r="N65" s="14">
        <v>190</v>
      </c>
      <c r="O65" s="14" t="s">
        <v>195</v>
      </c>
      <c r="P65" s="6">
        <v>1</v>
      </c>
      <c r="Q65" s="14">
        <v>190</v>
      </c>
      <c r="S65" s="24"/>
      <c r="T65" s="6">
        <v>150</v>
      </c>
      <c r="U65" s="6" t="s">
        <v>288</v>
      </c>
      <c r="V65" s="6">
        <v>1</v>
      </c>
      <c r="W65" s="6">
        <v>150</v>
      </c>
    </row>
    <row r="66" spans="1:23" x14ac:dyDescent="0.2">
      <c r="A66" s="16" t="s">
        <v>55</v>
      </c>
      <c r="B66" s="16"/>
      <c r="C66" s="16"/>
      <c r="D66" s="16"/>
      <c r="E66" s="16"/>
      <c r="G66" s="9" t="s">
        <v>23</v>
      </c>
      <c r="H66" s="12">
        <f>SUM(H51:H65)</f>
        <v>1665</v>
      </c>
      <c r="M66" s="30"/>
      <c r="N66" s="14">
        <v>230</v>
      </c>
      <c r="O66" s="14" t="s">
        <v>196</v>
      </c>
      <c r="P66" s="6">
        <v>1</v>
      </c>
      <c r="Q66" s="14">
        <v>230</v>
      </c>
      <c r="S66" s="20">
        <v>3</v>
      </c>
      <c r="T66" s="4">
        <v>110</v>
      </c>
      <c r="U66" s="4" t="s">
        <v>289</v>
      </c>
      <c r="V66" s="4">
        <v>1</v>
      </c>
      <c r="W66" s="4">
        <v>110</v>
      </c>
    </row>
    <row r="67" spans="1:23" x14ac:dyDescent="0.2">
      <c r="A67" s="4" t="s">
        <v>8</v>
      </c>
      <c r="B67" s="4" t="s">
        <v>7</v>
      </c>
      <c r="C67" s="4" t="s">
        <v>6</v>
      </c>
      <c r="D67" s="4" t="s">
        <v>5</v>
      </c>
      <c r="E67" s="4" t="s">
        <v>4</v>
      </c>
      <c r="G67" s="10"/>
      <c r="H67" s="15"/>
      <c r="M67" s="16">
        <v>3</v>
      </c>
      <c r="N67" s="13">
        <v>230</v>
      </c>
      <c r="O67" s="13" t="s">
        <v>197</v>
      </c>
      <c r="P67" s="4">
        <v>1</v>
      </c>
      <c r="Q67" s="13">
        <v>230</v>
      </c>
      <c r="S67" s="21"/>
      <c r="T67" s="4">
        <v>120</v>
      </c>
      <c r="U67" s="4" t="s">
        <v>290</v>
      </c>
      <c r="V67" s="4">
        <v>1</v>
      </c>
      <c r="W67" s="4">
        <v>120</v>
      </c>
    </row>
    <row r="68" spans="1:23" x14ac:dyDescent="0.2">
      <c r="A68" s="20">
        <v>1</v>
      </c>
      <c r="B68" s="4">
        <v>30</v>
      </c>
      <c r="C68" s="4" t="s">
        <v>56</v>
      </c>
      <c r="D68" s="4">
        <v>3</v>
      </c>
      <c r="E68" s="4">
        <v>10</v>
      </c>
      <c r="G68" s="10"/>
      <c r="M68" s="16"/>
      <c r="N68" s="13">
        <v>250</v>
      </c>
      <c r="O68" s="13" t="s">
        <v>198</v>
      </c>
      <c r="P68" s="4">
        <v>1</v>
      </c>
      <c r="Q68" s="13">
        <v>250</v>
      </c>
      <c r="S68" s="21"/>
      <c r="T68" s="4">
        <v>145</v>
      </c>
      <c r="U68" s="4" t="s">
        <v>291</v>
      </c>
      <c r="V68" s="4">
        <v>1</v>
      </c>
      <c r="W68" s="4">
        <v>145</v>
      </c>
    </row>
    <row r="69" spans="1:23" x14ac:dyDescent="0.2">
      <c r="A69" s="21"/>
      <c r="B69" s="4">
        <v>450</v>
      </c>
      <c r="C69" s="4" t="s">
        <v>57</v>
      </c>
      <c r="D69" s="4">
        <v>3</v>
      </c>
      <c r="E69" s="4">
        <v>150</v>
      </c>
      <c r="G69" s="16" t="s">
        <v>119</v>
      </c>
      <c r="H69" s="16"/>
      <c r="I69" s="16"/>
      <c r="J69" s="16"/>
      <c r="K69" s="16"/>
      <c r="M69" s="16"/>
      <c r="N69" s="13">
        <v>160</v>
      </c>
      <c r="O69" s="13" t="s">
        <v>199</v>
      </c>
      <c r="P69" s="4">
        <v>1</v>
      </c>
      <c r="Q69" s="13">
        <v>160</v>
      </c>
      <c r="S69" s="21"/>
      <c r="T69" s="4">
        <v>170</v>
      </c>
      <c r="U69" s="4" t="s">
        <v>292</v>
      </c>
      <c r="V69" s="4">
        <v>1</v>
      </c>
      <c r="W69" s="4">
        <v>170</v>
      </c>
    </row>
    <row r="70" spans="1:23" x14ac:dyDescent="0.2">
      <c r="A70" s="21"/>
      <c r="B70" s="4">
        <v>450</v>
      </c>
      <c r="C70" s="4" t="s">
        <v>58</v>
      </c>
      <c r="D70" s="4">
        <v>3</v>
      </c>
      <c r="E70" s="4">
        <v>150</v>
      </c>
      <c r="G70" s="4" t="s">
        <v>8</v>
      </c>
      <c r="H70" s="4" t="s">
        <v>7</v>
      </c>
      <c r="I70" s="4" t="s">
        <v>6</v>
      </c>
      <c r="J70" s="4" t="s">
        <v>5</v>
      </c>
      <c r="K70" s="4" t="s">
        <v>4</v>
      </c>
      <c r="M70" s="16"/>
      <c r="N70" s="13">
        <v>125</v>
      </c>
      <c r="O70" s="13" t="s">
        <v>200</v>
      </c>
      <c r="P70" s="4">
        <v>1</v>
      </c>
      <c r="Q70" s="13">
        <v>125</v>
      </c>
      <c r="S70" s="21"/>
      <c r="T70" s="4">
        <v>190</v>
      </c>
      <c r="U70" s="4" t="s">
        <v>293</v>
      </c>
      <c r="V70" s="4">
        <v>1</v>
      </c>
      <c r="W70" s="4">
        <v>190</v>
      </c>
    </row>
    <row r="71" spans="1:23" x14ac:dyDescent="0.2">
      <c r="A71" s="21"/>
      <c r="B71" s="4">
        <v>345</v>
      </c>
      <c r="C71" s="4" t="s">
        <v>59</v>
      </c>
      <c r="D71" s="4">
        <v>3</v>
      </c>
      <c r="E71" s="4">
        <v>115</v>
      </c>
      <c r="G71" s="20">
        <v>1</v>
      </c>
      <c r="H71" s="4">
        <v>165</v>
      </c>
      <c r="I71" s="4" t="s">
        <v>120</v>
      </c>
      <c r="J71" s="4">
        <v>1</v>
      </c>
      <c r="K71" s="4">
        <v>165</v>
      </c>
      <c r="M71" s="16"/>
      <c r="N71" s="13">
        <v>125</v>
      </c>
      <c r="O71" s="13" t="s">
        <v>201</v>
      </c>
      <c r="P71" s="4">
        <v>1</v>
      </c>
      <c r="Q71" s="13">
        <v>125</v>
      </c>
      <c r="S71" s="21"/>
      <c r="T71" s="4">
        <v>150</v>
      </c>
      <c r="U71" s="4" t="s">
        <v>294</v>
      </c>
      <c r="V71" s="4">
        <v>1</v>
      </c>
      <c r="W71" s="4">
        <v>150</v>
      </c>
    </row>
    <row r="72" spans="1:23" x14ac:dyDescent="0.2">
      <c r="A72" s="22"/>
      <c r="B72" s="4">
        <v>345</v>
      </c>
      <c r="C72" s="4" t="s">
        <v>60</v>
      </c>
      <c r="D72" s="4">
        <v>3</v>
      </c>
      <c r="E72" s="4">
        <v>115</v>
      </c>
      <c r="G72" s="21"/>
      <c r="H72" s="4">
        <v>165</v>
      </c>
      <c r="I72" s="4" t="s">
        <v>121</v>
      </c>
      <c r="J72" s="4">
        <v>1</v>
      </c>
      <c r="K72" s="4">
        <v>165</v>
      </c>
      <c r="M72" s="16"/>
      <c r="N72" s="13">
        <v>125</v>
      </c>
      <c r="O72" s="13" t="s">
        <v>202</v>
      </c>
      <c r="P72" s="4">
        <v>1</v>
      </c>
      <c r="Q72" s="13">
        <v>125</v>
      </c>
      <c r="S72" s="21"/>
      <c r="T72" s="4">
        <v>180</v>
      </c>
      <c r="U72" s="4" t="s">
        <v>295</v>
      </c>
      <c r="V72" s="4">
        <v>1</v>
      </c>
      <c r="W72" s="4">
        <v>180</v>
      </c>
    </row>
    <row r="73" spans="1:23" x14ac:dyDescent="0.2">
      <c r="A73" s="25">
        <v>2</v>
      </c>
      <c r="B73" s="11">
        <v>450</v>
      </c>
      <c r="C73" s="11" t="s">
        <v>63</v>
      </c>
      <c r="D73" s="11">
        <v>3</v>
      </c>
      <c r="E73" s="11">
        <v>150</v>
      </c>
      <c r="G73" s="21"/>
      <c r="H73" s="4">
        <v>165</v>
      </c>
      <c r="I73" s="4" t="s">
        <v>122</v>
      </c>
      <c r="J73" s="4">
        <v>1</v>
      </c>
      <c r="K73" s="4">
        <v>165</v>
      </c>
      <c r="M73" s="16"/>
      <c r="N73" s="13">
        <v>125</v>
      </c>
      <c r="O73" s="13" t="s">
        <v>203</v>
      </c>
      <c r="P73" s="4">
        <v>1</v>
      </c>
      <c r="Q73" s="13">
        <v>125</v>
      </c>
      <c r="S73" s="21"/>
      <c r="T73" s="4">
        <v>195</v>
      </c>
      <c r="U73" s="4" t="s">
        <v>296</v>
      </c>
      <c r="V73" s="4">
        <v>1</v>
      </c>
      <c r="W73" s="4">
        <v>195</v>
      </c>
    </row>
    <row r="74" spans="1:23" x14ac:dyDescent="0.2">
      <c r="A74" s="26"/>
      <c r="B74" s="11">
        <v>345</v>
      </c>
      <c r="C74" s="11" t="s">
        <v>61</v>
      </c>
      <c r="D74" s="11">
        <v>3</v>
      </c>
      <c r="E74" s="11">
        <v>115</v>
      </c>
      <c r="G74" s="21"/>
      <c r="H74" s="4">
        <v>130</v>
      </c>
      <c r="I74" s="4" t="s">
        <v>123</v>
      </c>
      <c r="J74" s="4">
        <v>1</v>
      </c>
      <c r="K74" s="4">
        <v>130</v>
      </c>
      <c r="M74" s="16"/>
      <c r="N74" s="13">
        <v>125</v>
      </c>
      <c r="O74" s="13" t="s">
        <v>204</v>
      </c>
      <c r="P74" s="4">
        <v>1</v>
      </c>
      <c r="Q74" s="13">
        <v>125</v>
      </c>
      <c r="S74" s="21"/>
      <c r="T74" s="4">
        <v>155</v>
      </c>
      <c r="U74" s="4" t="s">
        <v>297</v>
      </c>
      <c r="V74" s="4">
        <v>1</v>
      </c>
      <c r="W74" s="4">
        <v>155</v>
      </c>
    </row>
    <row r="75" spans="1:23" x14ac:dyDescent="0.2">
      <c r="A75" s="26"/>
      <c r="B75" s="11">
        <v>345</v>
      </c>
      <c r="C75" s="11" t="s">
        <v>62</v>
      </c>
      <c r="D75" s="11">
        <v>3</v>
      </c>
      <c r="E75" s="11">
        <v>115</v>
      </c>
      <c r="G75" s="21"/>
      <c r="H75" s="4">
        <v>130</v>
      </c>
      <c r="I75" s="4" t="s">
        <v>124</v>
      </c>
      <c r="J75" s="4">
        <v>1</v>
      </c>
      <c r="K75" s="4">
        <v>130</v>
      </c>
      <c r="M75" s="16"/>
      <c r="N75" s="4">
        <v>125</v>
      </c>
      <c r="O75" s="4" t="s">
        <v>205</v>
      </c>
      <c r="P75" s="4">
        <v>1</v>
      </c>
      <c r="Q75" s="4">
        <v>125</v>
      </c>
      <c r="S75" s="21"/>
      <c r="T75" s="4">
        <v>185</v>
      </c>
      <c r="U75" s="4" t="s">
        <v>298</v>
      </c>
      <c r="V75" s="4">
        <v>1</v>
      </c>
      <c r="W75" s="4">
        <v>185</v>
      </c>
    </row>
    <row r="76" spans="1:23" x14ac:dyDescent="0.2">
      <c r="A76" s="27"/>
      <c r="B76" s="11">
        <v>345</v>
      </c>
      <c r="C76" s="11" t="s">
        <v>60</v>
      </c>
      <c r="D76" s="11">
        <v>3</v>
      </c>
      <c r="E76" s="11">
        <v>115</v>
      </c>
      <c r="G76" s="21"/>
      <c r="H76" s="4">
        <v>135</v>
      </c>
      <c r="I76" s="4" t="s">
        <v>125</v>
      </c>
      <c r="J76" s="4">
        <v>1</v>
      </c>
      <c r="K76" s="4">
        <v>135</v>
      </c>
      <c r="M76" s="16"/>
      <c r="N76" s="4">
        <v>125</v>
      </c>
      <c r="O76" s="4" t="s">
        <v>206</v>
      </c>
      <c r="P76" s="4">
        <v>1</v>
      </c>
      <c r="Q76" s="4">
        <v>125</v>
      </c>
      <c r="S76" s="21"/>
      <c r="T76" s="4">
        <v>200</v>
      </c>
      <c r="U76" s="4" t="s">
        <v>299</v>
      </c>
      <c r="V76" s="4">
        <v>1</v>
      </c>
      <c r="W76" s="4">
        <v>200</v>
      </c>
    </row>
    <row r="77" spans="1:23" x14ac:dyDescent="0.2">
      <c r="A77" s="20">
        <v>3</v>
      </c>
      <c r="B77" s="4">
        <v>450</v>
      </c>
      <c r="C77" s="4" t="s">
        <v>64</v>
      </c>
      <c r="D77" s="4"/>
      <c r="E77" s="4">
        <v>150</v>
      </c>
      <c r="G77" s="21"/>
      <c r="H77" s="4">
        <v>85</v>
      </c>
      <c r="I77" s="4" t="s">
        <v>126</v>
      </c>
      <c r="J77" s="4">
        <v>1</v>
      </c>
      <c r="K77" s="4">
        <v>85</v>
      </c>
      <c r="M77" s="9" t="s">
        <v>23</v>
      </c>
      <c r="N77" s="12">
        <f>SUM(N47:N76)</f>
        <v>4365</v>
      </c>
      <c r="O77" s="2"/>
      <c r="P77" s="2"/>
      <c r="Q77" s="2"/>
      <c r="S77" s="21"/>
      <c r="T77" s="4">
        <v>160</v>
      </c>
      <c r="U77" s="4" t="s">
        <v>300</v>
      </c>
      <c r="V77" s="4">
        <v>1</v>
      </c>
      <c r="W77" s="4">
        <v>160</v>
      </c>
    </row>
    <row r="78" spans="1:23" x14ac:dyDescent="0.2">
      <c r="A78" s="21"/>
      <c r="B78" s="4">
        <v>345</v>
      </c>
      <c r="C78" s="4" t="s">
        <v>65</v>
      </c>
      <c r="D78" s="4"/>
      <c r="E78" s="4">
        <v>115</v>
      </c>
      <c r="G78" s="21"/>
      <c r="H78" s="8">
        <v>150</v>
      </c>
      <c r="I78" s="8" t="s">
        <v>127</v>
      </c>
      <c r="J78" s="8">
        <v>1</v>
      </c>
      <c r="K78" s="8">
        <v>150</v>
      </c>
      <c r="M78" s="10"/>
      <c r="N78" s="2"/>
      <c r="O78" s="2"/>
      <c r="P78" s="2"/>
      <c r="Q78" s="2"/>
      <c r="S78" s="21"/>
      <c r="T78" s="4">
        <v>160</v>
      </c>
      <c r="U78" s="4" t="s">
        <v>301</v>
      </c>
      <c r="V78" s="4">
        <v>1</v>
      </c>
      <c r="W78" s="4">
        <v>160</v>
      </c>
    </row>
    <row r="79" spans="1:23" x14ac:dyDescent="0.2">
      <c r="A79" s="21"/>
      <c r="B79" s="4">
        <v>360</v>
      </c>
      <c r="C79" s="4" t="s">
        <v>66</v>
      </c>
      <c r="D79" s="4"/>
      <c r="E79" s="4">
        <v>120</v>
      </c>
      <c r="G79" s="22"/>
      <c r="H79" s="4">
        <v>140</v>
      </c>
      <c r="I79" s="4" t="s">
        <v>128</v>
      </c>
      <c r="J79" s="4">
        <v>1</v>
      </c>
      <c r="K79" s="4">
        <v>140</v>
      </c>
      <c r="M79" s="10"/>
      <c r="N79" s="2"/>
      <c r="O79" s="2"/>
      <c r="P79" s="2"/>
      <c r="Q79" s="2"/>
      <c r="S79" s="21"/>
      <c r="T79" s="4">
        <v>160</v>
      </c>
      <c r="U79" s="4" t="s">
        <v>302</v>
      </c>
      <c r="V79" s="4">
        <v>1</v>
      </c>
      <c r="W79" s="4">
        <v>160</v>
      </c>
    </row>
    <row r="80" spans="1:23" x14ac:dyDescent="0.2">
      <c r="A80" s="22"/>
      <c r="B80" s="4">
        <v>480</v>
      </c>
      <c r="C80" s="4" t="s">
        <v>67</v>
      </c>
      <c r="D80" s="4"/>
      <c r="E80" s="4">
        <v>160</v>
      </c>
      <c r="G80" s="29">
        <v>2</v>
      </c>
      <c r="H80" s="11">
        <v>155</v>
      </c>
      <c r="I80" s="11" t="s">
        <v>129</v>
      </c>
      <c r="J80" s="11">
        <v>1</v>
      </c>
      <c r="K80" s="11">
        <v>155</v>
      </c>
      <c r="M80" s="16" t="s">
        <v>207</v>
      </c>
      <c r="N80" s="16"/>
      <c r="O80" s="16"/>
      <c r="P80" s="16"/>
      <c r="Q80" s="16"/>
      <c r="S80" s="21"/>
      <c r="T80" s="4">
        <v>160</v>
      </c>
      <c r="U80" s="4" t="s">
        <v>303</v>
      </c>
      <c r="V80" s="4">
        <v>1</v>
      </c>
      <c r="W80" s="4">
        <v>160</v>
      </c>
    </row>
    <row r="81" spans="1:23" x14ac:dyDescent="0.2">
      <c r="A81" s="4" t="s">
        <v>23</v>
      </c>
      <c r="B81" s="5">
        <f>SUM(B68:B80)</f>
        <v>4740</v>
      </c>
      <c r="G81" s="29"/>
      <c r="H81" s="11">
        <v>115</v>
      </c>
      <c r="I81" s="11" t="s">
        <v>130</v>
      </c>
      <c r="J81" s="11">
        <v>1</v>
      </c>
      <c r="K81" s="11">
        <v>115</v>
      </c>
      <c r="M81" s="4" t="s">
        <v>8</v>
      </c>
      <c r="N81" s="4" t="s">
        <v>7</v>
      </c>
      <c r="O81" s="4" t="s">
        <v>6</v>
      </c>
      <c r="P81" s="4" t="s">
        <v>5</v>
      </c>
      <c r="Q81" s="4" t="s">
        <v>4</v>
      </c>
      <c r="S81" s="21"/>
      <c r="T81" s="4">
        <v>160</v>
      </c>
      <c r="U81" s="4" t="s">
        <v>304</v>
      </c>
      <c r="V81" s="4">
        <v>1</v>
      </c>
      <c r="W81" s="4">
        <v>160</v>
      </c>
    </row>
    <row r="82" spans="1:23" x14ac:dyDescent="0.2">
      <c r="G82" s="29"/>
      <c r="H82" s="11">
        <v>125</v>
      </c>
      <c r="I82" s="11" t="s">
        <v>131</v>
      </c>
      <c r="J82" s="11">
        <v>1</v>
      </c>
      <c r="K82" s="11">
        <v>125</v>
      </c>
      <c r="M82" s="16">
        <v>1</v>
      </c>
      <c r="N82" s="4">
        <v>20</v>
      </c>
      <c r="O82" s="4" t="s">
        <v>208</v>
      </c>
      <c r="P82" s="4">
        <v>1</v>
      </c>
      <c r="Q82" s="4">
        <v>20</v>
      </c>
      <c r="S82" s="21"/>
      <c r="T82" s="4">
        <v>160</v>
      </c>
      <c r="U82" s="4" t="s">
        <v>305</v>
      </c>
      <c r="V82" s="4">
        <v>1</v>
      </c>
      <c r="W82" s="4">
        <v>160</v>
      </c>
    </row>
    <row r="83" spans="1:23" x14ac:dyDescent="0.2">
      <c r="G83" s="29"/>
      <c r="H83" s="11">
        <v>120</v>
      </c>
      <c r="I83" s="11" t="s">
        <v>132</v>
      </c>
      <c r="J83" s="11">
        <v>1</v>
      </c>
      <c r="K83" s="11">
        <v>120</v>
      </c>
      <c r="M83" s="16"/>
      <c r="N83" s="4">
        <v>20</v>
      </c>
      <c r="O83" s="4" t="s">
        <v>209</v>
      </c>
      <c r="P83" s="4">
        <v>1</v>
      </c>
      <c r="Q83" s="4">
        <v>20</v>
      </c>
      <c r="S83" s="21"/>
      <c r="T83" s="4">
        <v>160</v>
      </c>
      <c r="U83" s="4" t="s">
        <v>306</v>
      </c>
      <c r="V83" s="4">
        <v>1</v>
      </c>
      <c r="W83" s="4">
        <v>160</v>
      </c>
    </row>
    <row r="84" spans="1:23" x14ac:dyDescent="0.2">
      <c r="G84" s="29"/>
      <c r="H84" s="11">
        <v>230</v>
      </c>
      <c r="I84" s="11" t="s">
        <v>133</v>
      </c>
      <c r="J84" s="11">
        <v>1</v>
      </c>
      <c r="K84" s="11">
        <v>230</v>
      </c>
      <c r="M84" s="16"/>
      <c r="N84" s="4">
        <v>20</v>
      </c>
      <c r="O84" s="4" t="s">
        <v>210</v>
      </c>
      <c r="P84" s="4">
        <v>1</v>
      </c>
      <c r="Q84" s="4">
        <v>20</v>
      </c>
      <c r="S84" s="21"/>
      <c r="T84" s="4">
        <v>160</v>
      </c>
      <c r="U84" s="4" t="s">
        <v>307</v>
      </c>
      <c r="V84" s="4">
        <v>1</v>
      </c>
      <c r="W84" s="4">
        <v>160</v>
      </c>
    </row>
    <row r="85" spans="1:23" x14ac:dyDescent="0.2">
      <c r="G85" s="29"/>
      <c r="H85" s="11">
        <v>160</v>
      </c>
      <c r="I85" s="11" t="s">
        <v>134</v>
      </c>
      <c r="J85" s="11">
        <v>1</v>
      </c>
      <c r="K85" s="11">
        <v>160</v>
      </c>
      <c r="M85" s="16"/>
      <c r="N85" s="4">
        <v>130</v>
      </c>
      <c r="O85" s="4" t="s">
        <v>211</v>
      </c>
      <c r="P85" s="4">
        <v>1</v>
      </c>
      <c r="Q85" s="4">
        <v>130</v>
      </c>
      <c r="S85" s="21"/>
      <c r="T85" s="4">
        <v>160</v>
      </c>
      <c r="U85" s="4" t="s">
        <v>308</v>
      </c>
      <c r="V85" s="4">
        <v>1</v>
      </c>
      <c r="W85" s="4">
        <v>160</v>
      </c>
    </row>
    <row r="86" spans="1:23" x14ac:dyDescent="0.2">
      <c r="G86" s="29"/>
      <c r="H86" s="11">
        <v>250</v>
      </c>
      <c r="I86" s="11" t="s">
        <v>135</v>
      </c>
      <c r="J86" s="11">
        <v>1</v>
      </c>
      <c r="K86" s="11">
        <v>250</v>
      </c>
      <c r="M86" s="16"/>
      <c r="N86" s="4">
        <v>110</v>
      </c>
      <c r="O86" s="4" t="s">
        <v>215</v>
      </c>
      <c r="P86" s="4">
        <v>1</v>
      </c>
      <c r="Q86" s="4">
        <v>110</v>
      </c>
      <c r="S86" s="21"/>
      <c r="T86" s="4">
        <v>150</v>
      </c>
      <c r="U86" s="4" t="s">
        <v>309</v>
      </c>
      <c r="V86" s="4">
        <v>1</v>
      </c>
      <c r="W86" s="4">
        <v>150</v>
      </c>
    </row>
    <row r="87" spans="1:23" x14ac:dyDescent="0.2">
      <c r="G87" s="29"/>
      <c r="H87" s="11">
        <v>125</v>
      </c>
      <c r="I87" s="11" t="s">
        <v>136</v>
      </c>
      <c r="J87" s="11">
        <v>1</v>
      </c>
      <c r="K87" s="11">
        <v>125</v>
      </c>
      <c r="M87" s="16"/>
      <c r="N87" s="4">
        <v>135</v>
      </c>
      <c r="O87" s="4" t="s">
        <v>216</v>
      </c>
      <c r="P87" s="4">
        <v>1</v>
      </c>
      <c r="Q87" s="4">
        <v>135</v>
      </c>
      <c r="S87" s="21"/>
      <c r="T87" s="4">
        <v>150</v>
      </c>
      <c r="U87" s="4" t="s">
        <v>310</v>
      </c>
      <c r="V87" s="4">
        <v>1</v>
      </c>
      <c r="W87" s="4">
        <v>150</v>
      </c>
    </row>
    <row r="88" spans="1:23" x14ac:dyDescent="0.2">
      <c r="G88" s="9" t="s">
        <v>23</v>
      </c>
      <c r="H88" s="12">
        <f>SUM(H71:H85)</f>
        <v>2170</v>
      </c>
      <c r="M88" s="16"/>
      <c r="N88" s="4">
        <v>125</v>
      </c>
      <c r="O88" s="4" t="s">
        <v>217</v>
      </c>
      <c r="P88" s="4">
        <v>1</v>
      </c>
      <c r="Q88" s="4">
        <v>125</v>
      </c>
      <c r="S88" s="21"/>
      <c r="T88" s="4">
        <v>150</v>
      </c>
      <c r="U88" s="4" t="s">
        <v>311</v>
      </c>
      <c r="V88" s="4">
        <v>1</v>
      </c>
      <c r="W88" s="4">
        <v>150</v>
      </c>
    </row>
    <row r="89" spans="1:23" x14ac:dyDescent="0.2">
      <c r="M89" s="16"/>
      <c r="N89" s="4">
        <v>190</v>
      </c>
      <c r="O89" s="4" t="s">
        <v>218</v>
      </c>
      <c r="P89" s="4">
        <v>1</v>
      </c>
      <c r="Q89" s="4">
        <v>190</v>
      </c>
      <c r="S89" s="21"/>
      <c r="T89" s="4">
        <v>150</v>
      </c>
      <c r="U89" s="4" t="s">
        <v>312</v>
      </c>
      <c r="V89" s="4">
        <v>1</v>
      </c>
      <c r="W89" s="4">
        <v>150</v>
      </c>
    </row>
    <row r="90" spans="1:23" x14ac:dyDescent="0.2">
      <c r="M90" s="16"/>
      <c r="N90" s="4">
        <v>125</v>
      </c>
      <c r="O90" s="4" t="s">
        <v>219</v>
      </c>
      <c r="P90" s="4">
        <v>1</v>
      </c>
      <c r="Q90" s="4">
        <v>125</v>
      </c>
      <c r="S90" s="21"/>
      <c r="T90" s="4">
        <v>115</v>
      </c>
      <c r="U90" s="4" t="s">
        <v>313</v>
      </c>
      <c r="V90" s="4">
        <v>1</v>
      </c>
      <c r="W90" s="4">
        <v>115</v>
      </c>
    </row>
    <row r="91" spans="1:23" x14ac:dyDescent="0.2">
      <c r="M91" s="16"/>
      <c r="N91" s="4">
        <v>125</v>
      </c>
      <c r="O91" s="4" t="s">
        <v>220</v>
      </c>
      <c r="P91" s="4">
        <v>1</v>
      </c>
      <c r="Q91" s="4">
        <v>125</v>
      </c>
      <c r="S91" s="21"/>
      <c r="T91" s="4">
        <v>115</v>
      </c>
      <c r="U91" s="4" t="s">
        <v>314</v>
      </c>
      <c r="V91" s="4">
        <v>1</v>
      </c>
      <c r="W91" s="4">
        <v>115</v>
      </c>
    </row>
    <row r="92" spans="1:23" x14ac:dyDescent="0.2">
      <c r="M92" s="16"/>
      <c r="N92" s="4">
        <v>125</v>
      </c>
      <c r="O92" s="4" t="s">
        <v>221</v>
      </c>
      <c r="P92" s="4">
        <v>1</v>
      </c>
      <c r="Q92" s="4">
        <v>125</v>
      </c>
      <c r="S92" s="21"/>
      <c r="T92" s="4">
        <v>125</v>
      </c>
      <c r="U92" s="4" t="s">
        <v>315</v>
      </c>
      <c r="V92" s="4">
        <v>1</v>
      </c>
      <c r="W92" s="4">
        <v>125</v>
      </c>
    </row>
    <row r="93" spans="1:23" x14ac:dyDescent="0.2">
      <c r="M93" s="16"/>
      <c r="N93" s="4">
        <v>125</v>
      </c>
      <c r="O93" s="4" t="s">
        <v>222</v>
      </c>
      <c r="P93" s="4">
        <v>1</v>
      </c>
      <c r="Q93" s="4">
        <v>125</v>
      </c>
      <c r="S93" s="21"/>
      <c r="T93" s="4">
        <v>125</v>
      </c>
      <c r="U93" s="4" t="s">
        <v>316</v>
      </c>
      <c r="V93" s="4">
        <v>1</v>
      </c>
      <c r="W93" s="4">
        <v>125</v>
      </c>
    </row>
    <row r="94" spans="1:23" x14ac:dyDescent="0.2">
      <c r="M94" s="16"/>
      <c r="N94" s="4">
        <v>110</v>
      </c>
      <c r="O94" s="4" t="s">
        <v>223</v>
      </c>
      <c r="P94" s="4">
        <v>1</v>
      </c>
      <c r="Q94" s="4">
        <v>110</v>
      </c>
      <c r="S94" s="21"/>
      <c r="T94" s="4">
        <v>120</v>
      </c>
      <c r="U94" s="4" t="s">
        <v>317</v>
      </c>
      <c r="V94" s="4">
        <v>1</v>
      </c>
      <c r="W94" s="4">
        <v>120</v>
      </c>
    </row>
    <row r="95" spans="1:23" x14ac:dyDescent="0.2">
      <c r="M95" s="16"/>
      <c r="N95" s="4">
        <v>130</v>
      </c>
      <c r="O95" s="4" t="s">
        <v>224</v>
      </c>
      <c r="P95" s="4">
        <v>1</v>
      </c>
      <c r="Q95" s="4">
        <v>130</v>
      </c>
      <c r="S95" s="21"/>
      <c r="T95" s="4">
        <v>120</v>
      </c>
      <c r="U95" s="4" t="s">
        <v>318</v>
      </c>
      <c r="V95" s="4">
        <v>1</v>
      </c>
      <c r="W95" s="4">
        <v>120</v>
      </c>
    </row>
    <row r="96" spans="1:23" x14ac:dyDescent="0.2">
      <c r="M96" s="16"/>
      <c r="N96" s="4">
        <v>135</v>
      </c>
      <c r="O96" s="4" t="s">
        <v>225</v>
      </c>
      <c r="P96" s="4">
        <v>1</v>
      </c>
      <c r="Q96" s="4">
        <v>135</v>
      </c>
      <c r="S96" s="22"/>
      <c r="T96" s="4">
        <v>190</v>
      </c>
      <c r="U96" s="4" t="s">
        <v>319</v>
      </c>
      <c r="V96" s="4">
        <v>1</v>
      </c>
      <c r="W96" s="4">
        <v>190</v>
      </c>
    </row>
    <row r="97" spans="13:23" x14ac:dyDescent="0.2">
      <c r="M97" s="16"/>
      <c r="N97" s="4">
        <v>135</v>
      </c>
      <c r="O97" s="4" t="s">
        <v>226</v>
      </c>
      <c r="P97" s="4">
        <v>1</v>
      </c>
      <c r="Q97" s="4">
        <v>135</v>
      </c>
      <c r="S97" s="23">
        <v>4</v>
      </c>
      <c r="T97" s="6">
        <v>190</v>
      </c>
      <c r="U97" s="6" t="s">
        <v>320</v>
      </c>
      <c r="V97" s="6">
        <v>1</v>
      </c>
      <c r="W97" s="6">
        <v>190</v>
      </c>
    </row>
    <row r="98" spans="13:23" x14ac:dyDescent="0.2">
      <c r="M98" s="16"/>
      <c r="N98" s="4">
        <v>130</v>
      </c>
      <c r="O98" s="4" t="s">
        <v>227</v>
      </c>
      <c r="P98" s="4">
        <v>1</v>
      </c>
      <c r="Q98" s="4">
        <v>130</v>
      </c>
      <c r="S98" s="28"/>
      <c r="T98" s="6">
        <v>190</v>
      </c>
      <c r="U98" s="6" t="s">
        <v>321</v>
      </c>
      <c r="V98" s="6">
        <v>1</v>
      </c>
      <c r="W98" s="6">
        <v>190</v>
      </c>
    </row>
    <row r="99" spans="13:23" x14ac:dyDescent="0.2">
      <c r="M99" s="16"/>
      <c r="N99" s="4">
        <v>135</v>
      </c>
      <c r="O99" s="4" t="s">
        <v>228</v>
      </c>
      <c r="P99" s="4">
        <v>1</v>
      </c>
      <c r="Q99" s="4">
        <v>135</v>
      </c>
      <c r="S99" s="28"/>
      <c r="T99" s="6">
        <v>230</v>
      </c>
      <c r="U99" s="6" t="s">
        <v>322</v>
      </c>
      <c r="V99" s="6">
        <v>1</v>
      </c>
      <c r="W99" s="6">
        <v>230</v>
      </c>
    </row>
    <row r="100" spans="13:23" x14ac:dyDescent="0.2">
      <c r="M100" s="16"/>
      <c r="N100" s="4">
        <v>135</v>
      </c>
      <c r="O100" s="13" t="s">
        <v>229</v>
      </c>
      <c r="P100" s="4">
        <v>1</v>
      </c>
      <c r="Q100" s="4">
        <v>135</v>
      </c>
      <c r="S100" s="28"/>
      <c r="T100" s="6">
        <v>230</v>
      </c>
      <c r="U100" s="6" t="s">
        <v>323</v>
      </c>
      <c r="V100" s="6">
        <v>1</v>
      </c>
      <c r="W100" s="6">
        <v>230</v>
      </c>
    </row>
    <row r="101" spans="13:23" x14ac:dyDescent="0.2">
      <c r="M101" s="9" t="s">
        <v>23</v>
      </c>
      <c r="N101" s="12">
        <f>SUM(N82:N100)</f>
        <v>2160</v>
      </c>
      <c r="O101" s="15"/>
      <c r="P101" s="2"/>
      <c r="Q101" s="15"/>
      <c r="S101" s="28"/>
      <c r="T101" s="6">
        <v>230</v>
      </c>
      <c r="U101" s="6" t="s">
        <v>324</v>
      </c>
      <c r="V101" s="6">
        <v>1</v>
      </c>
      <c r="W101" s="6">
        <v>230</v>
      </c>
    </row>
    <row r="102" spans="13:23" x14ac:dyDescent="0.2">
      <c r="S102" s="28"/>
      <c r="T102" s="6">
        <v>160</v>
      </c>
      <c r="U102" s="6" t="s">
        <v>325</v>
      </c>
      <c r="V102" s="6">
        <v>1</v>
      </c>
      <c r="W102" s="6">
        <v>160</v>
      </c>
    </row>
    <row r="103" spans="13:23" x14ac:dyDescent="0.2">
      <c r="S103" s="28"/>
      <c r="T103" s="6">
        <v>160</v>
      </c>
      <c r="U103" s="6" t="s">
        <v>326</v>
      </c>
      <c r="V103" s="6">
        <v>1</v>
      </c>
      <c r="W103" s="6">
        <v>160</v>
      </c>
    </row>
    <row r="104" spans="13:23" x14ac:dyDescent="0.2">
      <c r="S104" s="28"/>
      <c r="T104" s="6">
        <v>250</v>
      </c>
      <c r="U104" s="6" t="s">
        <v>327</v>
      </c>
      <c r="V104" s="6">
        <v>1</v>
      </c>
      <c r="W104" s="6">
        <v>250</v>
      </c>
    </row>
    <row r="105" spans="13:23" x14ac:dyDescent="0.2">
      <c r="S105" s="28"/>
      <c r="T105" s="6">
        <v>250</v>
      </c>
      <c r="U105" s="6" t="s">
        <v>328</v>
      </c>
      <c r="V105" s="6">
        <v>1</v>
      </c>
      <c r="W105" s="6">
        <v>250</v>
      </c>
    </row>
    <row r="106" spans="13:23" x14ac:dyDescent="0.2">
      <c r="S106" s="28"/>
      <c r="T106" s="6">
        <v>250</v>
      </c>
      <c r="U106" s="6" t="s">
        <v>329</v>
      </c>
      <c r="V106" s="6">
        <v>1</v>
      </c>
      <c r="W106" s="6">
        <v>250</v>
      </c>
    </row>
    <row r="107" spans="13:23" x14ac:dyDescent="0.2">
      <c r="S107" s="28"/>
      <c r="T107" s="6">
        <v>270</v>
      </c>
      <c r="U107" s="6" t="s">
        <v>330</v>
      </c>
      <c r="V107" s="6">
        <v>1</v>
      </c>
      <c r="W107" s="6">
        <v>270</v>
      </c>
    </row>
    <row r="108" spans="13:23" x14ac:dyDescent="0.2">
      <c r="S108" s="28"/>
      <c r="T108" s="6">
        <v>270</v>
      </c>
      <c r="U108" s="6" t="s">
        <v>331</v>
      </c>
      <c r="V108" s="6">
        <v>1</v>
      </c>
      <c r="W108" s="6">
        <v>270</v>
      </c>
    </row>
    <row r="109" spans="13:23" x14ac:dyDescent="0.2">
      <c r="S109" s="28"/>
      <c r="T109" s="6">
        <v>270</v>
      </c>
      <c r="U109" s="6" t="s">
        <v>332</v>
      </c>
      <c r="V109" s="6">
        <v>1</v>
      </c>
      <c r="W109" s="6">
        <v>270</v>
      </c>
    </row>
    <row r="110" spans="13:23" x14ac:dyDescent="0.2">
      <c r="S110" s="28"/>
      <c r="T110" s="6">
        <v>270</v>
      </c>
      <c r="U110" s="6" t="s">
        <v>333</v>
      </c>
      <c r="V110" s="6">
        <v>1</v>
      </c>
      <c r="W110" s="6">
        <v>270</v>
      </c>
    </row>
    <row r="111" spans="13:23" x14ac:dyDescent="0.2">
      <c r="S111" s="28"/>
      <c r="T111" s="6">
        <v>160</v>
      </c>
      <c r="U111" s="6" t="s">
        <v>334</v>
      </c>
      <c r="V111" s="6">
        <v>1</v>
      </c>
      <c r="W111" s="6">
        <v>160</v>
      </c>
    </row>
    <row r="112" spans="13:23" x14ac:dyDescent="0.2">
      <c r="S112" s="28"/>
      <c r="T112" s="6">
        <v>125</v>
      </c>
      <c r="U112" s="6" t="s">
        <v>335</v>
      </c>
      <c r="V112" s="6">
        <v>1</v>
      </c>
      <c r="W112" s="6">
        <v>125</v>
      </c>
    </row>
    <row r="113" spans="19:23" x14ac:dyDescent="0.2">
      <c r="S113" s="28"/>
      <c r="T113" s="6">
        <v>125</v>
      </c>
      <c r="U113" s="6" t="s">
        <v>336</v>
      </c>
      <c r="V113" s="6">
        <v>1</v>
      </c>
      <c r="W113" s="6">
        <v>125</v>
      </c>
    </row>
    <row r="114" spans="19:23" x14ac:dyDescent="0.2">
      <c r="S114" s="28"/>
      <c r="T114" s="6">
        <v>125</v>
      </c>
      <c r="U114" s="6" t="s">
        <v>337</v>
      </c>
      <c r="V114" s="6">
        <v>1</v>
      </c>
      <c r="W114" s="6">
        <v>125</v>
      </c>
    </row>
    <row r="115" spans="19:23" x14ac:dyDescent="0.2">
      <c r="S115" s="28"/>
      <c r="T115" s="6">
        <v>125</v>
      </c>
      <c r="U115" s="6" t="s">
        <v>338</v>
      </c>
      <c r="V115" s="6">
        <v>1</v>
      </c>
      <c r="W115" s="6">
        <v>125</v>
      </c>
    </row>
    <row r="116" spans="19:23" x14ac:dyDescent="0.2">
      <c r="S116" s="28"/>
      <c r="T116" s="6">
        <v>125</v>
      </c>
      <c r="U116" s="6" t="s">
        <v>339</v>
      </c>
      <c r="V116" s="6">
        <v>1</v>
      </c>
      <c r="W116" s="6">
        <v>125</v>
      </c>
    </row>
    <row r="117" spans="19:23" x14ac:dyDescent="0.2">
      <c r="S117" s="28"/>
      <c r="T117" s="6">
        <v>125</v>
      </c>
      <c r="U117" s="6" t="s">
        <v>340</v>
      </c>
      <c r="V117" s="6">
        <v>1</v>
      </c>
      <c r="W117" s="6">
        <v>125</v>
      </c>
    </row>
    <row r="118" spans="19:23" x14ac:dyDescent="0.2">
      <c r="S118" s="28"/>
      <c r="T118" s="6">
        <v>130</v>
      </c>
      <c r="U118" s="6" t="s">
        <v>341</v>
      </c>
      <c r="V118" s="6">
        <v>1</v>
      </c>
      <c r="W118" s="6">
        <v>130</v>
      </c>
    </row>
    <row r="119" spans="19:23" x14ac:dyDescent="0.2">
      <c r="S119" s="28"/>
      <c r="T119" s="6">
        <v>130</v>
      </c>
      <c r="U119" s="6" t="s">
        <v>342</v>
      </c>
      <c r="V119" s="6">
        <v>1</v>
      </c>
      <c r="W119" s="6">
        <v>130</v>
      </c>
    </row>
    <row r="120" spans="19:23" x14ac:dyDescent="0.2">
      <c r="S120" s="28"/>
      <c r="T120" s="6">
        <v>150</v>
      </c>
      <c r="U120" s="6" t="s">
        <v>343</v>
      </c>
      <c r="V120" s="6">
        <v>1</v>
      </c>
      <c r="W120" s="6">
        <v>150</v>
      </c>
    </row>
    <row r="121" spans="19:23" x14ac:dyDescent="0.2">
      <c r="S121" s="28"/>
      <c r="T121" s="6">
        <v>125</v>
      </c>
      <c r="U121" s="6" t="s">
        <v>344</v>
      </c>
      <c r="V121" s="6">
        <v>1</v>
      </c>
      <c r="W121" s="6">
        <v>125</v>
      </c>
    </row>
    <row r="122" spans="19:23" x14ac:dyDescent="0.2">
      <c r="S122" s="28"/>
      <c r="T122" s="6">
        <v>140</v>
      </c>
      <c r="U122" s="6" t="s">
        <v>345</v>
      </c>
      <c r="V122" s="6">
        <v>1</v>
      </c>
      <c r="W122" s="6">
        <v>140</v>
      </c>
    </row>
    <row r="123" spans="19:23" x14ac:dyDescent="0.2">
      <c r="S123" s="24"/>
      <c r="T123" s="6">
        <v>140</v>
      </c>
      <c r="U123" s="6" t="s">
        <v>346</v>
      </c>
      <c r="V123" s="6">
        <v>1</v>
      </c>
      <c r="W123" s="6">
        <v>140</v>
      </c>
    </row>
    <row r="124" spans="19:23" x14ac:dyDescent="0.2">
      <c r="S124" s="4" t="s">
        <v>23</v>
      </c>
      <c r="T124" s="4">
        <f>SUM(T4:T123)</f>
        <v>19215</v>
      </c>
    </row>
  </sheetData>
  <mergeCells count="49">
    <mergeCell ref="S97:S123"/>
    <mergeCell ref="M82:M100"/>
    <mergeCell ref="S2:W2"/>
    <mergeCell ref="S4:S33"/>
    <mergeCell ref="S34:S65"/>
    <mergeCell ref="S66:S96"/>
    <mergeCell ref="M45:Q45"/>
    <mergeCell ref="M47:M58"/>
    <mergeCell ref="M59:M66"/>
    <mergeCell ref="M67:M76"/>
    <mergeCell ref="M2:Q2"/>
    <mergeCell ref="M4:M14"/>
    <mergeCell ref="M15:M23"/>
    <mergeCell ref="M24:M31"/>
    <mergeCell ref="M32:M41"/>
    <mergeCell ref="M80:Q80"/>
    <mergeCell ref="G69:K69"/>
    <mergeCell ref="G71:G79"/>
    <mergeCell ref="G80:G87"/>
    <mergeCell ref="Z26:Z36"/>
    <mergeCell ref="G49:K49"/>
    <mergeCell ref="G51:G58"/>
    <mergeCell ref="G59:G65"/>
    <mergeCell ref="G4:G13"/>
    <mergeCell ref="Z9:AD9"/>
    <mergeCell ref="Z11:Z16"/>
    <mergeCell ref="Z17:Z21"/>
    <mergeCell ref="Z24:AD24"/>
    <mergeCell ref="A66:E66"/>
    <mergeCell ref="A68:A72"/>
    <mergeCell ref="A73:A76"/>
    <mergeCell ref="A77:A80"/>
    <mergeCell ref="G2:K2"/>
    <mergeCell ref="A54:E54"/>
    <mergeCell ref="A56:A62"/>
    <mergeCell ref="A25:A35"/>
    <mergeCell ref="A39:E39"/>
    <mergeCell ref="A41:A43"/>
    <mergeCell ref="A44:A45"/>
    <mergeCell ref="A47:A50"/>
    <mergeCell ref="A2:E2"/>
    <mergeCell ref="A23:E23"/>
    <mergeCell ref="A4:A6"/>
    <mergeCell ref="A7:A10"/>
    <mergeCell ref="A13:A14"/>
    <mergeCell ref="A15:A16"/>
    <mergeCell ref="A17:A18"/>
    <mergeCell ref="A19:A20"/>
    <mergeCell ref="A11:A1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03585F31-9DC2-48E0-9914-86181D33E5C8}"/>
</file>

<file path=customXml/itemProps2.xml><?xml version="1.0" encoding="utf-8"?>
<ds:datastoreItem xmlns:ds="http://schemas.openxmlformats.org/officeDocument/2006/customXml" ds:itemID="{02E6A68F-8E95-4E6C-B631-1DE9F04A9EB8}"/>
</file>

<file path=customXml/itemProps3.xml><?xml version="1.0" encoding="utf-8"?>
<ds:datastoreItem xmlns:ds="http://schemas.openxmlformats.org/officeDocument/2006/customXml" ds:itemID="{5C6E9184-4B15-4D79-800E-A02C06798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Corte - N e PE</vt:lpstr>
      <vt:lpstr>Plano de Corte - Fase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C. Pignata</dc:creator>
  <cp:lastModifiedBy>Francisco C. Pignata</cp:lastModifiedBy>
  <dcterms:created xsi:type="dcterms:W3CDTF">2026-02-16T16:13:32Z</dcterms:created>
  <dcterms:modified xsi:type="dcterms:W3CDTF">2026-02-18T13:33:36Z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