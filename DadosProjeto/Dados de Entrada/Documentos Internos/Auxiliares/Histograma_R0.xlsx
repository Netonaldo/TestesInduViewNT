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GERAL2\Comercial\Propostas\2025\SADA\Eber\Montagem Processo\Auxiliares\"/>
    </mc:Choice>
  </mc:AlternateContent>
  <xr:revisionPtr revIDLastSave="0" documentId="13_ncr:1_{17A9498B-42FB-4D62-A4BE-32EC07D86C42}" xr6:coauthVersionLast="47" xr6:coauthVersionMax="47" xr10:uidLastSave="{00000000-0000-0000-0000-000000000000}"/>
  <bookViews>
    <workbookView xWindow="-120" yWindow="-120" windowWidth="29040" windowHeight="15720" xr2:uid="{218FEAC6-3186-4154-9675-74C1F55E8455}"/>
  </bookViews>
  <sheets>
    <sheet name="MOI_MOD" sheetId="2" r:id="rId1"/>
    <sheet name="MOB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9" i="2" l="1"/>
  <c r="AB18" i="2"/>
  <c r="AC19" i="2"/>
  <c r="AC18" i="2"/>
  <c r="F19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E18" i="2"/>
  <c r="E19" i="2"/>
  <c r="F20" i="2" l="1"/>
  <c r="AB20" i="2"/>
  <c r="W20" i="2"/>
  <c r="G20" i="2"/>
  <c r="O20" i="2"/>
  <c r="AC20" i="2"/>
  <c r="H20" i="2"/>
  <c r="Y20" i="2"/>
  <c r="Q20" i="2"/>
  <c r="I20" i="2"/>
  <c r="U20" i="2"/>
  <c r="M20" i="2"/>
  <c r="T20" i="2"/>
  <c r="L20" i="2"/>
  <c r="AA20" i="2"/>
  <c r="S20" i="2"/>
  <c r="K20" i="2"/>
  <c r="Z20" i="2"/>
  <c r="R20" i="2"/>
  <c r="J20" i="2"/>
  <c r="X20" i="2"/>
  <c r="P20" i="2"/>
  <c r="V20" i="2"/>
  <c r="N20" i="2"/>
  <c r="E20" i="2"/>
</calcChain>
</file>

<file path=xl/sharedStrings.xml><?xml version="1.0" encoding="utf-8"?>
<sst xmlns="http://schemas.openxmlformats.org/spreadsheetml/2006/main" count="265" uniqueCount="142">
  <si>
    <t>ID</t>
  </si>
  <si>
    <t>Tipo</t>
  </si>
  <si>
    <t>Classificação</t>
  </si>
  <si>
    <t>Função</t>
  </si>
  <si>
    <t>M1 - S1</t>
  </si>
  <si>
    <t>M1 - S2</t>
  </si>
  <si>
    <t>M1 - S3</t>
  </si>
  <si>
    <t>M1 - S4</t>
  </si>
  <si>
    <t>M2 - S1</t>
  </si>
  <si>
    <t>M2 - S2</t>
  </si>
  <si>
    <t>M2 - S3</t>
  </si>
  <si>
    <t>M2 - S4</t>
  </si>
  <si>
    <t>M3 - S1</t>
  </si>
  <si>
    <t>M3 - S2</t>
  </si>
  <si>
    <t>M3 - S3</t>
  </si>
  <si>
    <t>M3 - S4</t>
  </si>
  <si>
    <t>Atividade</t>
  </si>
  <si>
    <t>Mob</t>
  </si>
  <si>
    <t>MOI</t>
  </si>
  <si>
    <t>Almoxarife</t>
  </si>
  <si>
    <t>MOD</t>
  </si>
  <si>
    <t>Oficial</t>
  </si>
  <si>
    <t>Montador</t>
  </si>
  <si>
    <t>Total MOI</t>
  </si>
  <si>
    <t>Total MOD</t>
  </si>
  <si>
    <t>Total</t>
  </si>
  <si>
    <t>Encarregado</t>
  </si>
  <si>
    <t>Eletricista</t>
  </si>
  <si>
    <t>ASG</t>
  </si>
  <si>
    <t>Auxiliar</t>
  </si>
  <si>
    <t>Técnico Elétrica/Automação</t>
  </si>
  <si>
    <t>M4 - S1</t>
  </si>
  <si>
    <t>M4 - S2</t>
  </si>
  <si>
    <t>M4 - S3</t>
  </si>
  <si>
    <t>M4 - S4</t>
  </si>
  <si>
    <t>M5 - S1</t>
  </si>
  <si>
    <t>M5 - S2</t>
  </si>
  <si>
    <t>Mont</t>
  </si>
  <si>
    <t>Comiss</t>
  </si>
  <si>
    <t>ADM</t>
  </si>
  <si>
    <t>M5 - S3</t>
  </si>
  <si>
    <t>M5 - S4</t>
  </si>
  <si>
    <t>M6 - S1</t>
  </si>
  <si>
    <t>Mont. Quadros Elétricos</t>
  </si>
  <si>
    <t>Técnico de Segurança</t>
  </si>
  <si>
    <t>M6 - S2</t>
  </si>
  <si>
    <t>Descrição</t>
  </si>
  <si>
    <t>Meses</t>
  </si>
  <si>
    <t>Ármario</t>
  </si>
  <si>
    <t>Cadeira</t>
  </si>
  <si>
    <t>Cafeteira</t>
  </si>
  <si>
    <t>Frigobar</t>
  </si>
  <si>
    <t>Mesa Escritório</t>
  </si>
  <si>
    <t>Mesa Impressora</t>
  </si>
  <si>
    <t>Placa de Obra</t>
  </si>
  <si>
    <t>Placa Identificação de contêiner</t>
  </si>
  <si>
    <t>Tambores coleta seletiva - Jogo com 4 cores</t>
  </si>
  <si>
    <t>Meghometro</t>
  </si>
  <si>
    <t>Hipot</t>
  </si>
  <si>
    <t>Terrômetro</t>
  </si>
  <si>
    <t>Alicate Amperímetro CATIII 1000V</t>
  </si>
  <si>
    <t>Multímetro CATIII 1000V</t>
  </si>
  <si>
    <t>Microomimetro</t>
  </si>
  <si>
    <t>Bancada Metalica</t>
  </si>
  <si>
    <t>Bebedouro Coletivo</t>
  </si>
  <si>
    <t>Bolsa de Ferramentas Eletricista - NR-10</t>
  </si>
  <si>
    <t>Caixa de Ferramentas Montador</t>
  </si>
  <si>
    <t>Esmerilhadeira Angular a bateria 4.1/2"</t>
  </si>
  <si>
    <t xml:space="preserve">Esmerilhadeira Angular Elétrica 7" </t>
  </si>
  <si>
    <t>Fonte Inversora Monofásica</t>
  </si>
  <si>
    <t>Furadeira de Bancada</t>
  </si>
  <si>
    <t>Furadeira Portátil elétrica</t>
  </si>
  <si>
    <t>Máquina de Solda Transformadora</t>
  </si>
  <si>
    <t>Martelete – Plus</t>
  </si>
  <si>
    <t>Parafusadeira / Furadeira de impacto 3/8" à bateria</t>
  </si>
  <si>
    <t>Quadro de Distribuição de Energia Elétrica</t>
  </si>
  <si>
    <t>Serra Tico-Tico</t>
  </si>
  <si>
    <t>Material de Escritório</t>
  </si>
  <si>
    <t>Material Limpeza e Conservação do Site</t>
  </si>
  <si>
    <t>Manutenção MENSAL Canteiro</t>
  </si>
  <si>
    <t>Quantidade</t>
  </si>
  <si>
    <t>Período</t>
  </si>
  <si>
    <t>Unidade</t>
  </si>
  <si>
    <t>Moto esmeril de bancada</t>
  </si>
  <si>
    <t>Tarracha manual</t>
  </si>
  <si>
    <t>Torno de bancada fixo para encanador</t>
  </si>
  <si>
    <t>Trena</t>
  </si>
  <si>
    <t>Instrumentista</t>
  </si>
  <si>
    <t>Especialistas Diversos</t>
  </si>
  <si>
    <t>M6 - S3</t>
  </si>
  <si>
    <t>Condionador de Ar.</t>
  </si>
  <si>
    <t>Programador de Instrumentos</t>
  </si>
  <si>
    <t>Bolsa de Ferramentas Instrumentista</t>
  </si>
  <si>
    <t xml:space="preserve">Dobrador de Tubing </t>
  </si>
  <si>
    <t>Serra Policorte 14" </t>
  </si>
  <si>
    <t>Radio Transmissor</t>
  </si>
  <si>
    <t>Prensa Terminal elétrico</t>
  </si>
  <si>
    <t>Plugues para ferramentas elétricas</t>
  </si>
  <si>
    <t>Torno de bancada fixo</t>
  </si>
  <si>
    <t>Desktop Almoxarifado</t>
  </si>
  <si>
    <t>Internet Site</t>
  </si>
  <si>
    <t>Auxiliar de Almoxarife</t>
  </si>
  <si>
    <t>Soldador</t>
  </si>
  <si>
    <t>M3 - S5</t>
  </si>
  <si>
    <t>Adm de Obras</t>
  </si>
  <si>
    <t>Celular para marcação do ponto e acessórios</t>
  </si>
  <si>
    <t xml:space="preserve">Carro plataforma em madeira capacidade de 300 kg </t>
  </si>
  <si>
    <t>Cavalete p/ desenrolar bobinas de cabo em aço carbono</t>
  </si>
  <si>
    <t>Curvador hidráulico para tubos de 1/2" a 3"</t>
  </si>
  <si>
    <t>Escada extensão 3 mts</t>
  </si>
  <si>
    <t>Tesoura para cortar cabos (Catraca)</t>
  </si>
  <si>
    <t>Strada</t>
  </si>
  <si>
    <t>Andaimes, m³</t>
  </si>
  <si>
    <t>Canteiro de obras</t>
  </si>
  <si>
    <t>CFTV para Site</t>
  </si>
  <si>
    <t>Ármario Coletivo</t>
  </si>
  <si>
    <t>Cobertura (Tenda)</t>
  </si>
  <si>
    <t>vb</t>
  </si>
  <si>
    <t>Consumíveis</t>
  </si>
  <si>
    <t>Vb</t>
  </si>
  <si>
    <t>Extensão 50 m com plug, tomada e DR</t>
  </si>
  <si>
    <t>Rosqueadeira</t>
  </si>
  <si>
    <t>Container Almoxarifado</t>
  </si>
  <si>
    <t>Container Escritório</t>
  </si>
  <si>
    <t>Container Vestiario</t>
  </si>
  <si>
    <t>Munck</t>
  </si>
  <si>
    <t>Plataforma Elevatória 45 metros</t>
  </si>
  <si>
    <t>Plataforma Elevatória 17 Metros</t>
  </si>
  <si>
    <t>Impressora Multifuncional</t>
  </si>
  <si>
    <t>Notebooks</t>
  </si>
  <si>
    <t>Diesel para PTA</t>
  </si>
  <si>
    <t>Veículos 5 lugares</t>
  </si>
  <si>
    <t>Van 15 lugares, com motorista</t>
  </si>
  <si>
    <t>Onibus 40 lugartes, com motorista</t>
  </si>
  <si>
    <t>Combustível para veículos</t>
  </si>
  <si>
    <t xml:space="preserve">Mala de corrente </t>
  </si>
  <si>
    <t>Semana</t>
  </si>
  <si>
    <t>Caixa de Ferramentas Montador Mecânico</t>
  </si>
  <si>
    <t>Eng. Eletricista (Preposto)</t>
  </si>
  <si>
    <t>M0 - S1</t>
  </si>
  <si>
    <t>Caldereiro</t>
  </si>
  <si>
    <t>Técnico Instrumentista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</si>
</sst>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Histograma Previsto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8"/>
          <c:order val="0"/>
          <c:tx>
            <c:strRef>
              <c:f>MOI_MOD!$A$18</c:f>
              <c:strCache>
                <c:ptCount val="1"/>
                <c:pt idx="0">
                  <c:v>Total MOI</c:v>
                </c:pt>
              </c:strCache>
            </c:strRef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MOI_MOD!$E$2:$AC$2</c:f>
              <c:strCache>
                <c:ptCount val="25"/>
                <c:pt idx="0">
                  <c:v>M0 - S1</c:v>
                </c:pt>
                <c:pt idx="1">
                  <c:v>M1 - S1</c:v>
                </c:pt>
                <c:pt idx="2">
                  <c:v>M1 - S2</c:v>
                </c:pt>
                <c:pt idx="3">
                  <c:v>M1 - S3</c:v>
                </c:pt>
                <c:pt idx="4">
                  <c:v>M1 - S4</c:v>
                </c:pt>
                <c:pt idx="5">
                  <c:v>M2 - S1</c:v>
                </c:pt>
                <c:pt idx="6">
                  <c:v>M2 - S2</c:v>
                </c:pt>
                <c:pt idx="7">
                  <c:v>M2 - S3</c:v>
                </c:pt>
                <c:pt idx="8">
                  <c:v>M2 - S4</c:v>
                </c:pt>
                <c:pt idx="9">
                  <c:v>M3 - S1</c:v>
                </c:pt>
                <c:pt idx="10">
                  <c:v>M3 - S2</c:v>
                </c:pt>
                <c:pt idx="11">
                  <c:v>M3 - S3</c:v>
                </c:pt>
                <c:pt idx="12">
                  <c:v>M3 - S4</c:v>
                </c:pt>
                <c:pt idx="13">
                  <c:v>M3 - S5</c:v>
                </c:pt>
                <c:pt idx="14">
                  <c:v>M4 - S1</c:v>
                </c:pt>
                <c:pt idx="15">
                  <c:v>M4 - S2</c:v>
                </c:pt>
                <c:pt idx="16">
                  <c:v>M4 - S3</c:v>
                </c:pt>
                <c:pt idx="17">
                  <c:v>M4 - S4</c:v>
                </c:pt>
                <c:pt idx="18">
                  <c:v>M5 - S1</c:v>
                </c:pt>
                <c:pt idx="19">
                  <c:v>M5 - S2</c:v>
                </c:pt>
                <c:pt idx="20">
                  <c:v>M5 - S3</c:v>
                </c:pt>
                <c:pt idx="21">
                  <c:v>M5 - S4</c:v>
                </c:pt>
                <c:pt idx="22">
                  <c:v>M6 - S1</c:v>
                </c:pt>
                <c:pt idx="23">
                  <c:v>M6 - S2</c:v>
                </c:pt>
                <c:pt idx="24">
                  <c:v>M6 - S3</c:v>
                </c:pt>
              </c:strCache>
            </c:strRef>
          </c:cat>
          <c:val>
            <c:numRef>
              <c:f>MOI_MOD!$E$18:$AC$18</c:f>
              <c:numCache>
                <c:formatCode>General</c:formatCode>
                <c:ptCount val="25"/>
                <c:pt idx="0">
                  <c:v>4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0-468E-B12C-B982F3239283}"/>
            </c:ext>
          </c:extLst>
        </c:ser>
        <c:ser>
          <c:idx val="9"/>
          <c:order val="1"/>
          <c:tx>
            <c:strRef>
              <c:f>MOI_MOD!$A$19</c:f>
              <c:strCache>
                <c:ptCount val="1"/>
                <c:pt idx="0">
                  <c:v>Total MOD</c:v>
                </c:pt>
              </c:strCache>
            </c:strRef>
          </c:tx>
          <c:spPr>
            <a:ln w="1270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MOI_MOD!$E$2:$AC$2</c:f>
              <c:strCache>
                <c:ptCount val="25"/>
                <c:pt idx="0">
                  <c:v>M0 - S1</c:v>
                </c:pt>
                <c:pt idx="1">
                  <c:v>M1 - S1</c:v>
                </c:pt>
                <c:pt idx="2">
                  <c:v>M1 - S2</c:v>
                </c:pt>
                <c:pt idx="3">
                  <c:v>M1 - S3</c:v>
                </c:pt>
                <c:pt idx="4">
                  <c:v>M1 - S4</c:v>
                </c:pt>
                <c:pt idx="5">
                  <c:v>M2 - S1</c:v>
                </c:pt>
                <c:pt idx="6">
                  <c:v>M2 - S2</c:v>
                </c:pt>
                <c:pt idx="7">
                  <c:v>M2 - S3</c:v>
                </c:pt>
                <c:pt idx="8">
                  <c:v>M2 - S4</c:v>
                </c:pt>
                <c:pt idx="9">
                  <c:v>M3 - S1</c:v>
                </c:pt>
                <c:pt idx="10">
                  <c:v>M3 - S2</c:v>
                </c:pt>
                <c:pt idx="11">
                  <c:v>M3 - S3</c:v>
                </c:pt>
                <c:pt idx="12">
                  <c:v>M3 - S4</c:v>
                </c:pt>
                <c:pt idx="13">
                  <c:v>M3 - S5</c:v>
                </c:pt>
                <c:pt idx="14">
                  <c:v>M4 - S1</c:v>
                </c:pt>
                <c:pt idx="15">
                  <c:v>M4 - S2</c:v>
                </c:pt>
                <c:pt idx="16">
                  <c:v>M4 - S3</c:v>
                </c:pt>
                <c:pt idx="17">
                  <c:v>M4 - S4</c:v>
                </c:pt>
                <c:pt idx="18">
                  <c:v>M5 - S1</c:v>
                </c:pt>
                <c:pt idx="19">
                  <c:v>M5 - S2</c:v>
                </c:pt>
                <c:pt idx="20">
                  <c:v>M5 - S3</c:v>
                </c:pt>
                <c:pt idx="21">
                  <c:v>M5 - S4</c:v>
                </c:pt>
                <c:pt idx="22">
                  <c:v>M6 - S1</c:v>
                </c:pt>
                <c:pt idx="23">
                  <c:v>M6 - S2</c:v>
                </c:pt>
                <c:pt idx="24">
                  <c:v>M6 - S3</c:v>
                </c:pt>
              </c:strCache>
            </c:strRef>
          </c:cat>
          <c:val>
            <c:numRef>
              <c:f>MOI_MOD!$E$19:$AC$19</c:f>
              <c:numCache>
                <c:formatCode>General</c:formatCode>
                <c:ptCount val="25"/>
                <c:pt idx="0">
                  <c:v>8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72</c:v>
                </c:pt>
                <c:pt idx="15">
                  <c:v>72</c:v>
                </c:pt>
                <c:pt idx="16">
                  <c:v>67</c:v>
                </c:pt>
                <c:pt idx="17">
                  <c:v>67</c:v>
                </c:pt>
                <c:pt idx="18">
                  <c:v>67</c:v>
                </c:pt>
                <c:pt idx="19">
                  <c:v>67</c:v>
                </c:pt>
                <c:pt idx="20">
                  <c:v>67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0-468E-B12C-B982F3239283}"/>
            </c:ext>
          </c:extLst>
        </c:ser>
        <c:ser>
          <c:idx val="10"/>
          <c:order val="2"/>
          <c:tx>
            <c:strRef>
              <c:f>MOI_MOD!$A$20</c:f>
              <c:strCache>
                <c:ptCount val="1"/>
                <c:pt idx="0">
                  <c:v>Total</c:v>
                </c:pt>
              </c:strCache>
            </c:strRef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MOI_MOD!$E$2:$AC$2</c:f>
              <c:strCache>
                <c:ptCount val="25"/>
                <c:pt idx="0">
                  <c:v>M0 - S1</c:v>
                </c:pt>
                <c:pt idx="1">
                  <c:v>M1 - S1</c:v>
                </c:pt>
                <c:pt idx="2">
                  <c:v>M1 - S2</c:v>
                </c:pt>
                <c:pt idx="3">
                  <c:v>M1 - S3</c:v>
                </c:pt>
                <c:pt idx="4">
                  <c:v>M1 - S4</c:v>
                </c:pt>
                <c:pt idx="5">
                  <c:v>M2 - S1</c:v>
                </c:pt>
                <c:pt idx="6">
                  <c:v>M2 - S2</c:v>
                </c:pt>
                <c:pt idx="7">
                  <c:v>M2 - S3</c:v>
                </c:pt>
                <c:pt idx="8">
                  <c:v>M2 - S4</c:v>
                </c:pt>
                <c:pt idx="9">
                  <c:v>M3 - S1</c:v>
                </c:pt>
                <c:pt idx="10">
                  <c:v>M3 - S2</c:v>
                </c:pt>
                <c:pt idx="11">
                  <c:v>M3 - S3</c:v>
                </c:pt>
                <c:pt idx="12">
                  <c:v>M3 - S4</c:v>
                </c:pt>
                <c:pt idx="13">
                  <c:v>M3 - S5</c:v>
                </c:pt>
                <c:pt idx="14">
                  <c:v>M4 - S1</c:v>
                </c:pt>
                <c:pt idx="15">
                  <c:v>M4 - S2</c:v>
                </c:pt>
                <c:pt idx="16">
                  <c:v>M4 - S3</c:v>
                </c:pt>
                <c:pt idx="17">
                  <c:v>M4 - S4</c:v>
                </c:pt>
                <c:pt idx="18">
                  <c:v>M5 - S1</c:v>
                </c:pt>
                <c:pt idx="19">
                  <c:v>M5 - S2</c:v>
                </c:pt>
                <c:pt idx="20">
                  <c:v>M5 - S3</c:v>
                </c:pt>
                <c:pt idx="21">
                  <c:v>M5 - S4</c:v>
                </c:pt>
                <c:pt idx="22">
                  <c:v>M6 - S1</c:v>
                </c:pt>
                <c:pt idx="23">
                  <c:v>M6 - S2</c:v>
                </c:pt>
                <c:pt idx="24">
                  <c:v>M6 - S3</c:v>
                </c:pt>
              </c:strCache>
            </c:strRef>
          </c:cat>
          <c:val>
            <c:numRef>
              <c:f>MOI_MOD!$E$20:$AC$20</c:f>
              <c:numCache>
                <c:formatCode>General</c:formatCode>
                <c:ptCount val="25"/>
                <c:pt idx="0">
                  <c:v>12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83</c:v>
                </c:pt>
                <c:pt idx="15">
                  <c:v>83</c:v>
                </c:pt>
                <c:pt idx="16">
                  <c:v>78</c:v>
                </c:pt>
                <c:pt idx="17">
                  <c:v>78</c:v>
                </c:pt>
                <c:pt idx="18">
                  <c:v>78</c:v>
                </c:pt>
                <c:pt idx="19">
                  <c:v>78</c:v>
                </c:pt>
                <c:pt idx="20">
                  <c:v>78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80-468E-B12C-B982F3239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658336"/>
        <c:axId val="1289658752"/>
      </c:lineChart>
      <c:catAx>
        <c:axId val="128965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658752"/>
        <c:crosses val="autoZero"/>
        <c:auto val="1"/>
        <c:lblAlgn val="ctr"/>
        <c:lblOffset val="100"/>
        <c:noMultiLvlLbl val="0"/>
      </c:catAx>
      <c:valAx>
        <c:axId val="128965875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658336"/>
        <c:crosses val="autoZero"/>
        <c:crossBetween val="between"/>
        <c:majorUnit val="10"/>
        <c:min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29</xdr:row>
      <xdr:rowOff>124031</xdr:rowOff>
    </xdr:from>
    <xdr:to>
      <xdr:col>29</xdr:col>
      <xdr:colOff>28574</xdr:colOff>
      <xdr:row>47</xdr:row>
      <xdr:rowOff>125066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2FB8B29-D9B8-4FAE-9D1A-385950B6C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D4F4-0706-4F44-9403-12E0930D6800}">
  <dimension ref="A1:AC52"/>
  <sheetViews>
    <sheetView tabSelected="1" topLeftCell="A34" workbookViewId="0">
      <selection activeCell="N28" sqref="N28"/>
    </sheetView>
  </sheetViews>
  <sheetFormatPr defaultRowHeight="11.25" x14ac:dyDescent="0.2"/>
  <cols>
    <col min="1" max="1" width="2.7109375" style="1" bestFit="1" customWidth="1"/>
    <col min="2" max="2" width="4.28515625" style="1" bestFit="1" customWidth="1"/>
    <col min="3" max="3" width="9.140625" style="1" bestFit="1" customWidth="1"/>
    <col min="4" max="4" width="20.140625" style="1" bestFit="1" customWidth="1"/>
    <col min="5" max="29" width="6" style="1" customWidth="1"/>
    <col min="30" max="16384" width="9.140625" style="1"/>
  </cols>
  <sheetData>
    <row r="1" spans="1:29" x14ac:dyDescent="0.2"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x14ac:dyDescent="0.2">
      <c r="A2" s="15" t="s">
        <v>0</v>
      </c>
      <c r="B2" s="15" t="s">
        <v>1</v>
      </c>
      <c r="C2" s="15" t="s">
        <v>2</v>
      </c>
      <c r="D2" s="2" t="s">
        <v>3</v>
      </c>
      <c r="E2" s="13" t="s">
        <v>139</v>
      </c>
      <c r="F2" s="13" t="s">
        <v>4</v>
      </c>
      <c r="G2" s="13" t="s">
        <v>5</v>
      </c>
      <c r="H2" s="13" t="s">
        <v>6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103</v>
      </c>
      <c r="S2" s="13" t="s">
        <v>31</v>
      </c>
      <c r="T2" s="13" t="s">
        <v>32</v>
      </c>
      <c r="U2" s="13" t="s">
        <v>33</v>
      </c>
      <c r="V2" s="13" t="s">
        <v>34</v>
      </c>
      <c r="W2" s="13" t="s">
        <v>35</v>
      </c>
      <c r="X2" s="13" t="s">
        <v>36</v>
      </c>
      <c r="Y2" s="13" t="s">
        <v>40</v>
      </c>
      <c r="Z2" s="13" t="s">
        <v>41</v>
      </c>
      <c r="AA2" s="13" t="s">
        <v>42</v>
      </c>
      <c r="AB2" s="13" t="s">
        <v>45</v>
      </c>
      <c r="AC2" s="13" t="s">
        <v>89</v>
      </c>
    </row>
    <row r="3" spans="1:29" x14ac:dyDescent="0.2">
      <c r="A3" s="16"/>
      <c r="B3" s="16"/>
      <c r="C3" s="16"/>
      <c r="D3" s="2" t="s">
        <v>16</v>
      </c>
      <c r="E3" s="3" t="s">
        <v>17</v>
      </c>
      <c r="F3" s="3" t="s">
        <v>37</v>
      </c>
      <c r="G3" s="3" t="s">
        <v>37</v>
      </c>
      <c r="H3" s="3" t="s">
        <v>37</v>
      </c>
      <c r="I3" s="3" t="s">
        <v>37</v>
      </c>
      <c r="J3" s="3" t="s">
        <v>37</v>
      </c>
      <c r="K3" s="3" t="s">
        <v>37</v>
      </c>
      <c r="L3" s="3" t="s">
        <v>37</v>
      </c>
      <c r="M3" s="3" t="s">
        <v>37</v>
      </c>
      <c r="N3" s="3" t="s">
        <v>37</v>
      </c>
      <c r="O3" s="3" t="s">
        <v>37</v>
      </c>
      <c r="P3" s="3" t="s">
        <v>37</v>
      </c>
      <c r="Q3" s="3" t="s">
        <v>37</v>
      </c>
      <c r="R3" s="3" t="s">
        <v>37</v>
      </c>
      <c r="S3" s="3" t="s">
        <v>37</v>
      </c>
      <c r="T3" s="3" t="s">
        <v>37</v>
      </c>
      <c r="U3" s="3" t="s">
        <v>37</v>
      </c>
      <c r="V3" s="4" t="s">
        <v>37</v>
      </c>
      <c r="W3" s="4" t="s">
        <v>37</v>
      </c>
      <c r="X3" s="4" t="s">
        <v>37</v>
      </c>
      <c r="Y3" s="4" t="s">
        <v>37</v>
      </c>
      <c r="Z3" s="4" t="s">
        <v>37</v>
      </c>
      <c r="AA3" s="4" t="s">
        <v>37</v>
      </c>
      <c r="AB3" s="4" t="s">
        <v>37</v>
      </c>
      <c r="AC3" s="4" t="s">
        <v>37</v>
      </c>
    </row>
    <row r="4" spans="1:29" x14ac:dyDescent="0.2">
      <c r="A4" s="5">
        <v>1</v>
      </c>
      <c r="B4" s="5" t="s">
        <v>18</v>
      </c>
      <c r="C4" s="5" t="s">
        <v>39</v>
      </c>
      <c r="D4" s="5" t="s">
        <v>138</v>
      </c>
      <c r="E4" s="5"/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</row>
    <row r="5" spans="1:29" x14ac:dyDescent="0.2">
      <c r="A5" s="5">
        <v>2</v>
      </c>
      <c r="B5" s="5" t="s">
        <v>18</v>
      </c>
      <c r="C5" s="5" t="s">
        <v>39</v>
      </c>
      <c r="D5" s="5" t="s">
        <v>26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2</v>
      </c>
      <c r="K5" s="5">
        <v>2</v>
      </c>
      <c r="L5" s="5">
        <v>2</v>
      </c>
      <c r="M5" s="5">
        <v>2</v>
      </c>
      <c r="N5" s="5">
        <v>2</v>
      </c>
      <c r="O5" s="5">
        <v>2</v>
      </c>
      <c r="P5" s="5">
        <v>2</v>
      </c>
      <c r="Q5" s="5">
        <v>2</v>
      </c>
      <c r="R5" s="5">
        <v>2</v>
      </c>
      <c r="S5" s="5">
        <v>3</v>
      </c>
      <c r="T5" s="5">
        <v>3</v>
      </c>
      <c r="U5" s="5">
        <v>3</v>
      </c>
      <c r="V5" s="5">
        <v>3</v>
      </c>
      <c r="W5" s="5">
        <v>3</v>
      </c>
      <c r="X5" s="5">
        <v>3</v>
      </c>
      <c r="Y5" s="5">
        <v>3</v>
      </c>
      <c r="Z5" s="5">
        <v>2</v>
      </c>
      <c r="AA5" s="5">
        <v>2</v>
      </c>
      <c r="AB5" s="5">
        <v>2</v>
      </c>
      <c r="AC5" s="5">
        <v>2</v>
      </c>
    </row>
    <row r="6" spans="1:29" x14ac:dyDescent="0.2">
      <c r="A6" s="5">
        <v>3</v>
      </c>
      <c r="B6" s="5" t="s">
        <v>18</v>
      </c>
      <c r="C6" s="5" t="s">
        <v>39</v>
      </c>
      <c r="D6" s="5" t="s">
        <v>104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2</v>
      </c>
      <c r="K6" s="5">
        <v>2</v>
      </c>
      <c r="L6" s="5">
        <v>2</v>
      </c>
      <c r="M6" s="5">
        <v>2</v>
      </c>
      <c r="N6" s="5">
        <v>2</v>
      </c>
      <c r="O6" s="5">
        <v>2</v>
      </c>
      <c r="P6" s="5">
        <v>2</v>
      </c>
      <c r="Q6" s="5">
        <v>2</v>
      </c>
      <c r="R6" s="5">
        <v>2</v>
      </c>
      <c r="S6" s="5">
        <v>2</v>
      </c>
      <c r="T6" s="5">
        <v>2</v>
      </c>
      <c r="U6" s="5">
        <v>2</v>
      </c>
      <c r="V6" s="5">
        <v>2</v>
      </c>
      <c r="W6" s="5">
        <v>2</v>
      </c>
      <c r="X6" s="5">
        <v>2</v>
      </c>
      <c r="Y6" s="5">
        <v>2</v>
      </c>
      <c r="Z6" s="5">
        <v>2</v>
      </c>
      <c r="AA6" s="5">
        <v>2</v>
      </c>
      <c r="AB6" s="5">
        <v>2</v>
      </c>
      <c r="AC6" s="5">
        <v>2</v>
      </c>
    </row>
    <row r="7" spans="1:29" x14ac:dyDescent="0.2">
      <c r="A7" s="5">
        <v>4</v>
      </c>
      <c r="B7" s="5" t="s">
        <v>18</v>
      </c>
      <c r="C7" s="5" t="s">
        <v>39</v>
      </c>
      <c r="D7" s="5" t="s">
        <v>44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2</v>
      </c>
      <c r="K7" s="5">
        <v>2</v>
      </c>
      <c r="L7" s="5">
        <v>2</v>
      </c>
      <c r="M7" s="5">
        <v>2</v>
      </c>
      <c r="N7" s="5">
        <v>2</v>
      </c>
      <c r="O7" s="5">
        <v>2</v>
      </c>
      <c r="P7" s="5">
        <v>2</v>
      </c>
      <c r="Q7" s="5">
        <v>2</v>
      </c>
      <c r="R7" s="5">
        <v>2</v>
      </c>
      <c r="S7" s="5">
        <v>2</v>
      </c>
      <c r="T7" s="5">
        <v>2</v>
      </c>
      <c r="U7" s="5">
        <v>2</v>
      </c>
      <c r="V7" s="5">
        <v>2</v>
      </c>
      <c r="W7" s="5">
        <v>2</v>
      </c>
      <c r="X7" s="5">
        <v>2</v>
      </c>
      <c r="Y7" s="5">
        <v>2</v>
      </c>
      <c r="Z7" s="5">
        <v>1</v>
      </c>
      <c r="AA7" s="5">
        <v>1</v>
      </c>
      <c r="AB7" s="5">
        <v>1</v>
      </c>
      <c r="AC7" s="5">
        <v>1</v>
      </c>
    </row>
    <row r="8" spans="1:29" x14ac:dyDescent="0.2">
      <c r="A8" s="5">
        <v>5</v>
      </c>
      <c r="B8" s="5" t="s">
        <v>18</v>
      </c>
      <c r="C8" s="5" t="s">
        <v>39</v>
      </c>
      <c r="D8" s="5" t="s">
        <v>19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</row>
    <row r="9" spans="1:29" x14ac:dyDescent="0.2">
      <c r="A9" s="5">
        <v>6</v>
      </c>
      <c r="B9" s="5" t="s">
        <v>18</v>
      </c>
      <c r="C9" s="5" t="s">
        <v>39</v>
      </c>
      <c r="D9" s="5" t="s">
        <v>101</v>
      </c>
      <c r="E9" s="5"/>
      <c r="F9" s="5">
        <v>2</v>
      </c>
      <c r="G9" s="5">
        <v>2</v>
      </c>
      <c r="H9" s="5">
        <v>2</v>
      </c>
      <c r="I9" s="5">
        <v>2</v>
      </c>
      <c r="J9" s="5">
        <v>2</v>
      </c>
      <c r="K9" s="5">
        <v>2</v>
      </c>
      <c r="L9" s="5">
        <v>2</v>
      </c>
      <c r="M9" s="5">
        <v>2</v>
      </c>
      <c r="N9" s="5">
        <v>2</v>
      </c>
      <c r="O9" s="5">
        <v>2</v>
      </c>
      <c r="P9" s="5">
        <v>2</v>
      </c>
      <c r="Q9" s="5">
        <v>2</v>
      </c>
      <c r="R9" s="5">
        <v>2</v>
      </c>
      <c r="S9" s="5">
        <v>2</v>
      </c>
      <c r="T9" s="5">
        <v>2</v>
      </c>
      <c r="U9" s="5">
        <v>2</v>
      </c>
      <c r="V9" s="5">
        <v>2</v>
      </c>
      <c r="W9" s="5">
        <v>2</v>
      </c>
      <c r="X9" s="5">
        <v>2</v>
      </c>
      <c r="Y9" s="5">
        <v>2</v>
      </c>
      <c r="Z9" s="5">
        <v>1</v>
      </c>
      <c r="AA9" s="5">
        <v>1</v>
      </c>
      <c r="AB9" s="5">
        <v>1</v>
      </c>
      <c r="AC9" s="5">
        <v>1</v>
      </c>
    </row>
    <row r="10" spans="1:29" x14ac:dyDescent="0.2">
      <c r="A10" s="5">
        <v>7</v>
      </c>
      <c r="B10" s="5" t="s">
        <v>20</v>
      </c>
      <c r="C10" s="5" t="s">
        <v>21</v>
      </c>
      <c r="D10" s="5" t="s">
        <v>140</v>
      </c>
      <c r="E10" s="5"/>
      <c r="F10" s="5">
        <v>4</v>
      </c>
      <c r="G10" s="5">
        <v>4</v>
      </c>
      <c r="H10" s="5">
        <v>4</v>
      </c>
      <c r="I10" s="5">
        <v>4</v>
      </c>
      <c r="J10" s="5">
        <v>4</v>
      </c>
      <c r="K10" s="5">
        <v>4</v>
      </c>
      <c r="L10" s="5">
        <v>4</v>
      </c>
      <c r="M10" s="5">
        <v>4</v>
      </c>
      <c r="N10" s="5">
        <v>4</v>
      </c>
      <c r="O10" s="5">
        <v>4</v>
      </c>
      <c r="P10" s="5">
        <v>4</v>
      </c>
      <c r="Q10" s="5">
        <v>4</v>
      </c>
      <c r="R10" s="5">
        <v>4</v>
      </c>
      <c r="S10" s="5">
        <v>4</v>
      </c>
      <c r="T10" s="5">
        <v>4</v>
      </c>
      <c r="U10" s="5">
        <v>4</v>
      </c>
      <c r="V10" s="5">
        <v>4</v>
      </c>
      <c r="W10" s="5">
        <v>4</v>
      </c>
      <c r="X10" s="5">
        <v>4</v>
      </c>
      <c r="Y10" s="5">
        <v>4</v>
      </c>
      <c r="Z10" s="5"/>
      <c r="AA10" s="5"/>
      <c r="AB10" s="5"/>
      <c r="AC10" s="5"/>
    </row>
    <row r="11" spans="1:29" x14ac:dyDescent="0.2">
      <c r="A11" s="5">
        <v>8</v>
      </c>
      <c r="B11" s="5" t="s">
        <v>20</v>
      </c>
      <c r="C11" s="5" t="s">
        <v>21</v>
      </c>
      <c r="D11" s="5" t="s">
        <v>102</v>
      </c>
      <c r="E11" s="5"/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>
        <v>1</v>
      </c>
      <c r="AA11" s="5">
        <v>1</v>
      </c>
      <c r="AB11" s="5">
        <v>1</v>
      </c>
      <c r="AC11" s="5">
        <v>1</v>
      </c>
    </row>
    <row r="12" spans="1:29" x14ac:dyDescent="0.2">
      <c r="A12" s="5">
        <v>9</v>
      </c>
      <c r="B12" s="5" t="s">
        <v>20</v>
      </c>
      <c r="C12" s="5" t="s">
        <v>21</v>
      </c>
      <c r="D12" s="5" t="s">
        <v>22</v>
      </c>
      <c r="E12" s="5">
        <v>3</v>
      </c>
      <c r="F12" s="5">
        <v>10</v>
      </c>
      <c r="G12" s="5">
        <v>10</v>
      </c>
      <c r="H12" s="5">
        <v>10</v>
      </c>
      <c r="I12" s="5">
        <v>10</v>
      </c>
      <c r="J12" s="5">
        <v>10</v>
      </c>
      <c r="K12" s="5">
        <v>10</v>
      </c>
      <c r="L12" s="5">
        <v>10</v>
      </c>
      <c r="M12" s="5">
        <v>10</v>
      </c>
      <c r="N12" s="5">
        <v>10</v>
      </c>
      <c r="O12" s="5">
        <v>10</v>
      </c>
      <c r="P12" s="5">
        <v>10</v>
      </c>
      <c r="Q12" s="5">
        <v>10</v>
      </c>
      <c r="R12" s="5">
        <v>10</v>
      </c>
      <c r="S12" s="5">
        <v>10</v>
      </c>
      <c r="T12" s="5">
        <v>10</v>
      </c>
      <c r="U12" s="5">
        <v>5</v>
      </c>
      <c r="V12" s="5">
        <v>5</v>
      </c>
      <c r="W12" s="5">
        <v>5</v>
      </c>
      <c r="X12" s="5">
        <v>5</v>
      </c>
      <c r="Y12" s="5">
        <v>5</v>
      </c>
      <c r="Z12" s="5">
        <v>5</v>
      </c>
      <c r="AA12" s="5">
        <v>5</v>
      </c>
      <c r="AB12" s="5">
        <v>5</v>
      </c>
      <c r="AC12" s="5">
        <v>5</v>
      </c>
    </row>
    <row r="13" spans="1:29" x14ac:dyDescent="0.2">
      <c r="A13" s="5">
        <v>10</v>
      </c>
      <c r="B13" s="5" t="s">
        <v>20</v>
      </c>
      <c r="C13" s="5" t="s">
        <v>21</v>
      </c>
      <c r="D13" s="5" t="s">
        <v>27</v>
      </c>
      <c r="E13" s="5">
        <v>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4</v>
      </c>
      <c r="T13" s="5">
        <v>4</v>
      </c>
      <c r="U13" s="5">
        <v>4</v>
      </c>
      <c r="V13" s="5">
        <v>4</v>
      </c>
      <c r="W13" s="5">
        <v>4</v>
      </c>
      <c r="X13" s="5">
        <v>4</v>
      </c>
      <c r="Y13" s="5">
        <v>4</v>
      </c>
      <c r="Z13" s="5">
        <v>4</v>
      </c>
      <c r="AA13" s="5">
        <v>4</v>
      </c>
      <c r="AB13" s="5">
        <v>4</v>
      </c>
      <c r="AC13" s="5">
        <v>4</v>
      </c>
    </row>
    <row r="14" spans="1:29" x14ac:dyDescent="0.2">
      <c r="A14" s="5">
        <v>11</v>
      </c>
      <c r="B14" s="5" t="s">
        <v>20</v>
      </c>
      <c r="C14" s="5" t="s">
        <v>21</v>
      </c>
      <c r="D14" s="5" t="s">
        <v>87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3</v>
      </c>
      <c r="T14" s="5">
        <v>3</v>
      </c>
      <c r="U14" s="5">
        <v>3</v>
      </c>
      <c r="V14" s="5">
        <v>3</v>
      </c>
      <c r="W14" s="5">
        <v>3</v>
      </c>
      <c r="X14" s="5">
        <v>3</v>
      </c>
      <c r="Y14" s="5">
        <v>3</v>
      </c>
      <c r="Z14" s="5">
        <v>3</v>
      </c>
      <c r="AA14" s="5">
        <v>3</v>
      </c>
      <c r="AB14" s="5">
        <v>3</v>
      </c>
      <c r="AC14" s="5">
        <v>3</v>
      </c>
    </row>
    <row r="15" spans="1:29" x14ac:dyDescent="0.2">
      <c r="A15" s="5">
        <v>12</v>
      </c>
      <c r="B15" s="5" t="s">
        <v>20</v>
      </c>
      <c r="C15" s="5" t="s">
        <v>28</v>
      </c>
      <c r="D15" s="5" t="s">
        <v>29</v>
      </c>
      <c r="E15" s="5">
        <v>4</v>
      </c>
      <c r="F15" s="5">
        <v>15</v>
      </c>
      <c r="G15" s="5">
        <v>15</v>
      </c>
      <c r="H15" s="5">
        <v>15</v>
      </c>
      <c r="I15" s="5">
        <v>15</v>
      </c>
      <c r="J15" s="5">
        <v>25</v>
      </c>
      <c r="K15" s="5">
        <v>25</v>
      </c>
      <c r="L15" s="5">
        <v>25</v>
      </c>
      <c r="M15" s="5">
        <v>25</v>
      </c>
      <c r="N15" s="5">
        <v>50</v>
      </c>
      <c r="O15" s="5">
        <v>50</v>
      </c>
      <c r="P15" s="5">
        <v>50</v>
      </c>
      <c r="Q15" s="5">
        <v>50</v>
      </c>
      <c r="R15" s="5">
        <v>50</v>
      </c>
      <c r="S15" s="5">
        <v>50</v>
      </c>
      <c r="T15" s="5">
        <v>50</v>
      </c>
      <c r="U15" s="5">
        <v>50</v>
      </c>
      <c r="V15" s="5">
        <v>50</v>
      </c>
      <c r="W15" s="5">
        <v>50</v>
      </c>
      <c r="X15" s="5">
        <v>50</v>
      </c>
      <c r="Y15" s="5">
        <v>50</v>
      </c>
      <c r="Z15" s="5">
        <v>20</v>
      </c>
      <c r="AA15" s="5">
        <v>20</v>
      </c>
      <c r="AB15" s="5">
        <v>20</v>
      </c>
      <c r="AC15" s="5">
        <v>20</v>
      </c>
    </row>
    <row r="16" spans="1:29" x14ac:dyDescent="0.2">
      <c r="A16" s="5">
        <v>13</v>
      </c>
      <c r="B16" s="5" t="s">
        <v>20</v>
      </c>
      <c r="C16" s="5" t="s">
        <v>38</v>
      </c>
      <c r="D16" s="5" t="s">
        <v>27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x14ac:dyDescent="0.2">
      <c r="A17" s="5">
        <v>14</v>
      </c>
      <c r="B17" s="5" t="s">
        <v>20</v>
      </c>
      <c r="C17" s="5" t="s">
        <v>38</v>
      </c>
      <c r="D17" s="5" t="s">
        <v>141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x14ac:dyDescent="0.2">
      <c r="A18" s="17" t="s">
        <v>23</v>
      </c>
      <c r="B18" s="17"/>
      <c r="C18" s="17"/>
      <c r="D18" s="17"/>
      <c r="E18" s="6">
        <f>SUMIF($B$4:$B$17,"MOI",E4:E17)</f>
        <v>4</v>
      </c>
      <c r="F18" s="6">
        <f>SUMIF($B$4:$B$17,"MOI",F4:F17)</f>
        <v>7</v>
      </c>
      <c r="G18" s="6">
        <f>SUMIF($B$4:$B$17,"MOI",G4:G17)</f>
        <v>7</v>
      </c>
      <c r="H18" s="6">
        <f>SUMIF($B$4:$B$17,"MOI",H4:H17)</f>
        <v>7</v>
      </c>
      <c r="I18" s="6">
        <f>SUMIF($B$4:$B$17,"MOI",I4:I17)</f>
        <v>7</v>
      </c>
      <c r="J18" s="6">
        <f>SUMIF($B$4:$B$17,"MOI",J4:J17)</f>
        <v>10</v>
      </c>
      <c r="K18" s="6">
        <f>SUMIF($B$4:$B$17,"MOI",K4:K17)</f>
        <v>10</v>
      </c>
      <c r="L18" s="6">
        <f>SUMIF($B$4:$B$17,"MOI",L4:L17)</f>
        <v>10</v>
      </c>
      <c r="M18" s="6">
        <f>SUMIF($B$4:$B$17,"MOI",M4:M17)</f>
        <v>10</v>
      </c>
      <c r="N18" s="6">
        <f>SUMIF($B$4:$B$17,"MOI",N4:N17)</f>
        <v>10</v>
      </c>
      <c r="O18" s="6">
        <f>SUMIF($B$4:$B$17,"MOI",O4:O17)</f>
        <v>10</v>
      </c>
      <c r="P18" s="6">
        <f>SUMIF($B$4:$B$17,"MOI",P4:P17)</f>
        <v>10</v>
      </c>
      <c r="Q18" s="6">
        <f>SUMIF($B$4:$B$17,"MOI",Q4:Q17)</f>
        <v>10</v>
      </c>
      <c r="R18" s="6">
        <f>SUMIF($B$4:$B$17,"MOI",R4:R17)</f>
        <v>10</v>
      </c>
      <c r="S18" s="6">
        <f>SUMIF($B$4:$B$17,"MOI",S4:S17)</f>
        <v>11</v>
      </c>
      <c r="T18" s="6">
        <f>SUMIF($B$4:$B$17,"MOI",T4:T17)</f>
        <v>11</v>
      </c>
      <c r="U18" s="6">
        <f>SUMIF($B$4:$B$17,"MOI",U4:U17)</f>
        <v>11</v>
      </c>
      <c r="V18" s="6">
        <f>SUMIF($B$4:$B$17,"MOI",V4:V17)</f>
        <v>11</v>
      </c>
      <c r="W18" s="6">
        <f>SUMIF($B$4:$B$17,"MOI",W4:W17)</f>
        <v>11</v>
      </c>
      <c r="X18" s="6">
        <f>SUMIF($B$4:$B$17,"MOI",X4:X17)</f>
        <v>11</v>
      </c>
      <c r="Y18" s="6">
        <f>SUMIF($B$4:$B$17,"MOI",Y4:Y17)</f>
        <v>11</v>
      </c>
      <c r="Z18" s="6">
        <f>SUMIF($B$4:$B$17,"MOI",Z4:Z17)</f>
        <v>8</v>
      </c>
      <c r="AA18" s="6">
        <f>SUMIF($B$4:$B$17,"MOI",AA4:AA17)</f>
        <v>8</v>
      </c>
      <c r="AB18" s="6">
        <f>SUMIF($B$4:$B$17,"MOI",AB4:AB17)</f>
        <v>8</v>
      </c>
      <c r="AC18" s="6">
        <f>SUMIF($B$4:$B$17,"MOI",AC4:AC17)</f>
        <v>8</v>
      </c>
    </row>
    <row r="19" spans="1:29" x14ac:dyDescent="0.2">
      <c r="A19" s="18" t="s">
        <v>24</v>
      </c>
      <c r="B19" s="18"/>
      <c r="C19" s="18"/>
      <c r="D19" s="18"/>
      <c r="E19" s="7">
        <f>SUMIF($B$4:$B$17,"MOD",E4:E17)</f>
        <v>8</v>
      </c>
      <c r="F19" s="7">
        <f>SUMIF($B$4:$B$17,"MOD",F4:F17)</f>
        <v>30</v>
      </c>
      <c r="G19" s="7">
        <f>SUMIF($B$4:$B$17,"MOD",G4:G17)</f>
        <v>30</v>
      </c>
      <c r="H19" s="7">
        <f>SUMIF($B$4:$B$17,"MOD",H4:H17)</f>
        <v>30</v>
      </c>
      <c r="I19" s="7">
        <f>SUMIF($B$4:$B$17,"MOD",I4:I17)</f>
        <v>30</v>
      </c>
      <c r="J19" s="7">
        <f>SUMIF($B$4:$B$17,"MOD",J4:J17)</f>
        <v>40</v>
      </c>
      <c r="K19" s="7">
        <f>SUMIF($B$4:$B$17,"MOD",K4:K17)</f>
        <v>40</v>
      </c>
      <c r="L19" s="7">
        <f>SUMIF($B$4:$B$17,"MOD",L4:L17)</f>
        <v>40</v>
      </c>
      <c r="M19" s="7">
        <f>SUMIF($B$4:$B$17,"MOD",M4:M17)</f>
        <v>40</v>
      </c>
      <c r="N19" s="7">
        <f>SUMIF($B$4:$B$17,"MOD",N4:N17)</f>
        <v>65</v>
      </c>
      <c r="O19" s="7">
        <f>SUMIF($B$4:$B$17,"MOD",O4:O17)</f>
        <v>65</v>
      </c>
      <c r="P19" s="7">
        <f>SUMIF($B$4:$B$17,"MOD",P4:P17)</f>
        <v>65</v>
      </c>
      <c r="Q19" s="7">
        <f>SUMIF($B$4:$B$17,"MOD",Q4:Q17)</f>
        <v>65</v>
      </c>
      <c r="R19" s="7">
        <f>SUMIF($B$4:$B$17,"MOD",R4:R17)</f>
        <v>65</v>
      </c>
      <c r="S19" s="7">
        <f>SUMIF($B$4:$B$17,"MOD",S4:S17)</f>
        <v>72</v>
      </c>
      <c r="T19" s="7">
        <f>SUMIF($B$4:$B$17,"MOD",T4:T17)</f>
        <v>72</v>
      </c>
      <c r="U19" s="7">
        <f>SUMIF($B$4:$B$17,"MOD",U4:U17)</f>
        <v>67</v>
      </c>
      <c r="V19" s="7">
        <f>SUMIF($B$4:$B$17,"MOD",V4:V17)</f>
        <v>67</v>
      </c>
      <c r="W19" s="7">
        <f>SUMIF($B$4:$B$17,"MOD",W4:W17)</f>
        <v>67</v>
      </c>
      <c r="X19" s="7">
        <f>SUMIF($B$4:$B$17,"MOD",X4:X17)</f>
        <v>67</v>
      </c>
      <c r="Y19" s="7">
        <f>SUMIF($B$4:$B$17,"MOD",Y4:Y17)</f>
        <v>67</v>
      </c>
      <c r="Z19" s="7">
        <f>SUMIF($B$4:$B$17,"MOD",Z4:Z17)</f>
        <v>33</v>
      </c>
      <c r="AA19" s="7">
        <f>SUMIF($B$4:$B$17,"MOD",AA4:AA17)</f>
        <v>33</v>
      </c>
      <c r="AB19" s="7">
        <f>SUMIF($B$4:$B$17,"MOD",AB4:AB17)</f>
        <v>33</v>
      </c>
      <c r="AC19" s="7">
        <f>SUMIF($B$4:$B$17,"MOD",AC4:AC17)</f>
        <v>33</v>
      </c>
    </row>
    <row r="20" spans="1:29" x14ac:dyDescent="0.2">
      <c r="A20" s="14" t="s">
        <v>25</v>
      </c>
      <c r="B20" s="14"/>
      <c r="C20" s="14"/>
      <c r="D20" s="14"/>
      <c r="E20" s="2">
        <f t="shared" ref="E20:F20" si="0">E18+E19</f>
        <v>12</v>
      </c>
      <c r="F20" s="2">
        <f t="shared" si="0"/>
        <v>37</v>
      </c>
      <c r="G20" s="2">
        <f t="shared" ref="G20:AB20" si="1">G18+G19</f>
        <v>37</v>
      </c>
      <c r="H20" s="2">
        <f t="shared" si="1"/>
        <v>37</v>
      </c>
      <c r="I20" s="2">
        <f t="shared" si="1"/>
        <v>37</v>
      </c>
      <c r="J20" s="2">
        <f t="shared" si="1"/>
        <v>50</v>
      </c>
      <c r="K20" s="2">
        <f t="shared" si="1"/>
        <v>50</v>
      </c>
      <c r="L20" s="2">
        <f t="shared" si="1"/>
        <v>50</v>
      </c>
      <c r="M20" s="2">
        <f t="shared" si="1"/>
        <v>50</v>
      </c>
      <c r="N20" s="2">
        <f t="shared" si="1"/>
        <v>75</v>
      </c>
      <c r="O20" s="2">
        <f t="shared" si="1"/>
        <v>75</v>
      </c>
      <c r="P20" s="2">
        <f t="shared" si="1"/>
        <v>75</v>
      </c>
      <c r="Q20" s="2">
        <f t="shared" si="1"/>
        <v>75</v>
      </c>
      <c r="R20" s="2">
        <f t="shared" si="1"/>
        <v>75</v>
      </c>
      <c r="S20" s="2">
        <f t="shared" si="1"/>
        <v>83</v>
      </c>
      <c r="T20" s="2">
        <f t="shared" si="1"/>
        <v>83</v>
      </c>
      <c r="U20" s="2">
        <f t="shared" si="1"/>
        <v>78</v>
      </c>
      <c r="V20" s="2">
        <f t="shared" si="1"/>
        <v>78</v>
      </c>
      <c r="W20" s="2">
        <f t="shared" si="1"/>
        <v>78</v>
      </c>
      <c r="X20" s="2">
        <f t="shared" si="1"/>
        <v>78</v>
      </c>
      <c r="Y20" s="2">
        <f t="shared" si="1"/>
        <v>78</v>
      </c>
      <c r="Z20" s="2">
        <f t="shared" si="1"/>
        <v>41</v>
      </c>
      <c r="AA20" s="2">
        <f t="shared" si="1"/>
        <v>41</v>
      </c>
      <c r="AB20" s="2">
        <f t="shared" si="1"/>
        <v>41</v>
      </c>
      <c r="AC20" s="2">
        <f t="shared" ref="AC20" si="2">AC18+AC19</f>
        <v>41</v>
      </c>
    </row>
    <row r="46" spans="4:4" x14ac:dyDescent="0.2">
      <c r="D46" s="5" t="s">
        <v>22</v>
      </c>
    </row>
    <row r="47" spans="4:4" x14ac:dyDescent="0.2">
      <c r="D47" s="5" t="s">
        <v>27</v>
      </c>
    </row>
    <row r="48" spans="4:4" x14ac:dyDescent="0.2">
      <c r="D48" s="5" t="s">
        <v>87</v>
      </c>
    </row>
    <row r="49" spans="4:4" x14ac:dyDescent="0.2">
      <c r="D49" s="5" t="s">
        <v>43</v>
      </c>
    </row>
    <row r="50" spans="4:4" x14ac:dyDescent="0.2">
      <c r="D50" s="5" t="s">
        <v>29</v>
      </c>
    </row>
    <row r="51" spans="4:4" x14ac:dyDescent="0.2">
      <c r="D51" s="5" t="s">
        <v>30</v>
      </c>
    </row>
    <row r="52" spans="4:4" x14ac:dyDescent="0.2">
      <c r="D52" s="5" t="s">
        <v>88</v>
      </c>
    </row>
  </sheetData>
  <mergeCells count="6">
    <mergeCell ref="A20:D20"/>
    <mergeCell ref="A2:A3"/>
    <mergeCell ref="B2:B3"/>
    <mergeCell ref="C2:C3"/>
    <mergeCell ref="A18:D18"/>
    <mergeCell ref="A19:D19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8A377-D3C2-4381-B6D2-D83ED33350AF}">
  <dimension ref="A1:D78"/>
  <sheetViews>
    <sheetView workbookViewId="0">
      <selection activeCell="B22" sqref="B22"/>
    </sheetView>
  </sheetViews>
  <sheetFormatPr defaultRowHeight="15" x14ac:dyDescent="0.25"/>
  <cols>
    <col min="1" max="1" width="42.7109375" bestFit="1" customWidth="1"/>
    <col min="2" max="2" width="11.42578125" style="12" bestFit="1" customWidth="1"/>
    <col min="3" max="3" width="7.85546875" style="12" bestFit="1" customWidth="1"/>
    <col min="4" max="4" width="9.140625" style="12"/>
  </cols>
  <sheetData>
    <row r="1" spans="1:4" x14ac:dyDescent="0.25">
      <c r="A1" s="10" t="s">
        <v>46</v>
      </c>
      <c r="B1" s="10" t="s">
        <v>80</v>
      </c>
      <c r="C1" s="10" t="s">
        <v>81</v>
      </c>
      <c r="D1" s="10" t="s">
        <v>82</v>
      </c>
    </row>
    <row r="2" spans="1:4" x14ac:dyDescent="0.25">
      <c r="A2" s="9" t="s">
        <v>112</v>
      </c>
      <c r="B2" s="11">
        <v>30</v>
      </c>
      <c r="C2" s="11">
        <v>5</v>
      </c>
      <c r="D2" s="11" t="s">
        <v>47</v>
      </c>
    </row>
    <row r="3" spans="1:4" x14ac:dyDescent="0.25">
      <c r="A3" s="9" t="s">
        <v>113</v>
      </c>
      <c r="B3" s="11">
        <v>1</v>
      </c>
      <c r="C3" s="11">
        <v>5</v>
      </c>
      <c r="D3" s="11" t="s">
        <v>47</v>
      </c>
    </row>
    <row r="4" spans="1:4" x14ac:dyDescent="0.25">
      <c r="A4" s="9" t="s">
        <v>114</v>
      </c>
      <c r="B4" s="11">
        <v>1</v>
      </c>
      <c r="C4" s="11">
        <v>5</v>
      </c>
      <c r="D4" s="11" t="s">
        <v>47</v>
      </c>
    </row>
    <row r="5" spans="1:4" x14ac:dyDescent="0.25">
      <c r="A5" s="9" t="s">
        <v>105</v>
      </c>
      <c r="B5" s="11">
        <v>3</v>
      </c>
      <c r="C5" s="11">
        <v>5</v>
      </c>
      <c r="D5" s="11" t="s">
        <v>47</v>
      </c>
    </row>
    <row r="6" spans="1:4" x14ac:dyDescent="0.25">
      <c r="A6" s="9" t="s">
        <v>48</v>
      </c>
      <c r="B6" s="11">
        <v>3</v>
      </c>
      <c r="C6" s="11">
        <v>5</v>
      </c>
      <c r="D6" s="11" t="s">
        <v>47</v>
      </c>
    </row>
    <row r="7" spans="1:4" x14ac:dyDescent="0.25">
      <c r="A7" s="9" t="s">
        <v>115</v>
      </c>
      <c r="B7" s="11">
        <v>3</v>
      </c>
      <c r="C7" s="11">
        <v>5</v>
      </c>
      <c r="D7" s="11" t="s">
        <v>47</v>
      </c>
    </row>
    <row r="8" spans="1:4" x14ac:dyDescent="0.25">
      <c r="A8" s="9" t="s">
        <v>49</v>
      </c>
      <c r="B8" s="11">
        <v>6</v>
      </c>
      <c r="C8" s="11">
        <v>5</v>
      </c>
      <c r="D8" s="11" t="s">
        <v>47</v>
      </c>
    </row>
    <row r="9" spans="1:4" x14ac:dyDescent="0.25">
      <c r="A9" s="9" t="s">
        <v>50</v>
      </c>
      <c r="B9" s="11">
        <v>1</v>
      </c>
      <c r="C9" s="11">
        <v>5</v>
      </c>
      <c r="D9" s="11" t="s">
        <v>47</v>
      </c>
    </row>
    <row r="10" spans="1:4" x14ac:dyDescent="0.25">
      <c r="A10" s="9" t="s">
        <v>116</v>
      </c>
      <c r="B10" s="11">
        <v>3</v>
      </c>
      <c r="C10" s="11">
        <v>5</v>
      </c>
      <c r="D10" s="11" t="s">
        <v>47</v>
      </c>
    </row>
    <row r="11" spans="1:4" x14ac:dyDescent="0.25">
      <c r="A11" s="9" t="s">
        <v>90</v>
      </c>
      <c r="B11" s="11">
        <v>1</v>
      </c>
      <c r="C11" s="11">
        <v>5</v>
      </c>
      <c r="D11" s="11" t="s">
        <v>47</v>
      </c>
    </row>
    <row r="12" spans="1:4" x14ac:dyDescent="0.25">
      <c r="A12" s="9" t="s">
        <v>51</v>
      </c>
      <c r="B12" s="11">
        <v>1</v>
      </c>
      <c r="C12" s="11">
        <v>5</v>
      </c>
      <c r="D12" s="11" t="s">
        <v>47</v>
      </c>
    </row>
    <row r="13" spans="1:4" x14ac:dyDescent="0.25">
      <c r="A13" s="9" t="s">
        <v>52</v>
      </c>
      <c r="B13" s="11">
        <v>6</v>
      </c>
      <c r="C13" s="11">
        <v>5</v>
      </c>
      <c r="D13" s="11" t="s">
        <v>47</v>
      </c>
    </row>
    <row r="14" spans="1:4" x14ac:dyDescent="0.25">
      <c r="A14" s="9" t="s">
        <v>53</v>
      </c>
      <c r="B14" s="11">
        <v>1</v>
      </c>
      <c r="C14" s="11">
        <v>5</v>
      </c>
      <c r="D14" s="11" t="s">
        <v>47</v>
      </c>
    </row>
    <row r="15" spans="1:4" x14ac:dyDescent="0.25">
      <c r="A15" s="9" t="s">
        <v>54</v>
      </c>
      <c r="B15" s="11">
        <v>1</v>
      </c>
      <c r="C15" s="11"/>
      <c r="D15" s="11" t="s">
        <v>119</v>
      </c>
    </row>
    <row r="16" spans="1:4" x14ac:dyDescent="0.25">
      <c r="A16" s="9" t="s">
        <v>55</v>
      </c>
      <c r="B16" s="11">
        <v>5</v>
      </c>
      <c r="C16" s="11"/>
      <c r="D16" s="11" t="s">
        <v>119</v>
      </c>
    </row>
    <row r="17" spans="1:4" x14ac:dyDescent="0.25">
      <c r="A17" s="9" t="s">
        <v>56</v>
      </c>
      <c r="B17" s="11">
        <v>1</v>
      </c>
      <c r="C17" s="11">
        <v>5</v>
      </c>
      <c r="D17" s="11" t="s">
        <v>47</v>
      </c>
    </row>
    <row r="18" spans="1:4" x14ac:dyDescent="0.25">
      <c r="A18" s="9" t="s">
        <v>118</v>
      </c>
      <c r="B18" s="11">
        <v>1</v>
      </c>
      <c r="C18" s="11"/>
      <c r="D18" s="11" t="s">
        <v>119</v>
      </c>
    </row>
    <row r="19" spans="1:4" x14ac:dyDescent="0.25">
      <c r="A19" s="9" t="s">
        <v>57</v>
      </c>
      <c r="B19" s="11">
        <v>1</v>
      </c>
      <c r="C19" s="11">
        <v>3</v>
      </c>
      <c r="D19" s="11" t="s">
        <v>47</v>
      </c>
    </row>
    <row r="20" spans="1:4" x14ac:dyDescent="0.25">
      <c r="A20" s="9" t="s">
        <v>58</v>
      </c>
      <c r="B20" s="11">
        <v>1</v>
      </c>
      <c r="C20" s="11">
        <v>1</v>
      </c>
      <c r="D20" s="11" t="s">
        <v>47</v>
      </c>
    </row>
    <row r="21" spans="1:4" x14ac:dyDescent="0.25">
      <c r="A21" s="9" t="s">
        <v>59</v>
      </c>
      <c r="B21" s="11">
        <v>1</v>
      </c>
      <c r="C21" s="11">
        <v>1</v>
      </c>
      <c r="D21" s="11" t="s">
        <v>47</v>
      </c>
    </row>
    <row r="22" spans="1:4" x14ac:dyDescent="0.25">
      <c r="A22" s="9" t="s">
        <v>60</v>
      </c>
      <c r="B22" s="11">
        <v>2</v>
      </c>
      <c r="C22" s="11">
        <v>5</v>
      </c>
      <c r="D22" s="11" t="s">
        <v>47</v>
      </c>
    </row>
    <row r="23" spans="1:4" x14ac:dyDescent="0.25">
      <c r="A23" s="9" t="s">
        <v>61</v>
      </c>
      <c r="B23" s="11">
        <v>2</v>
      </c>
      <c r="C23" s="11">
        <v>5</v>
      </c>
      <c r="D23" s="11" t="s">
        <v>47</v>
      </c>
    </row>
    <row r="24" spans="1:4" x14ac:dyDescent="0.25">
      <c r="A24" s="9" t="s">
        <v>91</v>
      </c>
      <c r="B24" s="11">
        <v>1</v>
      </c>
      <c r="C24" s="11">
        <v>1</v>
      </c>
      <c r="D24" s="11" t="s">
        <v>47</v>
      </c>
    </row>
    <row r="25" spans="1:4" x14ac:dyDescent="0.25">
      <c r="A25" s="9" t="s">
        <v>62</v>
      </c>
      <c r="B25" s="11">
        <v>1</v>
      </c>
      <c r="C25" s="11">
        <v>1</v>
      </c>
      <c r="D25" s="11" t="s">
        <v>47</v>
      </c>
    </row>
    <row r="26" spans="1:4" x14ac:dyDescent="0.25">
      <c r="A26" s="9" t="s">
        <v>63</v>
      </c>
      <c r="B26" s="11">
        <v>2</v>
      </c>
      <c r="C26" s="11">
        <v>5</v>
      </c>
      <c r="D26" s="11" t="s">
        <v>47</v>
      </c>
    </row>
    <row r="27" spans="1:4" x14ac:dyDescent="0.25">
      <c r="A27" s="9" t="s">
        <v>64</v>
      </c>
      <c r="B27" s="11">
        <v>2</v>
      </c>
      <c r="C27" s="11">
        <v>5</v>
      </c>
      <c r="D27" s="11" t="s">
        <v>47</v>
      </c>
    </row>
    <row r="28" spans="1:4" x14ac:dyDescent="0.25">
      <c r="A28" s="9" t="s">
        <v>65</v>
      </c>
      <c r="B28" s="11">
        <v>2</v>
      </c>
      <c r="C28" s="11">
        <v>5</v>
      </c>
      <c r="D28" s="11" t="s">
        <v>47</v>
      </c>
    </row>
    <row r="29" spans="1:4" x14ac:dyDescent="0.25">
      <c r="A29" s="9" t="s">
        <v>92</v>
      </c>
      <c r="B29" s="11">
        <v>2</v>
      </c>
      <c r="C29" s="11">
        <v>5</v>
      </c>
      <c r="D29" s="11" t="s">
        <v>47</v>
      </c>
    </row>
    <row r="30" spans="1:4" x14ac:dyDescent="0.25">
      <c r="A30" s="9" t="s">
        <v>66</v>
      </c>
      <c r="B30" s="11">
        <v>7</v>
      </c>
      <c r="C30" s="11">
        <v>5</v>
      </c>
      <c r="D30" s="11" t="s">
        <v>47</v>
      </c>
    </row>
    <row r="31" spans="1:4" x14ac:dyDescent="0.25">
      <c r="A31" s="9" t="s">
        <v>106</v>
      </c>
      <c r="B31" s="11">
        <v>5</v>
      </c>
      <c r="C31" s="11">
        <v>5</v>
      </c>
      <c r="D31" s="11" t="s">
        <v>47</v>
      </c>
    </row>
    <row r="32" spans="1:4" x14ac:dyDescent="0.25">
      <c r="A32" s="9" t="s">
        <v>107</v>
      </c>
      <c r="B32" s="11">
        <v>3</v>
      </c>
      <c r="C32" s="11">
        <v>5</v>
      </c>
      <c r="D32" s="11" t="s">
        <v>47</v>
      </c>
    </row>
    <row r="33" spans="1:4" x14ac:dyDescent="0.25">
      <c r="A33" s="9" t="s">
        <v>108</v>
      </c>
      <c r="B33" s="11">
        <v>2</v>
      </c>
      <c r="C33" s="11">
        <v>5</v>
      </c>
      <c r="D33" s="11" t="s">
        <v>47</v>
      </c>
    </row>
    <row r="34" spans="1:4" x14ac:dyDescent="0.25">
      <c r="A34" s="9" t="s">
        <v>93</v>
      </c>
      <c r="B34" s="11">
        <v>1</v>
      </c>
      <c r="C34" s="11">
        <v>1</v>
      </c>
      <c r="D34" s="11" t="s">
        <v>47</v>
      </c>
    </row>
    <row r="35" spans="1:4" x14ac:dyDescent="0.25">
      <c r="A35" s="9" t="s">
        <v>109</v>
      </c>
      <c r="B35" s="11">
        <v>4</v>
      </c>
      <c r="C35" s="11">
        <v>5</v>
      </c>
      <c r="D35" s="11" t="s">
        <v>47</v>
      </c>
    </row>
    <row r="36" spans="1:4" x14ac:dyDescent="0.25">
      <c r="A36" s="9" t="s">
        <v>67</v>
      </c>
      <c r="B36" s="11">
        <v>6</v>
      </c>
      <c r="C36" s="11">
        <v>5</v>
      </c>
      <c r="D36" s="11" t="s">
        <v>47</v>
      </c>
    </row>
    <row r="37" spans="1:4" x14ac:dyDescent="0.25">
      <c r="A37" s="9" t="s">
        <v>68</v>
      </c>
      <c r="B37" s="11">
        <v>2</v>
      </c>
      <c r="C37" s="11">
        <v>5</v>
      </c>
      <c r="D37" s="11" t="s">
        <v>47</v>
      </c>
    </row>
    <row r="38" spans="1:4" x14ac:dyDescent="0.25">
      <c r="A38" s="9" t="s">
        <v>120</v>
      </c>
      <c r="B38" s="11">
        <v>4</v>
      </c>
      <c r="C38" s="11">
        <v>5</v>
      </c>
      <c r="D38" s="11" t="s">
        <v>47</v>
      </c>
    </row>
    <row r="39" spans="1:4" x14ac:dyDescent="0.25">
      <c r="A39" s="9" t="s">
        <v>97</v>
      </c>
      <c r="B39" s="11">
        <v>21</v>
      </c>
      <c r="C39" s="11">
        <v>5</v>
      </c>
      <c r="D39" s="11" t="s">
        <v>47</v>
      </c>
    </row>
    <row r="40" spans="1:4" x14ac:dyDescent="0.25">
      <c r="A40" s="9" t="s">
        <v>69</v>
      </c>
      <c r="B40" s="11">
        <v>6</v>
      </c>
      <c r="C40" s="11">
        <v>5</v>
      </c>
      <c r="D40" s="11" t="s">
        <v>47</v>
      </c>
    </row>
    <row r="41" spans="1:4" x14ac:dyDescent="0.25">
      <c r="A41" s="9" t="s">
        <v>70</v>
      </c>
      <c r="B41" s="11">
        <v>2</v>
      </c>
      <c r="C41" s="11">
        <v>5</v>
      </c>
      <c r="D41" s="11" t="s">
        <v>47</v>
      </c>
    </row>
    <row r="42" spans="1:4" x14ac:dyDescent="0.25">
      <c r="A42" s="9" t="s">
        <v>71</v>
      </c>
      <c r="B42" s="11">
        <v>4</v>
      </c>
      <c r="C42" s="11">
        <v>5</v>
      </c>
      <c r="D42" s="11" t="s">
        <v>47</v>
      </c>
    </row>
    <row r="43" spans="1:4" x14ac:dyDescent="0.25">
      <c r="A43" s="9" t="s">
        <v>72</v>
      </c>
      <c r="B43" s="11">
        <v>2</v>
      </c>
      <c r="C43" s="11">
        <v>5</v>
      </c>
      <c r="D43" s="11" t="s">
        <v>47</v>
      </c>
    </row>
    <row r="44" spans="1:4" x14ac:dyDescent="0.25">
      <c r="A44" s="9" t="s">
        <v>73</v>
      </c>
      <c r="B44" s="11">
        <v>1</v>
      </c>
      <c r="C44" s="11">
        <v>5</v>
      </c>
      <c r="D44" s="11" t="s">
        <v>47</v>
      </c>
    </row>
    <row r="45" spans="1:4" x14ac:dyDescent="0.25">
      <c r="A45" s="9" t="s">
        <v>83</v>
      </c>
      <c r="B45" s="11">
        <v>1</v>
      </c>
      <c r="C45" s="11">
        <v>5</v>
      </c>
      <c r="D45" s="11" t="s">
        <v>47</v>
      </c>
    </row>
    <row r="46" spans="1:4" x14ac:dyDescent="0.25">
      <c r="A46" s="9" t="s">
        <v>74</v>
      </c>
      <c r="B46" s="11">
        <v>6</v>
      </c>
      <c r="C46" s="11">
        <v>5</v>
      </c>
      <c r="D46" s="11" t="s">
        <v>47</v>
      </c>
    </row>
    <row r="47" spans="1:4" x14ac:dyDescent="0.25">
      <c r="A47" s="9" t="s">
        <v>75</v>
      </c>
      <c r="B47" s="11">
        <v>2</v>
      </c>
      <c r="C47" s="11">
        <v>5</v>
      </c>
      <c r="D47" s="11" t="s">
        <v>47</v>
      </c>
    </row>
    <row r="48" spans="1:4" x14ac:dyDescent="0.25">
      <c r="A48" s="9" t="s">
        <v>121</v>
      </c>
      <c r="B48" s="11">
        <v>2</v>
      </c>
      <c r="C48" s="11">
        <v>5</v>
      </c>
      <c r="D48" s="11" t="s">
        <v>47</v>
      </c>
    </row>
    <row r="49" spans="1:4" x14ac:dyDescent="0.25">
      <c r="A49" s="9" t="s">
        <v>94</v>
      </c>
      <c r="B49" s="11">
        <v>1</v>
      </c>
      <c r="C49" s="11">
        <v>5</v>
      </c>
      <c r="D49" s="11" t="s">
        <v>47</v>
      </c>
    </row>
    <row r="50" spans="1:4" x14ac:dyDescent="0.25">
      <c r="A50" s="9" t="s">
        <v>76</v>
      </c>
      <c r="B50" s="11">
        <v>1</v>
      </c>
      <c r="C50" s="11">
        <v>5</v>
      </c>
      <c r="D50" s="11" t="s">
        <v>47</v>
      </c>
    </row>
    <row r="51" spans="1:4" x14ac:dyDescent="0.25">
      <c r="A51" s="9" t="s">
        <v>84</v>
      </c>
      <c r="B51" s="11">
        <v>2</v>
      </c>
      <c r="C51" s="11">
        <v>5</v>
      </c>
      <c r="D51" s="11" t="s">
        <v>47</v>
      </c>
    </row>
    <row r="52" spans="1:4" x14ac:dyDescent="0.25">
      <c r="A52" s="9" t="s">
        <v>98</v>
      </c>
      <c r="B52" s="11">
        <v>2</v>
      </c>
      <c r="C52" s="11">
        <v>5</v>
      </c>
      <c r="D52" s="11" t="s">
        <v>47</v>
      </c>
    </row>
    <row r="53" spans="1:4" x14ac:dyDescent="0.25">
      <c r="A53" s="9" t="s">
        <v>85</v>
      </c>
      <c r="B53" s="11">
        <v>2</v>
      </c>
      <c r="C53" s="11">
        <v>5</v>
      </c>
      <c r="D53" s="11" t="s">
        <v>47</v>
      </c>
    </row>
    <row r="54" spans="1:4" x14ac:dyDescent="0.25">
      <c r="A54" s="9" t="s">
        <v>86</v>
      </c>
      <c r="B54" s="11">
        <v>3</v>
      </c>
      <c r="C54" s="11">
        <v>5</v>
      </c>
      <c r="D54" s="11" t="s">
        <v>47</v>
      </c>
    </row>
    <row r="55" spans="1:4" x14ac:dyDescent="0.25">
      <c r="A55" s="9" t="s">
        <v>122</v>
      </c>
      <c r="B55" s="11">
        <v>3</v>
      </c>
      <c r="C55" s="11">
        <v>5</v>
      </c>
      <c r="D55" s="11" t="s">
        <v>47</v>
      </c>
    </row>
    <row r="56" spans="1:4" x14ac:dyDescent="0.25">
      <c r="A56" s="9" t="s">
        <v>123</v>
      </c>
      <c r="B56" s="11">
        <v>1</v>
      </c>
      <c r="C56" s="11">
        <v>5</v>
      </c>
      <c r="D56" s="11" t="s">
        <v>47</v>
      </c>
    </row>
    <row r="57" spans="1:4" x14ac:dyDescent="0.25">
      <c r="A57" s="9" t="s">
        <v>124</v>
      </c>
      <c r="B57" s="11">
        <v>1</v>
      </c>
      <c r="C57" s="11">
        <v>5</v>
      </c>
      <c r="D57" s="11" t="s">
        <v>47</v>
      </c>
    </row>
    <row r="58" spans="1:4" x14ac:dyDescent="0.25">
      <c r="A58" s="9" t="s">
        <v>125</v>
      </c>
      <c r="B58" s="11">
        <v>1</v>
      </c>
      <c r="C58" s="11">
        <v>3</v>
      </c>
      <c r="D58" s="11" t="s">
        <v>47</v>
      </c>
    </row>
    <row r="59" spans="1:4" x14ac:dyDescent="0.25">
      <c r="A59" s="9" t="s">
        <v>77</v>
      </c>
      <c r="B59" s="11">
        <v>1</v>
      </c>
      <c r="C59" s="11"/>
      <c r="D59" s="11" t="s">
        <v>119</v>
      </c>
    </row>
    <row r="60" spans="1:4" x14ac:dyDescent="0.25">
      <c r="A60" s="9" t="s">
        <v>78</v>
      </c>
      <c r="B60" s="11">
        <v>1</v>
      </c>
      <c r="C60" s="11"/>
      <c r="D60" s="11" t="s">
        <v>117</v>
      </c>
    </row>
    <row r="61" spans="1:4" x14ac:dyDescent="0.25">
      <c r="A61" s="9" t="s">
        <v>126</v>
      </c>
      <c r="B61" s="11">
        <v>1</v>
      </c>
      <c r="C61" s="11">
        <v>2</v>
      </c>
      <c r="D61" s="11" t="s">
        <v>47</v>
      </c>
    </row>
    <row r="62" spans="1:4" x14ac:dyDescent="0.25">
      <c r="A62" s="9" t="s">
        <v>127</v>
      </c>
      <c r="B62" s="11">
        <v>2</v>
      </c>
      <c r="C62" s="11">
        <v>3</v>
      </c>
      <c r="D62" s="11" t="s">
        <v>47</v>
      </c>
    </row>
    <row r="63" spans="1:4" x14ac:dyDescent="0.25">
      <c r="A63" s="9" t="s">
        <v>99</v>
      </c>
      <c r="B63" s="11">
        <v>1</v>
      </c>
      <c r="C63" s="11">
        <v>5</v>
      </c>
      <c r="D63" s="11" t="s">
        <v>47</v>
      </c>
    </row>
    <row r="64" spans="1:4" x14ac:dyDescent="0.25">
      <c r="A64" s="9" t="s">
        <v>128</v>
      </c>
      <c r="B64" s="11">
        <v>1</v>
      </c>
      <c r="C64" s="11">
        <v>5</v>
      </c>
      <c r="D64" s="11" t="s">
        <v>47</v>
      </c>
    </row>
    <row r="65" spans="1:4" x14ac:dyDescent="0.25">
      <c r="A65" s="9" t="s">
        <v>100</v>
      </c>
      <c r="B65" s="11">
        <v>1</v>
      </c>
      <c r="C65" s="11">
        <v>5</v>
      </c>
      <c r="D65" s="11" t="s">
        <v>47</v>
      </c>
    </row>
    <row r="66" spans="1:4" x14ac:dyDescent="0.25">
      <c r="A66" s="9" t="s">
        <v>129</v>
      </c>
      <c r="B66" s="11">
        <v>4</v>
      </c>
      <c r="C66" s="11">
        <v>5</v>
      </c>
      <c r="D66" s="11" t="s">
        <v>47</v>
      </c>
    </row>
    <row r="67" spans="1:4" x14ac:dyDescent="0.25">
      <c r="A67" s="9" t="s">
        <v>95</v>
      </c>
      <c r="B67" s="11">
        <v>4</v>
      </c>
      <c r="C67" s="11">
        <v>5</v>
      </c>
      <c r="D67" s="11" t="s">
        <v>47</v>
      </c>
    </row>
    <row r="68" spans="1:4" x14ac:dyDescent="0.25">
      <c r="A68" s="9" t="s">
        <v>130</v>
      </c>
      <c r="B68" s="11">
        <v>1</v>
      </c>
      <c r="C68" s="11"/>
      <c r="D68" s="11" t="s">
        <v>119</v>
      </c>
    </row>
    <row r="69" spans="1:4" x14ac:dyDescent="0.25">
      <c r="A69" s="9" t="s">
        <v>96</v>
      </c>
      <c r="B69" s="11">
        <v>1</v>
      </c>
      <c r="C69" s="11">
        <v>5</v>
      </c>
      <c r="D69" s="11" t="s">
        <v>47</v>
      </c>
    </row>
    <row r="70" spans="1:4" x14ac:dyDescent="0.25">
      <c r="A70" s="9" t="s">
        <v>110</v>
      </c>
      <c r="B70" s="11">
        <v>1</v>
      </c>
      <c r="C70" s="11">
        <v>5</v>
      </c>
      <c r="D70" s="11" t="s">
        <v>47</v>
      </c>
    </row>
    <row r="71" spans="1:4" x14ac:dyDescent="0.25">
      <c r="A71" s="9" t="s">
        <v>79</v>
      </c>
      <c r="B71" s="11">
        <v>5</v>
      </c>
      <c r="C71" s="11"/>
      <c r="D71" s="11" t="s">
        <v>47</v>
      </c>
    </row>
    <row r="72" spans="1:4" x14ac:dyDescent="0.25">
      <c r="A72" s="9" t="s">
        <v>111</v>
      </c>
      <c r="B72" s="11">
        <v>1</v>
      </c>
      <c r="C72" s="11">
        <v>5</v>
      </c>
      <c r="D72" s="11" t="s">
        <v>47</v>
      </c>
    </row>
    <row r="73" spans="1:4" x14ac:dyDescent="0.25">
      <c r="A73" s="9" t="s">
        <v>131</v>
      </c>
      <c r="B73" s="11">
        <v>21</v>
      </c>
      <c r="C73" s="11"/>
      <c r="D73" s="11" t="s">
        <v>119</v>
      </c>
    </row>
    <row r="74" spans="1:4" x14ac:dyDescent="0.25">
      <c r="A74" s="9" t="s">
        <v>132</v>
      </c>
      <c r="B74" s="11">
        <v>4</v>
      </c>
      <c r="C74" s="11"/>
      <c r="D74" s="11" t="s">
        <v>119</v>
      </c>
    </row>
    <row r="75" spans="1:4" x14ac:dyDescent="0.25">
      <c r="A75" s="9" t="s">
        <v>133</v>
      </c>
      <c r="B75" s="11">
        <v>2</v>
      </c>
      <c r="C75" s="11"/>
      <c r="D75" s="11" t="s">
        <v>119</v>
      </c>
    </row>
    <row r="76" spans="1:4" x14ac:dyDescent="0.25">
      <c r="A76" s="9" t="s">
        <v>134</v>
      </c>
      <c r="B76" s="11">
        <v>1</v>
      </c>
      <c r="C76" s="11"/>
      <c r="D76" s="11" t="s">
        <v>119</v>
      </c>
    </row>
    <row r="77" spans="1:4" x14ac:dyDescent="0.25">
      <c r="A77" s="9" t="s">
        <v>135</v>
      </c>
      <c r="B77" s="11">
        <v>1</v>
      </c>
      <c r="C77" s="11">
        <v>1</v>
      </c>
      <c r="D77" s="11" t="s">
        <v>136</v>
      </c>
    </row>
    <row r="78" spans="1:4" x14ac:dyDescent="0.25">
      <c r="A78" s="9" t="s">
        <v>137</v>
      </c>
      <c r="B78" s="11">
        <v>1</v>
      </c>
      <c r="C78" s="11">
        <v>1</v>
      </c>
      <c r="D78" s="11" t="s">
        <v>136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F8B16597-60C9-4825-91D0-3C64A0C904BC}"/>
</file>

<file path=customXml/itemProps2.xml><?xml version="1.0" encoding="utf-8"?>
<ds:datastoreItem xmlns:ds="http://schemas.openxmlformats.org/officeDocument/2006/customXml" ds:itemID="{A9207714-4F40-4AC1-9750-57A6C9C17BDF}"/>
</file>

<file path=customXml/itemProps3.xml><?xml version="1.0" encoding="utf-8"?>
<ds:datastoreItem xmlns:ds="http://schemas.openxmlformats.org/officeDocument/2006/customXml" ds:itemID="{D98BFD07-0398-49C9-8317-BEEE0E8C49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MOI_MOD</vt:lpstr>
      <vt:lpstr>MOB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Lourenço Neto</dc:creator>
  <cp:lastModifiedBy>Francisco C. Pignata</cp:lastModifiedBy>
  <dcterms:created xsi:type="dcterms:W3CDTF">2023-01-12T17:02:40Z</dcterms:created>
  <dcterms:modified xsi:type="dcterms:W3CDTF">2025-10-24T18:34:01Z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</Properties>
</file>