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Tables/pivotTable1.xml" ContentType="application/vnd.openxmlformats-officedocument.spreadsheetml.pivot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6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calcChain.xml" ContentType="application/vnd.openxmlformats-officedocument.spreadsheetml.calcChain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N:\GERAL2\Comercial\Propostas\2025\SADA\Eber\Montagem Processo\Auxiliares\"/>
    </mc:Choice>
  </mc:AlternateContent>
  <xr:revisionPtr revIDLastSave="0" documentId="13_ncr:1_{953E9184-39D4-47BE-9FDC-FD188994C2DE}" xr6:coauthVersionLast="47" xr6:coauthVersionMax="47" xr10:uidLastSave="{00000000-0000-0000-0000-000000000000}"/>
  <bookViews>
    <workbookView xWindow="-23148" yWindow="-108" windowWidth="23256" windowHeight="12456" tabRatio="846" xr2:uid="{00000000-000D-0000-FFFF-FFFF00000000}"/>
  </bookViews>
  <sheets>
    <sheet name="Lista de Cargas" sheetId="1" r:id="rId1"/>
    <sheet name="Motores" sheetId="18" r:id="rId2"/>
    <sheet name="Cabos" sheetId="17" r:id="rId3"/>
  </sheets>
  <externalReferences>
    <externalReference r:id="rId4"/>
    <externalReference r:id="rId5"/>
  </externalReferences>
  <definedNames>
    <definedName name="_xlnm._FilterDatabase" localSheetId="0" hidden="1">'Lista de Cargas'!$A$1:$BF$340</definedName>
    <definedName name="aaa" localSheetId="0">#REF!</definedName>
    <definedName name="aaa">#REF!</definedName>
    <definedName name="aaaaaaa" localSheetId="0">#REF!</definedName>
    <definedName name="aaaaaaa">#REF!</definedName>
    <definedName name="ad" localSheetId="0">#REF!</definedName>
    <definedName name="ad">#REF!</definedName>
    <definedName name="adb" localSheetId="0">#REF!</definedName>
    <definedName name="adb">#REF!</definedName>
    <definedName name="adsf" localSheetId="0">#REF!</definedName>
    <definedName name="adsf">#REF!</definedName>
    <definedName name="ae" localSheetId="0">#REF!</definedName>
    <definedName name="ae">#REF!</definedName>
    <definedName name="aef" localSheetId="0">#REF!</definedName>
    <definedName name="aef">#REF!</definedName>
    <definedName name="afdasfas" localSheetId="0">#REF!</definedName>
    <definedName name="afdasfas">#REF!</definedName>
    <definedName name="AH" localSheetId="0">#REF!</definedName>
    <definedName name="AH">#REF!</definedName>
    <definedName name="_xlnm.Print_Area" localSheetId="0">'Lista de Cargas'!$A$1:$BE$340</definedName>
    <definedName name="asfd" localSheetId="0">#REF!</definedName>
    <definedName name="asfd">#REF!</definedName>
    <definedName name="ASI_REDE" comment="Total de pontos, Nós Redes Asi ou Device Net">'[1]Calc Eng'!$H$26</definedName>
    <definedName name="Atendentes_Instr_Campo_QT" comment="Total de Atendentes especialistas em Comissionamento de instrumentos em campo. Parte integrante do time de Startup ">'[1]Calc Eng'!$B$52</definedName>
    <definedName name="Atendentes_Senior_QT" comment="Porcentagem estimada de atendentes especialistas, diretoria, gerente Enegenharia definida para Obra">'[1]Calc Eng'!$B$50</definedName>
    <definedName name="Atendentes_Sistema_Processo_QT" comment="Total de atendente de sistema, de desenvolvimento de Software e sistema">'[1]Calc Eng'!$B$51</definedName>
    <definedName name="Atendentes_Total" comment="Total de Atendentes previsto Comissionamento, Startup e Operação Assistida">'[1]Calc Eng'!$B$27</definedName>
    <definedName name="BR" localSheetId="0">#REF!</definedName>
    <definedName name="BR">#REF!</definedName>
    <definedName name="BRN" localSheetId="0">#REF!</definedName>
    <definedName name="BRN">#REF!</definedName>
    <definedName name="C_ADM_Geral" comment="Custo administrativo geral. Para emissão de notas , para trabalho interno etc..">0.1</definedName>
    <definedName name="CFTV_TI_meta">'[1]Pareto Metas'!$R$85</definedName>
    <definedName name="CFTV_TI_real">[1]Metas!$U$127</definedName>
    <definedName name="CFTV_Total" comment="Total de equipamentos para CFTV">[1]Retorno!$B$6</definedName>
    <definedName name="Cidade" comment="Cidade que será realizada a OBRA">'[1]Calc Eng'!$H$78</definedName>
    <definedName name="CNPJ">'[1]Calc Eng'!$K$77</definedName>
    <definedName name="Conteiner_Aluguel_Mes" comment="Custo Médio de Locação de Conteiner. Não considerado Transporte">'[1]Calc Eng'!$B$43</definedName>
    <definedName name="CSLL" comment="CSLL Lucro Presumido ou Real">[1]Impostos!$H$28</definedName>
    <definedName name="CTNER" comment="Numero de Contineres Previsto na Obra">'[1]Calc Eng'!$H$20</definedName>
    <definedName name="Custo_Impostos_Credito__Débito" comment="Resumo dos impostos a serem Pagos diretos">[1]Retorno!$J$23</definedName>
    <definedName name="data_abertura_OS">'[1]O.S.'!$M$5</definedName>
    <definedName name="descrição_da_venda">'[1]O.S.'!$E$16</definedName>
    <definedName name="Diária_Casa_Atendente" comment="Custo Diária em casa Alugada. Considerado, Aluguel, Roupa Lvada, Luz, Agua e empregada. Media de 6 Ocupantes">'[2]Calc Eng'!$B$2</definedName>
    <definedName name="Diária_Casa_Custo_Atendente" comment="Custo por profissional da  Diária considerando ficar  em casa , base  Alugada. Considerado: Aluguel, Roupa Lavada, Luz, Agua e empregada. Não considerado Refeição. (Nota: cada Casa estima-se 6 profissionais)">'[1]Calc Eng'!$B$2</definedName>
    <definedName name="Diária_Completa_Sem_Transporte" comment="Custo de uma diária Completa de um Atendente. Considerado:  Diaria de estadia (Hotel avulso), HH (10h) e Refeições. Sem Translado, sem km">'[1]Calc Eng'!$B$41</definedName>
    <definedName name="Diária_Hotel_Avulsos" comment="Custo médio de diárias de hoteis avulsas, temporários.">'[2]Calc Eng'!$B$4</definedName>
    <definedName name="Diária_Hotel_Negociado" comment="Custo Diária Hotel negociado em locais de Obras, de startup.">'[2]Calc Eng'!$B$5</definedName>
    <definedName name="Diárias_Hotel_Avulsas_Custo" comment="Custo médio de diárias de hoteis avulsas, temporários.">'[1]Calc Eng'!$B$4</definedName>
    <definedName name="Diárias_Hotel_Negociada_Custo" comment="Custo Diária Hotel negociado em locais de Obras, de startup.">'[1]Calc Eng'!$B$5</definedName>
    <definedName name="Dias_Campo" comment="Padrão de dias fora de STZ. Dias na OBRA Considerado na Proposta">'[1]Calc Eng'!$B$32</definedName>
    <definedName name="Distância_Base_PLANTA" comment="Distancia, em KM, da Planta até a cidade, ou local de hospedagem">'[1]Calc Eng'!$B$37</definedName>
    <definedName name="Distância_STZ_BASE" comment="Distancia da Base da ATK , na Cidade até STZ, Matriz">'[1]Calc Eng'!$B$36</definedName>
    <definedName name="Domingo_H" comment="Horas Domingo">'[1]Calc Eng'!$B$60</definedName>
    <definedName name="Duração_Comissionamento__Startup" comment="Tempo considerado para Comissionamento, Startup e operação Assistida">'[1]Calc Eng'!$B$42</definedName>
    <definedName name="Duração_Obra_Mês" comment="Tempo considerado para duração efetiva da Obra.">'[1]Calc Eng'!$B$31</definedName>
    <definedName name="EA_E_PA" comment="Numero de entradas Analogicas e ou de entradas de instrumentos PA">'[1]Calc Eng'!$H$23</definedName>
    <definedName name="ED_SD" comment="Total de entradas e Saidas Digitais">'[1]Calc Eng'!$H$25</definedName>
    <definedName name="Embalagem" comment="Custo estimado na Proposta para Embalagem">'[1]Calc Eng'!$B$18</definedName>
    <definedName name="Embalagem_meta">'[1]Pareto Metas'!$R$80</definedName>
    <definedName name="Equipe_Numero" comment="Equipe estiamda para Comissionamento, Startup e Operação Assistida. ">'[1]Calc Eng'!$B$33</definedName>
    <definedName name="Estado" comment="Estado em que será realizada a OBRA">'[1]Calc Eng'!$J$78</definedName>
    <definedName name="ewar" localSheetId="0">#REF!</definedName>
    <definedName name="ewar">#REF!</definedName>
    <definedName name="fafdsfsdf" localSheetId="0">#REF!</definedName>
    <definedName name="fafdsfsdf">#REF!</definedName>
    <definedName name="Fator_Venda" comment="Fator Multiplicador Venda Final">[1]Retorno!$B$25</definedName>
    <definedName name="Frete_KM" comment="Custo básico de frete por KM. Multiplicar sempre quantidade estimada de viagem de transporte.">'[1]Calc Eng'!$B$17</definedName>
    <definedName name="Frete_meta">'[1]Pareto Metas'!$R$81</definedName>
    <definedName name="HA" localSheetId="0">#REF!</definedName>
    <definedName name="HA">#REF!</definedName>
    <definedName name="HH_Extra_DIA" comment="Horas extras estimadas Dia">'[1]Calc Eng'!$B$62</definedName>
    <definedName name="HH_Junior_Startup" comment="Horas previstas de Instrumentistas e Apoio ao Startup em campo">'[1]Calc Eng'!$M$63</definedName>
    <definedName name="HH_junior_startup_meta">'[1]Pareto Metas'!$R$69</definedName>
    <definedName name="HH_Proj_Adm" comment="Horas previstas Projeto Elétrico, Projetos internos e Documentação normal.">'[1]Calc Eng'!$O$58</definedName>
    <definedName name="HH_proj_adm_meta">'[1]Pareto Metas'!$R$65</definedName>
    <definedName name="HH_proj_sistema_startup_meta">'[1]Pareto Metas'!$R$68</definedName>
    <definedName name="HH_Projeto_Sistema_Startup" comment="Horas previstas da equipe de Projeto para Comissionamento, Startup e Operação Assistida">'[1]Calc Eng'!$M$62</definedName>
    <definedName name="HH_Sen_Manager" comment="Total de HH Previsto para Especialista Sistema, Gestão e Documentação Nivel Alto">'[1]Calc Eng'!$O$56</definedName>
    <definedName name="HH_senior_manager_meta">'[1]Pareto Metas'!$R$63</definedName>
    <definedName name="HH_Senior_Startup" comment="Horas previstas de especilista, Gerencia e Diretori no Startup, Comissionamento e Operação Assistida, e ou para Auditar ou Resolver Problemas">'[1]Calc Eng'!$M$61</definedName>
    <definedName name="HH_senior_startup_meta">'[1]Pareto Metas'!$R$67</definedName>
    <definedName name="HH_Sist_Conf" comment="Horas Previstas para Programação, desenvolvimento Projeto">'[1]Calc Eng'!$O$57</definedName>
    <definedName name="HH_sist_conf_meta">'[1]Pareto Metas'!$R$64</definedName>
    <definedName name="HH_Total_Eng_Interna" comment="Total Geral de HH Engenharia interna Prevista">'[1]Calc Eng'!$O$55</definedName>
    <definedName name="HH_total_eng_interna_meta">'[1]Pareto Metas'!$R$66</definedName>
    <definedName name="HH_total_eng_interna_real">[1]Metas!$U$55</definedName>
    <definedName name="HH_Total_Startup" comment="Total Geral de HH Startup, Comissionamento e operação Assistida">'[1]Calc Eng'!$M$60</definedName>
    <definedName name="HH_total_startup_meta">'[1]Pareto Metas'!$R$71</definedName>
    <definedName name="HH_total_startup_real">[1]Metas!$U$18</definedName>
    <definedName name="Horas_Comissionamento_Startup" comment="Total de Horas previstas para Comissionamento, Startup e Operação Assistida">'[1]Calc Eng'!$B$47</definedName>
    <definedName name="Horas_Instr_Startup" comment="Total de Horas previstas para equipe de Instrumentistas de campo em comissionamento e Startup">'[1]Calc Eng'!$B$49</definedName>
    <definedName name="Horas_Normais_Mês" comment="Horas normais Trabalhadas Mês">'[1]Calc Eng'!$B$61</definedName>
    <definedName name="Horas_Preposto" comment="Total de HH prevista para Todos Prepostos somados na Obra">'[1]Calc Eng'!$L$51</definedName>
    <definedName name="Horas_preposto_meta">'[1]Pareto Metas'!$R$70</definedName>
    <definedName name="Horas_preposto_real">[1]Metas!$U$346</definedName>
    <definedName name="Horas_Senior_Startup" comment="Horas previstas dee Seniores, Diretoria e Auditoria">'[1]Calc Eng'!$B$48</definedName>
    <definedName name="Horas_Sistema_Proj_Startup" comment="Horas Previstas para equipe de Startup Equipe direcionada a Sistema">'[1]Calc Eng'!$B$53</definedName>
    <definedName name="Horas_Trabalho_Média" comment="Quantidade prevista média máxima de Horas diária de Trabalho.">'[1]Calc Eng'!$B$28</definedName>
    <definedName name="IE" comment="Isncrição estadual">'[1]Calc Eng'!$L$77</definedName>
    <definedName name="IHM" comment="Total de IHMs">'[1]Calc Eng'!$H$30</definedName>
    <definedName name="INST_Total" comment="Total de custo com instrumentos em geral">[1]Retorno!$B$7</definedName>
    <definedName name="Inverso_Lucro" comment="Apenas inverter zero para 1 para facilitar equação">[1]Retorno!$GP$4</definedName>
    <definedName name="IRPJ" comment="Imposto renda Lucro Presumido ou Real">[1]Impostos!$H$27</definedName>
    <definedName name="JBs_Total" comment="Custo Total de JBs- Hart, e ou 4 a 20 ma">'[1]Calc Eng'!$B$24</definedName>
    <definedName name="JC" localSheetId="0">#REF!</definedName>
    <definedName name="JC">#REF!</definedName>
    <definedName name="KM" comment="Custo do quilômetro rodado puro.">'[1]Calc Eng'!$B$7</definedName>
    <definedName name="KM_HH_D_REF" comment="Custo do Quilometro rodado, considerando, Refeição no percurso, horas de (1) UM Atendente, e Estadia necessária.">'[1]Calc Eng'!$B$8</definedName>
    <definedName name="LOG" comment="Custo estimado de Logistica para o projeto">'[1]Calc Eng'!$H$8</definedName>
    <definedName name="LOG_HH_Médio_Obra" comment="Custo médio de LOG, MOB, EPIs, Viagens, Estadia. Acrescentar ao custo hora. Nunca usar para um atendimento exclusivo. Apenas para caso de Obras acima de 3 meses e com no minimo 5 atenendentes, com casa Alugada , van e equipe">'[1]Calc Eng'!$DA$127</definedName>
    <definedName name="Log_In_MOI_Custo_HH" comment="Custo de Logistica e Mobilização a ser acrescentado na Hora trabalhada, caso seja necessário um cálculo rápido.">'[1]Valores HH_D_Km'!$F$50</definedName>
    <definedName name="LOG_meta">'[2]Pareto Metas'!$H$73</definedName>
    <definedName name="lOG_MOB_COFINS_LP" comment="Logistica ou Mob Lucro Presumido COFINS">[1]Impostos!$K$25</definedName>
    <definedName name="lOG_MOB_COFINS_LR" comment="Cofins Logistica Ou MOB Real">[1]Impostos!$H$25</definedName>
    <definedName name="lOG_MOB_ISSQN_LR_LP" comment="Logistica e Mobilização ISS Presumido Ou real">[1]Impostos!$H$26</definedName>
    <definedName name="LOG_MOB_PIS_LP" comment="LOG OU Mobilização PIS Lucro Presumido">[1]Impostos!$K$24</definedName>
    <definedName name="LOG_MOB_PIS_LR" comment="Pis Logistica Real">[1]Impostos!$H$24</definedName>
    <definedName name="LOG_real">[1]Metas!$U$198</definedName>
    <definedName name="LOG_retorno">[1]Retorno!$B$8</definedName>
    <definedName name="LOG_retorno_meta">'[1]Pareto Metas'!$R$79</definedName>
    <definedName name="Logistica_Preposto" comment="Custo estimado de Logistica para o Preposto. Tudo considerado">'[1]Calc Eng'!$B$46</definedName>
    <definedName name="LS" localSheetId="0">#REF!</definedName>
    <definedName name="LS">#REF!</definedName>
    <definedName name="Lucro" comment="Lucro Presumido =0 e Lucro Real = 1">[1]Retorno!$GP$3</definedName>
    <definedName name="Mestre_coi1" localSheetId="0">#REF!</definedName>
    <definedName name="Mestre_coi1">#REF!</definedName>
    <definedName name="MI" comment="Custo de MI, MAterial de Instalação estimado na Planilha. Materiais especiais tem de serem considerados em separado">'[1]Calc Eng'!$H$17</definedName>
    <definedName name="MI_Total" comment="Total de Material classificado como MI na Mestre. Vem da Tabela Dinamica">[1]Retorno!$B$9</definedName>
    <definedName name="MI_TOTAL_meta">'[1]Pareto Metas'!$R$78</definedName>
    <definedName name="MI_TOTAL_real">[1]Metas!$U$92</definedName>
    <definedName name="MOA_C" comment="Mão Obra de Admnsitração, Segurança e serviços básicos">'[1]Calc Eng'!$B$65</definedName>
    <definedName name="MOB" comment="Custo Mobilização Campo. Cerca, Conteiner, Pedras . Enfermeiros, Segurança e Logistica do Preposto">'[1]Calc Eng'!$H$9</definedName>
    <definedName name="Mob_Canteiro" comment="Mobilização do Canteiro. Tudo, inclusive enfermeiros, Segurança.">'[1]Calc Eng'!$O$50</definedName>
    <definedName name="Mob_canteiro_meta" comment="Meta para Mobilização de canteiro Obra">'[1]Pareto Metas'!$R$75</definedName>
    <definedName name="MOB_meta" comment="Meta para Mobilização">'[1]Pareto Metas'!$R$77</definedName>
    <definedName name="MOB_Mob_canteiro_meta">'[1]Pareto Metas'!$R$76</definedName>
    <definedName name="MOB_real">[1]Metas!$U$162</definedName>
    <definedName name="MOB_retorno">[1]Retorno!$B$10</definedName>
    <definedName name="MOC__ISSQN_LR_LP" comment="ISS MOC Lucro Real Venda">[1]Impostos!$H$17</definedName>
    <definedName name="MOC_Atendente_Custo" comment="Custo Médio HH  Atendente Campo">'[1]Calc Eng'!$B$12</definedName>
    <definedName name="MOC_C_ST" comment="Custo estimado de Mão de Obra de campo destinado a Startup, comissionamento e operação Assistida.">'[1]Calc Eng'!$H$4</definedName>
    <definedName name="MOC_C_ST_meta">'[1]Pareto Metas'!$R$73</definedName>
    <definedName name="MOC_COFINS_LP" comment="MOC COFINS lucro presumido">[1]Impostos!$K$16</definedName>
    <definedName name="MOC_COFINS_LR" comment="COFINS MOC Lucro Real">[1]Impostos!$H$16</definedName>
    <definedName name="MOC_PIS_LP" comment="MOC PIS lucro Presumido">[1]Impostos!$K$15</definedName>
    <definedName name="MOC_PIS_LR" comment="PIS MOC Lucro Real">[1]Impostos!$H$15</definedName>
    <definedName name="MOC_PT" comment="Custo  Mão Obra de Preposto">'[1]Calc Eng'!$H$5</definedName>
    <definedName name="MOC_retorno">[1]Retorno!$B$11</definedName>
    <definedName name="MOE_COFINS_LP" comment="MOE COFINS Lucro Presumido">[1]Impostos!$K$12</definedName>
    <definedName name="MOE_COFINS_LR" comment="COFINA MOE lucro Real">[1]Impostos!$H$12</definedName>
    <definedName name="MOE_H" comment="Custo HH Engenharia Senior">'[1]Calc Eng'!$B$11</definedName>
    <definedName name="MOE_IRRF_LP" comment="MOE IRRF Imposto Renda Lucro Presumido">[1]Impostos!$K$13</definedName>
    <definedName name="MOE_IRRF_LR" comment="IRRF MOE Lucro Real">[1]Impostos!$H$13</definedName>
    <definedName name="MOE_ISSQN_LR_LP" comment="ISS MOE Lucro Reala ou Presumido">[1]Impostos!$H$14</definedName>
    <definedName name="MOE_M" comment="Custo HH Engenharia Média">'[1]Calc Eng'!$B$9</definedName>
    <definedName name="MOE_meta">'[1]Pareto Metas'!$R$72</definedName>
    <definedName name="MOE_P" comment="Custo de Mão de obra de Projeto interno, elétrico, paineis e documentação">'[1]Calc Eng'!$B$10</definedName>
    <definedName name="MOE_PIS_LP" comment="MOE PIS Lucro Presumido">[1]Impostos!$K$11</definedName>
    <definedName name="MOE_PIS_LR" comment="PIS Engenhraia Lucro Real">[1]Impostos!$H$11</definedName>
    <definedName name="MOE_retorno">[1]Retorno!$B$12</definedName>
    <definedName name="MOF_Custo" comment="Custo do HH Fábrica Paineis">'[1]Calc Eng'!$B$14</definedName>
    <definedName name="MOF_Total_Campo" comment="Total de Mão de Obra da Fábrica que será utilizada em campo. Prevista">'[1]Calc Eng'!$B$56</definedName>
    <definedName name="MOFC_Fabrica_Campo_Custo" comment="Custo da HH da Fábrica em Campo">'[1]Calc Eng'!$B$13</definedName>
    <definedName name="MOI" comment="Custo MOI estimado na Planilha">'[1]Calc Eng'!$H$16</definedName>
    <definedName name="MOI_COFINS_LP" comment="MOI COFINS Lucro Presumido">[1]Impostos!$K$19</definedName>
    <definedName name="MOI_COFINS_LR" comment="COFINS para MOI Lucro Real">[1]Impostos!$H$19</definedName>
    <definedName name="MOI_ISSQN_LR_LP" comment="ISS MOI lucro Real e Presumido">[1]Impostos!$H$20</definedName>
    <definedName name="MOI_meta">'[2]Pareto Metas'!$H$68</definedName>
    <definedName name="MOI_PIS_LP" comment="MOI PIS lucro Presumido">[1]Impostos!$K$18</definedName>
    <definedName name="MOI_PIS_LR" comment="PIS para MOI Lucro Real">[1]Impostos!$H$18</definedName>
    <definedName name="MOI_retorno">[1]Retorno!$B$13</definedName>
    <definedName name="MOI_retorno_meta">'[1]Pareto Metas'!$R$74</definedName>
    <definedName name="MOL_Custo_Instr" comment="Custo Médio HH da equipe de Instrumentação de Campo, para equipamentos, comissionamento, ajustes.">'[1]Calc Eng'!$B$15</definedName>
    <definedName name="MOP_retorno">[1]Retorno!$B$14</definedName>
    <definedName name="MOP_retorno_meta">'[1]Pareto Metas'!$R$83</definedName>
    <definedName name="MOS" comment="Custo HH de Enfermeiro, Segurança na Obra, secretária.">'[1]Calc Eng'!$B$44</definedName>
    <definedName name="MOSV__Services_Custo_MO" comment="Custo da Mão Obra Services">'[1]Calc Eng'!$B$63</definedName>
    <definedName name="MOTK_Adm_Custo" comment="Custo HH Preposto Turnkey em campo">'[1]Calc Eng'!$B$16</definedName>
    <definedName name="MOV_Total" comment="Custo total com móveis">[1]Retorno!$B$15</definedName>
    <definedName name="Não" comment="Indicador">'[1]Calc Eng'!$A$78</definedName>
    <definedName name="NB" localSheetId="0">#REF!</definedName>
    <definedName name="NB">#REF!</definedName>
    <definedName name="NC" localSheetId="0">#REF!</definedName>
    <definedName name="NC">#REF!</definedName>
    <definedName name="Necesssidade_preposto" comment="Necessidade de Preposto na OBRA">'[1]Calc Eng'!$K$99</definedName>
    <definedName name="NH" localSheetId="0">#REF!</definedName>
    <definedName name="NH">#REF!</definedName>
    <definedName name="Nome_Cliente" comment="Nome Cliente">'[1]Calc Eng'!$H$77</definedName>
    <definedName name="numero_OS">'[1]O.S.'!$M$4</definedName>
    <definedName name="Obra_Adm_Profissionais" comment="Numero de profissionais na Obra, Enfermeiro, Segurança. Não considera o Preposto">'[1]Calc Eng'!$B$45</definedName>
    <definedName name="Operação_Assistida" comment="Total de Horas prevista Para Operação Assistida">'[1]Calc Eng'!$B$54</definedName>
    <definedName name="PAINEL" comment="Custo Mão OBRA PAINEL">'[1]Calc Eng'!$H$12</definedName>
    <definedName name="PAINEL_meta">'[2]Pareto Metas'!$H$77</definedName>
    <definedName name="PAINEL_real">[1]Metas!$U$310</definedName>
    <definedName name="Passagens_Ida_Volta" comment="Custo de Passagen de ida e volta. Avião, Onibus ou trem">'[1]Calc Eng'!$B$25</definedName>
    <definedName name="PLC_Total" comment="Total de custo com PLC">[1]Retorno!$B$16</definedName>
    <definedName name="Pontos_EXX" comment="Total de pontos a Prova de explosão">'[1]Calc Eng'!$H$28</definedName>
    <definedName name="Pontos_Pneumáticos" comment="Tpotal de pontos Pneumáticos">'[1]Calc Eng'!$H$29</definedName>
    <definedName name="Pontos_Ponderado" comment="Numero de Pontos Ponderados">'[1]Calc Eng'!$B$29</definedName>
    <definedName name="Pontos_Totais" comment="Total de Pontos">'[1]Calc Eng'!$B$57</definedName>
    <definedName name="PRDO_meta">'[1]Pareto Metas'!$R$86</definedName>
    <definedName name="Preposto__Obra" comment="Estimativa do período que o Preposto deve permanecer na Obra. Desde Mobilização,obra e Desmobilização.">'[1]Calc Eng'!$B$55</definedName>
    <definedName name="Preposto_total" comment="Total e Preposto estimado para Obra">'[1]Calc Eng'!$B$30</definedName>
    <definedName name="Preposto_Viagens_Base_Planta" comment="Numero de  Idas e vindas entre Base e Planta, do Preposto">'[1]Calc Eng'!$B$40</definedName>
    <definedName name="Preposto_Viagens_STZ_Base" comment="Numero de viagens estimadas do Preposto entre Base e Sertãozinho">'[1]Calc Eng'!$B$39</definedName>
    <definedName name="Prod_MI_COFINS_LP" comment="Produto ou MI COFINS lucro Presumido">[1]Impostos!$K$10</definedName>
    <definedName name="Prod_MI_COFINS_LR" comment="COFINS venda MI Lucro Real">[1]Impostos!$H$10</definedName>
    <definedName name="Prod_MI_ICMS_LR_LP" comment="ICMS Para Produto e MI Lucro Presumido ou Real.">[1]Impostos!$K$8</definedName>
    <definedName name="Prod_MI_PIS_LP" comment="PIS Produto ou Material Instalação Lucro Presumido">[1]Impostos!$K$9</definedName>
    <definedName name="Prod_MI_PIS_LR" comment="PIS venda MI Lucro real">[1]Impostos!$H$9</definedName>
    <definedName name="PROD_real">[1]Metas!$U$234</definedName>
    <definedName name="PROD_REDE_Total" comment="Total com Produtos de Rede">[1]Retorno!$B$19</definedName>
    <definedName name="PROD_TI_TOTAL" comment="Total de Prod TI">[1]Retorno!$B$20</definedName>
    <definedName name="PROD_Total" comment="Total com PROD em geral">[1]Retorno!$B$18</definedName>
    <definedName name="Profissionais_COI" localSheetId="0">#REF!</definedName>
    <definedName name="Profissionais_COI">#REF!</definedName>
    <definedName name="q" localSheetId="0">#REF!</definedName>
    <definedName name="q">#REF!</definedName>
    <definedName name="QDTC_Total" comment="Custo Total de QDTC para o projeto">'[1]Calc Eng'!$B$23</definedName>
    <definedName name="Refeição_Cliente_Custo" comment="Custo estimado do valor da Refeição no cliente. Na Obra">'[1]Calc Eng'!$B$22</definedName>
    <definedName name="Refeições_Custo" comment="Custo Médio por refeição, somado ao Lanche diário.">'[1]Calc Eng'!$B$6</definedName>
    <definedName name="SA__S_PA" comment="Total de Saidas Analógicas ou PA">'[1]Calc Eng'!$H$24</definedName>
    <definedName name="Sábado_H" comment="Horas Sabado">'[1]Calc Eng'!$B$59</definedName>
    <definedName name="sdaf" localSheetId="0">#REF!</definedName>
    <definedName name="sdaf">#REF!</definedName>
    <definedName name="SDCD_total" comment="Custo Total com SDCD">[1]Retorno!$B$21</definedName>
    <definedName name="Sim" comment="Indicador">'[1]Calc Eng'!$A$77</definedName>
    <definedName name="SOFT_COFINS_LP" comment="Sofywares Lucro Presumido COFINS">[1]Impostos!$K$22</definedName>
    <definedName name="SOFT_COFINS_LR" comment="Software COFINS">[1]Impostos!$H$22</definedName>
    <definedName name="SOFT_ISSQN_LR_LP" comment="Software ISS Lucro Real ou Presi=umido">[1]Impostos!$H$23</definedName>
    <definedName name="SOFT_PIS_LP" comment="Software PIS Lucro Presumido">[1]Impostos!$K$21</definedName>
    <definedName name="SOFT_PIS_LR" comment="Software PIS Lucro Real">[1]Impostos!$H$21</definedName>
    <definedName name="SOFT_Total" comment="Total com softwares">[1]Retorno!$B$22</definedName>
    <definedName name="SOMA">OFFSET(#REF!,0,MATCH(#REF!,#REF!,0)-1,COUNTA(#REF!,1))</definedName>
    <definedName name="Summary">#REF!</definedName>
    <definedName name="Telas_HD" comment="Total Telas de Alta densidade">'[1]Calc Eng'!$H$31</definedName>
    <definedName name="Telas_LD" comment="Total Telas de Baixa densidade">'[1]Calc Eng'!$H$33</definedName>
    <definedName name="Telas_MD" comment="Total Telas de Média densidade">'[1]Calc Eng'!$H$32</definedName>
    <definedName name="Tempo_Total_Paineis" comment="Tempo estimado para montagem dos Paineis">'[1]Calc Eng'!$AB$135</definedName>
    <definedName name="_xlnm.Print_Titles" localSheetId="0">'Lista de Cargas'!$1:$1</definedName>
    <definedName name="Total_geral" comment="Custo Total Sem Impostos e Custos Comerciais">[1]Retorno!$B$23</definedName>
    <definedName name="Total_HH_Mês" comment="Total HH Mês Externo, Considerando Horas Extras e Duas HH extra Dia">'[1]Calc Eng'!$B$58</definedName>
    <definedName name="Total_JBs" comment="Quantidade total de JBs 4 a 20 mA com Bornes Completa">'[1]Calc Eng'!$P$79</definedName>
    <definedName name="Total_Materiais_PNL" comment="Custo total para Caixas, quadros, Bornes e acessórios">[1]Retorno!$B$17</definedName>
    <definedName name="Total_materiais_PNL_meta" comment="Meta de valores a serem disponibilizados nesta OS para Montagem dos Paineis">'[1]Pareto Metas'!$R$84</definedName>
    <definedName name="Total_materiais_PNL_real">[1]Metas!$U$382</definedName>
    <definedName name="Total_Painéis_HD" comment="Total de Painéis com Muitos Pontos">'[1]Calc Eng'!$P$80</definedName>
    <definedName name="Total_Painéis_MD" comment="Total de Painéis de média e baixa Densidade">'[1]Calc Eng'!$P$81</definedName>
    <definedName name="Total_pequenas_caixas" comment="Pequenas (Caixas) apenas Montagem">'[1]Calc Eng'!$P$82</definedName>
    <definedName name="Total_Pontos_BIOCOM">[2]Retorno!$C$44</definedName>
    <definedName name="Total_QDTC" comment="Número de QDTCs completos">'[1]Calc Eng'!$P$78</definedName>
    <definedName name="Valor_Venda_sem_IPI" comment="Valor total Proposta Sem IPI">[1]Retorno!$B$39</definedName>
    <definedName name="Viagens_Atendentes__Base_Planta" comment="Total de estimativa de Idas e Vindas entre a BAse e a Planta, dos Atendentes de Comissionamento, Startup e Operação assistida">'[1]Calc Eng'!$B$34</definedName>
    <definedName name="Viagens_Atendentes__Base_STZ" comment="Numero Total de viagens estimadas para equipe de Startup entre, STZ e BASE">'[1]Calc Eng'!$B$35</definedName>
    <definedName name="xx" localSheetId="0">#REF!</definedName>
    <definedName name="xx">#REF!</definedName>
    <definedName name="xxxx" localSheetId="0">#REF!</definedName>
    <definedName name="xxxx">#REF!</definedName>
    <definedName name="xxxxxxxx" localSheetId="0">#REF!</definedName>
    <definedName name="xxxxxxxx">#REF!</definedName>
  </definedNames>
  <calcPr calcId="191029"/>
  <pivotCaches>
    <pivotCache cacheId="93" r:id="rId6"/>
    <pivotCache cacheId="94" r:id="rId7"/>
    <pivotCache cacheId="95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20" i="17" l="1"/>
  <c r="P20" i="17"/>
  <c r="O21" i="17"/>
  <c r="P21" i="17"/>
  <c r="O22" i="17"/>
  <c r="P22" i="17"/>
  <c r="O23" i="17"/>
  <c r="P23" i="17"/>
  <c r="O24" i="17"/>
  <c r="P24" i="17"/>
  <c r="O25" i="17"/>
  <c r="P25" i="17"/>
  <c r="O26" i="17"/>
  <c r="P26" i="17"/>
  <c r="O27" i="17"/>
  <c r="P27" i="17"/>
  <c r="P19" i="17"/>
  <c r="O19" i="17"/>
  <c r="U11" i="17"/>
  <c r="U10" i="17"/>
  <c r="U9" i="17"/>
  <c r="U8" i="17"/>
  <c r="U7" i="17"/>
  <c r="U6" i="17"/>
  <c r="U5" i="17"/>
  <c r="U4" i="17"/>
  <c r="U3" i="17"/>
  <c r="P18" i="17"/>
  <c r="P17" i="17"/>
  <c r="P16" i="17"/>
  <c r="P15" i="17"/>
  <c r="P14" i="17"/>
  <c r="P13" i="17"/>
  <c r="P12" i="17"/>
  <c r="P4" i="17"/>
  <c r="P5" i="17"/>
  <c r="P6" i="17"/>
  <c r="P7" i="17"/>
  <c r="P8" i="17"/>
  <c r="P9" i="17"/>
  <c r="P10" i="17"/>
  <c r="P11" i="17"/>
  <c r="P3" i="17"/>
  <c r="Q149" i="1"/>
  <c r="S149" i="1"/>
  <c r="T149" i="1"/>
  <c r="AG149" i="1"/>
  <c r="AJ149" i="1" s="1"/>
  <c r="AR149" i="1"/>
  <c r="Q150" i="1"/>
  <c r="S150" i="1"/>
  <c r="T150" i="1"/>
  <c r="AG150" i="1"/>
  <c r="AJ150" i="1" s="1"/>
  <c r="AR150" i="1"/>
  <c r="Q151" i="1"/>
  <c r="S151" i="1"/>
  <c r="W151" i="1" s="1"/>
  <c r="Y151" i="1" s="1"/>
  <c r="T151" i="1"/>
  <c r="AG151" i="1"/>
  <c r="AJ151" i="1" s="1"/>
  <c r="AR151" i="1"/>
  <c r="Q146" i="1"/>
  <c r="S146" i="1"/>
  <c r="T146" i="1"/>
  <c r="AG146" i="1"/>
  <c r="AJ146" i="1" s="1"/>
  <c r="AR146" i="1"/>
  <c r="Q212" i="1"/>
  <c r="S212" i="1"/>
  <c r="T212" i="1"/>
  <c r="AG212" i="1"/>
  <c r="AJ212" i="1" s="1"/>
  <c r="AR212" i="1"/>
  <c r="Q213" i="1"/>
  <c r="S213" i="1"/>
  <c r="T213" i="1"/>
  <c r="AG213" i="1"/>
  <c r="AJ213" i="1" s="1"/>
  <c r="AR213" i="1"/>
  <c r="Q214" i="1"/>
  <c r="S214" i="1"/>
  <c r="T214" i="1"/>
  <c r="AG214" i="1"/>
  <c r="AJ214" i="1" s="1"/>
  <c r="AR214" i="1"/>
  <c r="Q215" i="1"/>
  <c r="S215" i="1"/>
  <c r="T215" i="1"/>
  <c r="AG215" i="1"/>
  <c r="AJ215" i="1" s="1"/>
  <c r="AR215" i="1"/>
  <c r="Q288" i="1"/>
  <c r="S288" i="1"/>
  <c r="T288" i="1"/>
  <c r="AG288" i="1"/>
  <c r="AJ288" i="1" s="1"/>
  <c r="AR288" i="1"/>
  <c r="Q289" i="1"/>
  <c r="S289" i="1"/>
  <c r="T289" i="1"/>
  <c r="AG289" i="1"/>
  <c r="AP289" i="1" s="1"/>
  <c r="AR289" i="1"/>
  <c r="Q290" i="1"/>
  <c r="S290" i="1"/>
  <c r="T290" i="1"/>
  <c r="AG290" i="1"/>
  <c r="AP290" i="1" s="1"/>
  <c r="AR290" i="1"/>
  <c r="Q291" i="1"/>
  <c r="S291" i="1"/>
  <c r="T291" i="1"/>
  <c r="AG291" i="1"/>
  <c r="AP291" i="1" s="1"/>
  <c r="AR291" i="1"/>
  <c r="Q292" i="1"/>
  <c r="S292" i="1"/>
  <c r="T292" i="1"/>
  <c r="AG292" i="1"/>
  <c r="AP292" i="1" s="1"/>
  <c r="AR292" i="1"/>
  <c r="Q293" i="1"/>
  <c r="S293" i="1"/>
  <c r="T293" i="1"/>
  <c r="AG293" i="1"/>
  <c r="AP293" i="1" s="1"/>
  <c r="AR293" i="1"/>
  <c r="Q294" i="1"/>
  <c r="S294" i="1"/>
  <c r="T294" i="1"/>
  <c r="AG294" i="1"/>
  <c r="AP294" i="1" s="1"/>
  <c r="AR294" i="1"/>
  <c r="Q295" i="1"/>
  <c r="S295" i="1"/>
  <c r="T295" i="1"/>
  <c r="AG295" i="1"/>
  <c r="AP295" i="1" s="1"/>
  <c r="AR295" i="1"/>
  <c r="Q296" i="1"/>
  <c r="S296" i="1"/>
  <c r="BF296" i="1" s="1"/>
  <c r="T296" i="1"/>
  <c r="AG296" i="1"/>
  <c r="AP296" i="1" s="1"/>
  <c r="AR296" i="1"/>
  <c r="Q297" i="1"/>
  <c r="S297" i="1"/>
  <c r="T297" i="1"/>
  <c r="AG297" i="1"/>
  <c r="AP297" i="1" s="1"/>
  <c r="AR297" i="1"/>
  <c r="Q298" i="1"/>
  <c r="S298" i="1"/>
  <c r="T298" i="1"/>
  <c r="AG298" i="1"/>
  <c r="AP298" i="1" s="1"/>
  <c r="AR298" i="1"/>
  <c r="Q299" i="1"/>
  <c r="S299" i="1"/>
  <c r="T299" i="1"/>
  <c r="AG299" i="1"/>
  <c r="AP299" i="1" s="1"/>
  <c r="AR299" i="1"/>
  <c r="Q300" i="1"/>
  <c r="S300" i="1"/>
  <c r="T300" i="1"/>
  <c r="AG300" i="1"/>
  <c r="AP300" i="1" s="1"/>
  <c r="AR300" i="1"/>
  <c r="Q301" i="1"/>
  <c r="S301" i="1"/>
  <c r="T301" i="1"/>
  <c r="AG301" i="1"/>
  <c r="AP301" i="1" s="1"/>
  <c r="AR301" i="1"/>
  <c r="Q302" i="1"/>
  <c r="S302" i="1"/>
  <c r="T302" i="1"/>
  <c r="AG302" i="1"/>
  <c r="AP302" i="1" s="1"/>
  <c r="AR302" i="1"/>
  <c r="Q303" i="1"/>
  <c r="S303" i="1"/>
  <c r="T303" i="1"/>
  <c r="AG303" i="1"/>
  <c r="AP303" i="1" s="1"/>
  <c r="AR303" i="1"/>
  <c r="Q304" i="1"/>
  <c r="S304" i="1"/>
  <c r="T304" i="1"/>
  <c r="AG304" i="1"/>
  <c r="AP304" i="1" s="1"/>
  <c r="AR304" i="1"/>
  <c r="Q305" i="1"/>
  <c r="S305" i="1"/>
  <c r="T305" i="1"/>
  <c r="AG305" i="1"/>
  <c r="AP305" i="1" s="1"/>
  <c r="AR305" i="1"/>
  <c r="Q306" i="1"/>
  <c r="S306" i="1"/>
  <c r="T306" i="1"/>
  <c r="AG306" i="1"/>
  <c r="AP306" i="1" s="1"/>
  <c r="AR306" i="1"/>
  <c r="Q307" i="1"/>
  <c r="S307" i="1"/>
  <c r="T307" i="1"/>
  <c r="AG307" i="1"/>
  <c r="AP307" i="1" s="1"/>
  <c r="AR307" i="1"/>
  <c r="Q308" i="1"/>
  <c r="S308" i="1"/>
  <c r="T308" i="1"/>
  <c r="AG308" i="1"/>
  <c r="AP308" i="1" s="1"/>
  <c r="AR308" i="1"/>
  <c r="Q309" i="1"/>
  <c r="S309" i="1"/>
  <c r="T309" i="1"/>
  <c r="AG309" i="1"/>
  <c r="AP309" i="1" s="1"/>
  <c r="AR309" i="1"/>
  <c r="Q310" i="1"/>
  <c r="S310" i="1"/>
  <c r="T310" i="1"/>
  <c r="AG310" i="1"/>
  <c r="AP310" i="1" s="1"/>
  <c r="AR310" i="1"/>
  <c r="Q311" i="1"/>
  <c r="S311" i="1"/>
  <c r="T311" i="1"/>
  <c r="AG311" i="1"/>
  <c r="AP311" i="1" s="1"/>
  <c r="AR311" i="1"/>
  <c r="AG9" i="1"/>
  <c r="AP9" i="1" s="1"/>
  <c r="T9" i="1"/>
  <c r="S9" i="1"/>
  <c r="Q9" i="1"/>
  <c r="AG6" i="1"/>
  <c r="AP6" i="1" s="1"/>
  <c r="AG7" i="1"/>
  <c r="AP7" i="1" s="1"/>
  <c r="T7" i="1"/>
  <c r="S7" i="1"/>
  <c r="Q7" i="1"/>
  <c r="AG8" i="1"/>
  <c r="AP8" i="1" s="1"/>
  <c r="T8" i="1"/>
  <c r="S8" i="1"/>
  <c r="Q8" i="1"/>
  <c r="T6" i="1"/>
  <c r="S6" i="1"/>
  <c r="Q6" i="1"/>
  <c r="AG5" i="1"/>
  <c r="AJ5" i="1" s="1"/>
  <c r="T5" i="1"/>
  <c r="S5" i="1"/>
  <c r="Q5" i="1"/>
  <c r="AG4" i="1"/>
  <c r="AP4" i="1" s="1"/>
  <c r="T4" i="1"/>
  <c r="S4" i="1"/>
  <c r="Q4" i="1"/>
  <c r="AG3" i="1"/>
  <c r="AP3" i="1" s="1"/>
  <c r="T3" i="1"/>
  <c r="S3" i="1"/>
  <c r="Q3" i="1"/>
  <c r="AG2" i="1"/>
  <c r="AP2" i="1" s="1"/>
  <c r="T2" i="1"/>
  <c r="S2" i="1"/>
  <c r="Q2" i="1"/>
  <c r="AG10" i="1"/>
  <c r="AJ10" i="1" s="1"/>
  <c r="AG11" i="1"/>
  <c r="AP11" i="1" s="1"/>
  <c r="AG12" i="1"/>
  <c r="AP12" i="1" s="1"/>
  <c r="AG13" i="1"/>
  <c r="AP13" i="1" s="1"/>
  <c r="AG14" i="1"/>
  <c r="AJ14" i="1" s="1"/>
  <c r="AG15" i="1"/>
  <c r="AJ15" i="1" s="1"/>
  <c r="AG16" i="1"/>
  <c r="AJ16" i="1" s="1"/>
  <c r="AG17" i="1"/>
  <c r="AP17" i="1" s="1"/>
  <c r="AG18" i="1"/>
  <c r="AP18" i="1" s="1"/>
  <c r="AG19" i="1"/>
  <c r="AP19" i="1" s="1"/>
  <c r="AG20" i="1"/>
  <c r="AJ20" i="1" s="1"/>
  <c r="AG21" i="1"/>
  <c r="AP21" i="1" s="1"/>
  <c r="AG22" i="1"/>
  <c r="AJ22" i="1" s="1"/>
  <c r="AG23" i="1"/>
  <c r="AP23" i="1" s="1"/>
  <c r="AG24" i="1"/>
  <c r="AJ24" i="1" s="1"/>
  <c r="AG25" i="1"/>
  <c r="AP25" i="1" s="1"/>
  <c r="AG26" i="1"/>
  <c r="AP26" i="1" s="1"/>
  <c r="AG27" i="1"/>
  <c r="AJ27" i="1" s="1"/>
  <c r="AG28" i="1"/>
  <c r="AJ28" i="1" s="1"/>
  <c r="AG29" i="1"/>
  <c r="AP29" i="1" s="1"/>
  <c r="AG30" i="1"/>
  <c r="AP30" i="1" s="1"/>
  <c r="AG31" i="1"/>
  <c r="AP31" i="1" s="1"/>
  <c r="AG32" i="1"/>
  <c r="AP32" i="1" s="1"/>
  <c r="AG33" i="1"/>
  <c r="AP33" i="1" s="1"/>
  <c r="AG34" i="1"/>
  <c r="AP34" i="1" s="1"/>
  <c r="AG35" i="1"/>
  <c r="AP35" i="1" s="1"/>
  <c r="AG36" i="1"/>
  <c r="AP36" i="1" s="1"/>
  <c r="AG37" i="1"/>
  <c r="AJ37" i="1" s="1"/>
  <c r="AG38" i="1"/>
  <c r="AJ38" i="1" s="1"/>
  <c r="AG39" i="1"/>
  <c r="AJ39" i="1" s="1"/>
  <c r="AG40" i="1"/>
  <c r="AJ40" i="1" s="1"/>
  <c r="AG41" i="1"/>
  <c r="AP41" i="1" s="1"/>
  <c r="AG42" i="1"/>
  <c r="AP42" i="1" s="1"/>
  <c r="AG43" i="1"/>
  <c r="AP43" i="1" s="1"/>
  <c r="AG44" i="1"/>
  <c r="AP44" i="1" s="1"/>
  <c r="AG45" i="1"/>
  <c r="AJ45" i="1" s="1"/>
  <c r="AG46" i="1"/>
  <c r="AJ46" i="1" s="1"/>
  <c r="AG47" i="1"/>
  <c r="AP47" i="1" s="1"/>
  <c r="T47" i="1"/>
  <c r="S47" i="1"/>
  <c r="Q47" i="1"/>
  <c r="T44" i="1"/>
  <c r="S44" i="1"/>
  <c r="Q44" i="1"/>
  <c r="T43" i="1"/>
  <c r="S43" i="1"/>
  <c r="Q43" i="1"/>
  <c r="T42" i="1"/>
  <c r="S42" i="1"/>
  <c r="Q42" i="1"/>
  <c r="T40" i="1"/>
  <c r="S40" i="1"/>
  <c r="Q40" i="1"/>
  <c r="T39" i="1"/>
  <c r="S39" i="1"/>
  <c r="Q39" i="1"/>
  <c r="T38" i="1"/>
  <c r="S38" i="1"/>
  <c r="Q38" i="1"/>
  <c r="T37" i="1"/>
  <c r="S37" i="1"/>
  <c r="Q37" i="1"/>
  <c r="T32" i="1"/>
  <c r="S32" i="1"/>
  <c r="Q32" i="1"/>
  <c r="Q31" i="1"/>
  <c r="S31" i="1"/>
  <c r="T31" i="1"/>
  <c r="T36" i="1"/>
  <c r="S36" i="1"/>
  <c r="Q36" i="1"/>
  <c r="T35" i="1"/>
  <c r="S35" i="1"/>
  <c r="Q35" i="1"/>
  <c r="T34" i="1"/>
  <c r="S34" i="1"/>
  <c r="Q34" i="1"/>
  <c r="T33" i="1"/>
  <c r="S33" i="1"/>
  <c r="Q33" i="1"/>
  <c r="T46" i="1"/>
  <c r="S46" i="1"/>
  <c r="Q46" i="1"/>
  <c r="T45" i="1"/>
  <c r="S45" i="1"/>
  <c r="Q45" i="1"/>
  <c r="T41" i="1"/>
  <c r="S41" i="1"/>
  <c r="Q41" i="1"/>
  <c r="T28" i="1"/>
  <c r="T27" i="1"/>
  <c r="S27" i="1"/>
  <c r="Q27" i="1"/>
  <c r="T26" i="1"/>
  <c r="S26" i="1"/>
  <c r="Q26" i="1"/>
  <c r="T24" i="1"/>
  <c r="S24" i="1"/>
  <c r="Q24" i="1"/>
  <c r="T23" i="1"/>
  <c r="S23" i="1"/>
  <c r="Q23" i="1"/>
  <c r="T22" i="1"/>
  <c r="S22" i="1"/>
  <c r="Q22" i="1"/>
  <c r="T20" i="1"/>
  <c r="S20" i="1"/>
  <c r="Q20" i="1"/>
  <c r="T19" i="1"/>
  <c r="S19" i="1"/>
  <c r="Q19" i="1"/>
  <c r="T16" i="1"/>
  <c r="S16" i="1"/>
  <c r="Q16" i="1"/>
  <c r="S30" i="1"/>
  <c r="S29" i="1"/>
  <c r="S28" i="1"/>
  <c r="S25" i="1"/>
  <c r="S21" i="1"/>
  <c r="S18" i="1"/>
  <c r="S17" i="1"/>
  <c r="S15" i="1"/>
  <c r="S14" i="1"/>
  <c r="S13" i="1"/>
  <c r="S12" i="1"/>
  <c r="S11" i="1"/>
  <c r="Q30" i="1"/>
  <c r="Q29" i="1"/>
  <c r="Q28" i="1"/>
  <c r="Q25" i="1"/>
  <c r="Q21" i="1"/>
  <c r="Q18" i="1"/>
  <c r="Q17" i="1"/>
  <c r="Q15" i="1"/>
  <c r="Q14" i="1"/>
  <c r="Q13" i="1"/>
  <c r="Q12" i="1"/>
  <c r="Q11" i="1"/>
  <c r="Q10" i="1"/>
  <c r="T30" i="1"/>
  <c r="T29" i="1"/>
  <c r="T25" i="1"/>
  <c r="T21" i="1"/>
  <c r="T18" i="1"/>
  <c r="T17" i="1"/>
  <c r="T15" i="1"/>
  <c r="T14" i="1"/>
  <c r="T13" i="1"/>
  <c r="T12" i="1"/>
  <c r="T11" i="1"/>
  <c r="T10" i="1"/>
  <c r="S10" i="1"/>
  <c r="K11" i="17"/>
  <c r="X215" i="1" l="1"/>
  <c r="AM308" i="1"/>
  <c r="AJ293" i="1"/>
  <c r="W146" i="1"/>
  <c r="Y146" i="1" s="1"/>
  <c r="AJ304" i="1"/>
  <c r="AM289" i="1"/>
  <c r="X309" i="1"/>
  <c r="AJ295" i="1"/>
  <c r="AM305" i="1"/>
  <c r="AM296" i="1"/>
  <c r="W149" i="1"/>
  <c r="Y149" i="1" s="1"/>
  <c r="AM300" i="1"/>
  <c r="AJ308" i="1"/>
  <c r="W150" i="1"/>
  <c r="Y150" i="1" s="1"/>
  <c r="X150" i="1"/>
  <c r="X308" i="1"/>
  <c r="AM309" i="1"/>
  <c r="X146" i="1"/>
  <c r="AJ291" i="1"/>
  <c r="W292" i="1"/>
  <c r="Y292" i="1" s="1"/>
  <c r="W302" i="1"/>
  <c r="Y302" i="1" s="1"/>
  <c r="AM295" i="1"/>
  <c r="AM291" i="1"/>
  <c r="AM301" i="1"/>
  <c r="X213" i="1"/>
  <c r="X151" i="1"/>
  <c r="X149" i="1"/>
  <c r="W4" i="1"/>
  <c r="Y4" i="1" s="1"/>
  <c r="AM311" i="1"/>
  <c r="AJ307" i="1"/>
  <c r="W301" i="1"/>
  <c r="Y301" i="1" s="1"/>
  <c r="X299" i="1"/>
  <c r="X289" i="1"/>
  <c r="BF289" i="1" s="1"/>
  <c r="AM298" i="1"/>
  <c r="AJ294" i="1"/>
  <c r="AM290" i="1"/>
  <c r="AM288" i="1"/>
  <c r="W212" i="1"/>
  <c r="Y212" i="1" s="1"/>
  <c r="BF146" i="1"/>
  <c r="BF151" i="1"/>
  <c r="BF150" i="1"/>
  <c r="BF149" i="1"/>
  <c r="AM310" i="1"/>
  <c r="X307" i="1"/>
  <c r="W297" i="1"/>
  <c r="Y297" i="1" s="1"/>
  <c r="W214" i="1"/>
  <c r="Y214" i="1" s="1"/>
  <c r="AP146" i="1"/>
  <c r="AP151" i="1"/>
  <c r="AP150" i="1"/>
  <c r="AP149" i="1"/>
  <c r="W290" i="1"/>
  <c r="Y290" i="1" s="1"/>
  <c r="AM306" i="1"/>
  <c r="AM146" i="1"/>
  <c r="AM151" i="1"/>
  <c r="AM150" i="1"/>
  <c r="AM149" i="1"/>
  <c r="AJ306" i="1"/>
  <c r="W291" i="1"/>
  <c r="Y291" i="1" s="1"/>
  <c r="W215" i="1"/>
  <c r="Y215" i="1" s="1"/>
  <c r="W213" i="1"/>
  <c r="Y213" i="1" s="1"/>
  <c r="AJ296" i="1"/>
  <c r="AJ309" i="1"/>
  <c r="W304" i="1"/>
  <c r="Y304" i="1" s="1"/>
  <c r="W300" i="1"/>
  <c r="Y300" i="1" s="1"/>
  <c r="X214" i="1"/>
  <c r="X212" i="1"/>
  <c r="W294" i="1"/>
  <c r="Y294" i="1" s="1"/>
  <c r="X311" i="1"/>
  <c r="AJ305" i="1"/>
  <c r="AJ303" i="1"/>
  <c r="AJ301" i="1"/>
  <c r="AM299" i="1"/>
  <c r="X288" i="1"/>
  <c r="BF288" i="1" s="1"/>
  <c r="W310" i="1"/>
  <c r="Y310" i="1" s="1"/>
  <c r="X310" i="1"/>
  <c r="W303" i="1"/>
  <c r="Y303" i="1" s="1"/>
  <c r="X298" i="1"/>
  <c r="W293" i="1"/>
  <c r="Y293" i="1" s="1"/>
  <c r="BF215" i="1"/>
  <c r="BF214" i="1"/>
  <c r="BF213" i="1"/>
  <c r="BF212" i="1"/>
  <c r="AJ311" i="1"/>
  <c r="W308" i="1"/>
  <c r="Y308" i="1" s="1"/>
  <c r="AM304" i="1"/>
  <c r="X303" i="1"/>
  <c r="AJ299" i="1"/>
  <c r="BF297" i="1"/>
  <c r="AM294" i="1"/>
  <c r="X293" i="1"/>
  <c r="BF293" i="1" s="1"/>
  <c r="AJ289" i="1"/>
  <c r="X300" i="1"/>
  <c r="BF300" i="1" s="1"/>
  <c r="AP215" i="1"/>
  <c r="AP214" i="1"/>
  <c r="AP213" i="1"/>
  <c r="AP212" i="1"/>
  <c r="W305" i="1"/>
  <c r="Y305" i="1" s="1"/>
  <c r="X305" i="1"/>
  <c r="W306" i="1"/>
  <c r="Y306" i="1" s="1"/>
  <c r="AM302" i="1"/>
  <c r="X301" i="1"/>
  <c r="AM297" i="1"/>
  <c r="W296" i="1"/>
  <c r="Y296" i="1" s="1"/>
  <c r="AM292" i="1"/>
  <c r="X291" i="1"/>
  <c r="BF291" i="1" s="1"/>
  <c r="AM215" i="1"/>
  <c r="AM214" i="1"/>
  <c r="AM213" i="1"/>
  <c r="AM212" i="1"/>
  <c r="W298" i="1"/>
  <c r="Y298" i="1" s="1"/>
  <c r="X295" i="1"/>
  <c r="BF295" i="1" s="1"/>
  <c r="W311" i="1"/>
  <c r="Y311" i="1" s="1"/>
  <c r="AM307" i="1"/>
  <c r="X306" i="1"/>
  <c r="AJ302" i="1"/>
  <c r="W299" i="1"/>
  <c r="Y299" i="1" s="1"/>
  <c r="AJ297" i="1"/>
  <c r="X296" i="1"/>
  <c r="AJ292" i="1"/>
  <c r="W289" i="1"/>
  <c r="Y289" i="1" s="1"/>
  <c r="W309" i="1"/>
  <c r="Y309" i="1" s="1"/>
  <c r="X304" i="1"/>
  <c r="AJ300" i="1"/>
  <c r="X294" i="1"/>
  <c r="BF294" i="1" s="1"/>
  <c r="AJ290" i="1"/>
  <c r="W9" i="1"/>
  <c r="Y9" i="1" s="1"/>
  <c r="AJ310" i="1"/>
  <c r="W307" i="1"/>
  <c r="Y307" i="1" s="1"/>
  <c r="AM303" i="1"/>
  <c r="X302" i="1"/>
  <c r="BF302" i="1" s="1"/>
  <c r="AJ298" i="1"/>
  <c r="X297" i="1"/>
  <c r="AM293" i="1"/>
  <c r="X292" i="1"/>
  <c r="BF292" i="1" s="1"/>
  <c r="W295" i="1"/>
  <c r="Y295" i="1" s="1"/>
  <c r="X290" i="1"/>
  <c r="BF290" i="1" s="1"/>
  <c r="W288" i="1"/>
  <c r="Y288" i="1" s="1"/>
  <c r="BF310" i="1"/>
  <c r="BF307" i="1"/>
  <c r="BF305" i="1"/>
  <c r="AP288" i="1"/>
  <c r="BF309" i="1"/>
  <c r="BF306" i="1"/>
  <c r="BF303" i="1"/>
  <c r="BF298" i="1"/>
  <c r="BF311" i="1"/>
  <c r="BF308" i="1"/>
  <c r="BF304" i="1"/>
  <c r="BF301" i="1"/>
  <c r="BF299" i="1"/>
  <c r="X9" i="1"/>
  <c r="AJ13" i="1"/>
  <c r="AP40" i="1"/>
  <c r="X7" i="1"/>
  <c r="AP5" i="1"/>
  <c r="AJ36" i="1"/>
  <c r="W3" i="1"/>
  <c r="Y3" i="1" s="1"/>
  <c r="AJ12" i="1"/>
  <c r="AP16" i="1"/>
  <c r="AJ9" i="1"/>
  <c r="W47" i="1"/>
  <c r="Y47" i="1" s="1"/>
  <c r="W5" i="1"/>
  <c r="Y5" i="1" s="1"/>
  <c r="W7" i="1"/>
  <c r="Y7" i="1" s="1"/>
  <c r="W6" i="1"/>
  <c r="Y6" i="1" s="1"/>
  <c r="X8" i="1"/>
  <c r="AP39" i="1"/>
  <c r="AP38" i="1"/>
  <c r="AP37" i="1"/>
  <c r="AP24" i="1"/>
  <c r="AJ26" i="1"/>
  <c r="AP15" i="1"/>
  <c r="AJ25" i="1"/>
  <c r="AP14" i="1"/>
  <c r="AJ7" i="1"/>
  <c r="X2" i="1"/>
  <c r="W2" i="1"/>
  <c r="Y2" i="1" s="1"/>
  <c r="X6" i="1"/>
  <c r="X5" i="1"/>
  <c r="X4" i="1"/>
  <c r="X3" i="1"/>
  <c r="AJ2" i="1"/>
  <c r="AJ6" i="1"/>
  <c r="AJ47" i="1"/>
  <c r="AJ11" i="1"/>
  <c r="AJ35" i="1"/>
  <c r="W8" i="1"/>
  <c r="Y8" i="1" s="1"/>
  <c r="AJ4" i="1"/>
  <c r="AP28" i="1"/>
  <c r="AP27" i="1"/>
  <c r="AJ23" i="1"/>
  <c r="AJ3" i="1"/>
  <c r="AJ8" i="1"/>
  <c r="AJ34" i="1"/>
  <c r="AJ33" i="1"/>
  <c r="AJ21" i="1"/>
  <c r="AP46" i="1"/>
  <c r="AP22" i="1"/>
  <c r="AP10" i="1"/>
  <c r="AJ43" i="1"/>
  <c r="AJ31" i="1"/>
  <c r="AJ19" i="1"/>
  <c r="AP45" i="1"/>
  <c r="AJ44" i="1"/>
  <c r="AJ32" i="1"/>
  <c r="AJ42" i="1"/>
  <c r="AJ30" i="1"/>
  <c r="AJ18" i="1"/>
  <c r="AP20" i="1"/>
  <c r="AJ41" i="1"/>
  <c r="AJ29" i="1"/>
  <c r="AJ17" i="1"/>
  <c r="W43" i="1"/>
  <c r="Y43" i="1" s="1"/>
  <c r="W31" i="1"/>
  <c r="Y31" i="1" s="1"/>
  <c r="W24" i="1"/>
  <c r="Y24" i="1" s="1"/>
  <c r="X39" i="1"/>
  <c r="W33" i="1"/>
  <c r="Y33" i="1" s="1"/>
  <c r="W42" i="1"/>
  <c r="Y42" i="1" s="1"/>
  <c r="X31" i="1"/>
  <c r="X43" i="1"/>
  <c r="W40" i="1"/>
  <c r="Y40" i="1" s="1"/>
  <c r="X47" i="1"/>
  <c r="X44" i="1"/>
  <c r="X42" i="1"/>
  <c r="W39" i="1"/>
  <c r="Y39" i="1" s="1"/>
  <c r="W44" i="1"/>
  <c r="Y44" i="1" s="1"/>
  <c r="W37" i="1"/>
  <c r="Y37" i="1" s="1"/>
  <c r="W38" i="1"/>
  <c r="Y38" i="1" s="1"/>
  <c r="X45" i="1"/>
  <c r="W32" i="1"/>
  <c r="Y32" i="1" s="1"/>
  <c r="X40" i="1"/>
  <c r="W27" i="1"/>
  <c r="Y27" i="1" s="1"/>
  <c r="W23" i="1"/>
  <c r="Y23" i="1" s="1"/>
  <c r="X37" i="1"/>
  <c r="W46" i="1"/>
  <c r="Y46" i="1" s="1"/>
  <c r="X38" i="1"/>
  <c r="X36" i="1"/>
  <c r="X35" i="1"/>
  <c r="X32" i="1"/>
  <c r="W35" i="1"/>
  <c r="Y35" i="1" s="1"/>
  <c r="W36" i="1"/>
  <c r="Y36" i="1" s="1"/>
  <c r="X34" i="1"/>
  <c r="W34" i="1"/>
  <c r="Y34" i="1" s="1"/>
  <c r="X33" i="1"/>
  <c r="W41" i="1"/>
  <c r="Y41" i="1" s="1"/>
  <c r="W45" i="1"/>
  <c r="Y45" i="1" s="1"/>
  <c r="W16" i="1"/>
  <c r="Y16" i="1" s="1"/>
  <c r="X46" i="1"/>
  <c r="W30" i="1"/>
  <c r="Y30" i="1" s="1"/>
  <c r="X24" i="1"/>
  <c r="W26" i="1"/>
  <c r="Y26" i="1" s="1"/>
  <c r="X41" i="1"/>
  <c r="W22" i="1"/>
  <c r="Y22" i="1" s="1"/>
  <c r="X27" i="1"/>
  <c r="X23" i="1"/>
  <c r="W20" i="1"/>
  <c r="Y20" i="1" s="1"/>
  <c r="X30" i="1"/>
  <c r="X29" i="1"/>
  <c r="X26" i="1"/>
  <c r="W13" i="1"/>
  <c r="Y13" i="1" s="1"/>
  <c r="X28" i="1"/>
  <c r="X22" i="1"/>
  <c r="W28" i="1"/>
  <c r="Y28" i="1" s="1"/>
  <c r="X19" i="1"/>
  <c r="W19" i="1"/>
  <c r="Y19" i="1" s="1"/>
  <c r="X20" i="1"/>
  <c r="W25" i="1"/>
  <c r="Y25" i="1" s="1"/>
  <c r="X25" i="1"/>
  <c r="X21" i="1"/>
  <c r="X18" i="1"/>
  <c r="X16" i="1"/>
  <c r="X17" i="1"/>
  <c r="W17" i="1"/>
  <c r="Y17" i="1" s="1"/>
  <c r="X13" i="1"/>
  <c r="W29" i="1"/>
  <c r="Y29" i="1" s="1"/>
  <c r="X14" i="1"/>
  <c r="W18" i="1"/>
  <c r="Y18" i="1" s="1"/>
  <c r="W21" i="1"/>
  <c r="Y21" i="1" s="1"/>
  <c r="W15" i="1"/>
  <c r="Y15" i="1" s="1"/>
  <c r="X15" i="1"/>
  <c r="W14" i="1"/>
  <c r="Y14" i="1" s="1"/>
  <c r="X12" i="1"/>
  <c r="W12" i="1"/>
  <c r="Y12" i="1" s="1"/>
  <c r="W11" i="1"/>
  <c r="Y11" i="1" s="1"/>
  <c r="X11" i="1"/>
  <c r="W10" i="1"/>
  <c r="Y10" i="1" s="1"/>
  <c r="X10" i="1"/>
  <c r="AR331" i="1" l="1"/>
  <c r="AG331" i="1"/>
  <c r="AP331" i="1" s="1"/>
  <c r="T331" i="1"/>
  <c r="S331" i="1"/>
  <c r="Q331" i="1"/>
  <c r="AR312" i="1"/>
  <c r="AG312" i="1"/>
  <c r="AP312" i="1" s="1"/>
  <c r="T312" i="1"/>
  <c r="S312" i="1"/>
  <c r="BF312" i="1" s="1"/>
  <c r="Q312" i="1"/>
  <c r="AR217" i="1"/>
  <c r="AG217" i="1"/>
  <c r="AP217" i="1" s="1"/>
  <c r="T217" i="1"/>
  <c r="S217" i="1"/>
  <c r="BF217" i="1" s="1"/>
  <c r="Q217" i="1"/>
  <c r="AR218" i="1"/>
  <c r="AG218" i="1"/>
  <c r="AP218" i="1" s="1"/>
  <c r="T218" i="1"/>
  <c r="S218" i="1"/>
  <c r="BF218" i="1" s="1"/>
  <c r="Q218" i="1"/>
  <c r="AR207" i="1"/>
  <c r="AG207" i="1"/>
  <c r="AP207" i="1" s="1"/>
  <c r="T207" i="1"/>
  <c r="S207" i="1"/>
  <c r="BF207" i="1" s="1"/>
  <c r="Q207" i="1"/>
  <c r="AR204" i="1"/>
  <c r="AG204" i="1"/>
  <c r="AP204" i="1" s="1"/>
  <c r="T204" i="1"/>
  <c r="S204" i="1"/>
  <c r="BF204" i="1" s="1"/>
  <c r="Q204" i="1"/>
  <c r="AR205" i="1"/>
  <c r="AG205" i="1"/>
  <c r="AM205" i="1" s="1"/>
  <c r="T205" i="1"/>
  <c r="S205" i="1"/>
  <c r="BF205" i="1" s="1"/>
  <c r="Q205" i="1"/>
  <c r="AR202" i="1"/>
  <c r="AG202" i="1"/>
  <c r="AM202" i="1" s="1"/>
  <c r="T202" i="1"/>
  <c r="S202" i="1"/>
  <c r="Q202" i="1"/>
  <c r="AR201" i="1"/>
  <c r="AG201" i="1"/>
  <c r="AP201" i="1" s="1"/>
  <c r="T201" i="1"/>
  <c r="S201" i="1"/>
  <c r="BF201" i="1" s="1"/>
  <c r="Q201" i="1"/>
  <c r="AR198" i="1"/>
  <c r="AG198" i="1"/>
  <c r="AM198" i="1" s="1"/>
  <c r="T198" i="1"/>
  <c r="S198" i="1"/>
  <c r="BF198" i="1" s="1"/>
  <c r="Q198" i="1"/>
  <c r="AR199" i="1"/>
  <c r="AG199" i="1"/>
  <c r="AP199" i="1" s="1"/>
  <c r="T199" i="1"/>
  <c r="S199" i="1"/>
  <c r="Q199" i="1"/>
  <c r="AR196" i="1"/>
  <c r="AG196" i="1"/>
  <c r="AP196" i="1" s="1"/>
  <c r="T196" i="1"/>
  <c r="S196" i="1"/>
  <c r="Q196" i="1"/>
  <c r="AR193" i="1"/>
  <c r="AG193" i="1"/>
  <c r="AP193" i="1" s="1"/>
  <c r="T193" i="1"/>
  <c r="S193" i="1"/>
  <c r="BF193" i="1" s="1"/>
  <c r="Q193" i="1"/>
  <c r="AR190" i="1"/>
  <c r="AG190" i="1"/>
  <c r="AP190" i="1" s="1"/>
  <c r="T190" i="1"/>
  <c r="S190" i="1"/>
  <c r="Q190" i="1"/>
  <c r="AR189" i="1"/>
  <c r="AG189" i="1"/>
  <c r="AP189" i="1" s="1"/>
  <c r="T189" i="1"/>
  <c r="S189" i="1"/>
  <c r="Q189" i="1"/>
  <c r="AR191" i="1"/>
  <c r="AG191" i="1"/>
  <c r="AM191" i="1" s="1"/>
  <c r="T191" i="1"/>
  <c r="S191" i="1"/>
  <c r="Q191" i="1"/>
  <c r="AR185" i="1"/>
  <c r="AG185" i="1"/>
  <c r="AP185" i="1" s="1"/>
  <c r="T185" i="1"/>
  <c r="S185" i="1"/>
  <c r="Q185" i="1"/>
  <c r="AR186" i="1"/>
  <c r="AG186" i="1"/>
  <c r="AP186" i="1" s="1"/>
  <c r="T186" i="1"/>
  <c r="S186" i="1"/>
  <c r="Q186" i="1"/>
  <c r="AR182" i="1"/>
  <c r="AG182" i="1"/>
  <c r="AM182" i="1" s="1"/>
  <c r="T182" i="1"/>
  <c r="S182" i="1"/>
  <c r="BF182" i="1" s="1"/>
  <c r="Q182" i="1"/>
  <c r="AR181" i="1"/>
  <c r="AG181" i="1"/>
  <c r="AM181" i="1" s="1"/>
  <c r="T181" i="1"/>
  <c r="S181" i="1"/>
  <c r="BF181" i="1" s="1"/>
  <c r="Q181" i="1"/>
  <c r="AR183" i="1"/>
  <c r="AG183" i="1"/>
  <c r="AP183" i="1" s="1"/>
  <c r="T183" i="1"/>
  <c r="S183" i="1"/>
  <c r="BF183" i="1" s="1"/>
  <c r="Q183" i="1"/>
  <c r="AR178" i="1"/>
  <c r="AG178" i="1"/>
  <c r="AP178" i="1" s="1"/>
  <c r="T178" i="1"/>
  <c r="S178" i="1"/>
  <c r="Q178" i="1"/>
  <c r="AR177" i="1"/>
  <c r="AG177" i="1"/>
  <c r="AP177" i="1" s="1"/>
  <c r="T177" i="1"/>
  <c r="S177" i="1"/>
  <c r="Q177" i="1"/>
  <c r="AR179" i="1"/>
  <c r="AG179" i="1"/>
  <c r="AP179" i="1" s="1"/>
  <c r="T179" i="1"/>
  <c r="S179" i="1"/>
  <c r="Q179" i="1"/>
  <c r="AR175" i="1"/>
  <c r="AG175" i="1"/>
  <c r="AP175" i="1" s="1"/>
  <c r="T175" i="1"/>
  <c r="S175" i="1"/>
  <c r="Q175" i="1"/>
  <c r="AR173" i="1"/>
  <c r="AG173" i="1"/>
  <c r="AP173" i="1" s="1"/>
  <c r="T173" i="1"/>
  <c r="S173" i="1"/>
  <c r="Q173" i="1"/>
  <c r="BF169" i="1"/>
  <c r="AR169" i="1"/>
  <c r="AG169" i="1"/>
  <c r="AP169" i="1" s="1"/>
  <c r="W169" i="1"/>
  <c r="Y169" i="1" s="1"/>
  <c r="Q169" i="1"/>
  <c r="X169" i="1" s="1"/>
  <c r="BF170" i="1"/>
  <c r="AR170" i="1"/>
  <c r="AG170" i="1"/>
  <c r="AJ170" i="1" s="1"/>
  <c r="W170" i="1"/>
  <c r="Y170" i="1" s="1"/>
  <c r="Q170" i="1"/>
  <c r="X170" i="1" s="1"/>
  <c r="AR165" i="1"/>
  <c r="AG165" i="1"/>
  <c r="AM165" i="1" s="1"/>
  <c r="W165" i="1"/>
  <c r="Y165" i="1" s="1"/>
  <c r="Q165" i="1"/>
  <c r="X165" i="1" s="1"/>
  <c r="BF165" i="1" s="1"/>
  <c r="AR163" i="1"/>
  <c r="AG163" i="1"/>
  <c r="AP163" i="1" s="1"/>
  <c r="W163" i="1"/>
  <c r="Y163" i="1" s="1"/>
  <c r="Q163" i="1"/>
  <c r="X163" i="1" s="1"/>
  <c r="BF163" i="1" s="1"/>
  <c r="AR147" i="1"/>
  <c r="AG147" i="1"/>
  <c r="AP147" i="1" s="1"/>
  <c r="W147" i="1"/>
  <c r="Y147" i="1" s="1"/>
  <c r="Q147" i="1"/>
  <c r="X147" i="1" s="1"/>
  <c r="BF147" i="1" s="1"/>
  <c r="AR145" i="1"/>
  <c r="AG145" i="1"/>
  <c r="AP145" i="1" s="1"/>
  <c r="W145" i="1"/>
  <c r="Y145" i="1" s="1"/>
  <c r="Q145" i="1"/>
  <c r="X145" i="1" s="1"/>
  <c r="BF145" i="1" s="1"/>
  <c r="AR142" i="1"/>
  <c r="AG142" i="1"/>
  <c r="AJ142" i="1" s="1"/>
  <c r="W142" i="1"/>
  <c r="Y142" i="1" s="1"/>
  <c r="Q142" i="1"/>
  <c r="X142" i="1" s="1"/>
  <c r="BF142" i="1" s="1"/>
  <c r="AR140" i="1"/>
  <c r="AG140" i="1"/>
  <c r="AP140" i="1" s="1"/>
  <c r="W140" i="1"/>
  <c r="Y140" i="1" s="1"/>
  <c r="Q140" i="1"/>
  <c r="X140" i="1" s="1"/>
  <c r="BF140" i="1" s="1"/>
  <c r="AR139" i="1"/>
  <c r="AG139" i="1"/>
  <c r="AP139" i="1" s="1"/>
  <c r="W139" i="1"/>
  <c r="Y139" i="1" s="1"/>
  <c r="Q139" i="1"/>
  <c r="X139" i="1" s="1"/>
  <c r="BF139" i="1" s="1"/>
  <c r="AR136" i="1"/>
  <c r="AG136" i="1"/>
  <c r="AM136" i="1" s="1"/>
  <c r="W136" i="1"/>
  <c r="Y136" i="1" s="1"/>
  <c r="Q136" i="1"/>
  <c r="X136" i="1" s="1"/>
  <c r="BF136" i="1" s="1"/>
  <c r="AR134" i="1"/>
  <c r="AG134" i="1"/>
  <c r="AM134" i="1" s="1"/>
  <c r="W134" i="1"/>
  <c r="Y134" i="1" s="1"/>
  <c r="Q134" i="1"/>
  <c r="X134" i="1" s="1"/>
  <c r="BF134" i="1" s="1"/>
  <c r="AR133" i="1"/>
  <c r="AG133" i="1"/>
  <c r="AP133" i="1" s="1"/>
  <c r="W133" i="1"/>
  <c r="Y133" i="1" s="1"/>
  <c r="Q133" i="1"/>
  <c r="X133" i="1" s="1"/>
  <c r="BF133" i="1" s="1"/>
  <c r="AR130" i="1"/>
  <c r="AG130" i="1"/>
  <c r="AP130" i="1" s="1"/>
  <c r="W130" i="1"/>
  <c r="Y130" i="1" s="1"/>
  <c r="Q130" i="1"/>
  <c r="X130" i="1" s="1"/>
  <c r="BF130" i="1" s="1"/>
  <c r="AR128" i="1"/>
  <c r="AG128" i="1"/>
  <c r="AP128" i="1" s="1"/>
  <c r="W128" i="1"/>
  <c r="Y128" i="1" s="1"/>
  <c r="Q128" i="1"/>
  <c r="X128" i="1" s="1"/>
  <c r="BF128" i="1" s="1"/>
  <c r="AR127" i="1"/>
  <c r="AG127" i="1"/>
  <c r="AP127" i="1" s="1"/>
  <c r="W127" i="1"/>
  <c r="Y127" i="1" s="1"/>
  <c r="Q127" i="1"/>
  <c r="X127" i="1" s="1"/>
  <c r="BF127" i="1" s="1"/>
  <c r="AR122" i="1"/>
  <c r="AG122" i="1"/>
  <c r="AP122" i="1" s="1"/>
  <c r="T122" i="1"/>
  <c r="S122" i="1"/>
  <c r="BF122" i="1" s="1"/>
  <c r="Q122" i="1"/>
  <c r="AR121" i="1"/>
  <c r="AG121" i="1"/>
  <c r="AP121" i="1" s="1"/>
  <c r="T121" i="1"/>
  <c r="S121" i="1"/>
  <c r="BF121" i="1" s="1"/>
  <c r="Q121" i="1"/>
  <c r="AR116" i="1"/>
  <c r="AG116" i="1"/>
  <c r="AJ116" i="1" s="1"/>
  <c r="T116" i="1"/>
  <c r="S116" i="1"/>
  <c r="BF116" i="1" s="1"/>
  <c r="Q116" i="1"/>
  <c r="AR115" i="1"/>
  <c r="AG115" i="1"/>
  <c r="AP115" i="1" s="1"/>
  <c r="T115" i="1"/>
  <c r="S115" i="1"/>
  <c r="BF115" i="1" s="1"/>
  <c r="Q115" i="1"/>
  <c r="AR114" i="1"/>
  <c r="AG114" i="1"/>
  <c r="AP114" i="1" s="1"/>
  <c r="T114" i="1"/>
  <c r="S114" i="1"/>
  <c r="BF114" i="1" s="1"/>
  <c r="Q114" i="1"/>
  <c r="AR113" i="1"/>
  <c r="AG113" i="1"/>
  <c r="AP113" i="1" s="1"/>
  <c r="T113" i="1"/>
  <c r="S113" i="1"/>
  <c r="BF113" i="1" s="1"/>
  <c r="Q113" i="1"/>
  <c r="AR118" i="1"/>
  <c r="AG118" i="1"/>
  <c r="AP118" i="1" s="1"/>
  <c r="T118" i="1"/>
  <c r="S118" i="1"/>
  <c r="BF118" i="1" s="1"/>
  <c r="Q118" i="1"/>
  <c r="AR117" i="1"/>
  <c r="AG117" i="1"/>
  <c r="AP117" i="1" s="1"/>
  <c r="T117" i="1"/>
  <c r="S117" i="1"/>
  <c r="BF117" i="1" s="1"/>
  <c r="Q117" i="1"/>
  <c r="AR119" i="1"/>
  <c r="AG119" i="1"/>
  <c r="AP119" i="1" s="1"/>
  <c r="T119" i="1"/>
  <c r="S119" i="1"/>
  <c r="BF119" i="1" s="1"/>
  <c r="Q119" i="1"/>
  <c r="AR112" i="1"/>
  <c r="AG112" i="1"/>
  <c r="AP112" i="1" s="1"/>
  <c r="T112" i="1"/>
  <c r="S112" i="1"/>
  <c r="Q112" i="1"/>
  <c r="X331" i="1" l="1"/>
  <c r="BF331" i="1" s="1"/>
  <c r="W331" i="1"/>
  <c r="Y331" i="1" s="1"/>
  <c r="X312" i="1"/>
  <c r="AJ331" i="1"/>
  <c r="AM331" i="1"/>
  <c r="W312" i="1"/>
  <c r="Y312" i="1" s="1"/>
  <c r="AJ312" i="1"/>
  <c r="AM312" i="1"/>
  <c r="AJ218" i="1"/>
  <c r="X217" i="1"/>
  <c r="W217" i="1"/>
  <c r="Y217" i="1" s="1"/>
  <c r="W202" i="1"/>
  <c r="Y202" i="1" s="1"/>
  <c r="X218" i="1"/>
  <c r="AJ217" i="1"/>
  <c r="AM217" i="1"/>
  <c r="AM218" i="1"/>
  <c r="W218" i="1"/>
  <c r="Y218" i="1" s="1"/>
  <c r="X207" i="1"/>
  <c r="AJ207" i="1"/>
  <c r="AM207" i="1"/>
  <c r="W207" i="1"/>
  <c r="Y207" i="1" s="1"/>
  <c r="X204" i="1"/>
  <c r="X202" i="1"/>
  <c r="W204" i="1"/>
  <c r="Y204" i="1" s="1"/>
  <c r="BF202" i="1"/>
  <c r="X205" i="1"/>
  <c r="AJ204" i="1"/>
  <c r="AM204" i="1"/>
  <c r="AP205" i="1"/>
  <c r="W205" i="1"/>
  <c r="Y205" i="1" s="1"/>
  <c r="AJ205" i="1"/>
  <c r="AM201" i="1"/>
  <c r="AP198" i="1"/>
  <c r="X201" i="1"/>
  <c r="W199" i="1"/>
  <c r="Y199" i="1" s="1"/>
  <c r="AJ202" i="1"/>
  <c r="AJ201" i="1"/>
  <c r="AP202" i="1"/>
  <c r="W201" i="1"/>
  <c r="Y201" i="1" s="1"/>
  <c r="X198" i="1"/>
  <c r="AJ198" i="1"/>
  <c r="W196" i="1"/>
  <c r="Y196" i="1" s="1"/>
  <c r="W198" i="1"/>
  <c r="Y198" i="1" s="1"/>
  <c r="X199" i="1"/>
  <c r="BF199" i="1"/>
  <c r="BF196" i="1"/>
  <c r="X196" i="1"/>
  <c r="AJ199" i="1"/>
  <c r="AM199" i="1"/>
  <c r="X191" i="1"/>
  <c r="BF191" i="1" s="1"/>
  <c r="AJ196" i="1"/>
  <c r="AP191" i="1"/>
  <c r="X193" i="1"/>
  <c r="X189" i="1"/>
  <c r="BF189" i="1" s="1"/>
  <c r="AJ193" i="1"/>
  <c r="AM196" i="1"/>
  <c r="AM193" i="1"/>
  <c r="W193" i="1"/>
  <c r="Y193" i="1" s="1"/>
  <c r="X190" i="1"/>
  <c r="BF190" i="1" s="1"/>
  <c r="W189" i="1"/>
  <c r="Y189" i="1" s="1"/>
  <c r="W190" i="1"/>
  <c r="Y190" i="1" s="1"/>
  <c r="AJ189" i="1"/>
  <c r="AJ190" i="1"/>
  <c r="AM189" i="1"/>
  <c r="AM190" i="1"/>
  <c r="W191" i="1"/>
  <c r="Y191" i="1" s="1"/>
  <c r="AJ175" i="1"/>
  <c r="X185" i="1"/>
  <c r="BF185" i="1" s="1"/>
  <c r="AJ191" i="1"/>
  <c r="AM185" i="1"/>
  <c r="AP182" i="1"/>
  <c r="W185" i="1"/>
  <c r="Y185" i="1" s="1"/>
  <c r="AJ182" i="1"/>
  <c r="X186" i="1"/>
  <c r="BF186" i="1" s="1"/>
  <c r="AJ185" i="1"/>
  <c r="AJ181" i="1"/>
  <c r="W178" i="1"/>
  <c r="Y178" i="1" s="1"/>
  <c r="AP181" i="1"/>
  <c r="W186" i="1"/>
  <c r="Y186" i="1" s="1"/>
  <c r="X182" i="1"/>
  <c r="AJ186" i="1"/>
  <c r="W177" i="1"/>
  <c r="Y177" i="1" s="1"/>
  <c r="AM186" i="1"/>
  <c r="X181" i="1"/>
  <c r="X178" i="1"/>
  <c r="BF178" i="1" s="1"/>
  <c r="W181" i="1"/>
  <c r="Y181" i="1" s="1"/>
  <c r="W182" i="1"/>
  <c r="Y182" i="1" s="1"/>
  <c r="AM178" i="1"/>
  <c r="X177" i="1"/>
  <c r="BF177" i="1" s="1"/>
  <c r="X183" i="1"/>
  <c r="W175" i="1"/>
  <c r="Y175" i="1" s="1"/>
  <c r="AM177" i="1"/>
  <c r="W183" i="1"/>
  <c r="Y183" i="1" s="1"/>
  <c r="AJ183" i="1"/>
  <c r="AM183" i="1"/>
  <c r="X179" i="1"/>
  <c r="BF179" i="1" s="1"/>
  <c r="AJ177" i="1"/>
  <c r="AJ178" i="1"/>
  <c r="W179" i="1"/>
  <c r="Y179" i="1" s="1"/>
  <c r="X175" i="1"/>
  <c r="AJ179" i="1"/>
  <c r="AM179" i="1"/>
  <c r="AM175" i="1"/>
  <c r="X173" i="1"/>
  <c r="BF173" i="1" s="1"/>
  <c r="BF175" i="1"/>
  <c r="W173" i="1"/>
  <c r="Y173" i="1" s="1"/>
  <c r="AJ173" i="1"/>
  <c r="AM173" i="1"/>
  <c r="AJ169" i="1"/>
  <c r="AM169" i="1"/>
  <c r="AP170" i="1"/>
  <c r="AP165" i="1"/>
  <c r="AJ165" i="1"/>
  <c r="AM170" i="1"/>
  <c r="AJ163" i="1"/>
  <c r="AM163" i="1"/>
  <c r="AJ147" i="1"/>
  <c r="AP142" i="1"/>
  <c r="AM147" i="1"/>
  <c r="AJ145" i="1"/>
  <c r="AM145" i="1"/>
  <c r="AM142" i="1"/>
  <c r="AJ134" i="1"/>
  <c r="AJ140" i="1"/>
  <c r="AM140" i="1"/>
  <c r="AP136" i="1"/>
  <c r="AJ139" i="1"/>
  <c r="AM139" i="1"/>
  <c r="AJ136" i="1"/>
  <c r="AP134" i="1"/>
  <c r="AJ133" i="1"/>
  <c r="AM128" i="1"/>
  <c r="AM133" i="1"/>
  <c r="AJ115" i="1"/>
  <c r="AJ121" i="1"/>
  <c r="AJ127" i="1"/>
  <c r="AM115" i="1"/>
  <c r="AM121" i="1"/>
  <c r="AM127" i="1"/>
  <c r="AJ130" i="1"/>
  <c r="AM130" i="1"/>
  <c r="AJ128" i="1"/>
  <c r="W112" i="1"/>
  <c r="Y112" i="1" s="1"/>
  <c r="AM113" i="1"/>
  <c r="X122" i="1"/>
  <c r="W122" i="1"/>
  <c r="Y122" i="1" s="1"/>
  <c r="AM116" i="1"/>
  <c r="AP116" i="1"/>
  <c r="X121" i="1"/>
  <c r="X114" i="1"/>
  <c r="AJ122" i="1"/>
  <c r="AM122" i="1"/>
  <c r="AM114" i="1"/>
  <c r="W121" i="1"/>
  <c r="Y121" i="1" s="1"/>
  <c r="AM119" i="1"/>
  <c r="X113" i="1"/>
  <c r="AJ114" i="1"/>
  <c r="X116" i="1"/>
  <c r="AJ113" i="1"/>
  <c r="X115" i="1"/>
  <c r="W113" i="1"/>
  <c r="Y113" i="1" s="1"/>
  <c r="W114" i="1"/>
  <c r="Y114" i="1" s="1"/>
  <c r="W115" i="1"/>
  <c r="Y115" i="1" s="1"/>
  <c r="W116" i="1"/>
  <c r="Y116" i="1" s="1"/>
  <c r="X117" i="1"/>
  <c r="X118" i="1"/>
  <c r="W118" i="1"/>
  <c r="Y118" i="1" s="1"/>
  <c r="W117" i="1"/>
  <c r="Y117" i="1" s="1"/>
  <c r="X119" i="1"/>
  <c r="AJ117" i="1"/>
  <c r="AJ118" i="1"/>
  <c r="AM117" i="1"/>
  <c r="AM118" i="1"/>
  <c r="X112" i="1"/>
  <c r="W119" i="1"/>
  <c r="Y119" i="1" s="1"/>
  <c r="AJ112" i="1"/>
  <c r="AJ119" i="1"/>
  <c r="AM112" i="1"/>
  <c r="BF112" i="1"/>
  <c r="AR108" i="1"/>
  <c r="AG108" i="1"/>
  <c r="AP108" i="1" s="1"/>
  <c r="T108" i="1"/>
  <c r="S108" i="1"/>
  <c r="BF108" i="1" s="1"/>
  <c r="Q108" i="1"/>
  <c r="AR106" i="1"/>
  <c r="AG106" i="1"/>
  <c r="AP106" i="1" s="1"/>
  <c r="T106" i="1"/>
  <c r="S106" i="1"/>
  <c r="BF106" i="1" s="1"/>
  <c r="Q106" i="1"/>
  <c r="AR104" i="1"/>
  <c r="AG104" i="1"/>
  <c r="AM104" i="1" s="1"/>
  <c r="T104" i="1"/>
  <c r="S104" i="1"/>
  <c r="BF104" i="1" s="1"/>
  <c r="Q104" i="1"/>
  <c r="AR103" i="1"/>
  <c r="AG103" i="1"/>
  <c r="AJ103" i="1" s="1"/>
  <c r="T103" i="1"/>
  <c r="S103" i="1"/>
  <c r="BF103" i="1" s="1"/>
  <c r="Q103" i="1"/>
  <c r="AR101" i="1"/>
  <c r="AG101" i="1"/>
  <c r="AP101" i="1" s="1"/>
  <c r="T101" i="1"/>
  <c r="S101" i="1"/>
  <c r="Q101" i="1"/>
  <c r="AR100" i="1"/>
  <c r="AG100" i="1"/>
  <c r="AP100" i="1" s="1"/>
  <c r="T100" i="1"/>
  <c r="S100" i="1"/>
  <c r="Q100" i="1"/>
  <c r="AR98" i="1"/>
  <c r="AG98" i="1"/>
  <c r="AP98" i="1" s="1"/>
  <c r="T98" i="1"/>
  <c r="S98" i="1"/>
  <c r="BF98" i="1" s="1"/>
  <c r="Q98" i="1"/>
  <c r="AR97" i="1"/>
  <c r="AG97" i="1"/>
  <c r="AP97" i="1" s="1"/>
  <c r="T97" i="1"/>
  <c r="S97" i="1"/>
  <c r="BF97" i="1" s="1"/>
  <c r="Q97" i="1"/>
  <c r="AR96" i="1"/>
  <c r="AG96" i="1"/>
  <c r="AP96" i="1" s="1"/>
  <c r="T96" i="1"/>
  <c r="S96" i="1"/>
  <c r="BF96" i="1" s="1"/>
  <c r="Q96" i="1"/>
  <c r="AR95" i="1"/>
  <c r="AG95" i="1"/>
  <c r="AP95" i="1" s="1"/>
  <c r="T95" i="1"/>
  <c r="S95" i="1"/>
  <c r="BF95" i="1" s="1"/>
  <c r="Q95" i="1"/>
  <c r="AR94" i="1"/>
  <c r="AG94" i="1"/>
  <c r="AP94" i="1" s="1"/>
  <c r="T94" i="1"/>
  <c r="S94" i="1"/>
  <c r="BF94" i="1" s="1"/>
  <c r="Q94" i="1"/>
  <c r="AR93" i="1"/>
  <c r="AG93" i="1"/>
  <c r="AP93" i="1" s="1"/>
  <c r="T93" i="1"/>
  <c r="S93" i="1"/>
  <c r="BF93" i="1" s="1"/>
  <c r="Q93" i="1"/>
  <c r="AR92" i="1"/>
  <c r="AG92" i="1"/>
  <c r="AP92" i="1" s="1"/>
  <c r="T92" i="1"/>
  <c r="S92" i="1"/>
  <c r="BF92" i="1" s="1"/>
  <c r="Q92" i="1"/>
  <c r="AR89" i="1"/>
  <c r="AG89" i="1"/>
  <c r="AP89" i="1" s="1"/>
  <c r="W89" i="1"/>
  <c r="Y89" i="1" s="1"/>
  <c r="Q89" i="1"/>
  <c r="X89" i="1" s="1"/>
  <c r="BF89" i="1" s="1"/>
  <c r="AR88" i="1"/>
  <c r="AG88" i="1"/>
  <c r="AM88" i="1" s="1"/>
  <c r="W88" i="1"/>
  <c r="Y88" i="1" s="1"/>
  <c r="Q88" i="1"/>
  <c r="X88" i="1" s="1"/>
  <c r="BF88" i="1" s="1"/>
  <c r="AR86" i="1"/>
  <c r="AG86" i="1"/>
  <c r="AP86" i="1" s="1"/>
  <c r="W86" i="1"/>
  <c r="Y86" i="1" s="1"/>
  <c r="Q86" i="1"/>
  <c r="X86" i="1" s="1"/>
  <c r="BF86" i="1" s="1"/>
  <c r="AR84" i="1"/>
  <c r="AG84" i="1"/>
  <c r="AP84" i="1" s="1"/>
  <c r="W84" i="1"/>
  <c r="Y84" i="1" s="1"/>
  <c r="Q84" i="1"/>
  <c r="X84" i="1" s="1"/>
  <c r="BF84" i="1" s="1"/>
  <c r="AR82" i="1"/>
  <c r="AG82" i="1"/>
  <c r="AP82" i="1" s="1"/>
  <c r="T82" i="1"/>
  <c r="S82" i="1"/>
  <c r="BF82" i="1" s="1"/>
  <c r="Q82" i="1"/>
  <c r="AR81" i="1"/>
  <c r="AG81" i="1"/>
  <c r="AJ81" i="1" s="1"/>
  <c r="T81" i="1"/>
  <c r="S81" i="1"/>
  <c r="BF81" i="1" s="1"/>
  <c r="Q81" i="1"/>
  <c r="AR75" i="1"/>
  <c r="AG75" i="1"/>
  <c r="AJ75" i="1" s="1"/>
  <c r="T75" i="1"/>
  <c r="S75" i="1"/>
  <c r="Q75" i="1"/>
  <c r="AR73" i="1"/>
  <c r="AG73" i="1"/>
  <c r="AP73" i="1" s="1"/>
  <c r="T73" i="1"/>
  <c r="S73" i="1"/>
  <c r="BF73" i="1" s="1"/>
  <c r="Q73" i="1"/>
  <c r="X108" i="1" l="1"/>
  <c r="AP104" i="1"/>
  <c r="W108" i="1"/>
  <c r="Y108" i="1" s="1"/>
  <c r="X106" i="1"/>
  <c r="AJ108" i="1"/>
  <c r="AJ106" i="1"/>
  <c r="AM108" i="1"/>
  <c r="AM106" i="1"/>
  <c r="AM103" i="1"/>
  <c r="W106" i="1"/>
  <c r="Y106" i="1" s="1"/>
  <c r="AP103" i="1"/>
  <c r="X104" i="1"/>
  <c r="W104" i="1"/>
  <c r="Y104" i="1" s="1"/>
  <c r="X103" i="1"/>
  <c r="AJ104" i="1"/>
  <c r="W103" i="1"/>
  <c r="Y103" i="1" s="1"/>
  <c r="X101" i="1"/>
  <c r="BF101" i="1" s="1"/>
  <c r="X98" i="1"/>
  <c r="X96" i="1"/>
  <c r="W101" i="1"/>
  <c r="Y101" i="1" s="1"/>
  <c r="AJ101" i="1"/>
  <c r="AM101" i="1"/>
  <c r="AJ96" i="1"/>
  <c r="AJ98" i="1"/>
  <c r="X95" i="1"/>
  <c r="X97" i="1"/>
  <c r="X100" i="1"/>
  <c r="BF100" i="1" s="1"/>
  <c r="X94" i="1"/>
  <c r="AJ95" i="1"/>
  <c r="AJ97" i="1"/>
  <c r="AJ100" i="1"/>
  <c r="X93" i="1"/>
  <c r="W95" i="1"/>
  <c r="Y95" i="1" s="1"/>
  <c r="W96" i="1"/>
  <c r="Y96" i="1" s="1"/>
  <c r="W97" i="1"/>
  <c r="Y97" i="1" s="1"/>
  <c r="W98" i="1"/>
  <c r="Y98" i="1" s="1"/>
  <c r="W100" i="1"/>
  <c r="Y100" i="1" s="1"/>
  <c r="AM95" i="1"/>
  <c r="AM96" i="1"/>
  <c r="AM97" i="1"/>
  <c r="AM98" i="1"/>
  <c r="AM100" i="1"/>
  <c r="W92" i="1"/>
  <c r="Y92" i="1" s="1"/>
  <c r="W93" i="1"/>
  <c r="Y93" i="1" s="1"/>
  <c r="W94" i="1"/>
  <c r="Y94" i="1" s="1"/>
  <c r="X92" i="1"/>
  <c r="AJ93" i="1"/>
  <c r="AJ94" i="1"/>
  <c r="AM93" i="1"/>
  <c r="AM94" i="1"/>
  <c r="AM92" i="1"/>
  <c r="AJ89" i="1"/>
  <c r="AJ92" i="1"/>
  <c r="AM89" i="1"/>
  <c r="W75" i="1"/>
  <c r="Y75" i="1" s="1"/>
  <c r="AP88" i="1"/>
  <c r="AJ88" i="1"/>
  <c r="W82" i="1"/>
  <c r="Y82" i="1" s="1"/>
  <c r="AJ86" i="1"/>
  <c r="AM86" i="1"/>
  <c r="X82" i="1"/>
  <c r="AJ84" i="1"/>
  <c r="AM84" i="1"/>
  <c r="AM82" i="1"/>
  <c r="AJ82" i="1"/>
  <c r="W81" i="1"/>
  <c r="Y81" i="1" s="1"/>
  <c r="AM75" i="1"/>
  <c r="AP81" i="1"/>
  <c r="AP75" i="1"/>
  <c r="X81" i="1"/>
  <c r="AM81" i="1"/>
  <c r="X75" i="1"/>
  <c r="AJ73" i="1"/>
  <c r="AM73" i="1"/>
  <c r="BF75" i="1"/>
  <c r="X73" i="1"/>
  <c r="W73" i="1"/>
  <c r="Y73" i="1" s="1"/>
  <c r="BF272" i="1"/>
  <c r="T91" i="1"/>
  <c r="S91" i="1"/>
  <c r="AR287" i="1"/>
  <c r="AG287" i="1"/>
  <c r="AP287" i="1" s="1"/>
  <c r="T287" i="1"/>
  <c r="S287" i="1"/>
  <c r="BF287" i="1" s="1"/>
  <c r="Q287" i="1"/>
  <c r="AR286" i="1"/>
  <c r="AG286" i="1"/>
  <c r="AP286" i="1" s="1"/>
  <c r="T286" i="1"/>
  <c r="S286" i="1"/>
  <c r="BF286" i="1" s="1"/>
  <c r="Q286" i="1"/>
  <c r="AR285" i="1"/>
  <c r="AG285" i="1"/>
  <c r="AP285" i="1" s="1"/>
  <c r="T285" i="1"/>
  <c r="S285" i="1"/>
  <c r="BF285" i="1" s="1"/>
  <c r="Q285" i="1"/>
  <c r="AR284" i="1"/>
  <c r="AG284" i="1"/>
  <c r="AP284" i="1" s="1"/>
  <c r="T284" i="1"/>
  <c r="S284" i="1"/>
  <c r="BF284" i="1" s="1"/>
  <c r="Q284" i="1"/>
  <c r="AR283" i="1"/>
  <c r="AG283" i="1"/>
  <c r="AP283" i="1" s="1"/>
  <c r="T283" i="1"/>
  <c r="S283" i="1"/>
  <c r="Q283" i="1"/>
  <c r="AR282" i="1"/>
  <c r="AG282" i="1"/>
  <c r="T282" i="1"/>
  <c r="S282" i="1"/>
  <c r="Q282" i="1"/>
  <c r="AR281" i="1"/>
  <c r="AG281" i="1"/>
  <c r="AP281" i="1" s="1"/>
  <c r="T281" i="1"/>
  <c r="S281" i="1"/>
  <c r="Q281" i="1"/>
  <c r="AR280" i="1"/>
  <c r="AG280" i="1"/>
  <c r="AP280" i="1" s="1"/>
  <c r="T280" i="1"/>
  <c r="S280" i="1"/>
  <c r="Q280" i="1"/>
  <c r="AR279" i="1"/>
  <c r="AG279" i="1"/>
  <c r="AP279" i="1" s="1"/>
  <c r="T279" i="1"/>
  <c r="S279" i="1"/>
  <c r="Q279" i="1"/>
  <c r="AR278" i="1"/>
  <c r="AG278" i="1"/>
  <c r="AP278" i="1" s="1"/>
  <c r="T278" i="1"/>
  <c r="S278" i="1"/>
  <c r="Q278" i="1"/>
  <c r="AR277" i="1"/>
  <c r="AG277" i="1"/>
  <c r="AP277" i="1" s="1"/>
  <c r="T277" i="1"/>
  <c r="S277" i="1"/>
  <c r="Q277" i="1"/>
  <c r="AR276" i="1"/>
  <c r="AG276" i="1"/>
  <c r="T276" i="1"/>
  <c r="S276" i="1"/>
  <c r="Q276" i="1"/>
  <c r="AR275" i="1"/>
  <c r="AG275" i="1"/>
  <c r="AP275" i="1" s="1"/>
  <c r="T275" i="1"/>
  <c r="S275" i="1"/>
  <c r="Q275" i="1"/>
  <c r="AR274" i="1"/>
  <c r="AG274" i="1"/>
  <c r="AP274" i="1" s="1"/>
  <c r="T274" i="1"/>
  <c r="S274" i="1"/>
  <c r="Q274" i="1"/>
  <c r="AR273" i="1"/>
  <c r="AG273" i="1"/>
  <c r="AP273" i="1" s="1"/>
  <c r="T273" i="1"/>
  <c r="S273" i="1"/>
  <c r="Q273" i="1"/>
  <c r="AR272" i="1"/>
  <c r="AG272" i="1"/>
  <c r="AP272" i="1" s="1"/>
  <c r="Q272" i="1"/>
  <c r="AR271" i="1"/>
  <c r="AG271" i="1"/>
  <c r="AP271" i="1" s="1"/>
  <c r="T271" i="1"/>
  <c r="S271" i="1"/>
  <c r="Q271" i="1"/>
  <c r="AR270" i="1"/>
  <c r="AG270" i="1"/>
  <c r="T270" i="1"/>
  <c r="S270" i="1"/>
  <c r="BF270" i="1" s="1"/>
  <c r="Q270" i="1"/>
  <c r="AR269" i="1"/>
  <c r="AG269" i="1"/>
  <c r="AP269" i="1" s="1"/>
  <c r="T269" i="1"/>
  <c r="S269" i="1"/>
  <c r="Q269" i="1"/>
  <c r="AR268" i="1"/>
  <c r="AG268" i="1"/>
  <c r="AP268" i="1" s="1"/>
  <c r="T268" i="1"/>
  <c r="S268" i="1"/>
  <c r="BF268" i="1" s="1"/>
  <c r="Q268" i="1"/>
  <c r="AR267" i="1"/>
  <c r="AG267" i="1"/>
  <c r="AP267" i="1" s="1"/>
  <c r="Q267" i="1"/>
  <c r="AR266" i="1"/>
  <c r="AG266" i="1"/>
  <c r="AP266" i="1" s="1"/>
  <c r="Q266" i="1"/>
  <c r="AR265" i="1"/>
  <c r="AG265" i="1"/>
  <c r="T265" i="1"/>
  <c r="S265" i="1"/>
  <c r="BF265" i="1" s="1"/>
  <c r="Q265" i="1"/>
  <c r="AR264" i="1"/>
  <c r="AG264" i="1"/>
  <c r="AP264" i="1" s="1"/>
  <c r="T264" i="1"/>
  <c r="S264" i="1"/>
  <c r="BF264" i="1" s="1"/>
  <c r="Q264" i="1"/>
  <c r="AR263" i="1"/>
  <c r="AG263" i="1"/>
  <c r="AP263" i="1" s="1"/>
  <c r="T263" i="1"/>
  <c r="S263" i="1"/>
  <c r="Q263" i="1"/>
  <c r="AR262" i="1"/>
  <c r="AG262" i="1"/>
  <c r="AP262" i="1" s="1"/>
  <c r="T262" i="1"/>
  <c r="S262" i="1"/>
  <c r="Q262" i="1"/>
  <c r="AR261" i="1"/>
  <c r="AG261" i="1"/>
  <c r="AP261" i="1" s="1"/>
  <c r="T261" i="1"/>
  <c r="S261" i="1"/>
  <c r="Q261" i="1"/>
  <c r="AR260" i="1"/>
  <c r="AG260" i="1"/>
  <c r="AP260" i="1" s="1"/>
  <c r="T260" i="1"/>
  <c r="S260" i="1"/>
  <c r="BF260" i="1" s="1"/>
  <c r="Q260" i="1"/>
  <c r="AR259" i="1"/>
  <c r="AG259" i="1"/>
  <c r="T259" i="1"/>
  <c r="S259" i="1"/>
  <c r="Q259" i="1"/>
  <c r="AR258" i="1"/>
  <c r="AG258" i="1"/>
  <c r="AP258" i="1" s="1"/>
  <c r="T258" i="1"/>
  <c r="S258" i="1"/>
  <c r="Q258" i="1"/>
  <c r="AR257" i="1"/>
  <c r="AG257" i="1"/>
  <c r="BF257" i="1"/>
  <c r="Q257" i="1"/>
  <c r="AR256" i="1"/>
  <c r="AG256" i="1"/>
  <c r="AP256" i="1" s="1"/>
  <c r="T256" i="1"/>
  <c r="S256" i="1"/>
  <c r="Q256" i="1"/>
  <c r="AR255" i="1"/>
  <c r="AG255" i="1"/>
  <c r="AP255" i="1" s="1"/>
  <c r="T255" i="1"/>
  <c r="S255" i="1"/>
  <c r="BF255" i="1" s="1"/>
  <c r="Q255" i="1"/>
  <c r="AR254" i="1"/>
  <c r="AG254" i="1"/>
  <c r="AP254" i="1" s="1"/>
  <c r="T254" i="1"/>
  <c r="S254" i="1"/>
  <c r="Q254" i="1"/>
  <c r="AR253" i="1"/>
  <c r="AG253" i="1"/>
  <c r="T253" i="1"/>
  <c r="S253" i="1"/>
  <c r="BF253" i="1" s="1"/>
  <c r="Q253" i="1"/>
  <c r="AR252" i="1"/>
  <c r="AG252" i="1"/>
  <c r="T252" i="1"/>
  <c r="S252" i="1"/>
  <c r="Q252" i="1"/>
  <c r="AR251" i="1"/>
  <c r="AG251" i="1"/>
  <c r="AP251" i="1" s="1"/>
  <c r="T251" i="1"/>
  <c r="S251" i="1"/>
  <c r="Q251" i="1"/>
  <c r="AR250" i="1"/>
  <c r="AG250" i="1"/>
  <c r="AP250" i="1" s="1"/>
  <c r="T250" i="1"/>
  <c r="S250" i="1"/>
  <c r="Q250" i="1"/>
  <c r="AR249" i="1"/>
  <c r="AG249" i="1"/>
  <c r="AP249" i="1" s="1"/>
  <c r="T249" i="1"/>
  <c r="S249" i="1"/>
  <c r="BF249" i="1" s="1"/>
  <c r="Q249" i="1"/>
  <c r="AR248" i="1"/>
  <c r="AG248" i="1"/>
  <c r="AP248" i="1" s="1"/>
  <c r="T248" i="1"/>
  <c r="S248" i="1"/>
  <c r="Q248" i="1"/>
  <c r="AR247" i="1"/>
  <c r="AG247" i="1"/>
  <c r="T247" i="1"/>
  <c r="S247" i="1"/>
  <c r="Q247" i="1"/>
  <c r="AR246" i="1"/>
  <c r="AG246" i="1"/>
  <c r="Q246" i="1"/>
  <c r="AR245" i="1"/>
  <c r="AG245" i="1"/>
  <c r="AP245" i="1" s="1"/>
  <c r="T245" i="1"/>
  <c r="S245" i="1"/>
  <c r="Q245" i="1"/>
  <c r="AR244" i="1"/>
  <c r="AG244" i="1"/>
  <c r="AP244" i="1" s="1"/>
  <c r="T244" i="1"/>
  <c r="S244" i="1"/>
  <c r="BF244" i="1" s="1"/>
  <c r="Q244" i="1"/>
  <c r="AR243" i="1"/>
  <c r="AG243" i="1"/>
  <c r="AP243" i="1" s="1"/>
  <c r="T243" i="1"/>
  <c r="S243" i="1"/>
  <c r="Q243" i="1"/>
  <c r="AR242" i="1"/>
  <c r="AG242" i="1"/>
  <c r="T242" i="1"/>
  <c r="S242" i="1"/>
  <c r="BF242" i="1" s="1"/>
  <c r="Q242" i="1"/>
  <c r="AR241" i="1"/>
  <c r="AG241" i="1"/>
  <c r="AP241" i="1" s="1"/>
  <c r="T241" i="1"/>
  <c r="S241" i="1"/>
  <c r="BF241" i="1" s="1"/>
  <c r="Q241" i="1"/>
  <c r="AR240" i="1"/>
  <c r="AG240" i="1"/>
  <c r="Q240" i="1"/>
  <c r="AR239" i="1"/>
  <c r="AG239" i="1"/>
  <c r="AP239" i="1" s="1"/>
  <c r="Q239" i="1"/>
  <c r="AR238" i="1"/>
  <c r="AG238" i="1"/>
  <c r="AP238" i="1" s="1"/>
  <c r="T238" i="1"/>
  <c r="S238" i="1"/>
  <c r="BF238" i="1" s="1"/>
  <c r="Q238" i="1"/>
  <c r="AR237" i="1"/>
  <c r="AG237" i="1"/>
  <c r="AP237" i="1" s="1"/>
  <c r="T237" i="1"/>
  <c r="S237" i="1"/>
  <c r="BF237" i="1" s="1"/>
  <c r="Q237" i="1"/>
  <c r="AR236" i="1"/>
  <c r="AG236" i="1"/>
  <c r="Q236" i="1"/>
  <c r="AR235" i="1"/>
  <c r="AG235" i="1"/>
  <c r="Q235" i="1"/>
  <c r="AR234" i="1"/>
  <c r="AG234" i="1"/>
  <c r="AP234" i="1" s="1"/>
  <c r="T234" i="1"/>
  <c r="S234" i="1"/>
  <c r="BF234" i="1" s="1"/>
  <c r="Q234" i="1"/>
  <c r="AR233" i="1"/>
  <c r="AG233" i="1"/>
  <c r="AP233" i="1" s="1"/>
  <c r="T233" i="1"/>
  <c r="S233" i="1"/>
  <c r="BF233" i="1" s="1"/>
  <c r="Q233" i="1"/>
  <c r="AR232" i="1"/>
  <c r="AG232" i="1"/>
  <c r="AP232" i="1" s="1"/>
  <c r="Q232" i="1"/>
  <c r="AR231" i="1"/>
  <c r="AG231" i="1"/>
  <c r="AJ231" i="1" s="1"/>
  <c r="Q231" i="1"/>
  <c r="AR230" i="1"/>
  <c r="AG230" i="1"/>
  <c r="T230" i="1"/>
  <c r="S230" i="1"/>
  <c r="Q230" i="1"/>
  <c r="AR229" i="1"/>
  <c r="AG229" i="1"/>
  <c r="AP229" i="1" s="1"/>
  <c r="T229" i="1"/>
  <c r="S229" i="1"/>
  <c r="BF229" i="1" s="1"/>
  <c r="Q229" i="1"/>
  <c r="AR228" i="1"/>
  <c r="AG228" i="1"/>
  <c r="AM228" i="1" s="1"/>
  <c r="T228" i="1"/>
  <c r="S228" i="1"/>
  <c r="Q228" i="1"/>
  <c r="AR227" i="1"/>
  <c r="AG227" i="1"/>
  <c r="AP227" i="1" s="1"/>
  <c r="T227" i="1"/>
  <c r="S227" i="1"/>
  <c r="Q227" i="1"/>
  <c r="AR226" i="1"/>
  <c r="AG226" i="1"/>
  <c r="AM226" i="1" s="1"/>
  <c r="T226" i="1"/>
  <c r="S226" i="1"/>
  <c r="Q226" i="1"/>
  <c r="AR225" i="1"/>
  <c r="AG225" i="1"/>
  <c r="AP225" i="1" s="1"/>
  <c r="T225" i="1"/>
  <c r="S225" i="1"/>
  <c r="Q225" i="1"/>
  <c r="AR224" i="1"/>
  <c r="AG224" i="1"/>
  <c r="T224" i="1"/>
  <c r="S224" i="1"/>
  <c r="Q224" i="1"/>
  <c r="AR223" i="1"/>
  <c r="AG223" i="1"/>
  <c r="T223" i="1"/>
  <c r="S223" i="1"/>
  <c r="Q223" i="1"/>
  <c r="AR222" i="1"/>
  <c r="AG222" i="1"/>
  <c r="AP222" i="1" s="1"/>
  <c r="T222" i="1"/>
  <c r="S222" i="1"/>
  <c r="Q222" i="1"/>
  <c r="AR221" i="1"/>
  <c r="AG221" i="1"/>
  <c r="AP221" i="1" s="1"/>
  <c r="T221" i="1"/>
  <c r="S221" i="1"/>
  <c r="Q221" i="1"/>
  <c r="AR220" i="1"/>
  <c r="AG220" i="1"/>
  <c r="AP220" i="1" s="1"/>
  <c r="T220" i="1"/>
  <c r="S220" i="1"/>
  <c r="Q220" i="1"/>
  <c r="AR219" i="1"/>
  <c r="AG219" i="1"/>
  <c r="AJ219" i="1" s="1"/>
  <c r="T219" i="1"/>
  <c r="S219" i="1"/>
  <c r="Q219" i="1"/>
  <c r="AR216" i="1"/>
  <c r="AG216" i="1"/>
  <c r="T216" i="1"/>
  <c r="S216" i="1"/>
  <c r="Q216" i="1"/>
  <c r="AR211" i="1"/>
  <c r="AG211" i="1"/>
  <c r="AP211" i="1" s="1"/>
  <c r="T211" i="1"/>
  <c r="S211" i="1"/>
  <c r="BF211" i="1" s="1"/>
  <c r="Q211" i="1"/>
  <c r="AR210" i="1"/>
  <c r="AG210" i="1"/>
  <c r="T210" i="1"/>
  <c r="S210" i="1"/>
  <c r="Q210" i="1"/>
  <c r="AR209" i="1"/>
  <c r="AG209" i="1"/>
  <c r="T209" i="1"/>
  <c r="S209" i="1"/>
  <c r="BF209" i="1" s="1"/>
  <c r="Q209" i="1"/>
  <c r="AR208" i="1"/>
  <c r="AG208" i="1"/>
  <c r="AP208" i="1" s="1"/>
  <c r="T208" i="1"/>
  <c r="S208" i="1"/>
  <c r="Q208" i="1"/>
  <c r="AR206" i="1"/>
  <c r="AG206" i="1"/>
  <c r="AJ206" i="1" s="1"/>
  <c r="T206" i="1"/>
  <c r="S206" i="1"/>
  <c r="BF206" i="1" s="1"/>
  <c r="Q206" i="1"/>
  <c r="AR203" i="1"/>
  <c r="AG203" i="1"/>
  <c r="AJ203" i="1" s="1"/>
  <c r="T203" i="1"/>
  <c r="S203" i="1"/>
  <c r="Q203" i="1"/>
  <c r="AR200" i="1"/>
  <c r="AG200" i="1"/>
  <c r="AJ200" i="1" s="1"/>
  <c r="T200" i="1"/>
  <c r="S200" i="1"/>
  <c r="Q200" i="1"/>
  <c r="AR197" i="1"/>
  <c r="AG197" i="1"/>
  <c r="AJ197" i="1" s="1"/>
  <c r="T197" i="1"/>
  <c r="S197" i="1"/>
  <c r="BF197" i="1" s="1"/>
  <c r="Q197" i="1"/>
  <c r="AR195" i="1"/>
  <c r="AG195" i="1"/>
  <c r="AJ195" i="1" s="1"/>
  <c r="T195" i="1"/>
  <c r="S195" i="1"/>
  <c r="Q195" i="1"/>
  <c r="AR194" i="1"/>
  <c r="AG194" i="1"/>
  <c r="AJ194" i="1" s="1"/>
  <c r="T194" i="1"/>
  <c r="S194" i="1"/>
  <c r="Q194" i="1"/>
  <c r="AR192" i="1"/>
  <c r="AG192" i="1"/>
  <c r="AJ192" i="1" s="1"/>
  <c r="T192" i="1"/>
  <c r="S192" i="1"/>
  <c r="Q192" i="1"/>
  <c r="AR188" i="1"/>
  <c r="AG188" i="1"/>
  <c r="AJ188" i="1" s="1"/>
  <c r="T188" i="1"/>
  <c r="S188" i="1"/>
  <c r="Q188" i="1"/>
  <c r="AR187" i="1"/>
  <c r="AG187" i="1"/>
  <c r="AJ187" i="1" s="1"/>
  <c r="T187" i="1"/>
  <c r="S187" i="1"/>
  <c r="Q187" i="1"/>
  <c r="AR184" i="1"/>
  <c r="AG184" i="1"/>
  <c r="AJ184" i="1" s="1"/>
  <c r="T184" i="1"/>
  <c r="S184" i="1"/>
  <c r="BF184" i="1" s="1"/>
  <c r="Q184" i="1"/>
  <c r="AR180" i="1"/>
  <c r="AG180" i="1"/>
  <c r="AJ180" i="1" s="1"/>
  <c r="T180" i="1"/>
  <c r="S180" i="1"/>
  <c r="Q180" i="1"/>
  <c r="AR176" i="1"/>
  <c r="AG176" i="1"/>
  <c r="AJ176" i="1" s="1"/>
  <c r="T176" i="1"/>
  <c r="S176" i="1"/>
  <c r="Q176" i="1"/>
  <c r="AR174" i="1"/>
  <c r="AG174" i="1"/>
  <c r="AJ174" i="1" s="1"/>
  <c r="T174" i="1"/>
  <c r="S174" i="1"/>
  <c r="Q174" i="1"/>
  <c r="AR172" i="1"/>
  <c r="AG172" i="1"/>
  <c r="AJ172" i="1" s="1"/>
  <c r="Q172" i="1"/>
  <c r="AR171" i="1"/>
  <c r="AG171" i="1"/>
  <c r="AJ171" i="1" s="1"/>
  <c r="Q171" i="1"/>
  <c r="AR168" i="1"/>
  <c r="AG168" i="1"/>
  <c r="AJ168" i="1" s="1"/>
  <c r="Q168" i="1"/>
  <c r="AR167" i="1"/>
  <c r="AG167" i="1"/>
  <c r="AJ167" i="1" s="1"/>
  <c r="T167" i="1"/>
  <c r="S167" i="1"/>
  <c r="Q167" i="1"/>
  <c r="AR166" i="1"/>
  <c r="AG166" i="1"/>
  <c r="AJ166" i="1" s="1"/>
  <c r="T166" i="1"/>
  <c r="S166" i="1"/>
  <c r="Q166" i="1"/>
  <c r="AR164" i="1"/>
  <c r="AG164" i="1"/>
  <c r="AJ164" i="1" s="1"/>
  <c r="Q164" i="1"/>
  <c r="AR162" i="1"/>
  <c r="AG162" i="1"/>
  <c r="AJ162" i="1" s="1"/>
  <c r="Q162" i="1"/>
  <c r="AR161" i="1"/>
  <c r="AG161" i="1"/>
  <c r="AJ161" i="1" s="1"/>
  <c r="Q161" i="1"/>
  <c r="AR160" i="1"/>
  <c r="AG160" i="1"/>
  <c r="AJ160" i="1" s="1"/>
  <c r="T160" i="1"/>
  <c r="S160" i="1"/>
  <c r="BF160" i="1" s="1"/>
  <c r="Q160" i="1"/>
  <c r="AR159" i="1"/>
  <c r="AG159" i="1"/>
  <c r="AJ159" i="1" s="1"/>
  <c r="T159" i="1"/>
  <c r="S159" i="1"/>
  <c r="Q159" i="1"/>
  <c r="AR158" i="1"/>
  <c r="AG158" i="1"/>
  <c r="AJ158" i="1" s="1"/>
  <c r="Q158" i="1"/>
  <c r="AR157" i="1"/>
  <c r="AG157" i="1"/>
  <c r="AJ157" i="1" s="1"/>
  <c r="T157" i="1"/>
  <c r="S157" i="1"/>
  <c r="BF157" i="1" s="1"/>
  <c r="Q157" i="1"/>
  <c r="AR156" i="1"/>
  <c r="AG156" i="1"/>
  <c r="AJ156" i="1" s="1"/>
  <c r="T156" i="1"/>
  <c r="S156" i="1"/>
  <c r="Q156" i="1"/>
  <c r="AR155" i="1"/>
  <c r="AG155" i="1"/>
  <c r="AJ155" i="1" s="1"/>
  <c r="Q155" i="1"/>
  <c r="AR154" i="1"/>
  <c r="AG154" i="1"/>
  <c r="AJ154" i="1" s="1"/>
  <c r="T154" i="1"/>
  <c r="S154" i="1"/>
  <c r="BF154" i="1" s="1"/>
  <c r="Q154" i="1"/>
  <c r="AR153" i="1"/>
  <c r="AG153" i="1"/>
  <c r="AJ153" i="1" s="1"/>
  <c r="T153" i="1"/>
  <c r="S153" i="1"/>
  <c r="Q153" i="1"/>
  <c r="AR152" i="1"/>
  <c r="AG152" i="1"/>
  <c r="AJ152" i="1" s="1"/>
  <c r="T152" i="1"/>
  <c r="S152" i="1"/>
  <c r="Q152" i="1"/>
  <c r="AR148" i="1"/>
  <c r="AG148" i="1"/>
  <c r="AJ148" i="1" s="1"/>
  <c r="Q148" i="1"/>
  <c r="AR144" i="1"/>
  <c r="AG144" i="1"/>
  <c r="AJ144" i="1" s="1"/>
  <c r="Q144" i="1"/>
  <c r="AR143" i="1"/>
  <c r="AG143" i="1"/>
  <c r="AJ143" i="1" s="1"/>
  <c r="Q143" i="1"/>
  <c r="AR141" i="1"/>
  <c r="AG141" i="1"/>
  <c r="AJ141" i="1" s="1"/>
  <c r="Q141" i="1"/>
  <c r="AR138" i="1"/>
  <c r="AG138" i="1"/>
  <c r="AJ138" i="1" s="1"/>
  <c r="Q138" i="1"/>
  <c r="AR137" i="1"/>
  <c r="AG137" i="1"/>
  <c r="AJ137" i="1" s="1"/>
  <c r="Q137" i="1"/>
  <c r="AR135" i="1"/>
  <c r="AG135" i="1"/>
  <c r="AJ135" i="1" s="1"/>
  <c r="Q135" i="1"/>
  <c r="AR132" i="1"/>
  <c r="AG132" i="1"/>
  <c r="AJ132" i="1" s="1"/>
  <c r="Q132" i="1"/>
  <c r="AR131" i="1"/>
  <c r="AG131" i="1"/>
  <c r="AJ131" i="1" s="1"/>
  <c r="Q131" i="1"/>
  <c r="AR129" i="1"/>
  <c r="AG129" i="1"/>
  <c r="AJ129" i="1" s="1"/>
  <c r="Q129" i="1"/>
  <c r="AR126" i="1"/>
  <c r="AG126" i="1"/>
  <c r="AJ126" i="1" s="1"/>
  <c r="Q126" i="1"/>
  <c r="AR125" i="1"/>
  <c r="AG125" i="1"/>
  <c r="AJ125" i="1" s="1"/>
  <c r="T125" i="1"/>
  <c r="S125" i="1"/>
  <c r="Q125" i="1"/>
  <c r="AR124" i="1"/>
  <c r="AG124" i="1"/>
  <c r="AJ124" i="1" s="1"/>
  <c r="T124" i="1"/>
  <c r="S124" i="1"/>
  <c r="BF124" i="1" s="1"/>
  <c r="Q124" i="1"/>
  <c r="AR123" i="1"/>
  <c r="AG123" i="1"/>
  <c r="AJ123" i="1" s="1"/>
  <c r="T123" i="1"/>
  <c r="S123" i="1"/>
  <c r="BF123" i="1" s="1"/>
  <c r="Q123" i="1"/>
  <c r="AR120" i="1"/>
  <c r="AG120" i="1"/>
  <c r="AJ120" i="1" s="1"/>
  <c r="T120" i="1"/>
  <c r="S120" i="1"/>
  <c r="BF120" i="1" s="1"/>
  <c r="Q120" i="1"/>
  <c r="AR111" i="1"/>
  <c r="AG111" i="1"/>
  <c r="T111" i="1"/>
  <c r="S111" i="1"/>
  <c r="Q111" i="1"/>
  <c r="AR110" i="1"/>
  <c r="AG110" i="1"/>
  <c r="AP110" i="1" s="1"/>
  <c r="T110" i="1"/>
  <c r="S110" i="1"/>
  <c r="Q110" i="1"/>
  <c r="AR109" i="1"/>
  <c r="AG109" i="1"/>
  <c r="AP109" i="1" s="1"/>
  <c r="T109" i="1"/>
  <c r="S109" i="1"/>
  <c r="Q109" i="1"/>
  <c r="AR107" i="1"/>
  <c r="AG107" i="1"/>
  <c r="AP107" i="1" s="1"/>
  <c r="T107" i="1"/>
  <c r="S107" i="1"/>
  <c r="Q107" i="1"/>
  <c r="AR105" i="1"/>
  <c r="AG105" i="1"/>
  <c r="AP105" i="1" s="1"/>
  <c r="T105" i="1"/>
  <c r="S105" i="1"/>
  <c r="Q105" i="1"/>
  <c r="AR102" i="1"/>
  <c r="AG102" i="1"/>
  <c r="AP102" i="1" s="1"/>
  <c r="T102" i="1"/>
  <c r="S102" i="1"/>
  <c r="Q102" i="1"/>
  <c r="AR99" i="1"/>
  <c r="AG99" i="1"/>
  <c r="AP99" i="1" s="1"/>
  <c r="T99" i="1"/>
  <c r="S99" i="1"/>
  <c r="Q99" i="1"/>
  <c r="AR91" i="1"/>
  <c r="AG91" i="1"/>
  <c r="AP91" i="1" s="1"/>
  <c r="Q91" i="1"/>
  <c r="AR90" i="1"/>
  <c r="AG90" i="1"/>
  <c r="AP90" i="1" s="1"/>
  <c r="Q90" i="1"/>
  <c r="AR87" i="1"/>
  <c r="AG87" i="1"/>
  <c r="AP87" i="1" s="1"/>
  <c r="Q87" i="1"/>
  <c r="AR85" i="1"/>
  <c r="AG85" i="1"/>
  <c r="AP85" i="1" s="1"/>
  <c r="Q85" i="1"/>
  <c r="AR83" i="1"/>
  <c r="AG83" i="1"/>
  <c r="AP83" i="1" s="1"/>
  <c r="Q83" i="1"/>
  <c r="AR80" i="1"/>
  <c r="AG80" i="1"/>
  <c r="AP80" i="1" s="1"/>
  <c r="T80" i="1"/>
  <c r="S80" i="1"/>
  <c r="Q80" i="1"/>
  <c r="AR79" i="1"/>
  <c r="AG79" i="1"/>
  <c r="AP79" i="1" s="1"/>
  <c r="T79" i="1"/>
  <c r="S79" i="1"/>
  <c r="Q79" i="1"/>
  <c r="AR78" i="1"/>
  <c r="AG78" i="1"/>
  <c r="AP78" i="1" s="1"/>
  <c r="T78" i="1"/>
  <c r="S78" i="1"/>
  <c r="Q78" i="1"/>
  <c r="AR77" i="1"/>
  <c r="AG77" i="1"/>
  <c r="AP77" i="1" s="1"/>
  <c r="T77" i="1"/>
  <c r="S77" i="1"/>
  <c r="Q77" i="1"/>
  <c r="AR76" i="1"/>
  <c r="AG76" i="1"/>
  <c r="AP76" i="1" s="1"/>
  <c r="T76" i="1"/>
  <c r="S76" i="1"/>
  <c r="Q76" i="1"/>
  <c r="AR74" i="1"/>
  <c r="AG74" i="1"/>
  <c r="AP74" i="1" s="1"/>
  <c r="T74" i="1"/>
  <c r="S74" i="1"/>
  <c r="Q74" i="1"/>
  <c r="AR72" i="1"/>
  <c r="AG72" i="1"/>
  <c r="AP72" i="1" s="1"/>
  <c r="T72" i="1"/>
  <c r="S72" i="1"/>
  <c r="Q72" i="1"/>
  <c r="AR71" i="1"/>
  <c r="AG71" i="1"/>
  <c r="AP71" i="1" s="1"/>
  <c r="T71" i="1"/>
  <c r="S71" i="1"/>
  <c r="Q71" i="1"/>
  <c r="AR70" i="1"/>
  <c r="AG70" i="1"/>
  <c r="AP70" i="1" s="1"/>
  <c r="T70" i="1"/>
  <c r="S70" i="1"/>
  <c r="Q70" i="1"/>
  <c r="AR69" i="1"/>
  <c r="AG69" i="1"/>
  <c r="AP69" i="1" s="1"/>
  <c r="T69" i="1"/>
  <c r="S69" i="1"/>
  <c r="Q69" i="1"/>
  <c r="AR68" i="1"/>
  <c r="AG68" i="1"/>
  <c r="AP68" i="1" s="1"/>
  <c r="T68" i="1"/>
  <c r="S68" i="1"/>
  <c r="Q68" i="1"/>
  <c r="AR67" i="1"/>
  <c r="AG67" i="1"/>
  <c r="AP67" i="1" s="1"/>
  <c r="T67" i="1"/>
  <c r="S67" i="1"/>
  <c r="Q67" i="1"/>
  <c r="AR66" i="1"/>
  <c r="AG66" i="1"/>
  <c r="AP66" i="1" s="1"/>
  <c r="T66" i="1"/>
  <c r="S66" i="1"/>
  <c r="Q66" i="1"/>
  <c r="AR65" i="1"/>
  <c r="AG65" i="1"/>
  <c r="AP65" i="1" s="1"/>
  <c r="T65" i="1"/>
  <c r="S65" i="1"/>
  <c r="Q65" i="1"/>
  <c r="AR64" i="1"/>
  <c r="AG64" i="1"/>
  <c r="AP64" i="1" s="1"/>
  <c r="T64" i="1"/>
  <c r="S64" i="1"/>
  <c r="Q64" i="1"/>
  <c r="AR63" i="1"/>
  <c r="AG63" i="1"/>
  <c r="AP63" i="1" s="1"/>
  <c r="T63" i="1"/>
  <c r="S63" i="1"/>
  <c r="Q63" i="1"/>
  <c r="AR62" i="1"/>
  <c r="AG62" i="1"/>
  <c r="AP62" i="1" s="1"/>
  <c r="T62" i="1"/>
  <c r="S62" i="1"/>
  <c r="Q62" i="1"/>
  <c r="AR61" i="1"/>
  <c r="AG61" i="1"/>
  <c r="AP61" i="1" s="1"/>
  <c r="T61" i="1"/>
  <c r="S61" i="1"/>
  <c r="Q61" i="1"/>
  <c r="AR60" i="1"/>
  <c r="AG60" i="1"/>
  <c r="AP60" i="1" s="1"/>
  <c r="T60" i="1"/>
  <c r="S60" i="1"/>
  <c r="Q60" i="1"/>
  <c r="AR59" i="1"/>
  <c r="AG59" i="1"/>
  <c r="AP59" i="1" s="1"/>
  <c r="T59" i="1"/>
  <c r="S59" i="1"/>
  <c r="Q59" i="1"/>
  <c r="AR58" i="1"/>
  <c r="AG58" i="1"/>
  <c r="AP58" i="1" s="1"/>
  <c r="T58" i="1"/>
  <c r="S58" i="1"/>
  <c r="Q58" i="1"/>
  <c r="AR57" i="1"/>
  <c r="AG57" i="1"/>
  <c r="AP57" i="1" s="1"/>
  <c r="T57" i="1"/>
  <c r="S57" i="1"/>
  <c r="Q57" i="1"/>
  <c r="AR56" i="1"/>
  <c r="AG56" i="1"/>
  <c r="AP56" i="1" s="1"/>
  <c r="T56" i="1"/>
  <c r="S56" i="1"/>
  <c r="Q56" i="1"/>
  <c r="AR55" i="1"/>
  <c r="AG55" i="1"/>
  <c r="AP55" i="1" s="1"/>
  <c r="T55" i="1"/>
  <c r="S55" i="1"/>
  <c r="Q55" i="1"/>
  <c r="AR54" i="1"/>
  <c r="AG54" i="1"/>
  <c r="AP54" i="1" s="1"/>
  <c r="T54" i="1"/>
  <c r="S54" i="1"/>
  <c r="Q54" i="1"/>
  <c r="AR53" i="1"/>
  <c r="AG53" i="1"/>
  <c r="AP53" i="1" s="1"/>
  <c r="T53" i="1"/>
  <c r="S53" i="1"/>
  <c r="Q53" i="1"/>
  <c r="AR52" i="1"/>
  <c r="AG52" i="1"/>
  <c r="AP52" i="1" s="1"/>
  <c r="T52" i="1"/>
  <c r="S52" i="1"/>
  <c r="Q52" i="1"/>
  <c r="AR51" i="1"/>
  <c r="AG51" i="1"/>
  <c r="AP51" i="1" s="1"/>
  <c r="T51" i="1"/>
  <c r="S51" i="1"/>
  <c r="Q51" i="1"/>
  <c r="AR50" i="1"/>
  <c r="AG50" i="1"/>
  <c r="AP50" i="1" s="1"/>
  <c r="T50" i="1"/>
  <c r="S50" i="1"/>
  <c r="Q50" i="1"/>
  <c r="AR49" i="1"/>
  <c r="AG49" i="1"/>
  <c r="AP49" i="1" s="1"/>
  <c r="T49" i="1"/>
  <c r="S49" i="1"/>
  <c r="Q49" i="1"/>
  <c r="AR340" i="1"/>
  <c r="AG340" i="1"/>
  <c r="AP340" i="1" s="1"/>
  <c r="T340" i="1"/>
  <c r="S340" i="1"/>
  <c r="BF340" i="1" s="1"/>
  <c r="Q340" i="1"/>
  <c r="AR339" i="1"/>
  <c r="AG339" i="1"/>
  <c r="AP339" i="1" s="1"/>
  <c r="T339" i="1"/>
  <c r="S339" i="1"/>
  <c r="BF339" i="1" s="1"/>
  <c r="Q339" i="1"/>
  <c r="AR338" i="1"/>
  <c r="AG338" i="1"/>
  <c r="AP338" i="1" s="1"/>
  <c r="T338" i="1"/>
  <c r="S338" i="1"/>
  <c r="BF338" i="1" s="1"/>
  <c r="Q338" i="1"/>
  <c r="AR337" i="1"/>
  <c r="AG337" i="1"/>
  <c r="AP337" i="1" s="1"/>
  <c r="T337" i="1"/>
  <c r="S337" i="1"/>
  <c r="BF337" i="1" s="1"/>
  <c r="Q337" i="1"/>
  <c r="AR336" i="1"/>
  <c r="AG336" i="1"/>
  <c r="AP336" i="1" s="1"/>
  <c r="T336" i="1"/>
  <c r="S336" i="1"/>
  <c r="BF336" i="1" s="1"/>
  <c r="Q336" i="1"/>
  <c r="AR335" i="1"/>
  <c r="AG335" i="1"/>
  <c r="T335" i="1"/>
  <c r="S335" i="1"/>
  <c r="BF335" i="1" s="1"/>
  <c r="Q335" i="1"/>
  <c r="AR334" i="1"/>
  <c r="AG334" i="1"/>
  <c r="AP334" i="1" s="1"/>
  <c r="T334" i="1"/>
  <c r="S334" i="1"/>
  <c r="BF334" i="1" s="1"/>
  <c r="Q334" i="1"/>
  <c r="AR333" i="1"/>
  <c r="AG333" i="1"/>
  <c r="AP333" i="1" s="1"/>
  <c r="T333" i="1"/>
  <c r="S333" i="1"/>
  <c r="BF333" i="1" s="1"/>
  <c r="Q333" i="1"/>
  <c r="AR332" i="1"/>
  <c r="AG332" i="1"/>
  <c r="AP332" i="1" s="1"/>
  <c r="T332" i="1"/>
  <c r="S332" i="1"/>
  <c r="Q332" i="1"/>
  <c r="AR330" i="1"/>
  <c r="AG330" i="1"/>
  <c r="AP330" i="1" s="1"/>
  <c r="T330" i="1"/>
  <c r="S330" i="1"/>
  <c r="BF330" i="1" s="1"/>
  <c r="Q330" i="1"/>
  <c r="AR329" i="1"/>
  <c r="AG329" i="1"/>
  <c r="AP329" i="1" s="1"/>
  <c r="T329" i="1"/>
  <c r="S329" i="1"/>
  <c r="BF329" i="1" s="1"/>
  <c r="Q329" i="1"/>
  <c r="AR328" i="1"/>
  <c r="AG328" i="1"/>
  <c r="AP328" i="1" s="1"/>
  <c r="T328" i="1"/>
  <c r="S328" i="1"/>
  <c r="Q328" i="1"/>
  <c r="AR327" i="1"/>
  <c r="AG327" i="1"/>
  <c r="AP327" i="1" s="1"/>
  <c r="T327" i="1"/>
  <c r="S327" i="1"/>
  <c r="Q327" i="1"/>
  <c r="AR326" i="1"/>
  <c r="AG326" i="1"/>
  <c r="T326" i="1"/>
  <c r="S326" i="1"/>
  <c r="BF326" i="1" s="1"/>
  <c r="Q326" i="1"/>
  <c r="AR325" i="1"/>
  <c r="AG325" i="1"/>
  <c r="AP325" i="1" s="1"/>
  <c r="T325" i="1"/>
  <c r="S325" i="1"/>
  <c r="Q325" i="1"/>
  <c r="AR324" i="1"/>
  <c r="AG324" i="1"/>
  <c r="AP324" i="1" s="1"/>
  <c r="T324" i="1"/>
  <c r="S324" i="1"/>
  <c r="Q324" i="1"/>
  <c r="AR323" i="1"/>
  <c r="AG323" i="1"/>
  <c r="AP323" i="1" s="1"/>
  <c r="T323" i="1"/>
  <c r="S323" i="1"/>
  <c r="Q323" i="1"/>
  <c r="AR322" i="1"/>
  <c r="AG322" i="1"/>
  <c r="AP322" i="1" s="1"/>
  <c r="T322" i="1"/>
  <c r="S322" i="1"/>
  <c r="Q322" i="1"/>
  <c r="AR321" i="1"/>
  <c r="AG321" i="1"/>
  <c r="AP321" i="1" s="1"/>
  <c r="T321" i="1"/>
  <c r="S321" i="1"/>
  <c r="Q321" i="1"/>
  <c r="AR320" i="1"/>
  <c r="AG320" i="1"/>
  <c r="AP320" i="1" s="1"/>
  <c r="T320" i="1"/>
  <c r="S320" i="1"/>
  <c r="Q320" i="1"/>
  <c r="AR319" i="1"/>
  <c r="AG319" i="1"/>
  <c r="AP319" i="1" s="1"/>
  <c r="T319" i="1"/>
  <c r="S319" i="1"/>
  <c r="Q319" i="1"/>
  <c r="AR318" i="1"/>
  <c r="AG318" i="1"/>
  <c r="AP318" i="1" s="1"/>
  <c r="T318" i="1"/>
  <c r="S318" i="1"/>
  <c r="Q318" i="1"/>
  <c r="AR317" i="1"/>
  <c r="AG317" i="1"/>
  <c r="AP317" i="1" s="1"/>
  <c r="T317" i="1"/>
  <c r="S317" i="1"/>
  <c r="Q317" i="1"/>
  <c r="AR316" i="1"/>
  <c r="AG316" i="1"/>
  <c r="T316" i="1"/>
  <c r="S316" i="1"/>
  <c r="Q316" i="1"/>
  <c r="AR315" i="1"/>
  <c r="AG315" i="1"/>
  <c r="AP315" i="1" s="1"/>
  <c r="T315" i="1"/>
  <c r="S315" i="1"/>
  <c r="BF315" i="1" s="1"/>
  <c r="Q315" i="1"/>
  <c r="AR314" i="1"/>
  <c r="AG314" i="1"/>
  <c r="AP314" i="1" s="1"/>
  <c r="T314" i="1"/>
  <c r="S314" i="1"/>
  <c r="BF314" i="1" s="1"/>
  <c r="Q314" i="1"/>
  <c r="AR313" i="1"/>
  <c r="AG313" i="1"/>
  <c r="AP313" i="1" s="1"/>
  <c r="T313" i="1"/>
  <c r="S313" i="1"/>
  <c r="BF313" i="1" s="1"/>
  <c r="Q313" i="1"/>
  <c r="AR48" i="1"/>
  <c r="AG48" i="1"/>
  <c r="AJ48" i="1" s="1"/>
  <c r="T48" i="1"/>
  <c r="S48" i="1"/>
  <c r="Q48" i="1"/>
  <c r="AM281" i="1" l="1"/>
  <c r="AP195" i="1"/>
  <c r="X270" i="1"/>
  <c r="X255" i="1"/>
  <c r="AM168" i="1"/>
  <c r="AP137" i="1"/>
  <c r="X168" i="1"/>
  <c r="BF168" i="1" s="1"/>
  <c r="X58" i="1"/>
  <c r="BF58" i="1" s="1"/>
  <c r="AM171" i="1"/>
  <c r="X228" i="1"/>
  <c r="BF228" i="1" s="1"/>
  <c r="X144" i="1"/>
  <c r="BF144" i="1" s="1"/>
  <c r="W285" i="1"/>
  <c r="Y285" i="1" s="1"/>
  <c r="AP158" i="1"/>
  <c r="AP161" i="1"/>
  <c r="X166" i="1"/>
  <c r="X85" i="1"/>
  <c r="BF85" i="1" s="1"/>
  <c r="W275" i="1"/>
  <c r="Y275" i="1" s="1"/>
  <c r="X287" i="1"/>
  <c r="W210" i="1"/>
  <c r="Y210" i="1" s="1"/>
  <c r="X143" i="1"/>
  <c r="BF143" i="1" s="1"/>
  <c r="AM233" i="1"/>
  <c r="X197" i="1"/>
  <c r="X239" i="1"/>
  <c r="BF239" i="1" s="1"/>
  <c r="AM164" i="1"/>
  <c r="AP171" i="1"/>
  <c r="AP164" i="1"/>
  <c r="X172" i="1"/>
  <c r="X281" i="1"/>
  <c r="BF281" i="1" s="1"/>
  <c r="X245" i="1"/>
  <c r="BF245" i="1" s="1"/>
  <c r="W232" i="1"/>
  <c r="Y232" i="1" s="1"/>
  <c r="W162" i="1"/>
  <c r="Y162" i="1" s="1"/>
  <c r="W235" i="1"/>
  <c r="Y235" i="1" s="1"/>
  <c r="AP157" i="1"/>
  <c r="X52" i="1"/>
  <c r="AP143" i="1"/>
  <c r="AP155" i="1"/>
  <c r="X160" i="1"/>
  <c r="W225" i="1"/>
  <c r="Y225" i="1" s="1"/>
  <c r="W236" i="1"/>
  <c r="Y236" i="1" s="1"/>
  <c r="AJ266" i="1"/>
  <c r="AM285" i="1"/>
  <c r="AM287" i="1"/>
  <c r="AJ339" i="1"/>
  <c r="X200" i="1"/>
  <c r="AM266" i="1"/>
  <c r="X156" i="1"/>
  <c r="X195" i="1"/>
  <c r="AM211" i="1"/>
  <c r="X226" i="1"/>
  <c r="BF226" i="1" s="1"/>
  <c r="X267" i="1"/>
  <c r="BF267" i="1" s="1"/>
  <c r="AM143" i="1"/>
  <c r="W281" i="1"/>
  <c r="Y281" i="1" s="1"/>
  <c r="AP148" i="1"/>
  <c r="AP160" i="1"/>
  <c r="AM162" i="1"/>
  <c r="AP168" i="1"/>
  <c r="X208" i="1"/>
  <c r="AM137" i="1"/>
  <c r="AP141" i="1"/>
  <c r="X282" i="1"/>
  <c r="BF282" i="1" s="1"/>
  <c r="AJ229" i="1"/>
  <c r="X269" i="1"/>
  <c r="BF269" i="1" s="1"/>
  <c r="BF275" i="1"/>
  <c r="X109" i="1"/>
  <c r="BF109" i="1" s="1"/>
  <c r="W224" i="1"/>
  <c r="Y224" i="1" s="1"/>
  <c r="X240" i="1"/>
  <c r="BF240" i="1" s="1"/>
  <c r="AM243" i="1"/>
  <c r="X261" i="1"/>
  <c r="BF261" i="1" s="1"/>
  <c r="X274" i="1"/>
  <c r="BF274" i="1" s="1"/>
  <c r="X71" i="1"/>
  <c r="BF71" i="1" s="1"/>
  <c r="X105" i="1"/>
  <c r="AJ233" i="1"/>
  <c r="X244" i="1"/>
  <c r="AM248" i="1"/>
  <c r="AM264" i="1"/>
  <c r="AJ320" i="1"/>
  <c r="X154" i="1"/>
  <c r="AM167" i="1"/>
  <c r="AM203" i="1"/>
  <c r="X243" i="1"/>
  <c r="BF243" i="1" s="1"/>
  <c r="AM244" i="1"/>
  <c r="X249" i="1"/>
  <c r="AJ254" i="1"/>
  <c r="AM258" i="1"/>
  <c r="AM260" i="1"/>
  <c r="AM269" i="1"/>
  <c r="X276" i="1"/>
  <c r="BF276" i="1" s="1"/>
  <c r="AJ260" i="1"/>
  <c r="AP203" i="1"/>
  <c r="AM254" i="1"/>
  <c r="X64" i="1"/>
  <c r="BF64" i="1" s="1"/>
  <c r="AP126" i="1"/>
  <c r="AM188" i="1"/>
  <c r="AM208" i="1"/>
  <c r="AJ227" i="1"/>
  <c r="W284" i="1"/>
  <c r="Y284" i="1" s="1"/>
  <c r="X62" i="1"/>
  <c r="BF62" i="1" s="1"/>
  <c r="X99" i="1"/>
  <c r="BF99" i="1" s="1"/>
  <c r="AP125" i="1"/>
  <c r="X137" i="1"/>
  <c r="BF137" i="1" s="1"/>
  <c r="AM152" i="1"/>
  <c r="AP188" i="1"/>
  <c r="AM195" i="1"/>
  <c r="AJ221" i="1"/>
  <c r="AJ237" i="1"/>
  <c r="X60" i="1"/>
  <c r="BF60" i="1" s="1"/>
  <c r="X90" i="1"/>
  <c r="BF90" i="1" s="1"/>
  <c r="X132" i="1"/>
  <c r="BF132" i="1" s="1"/>
  <c r="AP152" i="1"/>
  <c r="AM237" i="1"/>
  <c r="X279" i="1"/>
  <c r="BF279" i="1" s="1"/>
  <c r="AJ269" i="1"/>
  <c r="AM273" i="1"/>
  <c r="X155" i="1"/>
  <c r="BF155" i="1" s="1"/>
  <c r="AM166" i="1"/>
  <c r="AM200" i="1"/>
  <c r="X222" i="1"/>
  <c r="BF222" i="1" s="1"/>
  <c r="AM229" i="1"/>
  <c r="W240" i="1"/>
  <c r="Y240" i="1" s="1"/>
  <c r="W124" i="1"/>
  <c r="Y124" i="1" s="1"/>
  <c r="X153" i="1"/>
  <c r="AP166" i="1"/>
  <c r="AP200" i="1"/>
  <c r="X206" i="1"/>
  <c r="X216" i="1"/>
  <c r="X238" i="1"/>
  <c r="AJ244" i="1"/>
  <c r="X76" i="1"/>
  <c r="BF76" i="1" s="1"/>
  <c r="AM124" i="1"/>
  <c r="AM129" i="1"/>
  <c r="X192" i="1"/>
  <c r="BF192" i="1" s="1"/>
  <c r="AJ220" i="1"/>
  <c r="X224" i="1"/>
  <c r="BF224" i="1" s="1"/>
  <c r="X246" i="1"/>
  <c r="AJ279" i="1"/>
  <c r="AJ337" i="1"/>
  <c r="X72" i="1"/>
  <c r="AP120" i="1"/>
  <c r="AP124" i="1"/>
  <c r="AP129" i="1"/>
  <c r="AM148" i="1"/>
  <c r="AM155" i="1"/>
  <c r="W167" i="1"/>
  <c r="Y167" i="1" s="1"/>
  <c r="X171" i="1"/>
  <c r="X174" i="1"/>
  <c r="BF174" i="1" s="1"/>
  <c r="AP194" i="1"/>
  <c r="AM220" i="1"/>
  <c r="AM222" i="1"/>
  <c r="AM232" i="1"/>
  <c r="AJ248" i="1"/>
  <c r="AM279" i="1"/>
  <c r="W276" i="1"/>
  <c r="Y276" i="1" s="1"/>
  <c r="X131" i="1"/>
  <c r="BF131" i="1" s="1"/>
  <c r="X135" i="1"/>
  <c r="BF135" i="1" s="1"/>
  <c r="W172" i="1"/>
  <c r="Y172" i="1" s="1"/>
  <c r="X232" i="1"/>
  <c r="BF232" i="1" s="1"/>
  <c r="W243" i="1"/>
  <c r="Y243" i="1" s="1"/>
  <c r="X264" i="1"/>
  <c r="X278" i="1"/>
  <c r="BF278" i="1" s="1"/>
  <c r="X284" i="1"/>
  <c r="X286" i="1"/>
  <c r="W126" i="1"/>
  <c r="Y126" i="1" s="1"/>
  <c r="X272" i="1"/>
  <c r="X56" i="1"/>
  <c r="X80" i="1"/>
  <c r="X124" i="1"/>
  <c r="X157" i="1"/>
  <c r="W159" i="1"/>
  <c r="Y159" i="1" s="1"/>
  <c r="X164" i="1"/>
  <c r="BF164" i="1" s="1"/>
  <c r="BF210" i="1"/>
  <c r="W228" i="1"/>
  <c r="Y228" i="1" s="1"/>
  <c r="X251" i="1"/>
  <c r="BF251" i="1" s="1"/>
  <c r="X256" i="1"/>
  <c r="BF256" i="1" s="1"/>
  <c r="X262" i="1"/>
  <c r="BF262" i="1" s="1"/>
  <c r="W269" i="1"/>
  <c r="Y269" i="1" s="1"/>
  <c r="W282" i="1"/>
  <c r="Y282" i="1" s="1"/>
  <c r="X123" i="1"/>
  <c r="W274" i="1"/>
  <c r="Y274" i="1" s="1"/>
  <c r="X54" i="1"/>
  <c r="BF54" i="1" s="1"/>
  <c r="X78" i="1"/>
  <c r="X129" i="1"/>
  <c r="BF129" i="1" s="1"/>
  <c r="X152" i="1"/>
  <c r="BF152" i="1" s="1"/>
  <c r="W161" i="1"/>
  <c r="Y161" i="1" s="1"/>
  <c r="X180" i="1"/>
  <c r="BF180" i="1" s="1"/>
  <c r="X211" i="1"/>
  <c r="X230" i="1"/>
  <c r="X271" i="1"/>
  <c r="BF271" i="1" s="1"/>
  <c r="X275" i="1"/>
  <c r="W123" i="1"/>
  <c r="Y123" i="1" s="1"/>
  <c r="W220" i="1"/>
  <c r="Y220" i="1" s="1"/>
  <c r="X233" i="1"/>
  <c r="X167" i="1"/>
  <c r="W180" i="1"/>
  <c r="Y180" i="1" s="1"/>
  <c r="W194" i="1"/>
  <c r="Y194" i="1" s="1"/>
  <c r="X234" i="1"/>
  <c r="W247" i="1"/>
  <c r="Y247" i="1" s="1"/>
  <c r="X273" i="1"/>
  <c r="BF273" i="1" s="1"/>
  <c r="X277" i="1"/>
  <c r="BF277" i="1" s="1"/>
  <c r="X50" i="1"/>
  <c r="BF50" i="1" s="1"/>
  <c r="W132" i="1"/>
  <c r="Y132" i="1" s="1"/>
  <c r="X188" i="1"/>
  <c r="BF188" i="1" s="1"/>
  <c r="W221" i="1"/>
  <c r="Y221" i="1" s="1"/>
  <c r="X242" i="1"/>
  <c r="W277" i="1"/>
  <c r="Y277" i="1" s="1"/>
  <c r="W272" i="1"/>
  <c r="Y272" i="1" s="1"/>
  <c r="W131" i="1"/>
  <c r="Y131" i="1" s="1"/>
  <c r="X69" i="1"/>
  <c r="BF69" i="1" s="1"/>
  <c r="W144" i="1"/>
  <c r="Y144" i="1" s="1"/>
  <c r="X148" i="1"/>
  <c r="BF148" i="1" s="1"/>
  <c r="W188" i="1"/>
  <c r="Y188" i="1" s="1"/>
  <c r="X221" i="1"/>
  <c r="BF221" i="1" s="1"/>
  <c r="W223" i="1"/>
  <c r="Y223" i="1" s="1"/>
  <c r="W244" i="1"/>
  <c r="Y244" i="1" s="1"/>
  <c r="X252" i="1"/>
  <c r="BF252" i="1" s="1"/>
  <c r="X253" i="1"/>
  <c r="X257" i="1"/>
  <c r="X259" i="1"/>
  <c r="BF259" i="1" s="1"/>
  <c r="X263" i="1"/>
  <c r="BF263" i="1" s="1"/>
  <c r="X265" i="1"/>
  <c r="X268" i="1"/>
  <c r="X285" i="1"/>
  <c r="X67" i="1"/>
  <c r="X111" i="1"/>
  <c r="W158" i="1"/>
  <c r="Y158" i="1" s="1"/>
  <c r="X184" i="1"/>
  <c r="W203" i="1"/>
  <c r="Y203" i="1" s="1"/>
  <c r="X220" i="1"/>
  <c r="BF220" i="1" s="1"/>
  <c r="X229" i="1"/>
  <c r="X241" i="1"/>
  <c r="X250" i="1"/>
  <c r="BF250" i="1" s="1"/>
  <c r="W246" i="1"/>
  <c r="Y246" i="1" s="1"/>
  <c r="W241" i="1"/>
  <c r="Y241" i="1" s="1"/>
  <c r="X235" i="1"/>
  <c r="BF235" i="1" s="1"/>
  <c r="AM238" i="1"/>
  <c r="W234" i="1"/>
  <c r="Y234" i="1" s="1"/>
  <c r="W237" i="1"/>
  <c r="Y237" i="1" s="1"/>
  <c r="AJ241" i="1"/>
  <c r="W256" i="1"/>
  <c r="Y256" i="1" s="1"/>
  <c r="AM271" i="1"/>
  <c r="AJ277" i="1"/>
  <c r="AJ328" i="1"/>
  <c r="AM123" i="1"/>
  <c r="W129" i="1"/>
  <c r="Y129" i="1" s="1"/>
  <c r="AM131" i="1"/>
  <c r="AP144" i="1"/>
  <c r="W148" i="1"/>
  <c r="Y148" i="1" s="1"/>
  <c r="W152" i="1"/>
  <c r="Y152" i="1" s="1"/>
  <c r="AP153" i="1"/>
  <c r="W155" i="1"/>
  <c r="Y155" i="1" s="1"/>
  <c r="AM156" i="1"/>
  <c r="X158" i="1"/>
  <c r="BF158" i="1" s="1"/>
  <c r="AM159" i="1"/>
  <c r="X161" i="1"/>
  <c r="BF161" i="1" s="1"/>
  <c r="AP192" i="1"/>
  <c r="W195" i="1"/>
  <c r="Y195" i="1" s="1"/>
  <c r="AM197" i="1"/>
  <c r="X203" i="1"/>
  <c r="AM206" i="1"/>
  <c r="W209" i="1"/>
  <c r="Y209" i="1" s="1"/>
  <c r="W216" i="1"/>
  <c r="Y216" i="1" s="1"/>
  <c r="X223" i="1"/>
  <c r="BF223" i="1" s="1"/>
  <c r="AM241" i="1"/>
  <c r="W245" i="1"/>
  <c r="Y245" i="1" s="1"/>
  <c r="W253" i="1"/>
  <c r="Y253" i="1" s="1"/>
  <c r="W259" i="1"/>
  <c r="Y259" i="1" s="1"/>
  <c r="W265" i="1"/>
  <c r="Y265" i="1" s="1"/>
  <c r="W273" i="1"/>
  <c r="Y273" i="1" s="1"/>
  <c r="AM277" i="1"/>
  <c r="AJ283" i="1"/>
  <c r="AP123" i="1"/>
  <c r="AP131" i="1"/>
  <c r="AP156" i="1"/>
  <c r="AP159" i="1"/>
  <c r="AP197" i="1"/>
  <c r="AP206" i="1"/>
  <c r="BF246" i="1"/>
  <c r="W270" i="1"/>
  <c r="Y270" i="1" s="1"/>
  <c r="W279" i="1"/>
  <c r="Y279" i="1" s="1"/>
  <c r="AM283" i="1"/>
  <c r="AJ314" i="1"/>
  <c r="AM184" i="1"/>
  <c r="AM249" i="1"/>
  <c r="AJ271" i="1"/>
  <c r="AJ330" i="1"/>
  <c r="X162" i="1"/>
  <c r="BF162" i="1" s="1"/>
  <c r="AP184" i="1"/>
  <c r="W248" i="1"/>
  <c r="Y248" i="1" s="1"/>
  <c r="W251" i="1"/>
  <c r="Y251" i="1" s="1"/>
  <c r="X125" i="1"/>
  <c r="AP162" i="1"/>
  <c r="W166" i="1"/>
  <c r="Y166" i="1" s="1"/>
  <c r="AP167" i="1"/>
  <c r="W171" i="1"/>
  <c r="Y171" i="1" s="1"/>
  <c r="AM172" i="1"/>
  <c r="X176" i="1"/>
  <c r="AM180" i="1"/>
  <c r="X187" i="1"/>
  <c r="BF187" i="1" s="1"/>
  <c r="W211" i="1"/>
  <c r="Y211" i="1" s="1"/>
  <c r="AM221" i="1"/>
  <c r="X225" i="1"/>
  <c r="BF225" i="1" s="1"/>
  <c r="AM234" i="1"/>
  <c r="X236" i="1"/>
  <c r="BF236" i="1" s="1"/>
  <c r="X247" i="1"/>
  <c r="BF247" i="1" s="1"/>
  <c r="AJ251" i="1"/>
  <c r="AJ256" i="1"/>
  <c r="W258" i="1"/>
  <c r="Y258" i="1" s="1"/>
  <c r="AJ262" i="1"/>
  <c r="W264" i="1"/>
  <c r="Y264" i="1" s="1"/>
  <c r="W143" i="1"/>
  <c r="Y143" i="1" s="1"/>
  <c r="W229" i="1"/>
  <c r="Y229" i="1" s="1"/>
  <c r="W262" i="1"/>
  <c r="Y262" i="1" s="1"/>
  <c r="W286" i="1"/>
  <c r="Y286" i="1" s="1"/>
  <c r="AJ324" i="1"/>
  <c r="AM120" i="1"/>
  <c r="X126" i="1"/>
  <c r="BF126" i="1" s="1"/>
  <c r="W135" i="1"/>
  <c r="Y135" i="1" s="1"/>
  <c r="AP172" i="1"/>
  <c r="W176" i="1"/>
  <c r="Y176" i="1" s="1"/>
  <c r="AP180" i="1"/>
  <c r="W187" i="1"/>
  <c r="Y187" i="1" s="1"/>
  <c r="X194" i="1"/>
  <c r="W233" i="1"/>
  <c r="Y233" i="1" s="1"/>
  <c r="W239" i="1"/>
  <c r="Y239" i="1" s="1"/>
  <c r="W250" i="1"/>
  <c r="Y250" i="1" s="1"/>
  <c r="AM251" i="1"/>
  <c r="W255" i="1"/>
  <c r="Y255" i="1" s="1"/>
  <c r="AM256" i="1"/>
  <c r="X258" i="1"/>
  <c r="BF258" i="1" s="1"/>
  <c r="W261" i="1"/>
  <c r="Y261" i="1" s="1"/>
  <c r="AM262" i="1"/>
  <c r="W267" i="1"/>
  <c r="Y267" i="1" s="1"/>
  <c r="AJ273" i="1"/>
  <c r="W283" i="1"/>
  <c r="Y283" i="1" s="1"/>
  <c r="AP138" i="1"/>
  <c r="AM132" i="1"/>
  <c r="AM125" i="1"/>
  <c r="AM141" i="1"/>
  <c r="AM158" i="1"/>
  <c r="AM161" i="1"/>
  <c r="W200" i="1"/>
  <c r="Y200" i="1" s="1"/>
  <c r="W208" i="1"/>
  <c r="Y208" i="1" s="1"/>
  <c r="X210" i="1"/>
  <c r="AJ211" i="1"/>
  <c r="W222" i="1"/>
  <c r="Y222" i="1" s="1"/>
  <c r="X227" i="1"/>
  <c r="BF227" i="1" s="1"/>
  <c r="AJ239" i="1"/>
  <c r="AJ250" i="1"/>
  <c r="X254" i="1"/>
  <c r="BF254" i="1" s="1"/>
  <c r="AJ258" i="1"/>
  <c r="X260" i="1"/>
  <c r="AJ264" i="1"/>
  <c r="X266" i="1"/>
  <c r="BF266" i="1" s="1"/>
  <c r="W278" i="1"/>
  <c r="Y278" i="1" s="1"/>
  <c r="AJ285" i="1"/>
  <c r="W287" i="1"/>
  <c r="Y287" i="1" s="1"/>
  <c r="W280" i="1"/>
  <c r="Y280" i="1" s="1"/>
  <c r="AM144" i="1"/>
  <c r="W242" i="1"/>
  <c r="Y242" i="1" s="1"/>
  <c r="AP132" i="1"/>
  <c r="AM153" i="1"/>
  <c r="AM192" i="1"/>
  <c r="AM135" i="1"/>
  <c r="AM154" i="1"/>
  <c r="AM176" i="1"/>
  <c r="AM187" i="1"/>
  <c r="AJ225" i="1"/>
  <c r="W227" i="1"/>
  <c r="Y227" i="1" s="1"/>
  <c r="W238" i="1"/>
  <c r="Y238" i="1" s="1"/>
  <c r="W249" i="1"/>
  <c r="Y249" i="1" s="1"/>
  <c r="W254" i="1"/>
  <c r="Y254" i="1" s="1"/>
  <c r="W260" i="1"/>
  <c r="Y260" i="1" s="1"/>
  <c r="W266" i="1"/>
  <c r="Y266" i="1" s="1"/>
  <c r="AJ275" i="1"/>
  <c r="AM138" i="1"/>
  <c r="AM174" i="1"/>
  <c r="AP174" i="1"/>
  <c r="AJ318" i="1"/>
  <c r="AM126" i="1"/>
  <c r="AP135" i="1"/>
  <c r="W153" i="1"/>
  <c r="Y153" i="1" s="1"/>
  <c r="AP154" i="1"/>
  <c r="W156" i="1"/>
  <c r="Y156" i="1" s="1"/>
  <c r="AM157" i="1"/>
  <c r="X159" i="1"/>
  <c r="AM160" i="1"/>
  <c r="AP176" i="1"/>
  <c r="AP187" i="1"/>
  <c r="AM194" i="1"/>
  <c r="AM225" i="1"/>
  <c r="AJ232" i="1"/>
  <c r="X237" i="1"/>
  <c r="AJ243" i="1"/>
  <c r="X248" i="1"/>
  <c r="BF248" i="1" s="1"/>
  <c r="W252" i="1"/>
  <c r="Y252" i="1" s="1"/>
  <c r="W257" i="1"/>
  <c r="Y257" i="1" s="1"/>
  <c r="W263" i="1"/>
  <c r="Y263" i="1" s="1"/>
  <c r="W268" i="1"/>
  <c r="Y268" i="1" s="1"/>
  <c r="W271" i="1"/>
  <c r="Y271" i="1" s="1"/>
  <c r="AM275" i="1"/>
  <c r="X280" i="1"/>
  <c r="BF280" i="1" s="1"/>
  <c r="AJ281" i="1"/>
  <c r="X283" i="1"/>
  <c r="BF283" i="1" s="1"/>
  <c r="AJ287" i="1"/>
  <c r="AP326" i="1"/>
  <c r="AJ326" i="1"/>
  <c r="BF52" i="1"/>
  <c r="W52" i="1"/>
  <c r="Y52" i="1" s="1"/>
  <c r="W54" i="1"/>
  <c r="Y54" i="1" s="1"/>
  <c r="W60" i="1"/>
  <c r="Y60" i="1" s="1"/>
  <c r="W64" i="1"/>
  <c r="Y64" i="1" s="1"/>
  <c r="BF67" i="1"/>
  <c r="W67" i="1"/>
  <c r="Y67" i="1" s="1"/>
  <c r="W71" i="1"/>
  <c r="Y71" i="1" s="1"/>
  <c r="W76" i="1"/>
  <c r="Y76" i="1" s="1"/>
  <c r="BF80" i="1"/>
  <c r="W80" i="1"/>
  <c r="Y80" i="1" s="1"/>
  <c r="W90" i="1"/>
  <c r="Y90" i="1" s="1"/>
  <c r="W99" i="1"/>
  <c r="Y99" i="1" s="1"/>
  <c r="BF111" i="1"/>
  <c r="W111" i="1"/>
  <c r="Y111" i="1" s="1"/>
  <c r="X141" i="1"/>
  <c r="BF141" i="1" s="1"/>
  <c r="W141" i="1"/>
  <c r="Y141" i="1" s="1"/>
  <c r="W50" i="1"/>
  <c r="Y50" i="1" s="1"/>
  <c r="BF56" i="1"/>
  <c r="W56" i="1"/>
  <c r="Y56" i="1" s="1"/>
  <c r="W62" i="1"/>
  <c r="Y62" i="1" s="1"/>
  <c r="W69" i="1"/>
  <c r="Y69" i="1" s="1"/>
  <c r="BF72" i="1"/>
  <c r="W72" i="1"/>
  <c r="Y72" i="1" s="1"/>
  <c r="BF78" i="1"/>
  <c r="W78" i="1"/>
  <c r="Y78" i="1" s="1"/>
  <c r="W85" i="1"/>
  <c r="Y85" i="1" s="1"/>
  <c r="W109" i="1"/>
  <c r="Y109" i="1" s="1"/>
  <c r="W125" i="1"/>
  <c r="Y125" i="1" s="1"/>
  <c r="BF125" i="1"/>
  <c r="W58" i="1"/>
  <c r="Y58" i="1" s="1"/>
  <c r="AM50" i="1"/>
  <c r="AJ50" i="1"/>
  <c r="AM52" i="1"/>
  <c r="AJ52" i="1"/>
  <c r="AM54" i="1"/>
  <c r="AJ54" i="1"/>
  <c r="AM56" i="1"/>
  <c r="AJ56" i="1"/>
  <c r="AM58" i="1"/>
  <c r="AJ58" i="1"/>
  <c r="AM60" i="1"/>
  <c r="AJ60" i="1"/>
  <c r="AM62" i="1"/>
  <c r="AJ62" i="1"/>
  <c r="AM64" i="1"/>
  <c r="AJ64" i="1"/>
  <c r="AM67" i="1"/>
  <c r="AJ67" i="1"/>
  <c r="AM69" i="1"/>
  <c r="AJ69" i="1"/>
  <c r="AM71" i="1"/>
  <c r="AJ71" i="1"/>
  <c r="AM72" i="1"/>
  <c r="AJ72" i="1"/>
  <c r="AM76" i="1"/>
  <c r="AJ76" i="1"/>
  <c r="AM78" i="1"/>
  <c r="AJ78" i="1"/>
  <c r="AM80" i="1"/>
  <c r="AJ80" i="1"/>
  <c r="AM85" i="1"/>
  <c r="AJ85" i="1"/>
  <c r="AM90" i="1"/>
  <c r="AJ90" i="1"/>
  <c r="AM99" i="1"/>
  <c r="AJ99" i="1"/>
  <c r="AM105" i="1"/>
  <c r="AJ105" i="1"/>
  <c r="AM109" i="1"/>
  <c r="AJ109" i="1"/>
  <c r="AJ111" i="1"/>
  <c r="AP111" i="1"/>
  <c r="AM111" i="1"/>
  <c r="BF105" i="1"/>
  <c r="W105" i="1"/>
  <c r="Y105" i="1" s="1"/>
  <c r="AP335" i="1"/>
  <c r="AJ335" i="1"/>
  <c r="X138" i="1"/>
  <c r="BF138" i="1" s="1"/>
  <c r="AP316" i="1"/>
  <c r="AJ316" i="1"/>
  <c r="X49" i="1"/>
  <c r="BF49" i="1" s="1"/>
  <c r="X51" i="1"/>
  <c r="X53" i="1"/>
  <c r="BF53" i="1" s="1"/>
  <c r="X55" i="1"/>
  <c r="BF55" i="1" s="1"/>
  <c r="X57" i="1"/>
  <c r="X59" i="1"/>
  <c r="BF59" i="1" s="1"/>
  <c r="X61" i="1"/>
  <c r="X63" i="1"/>
  <c r="BF63" i="1" s="1"/>
  <c r="X65" i="1"/>
  <c r="BF65" i="1" s="1"/>
  <c r="X66" i="1"/>
  <c r="X68" i="1"/>
  <c r="X70" i="1"/>
  <c r="BF70" i="1" s="1"/>
  <c r="X74" i="1"/>
  <c r="X77" i="1"/>
  <c r="X79" i="1"/>
  <c r="X83" i="1"/>
  <c r="BF83" i="1" s="1"/>
  <c r="X87" i="1"/>
  <c r="BF87" i="1" s="1"/>
  <c r="X91" i="1"/>
  <c r="X102" i="1"/>
  <c r="X107" i="1"/>
  <c r="X110" i="1"/>
  <c r="X120" i="1"/>
  <c r="W120" i="1"/>
  <c r="Y120" i="1" s="1"/>
  <c r="W138" i="1"/>
  <c r="Y138" i="1" s="1"/>
  <c r="BF51" i="1"/>
  <c r="W51" i="1"/>
  <c r="Y51" i="1" s="1"/>
  <c r="W55" i="1"/>
  <c r="Y55" i="1" s="1"/>
  <c r="W59" i="1"/>
  <c r="Y59" i="1" s="1"/>
  <c r="W63" i="1"/>
  <c r="Y63" i="1" s="1"/>
  <c r="BF66" i="1"/>
  <c r="W66" i="1"/>
  <c r="Y66" i="1" s="1"/>
  <c r="BF77" i="1"/>
  <c r="W77" i="1"/>
  <c r="Y77" i="1" s="1"/>
  <c r="W83" i="1"/>
  <c r="Y83" i="1" s="1"/>
  <c r="BF91" i="1"/>
  <c r="W91" i="1"/>
  <c r="Y91" i="1" s="1"/>
  <c r="W49" i="1"/>
  <c r="Y49" i="1" s="1"/>
  <c r="W53" i="1"/>
  <c r="Y53" i="1" s="1"/>
  <c r="BF57" i="1"/>
  <c r="W57" i="1"/>
  <c r="Y57" i="1" s="1"/>
  <c r="BF61" i="1"/>
  <c r="W61" i="1"/>
  <c r="Y61" i="1" s="1"/>
  <c r="W65" i="1"/>
  <c r="Y65" i="1" s="1"/>
  <c r="BF68" i="1"/>
  <c r="W68" i="1"/>
  <c r="Y68" i="1" s="1"/>
  <c r="W70" i="1"/>
  <c r="Y70" i="1" s="1"/>
  <c r="BF74" i="1"/>
  <c r="W74" i="1"/>
  <c r="Y74" i="1" s="1"/>
  <c r="BF79" i="1"/>
  <c r="W79" i="1"/>
  <c r="Y79" i="1" s="1"/>
  <c r="W87" i="1"/>
  <c r="Y87" i="1" s="1"/>
  <c r="BF102" i="1"/>
  <c r="W102" i="1"/>
  <c r="Y102" i="1" s="1"/>
  <c r="BF107" i="1"/>
  <c r="W107" i="1"/>
  <c r="Y107" i="1" s="1"/>
  <c r="BF110" i="1"/>
  <c r="W110" i="1"/>
  <c r="Y110" i="1" s="1"/>
  <c r="AM49" i="1"/>
  <c r="AJ49" i="1"/>
  <c r="AM51" i="1"/>
  <c r="AJ51" i="1"/>
  <c r="AM53" i="1"/>
  <c r="AJ53" i="1"/>
  <c r="AM55" i="1"/>
  <c r="AJ55" i="1"/>
  <c r="AM57" i="1"/>
  <c r="AJ57" i="1"/>
  <c r="AM59" i="1"/>
  <c r="AJ59" i="1"/>
  <c r="AM61" i="1"/>
  <c r="AJ61" i="1"/>
  <c r="AM63" i="1"/>
  <c r="AJ63" i="1"/>
  <c r="AM65" i="1"/>
  <c r="AJ65" i="1"/>
  <c r="AM66" i="1"/>
  <c r="AJ66" i="1"/>
  <c r="AM68" i="1"/>
  <c r="AJ68" i="1"/>
  <c r="AM70" i="1"/>
  <c r="AJ70" i="1"/>
  <c r="AM74" i="1"/>
  <c r="AJ74" i="1"/>
  <c r="AM77" i="1"/>
  <c r="AJ77" i="1"/>
  <c r="AM79" i="1"/>
  <c r="AJ79" i="1"/>
  <c r="AM83" i="1"/>
  <c r="AJ83" i="1"/>
  <c r="AM87" i="1"/>
  <c r="AJ87" i="1"/>
  <c r="AM91" i="1"/>
  <c r="AJ91" i="1"/>
  <c r="AM102" i="1"/>
  <c r="AJ102" i="1"/>
  <c r="AM107" i="1"/>
  <c r="AJ107" i="1"/>
  <c r="AM110" i="1"/>
  <c r="AJ110" i="1"/>
  <c r="AP216" i="1"/>
  <c r="AJ216" i="1"/>
  <c r="AP253" i="1"/>
  <c r="AM253" i="1"/>
  <c r="AJ253" i="1"/>
  <c r="BF156" i="1"/>
  <c r="BF172" i="1"/>
  <c r="BF195" i="1"/>
  <c r="AM216" i="1"/>
  <c r="AP224" i="1"/>
  <c r="AM224" i="1"/>
  <c r="AP247" i="1"/>
  <c r="AM247" i="1"/>
  <c r="AP259" i="1"/>
  <c r="AM259" i="1"/>
  <c r="AJ259" i="1"/>
  <c r="AP228" i="1"/>
  <c r="AJ228" i="1"/>
  <c r="AJ322" i="1"/>
  <c r="W137" i="1"/>
  <c r="Y137" i="1" s="1"/>
  <c r="BF208" i="1"/>
  <c r="AJ224" i="1"/>
  <c r="BF230" i="1"/>
  <c r="W230" i="1"/>
  <c r="Y230" i="1" s="1"/>
  <c r="AJ247" i="1"/>
  <c r="AP265" i="1"/>
  <c r="AM265" i="1"/>
  <c r="AJ265" i="1"/>
  <c r="AP231" i="1"/>
  <c r="AM231" i="1"/>
  <c r="AP235" i="1"/>
  <c r="AM235" i="1"/>
  <c r="AJ235" i="1"/>
  <c r="W157" i="1"/>
  <c r="Y157" i="1" s="1"/>
  <c r="W164" i="1"/>
  <c r="Y164" i="1" s="1"/>
  <c r="BF171" i="1"/>
  <c r="W174" i="1"/>
  <c r="Y174" i="1" s="1"/>
  <c r="W192" i="1"/>
  <c r="Y192" i="1" s="1"/>
  <c r="BF194" i="1"/>
  <c r="W197" i="1"/>
  <c r="Y197" i="1" s="1"/>
  <c r="X209" i="1"/>
  <c r="BF216" i="1"/>
  <c r="W226" i="1"/>
  <c r="Y226" i="1" s="1"/>
  <c r="AP270" i="1"/>
  <c r="AM270" i="1"/>
  <c r="AJ270" i="1"/>
  <c r="AP210" i="1"/>
  <c r="AM210" i="1"/>
  <c r="AP240" i="1"/>
  <c r="AM240" i="1"/>
  <c r="AJ240" i="1"/>
  <c r="AP276" i="1"/>
  <c r="AM276" i="1"/>
  <c r="AJ276" i="1"/>
  <c r="AJ210" i="1"/>
  <c r="X219" i="1"/>
  <c r="BF219" i="1" s="1"/>
  <c r="W219" i="1"/>
  <c r="Y219" i="1" s="1"/>
  <c r="AP230" i="1"/>
  <c r="AJ230" i="1"/>
  <c r="AP236" i="1"/>
  <c r="AM236" i="1"/>
  <c r="AP282" i="1"/>
  <c r="AM282" i="1"/>
  <c r="AJ282" i="1"/>
  <c r="AP223" i="1"/>
  <c r="AM223" i="1"/>
  <c r="AJ223" i="1"/>
  <c r="AP226" i="1"/>
  <c r="AJ226" i="1"/>
  <c r="AM230" i="1"/>
  <c r="AJ236" i="1"/>
  <c r="AP242" i="1"/>
  <c r="AM242" i="1"/>
  <c r="AP252" i="1"/>
  <c r="AM252" i="1"/>
  <c r="AJ252" i="1"/>
  <c r="AJ242" i="1"/>
  <c r="AP246" i="1"/>
  <c r="AM246" i="1"/>
  <c r="AJ246" i="1"/>
  <c r="AP257" i="1"/>
  <c r="AM257" i="1"/>
  <c r="AJ257" i="1"/>
  <c r="BF153" i="1"/>
  <c r="BF167" i="1"/>
  <c r="AP209" i="1"/>
  <c r="AM209" i="1"/>
  <c r="AJ209" i="1"/>
  <c r="BF159" i="1"/>
  <c r="BF203" i="1"/>
  <c r="AP219" i="1"/>
  <c r="AM219" i="1"/>
  <c r="AJ333" i="1"/>
  <c r="W154" i="1"/>
  <c r="Y154" i="1" s="1"/>
  <c r="W160" i="1"/>
  <c r="Y160" i="1" s="1"/>
  <c r="BF166" i="1"/>
  <c r="W168" i="1"/>
  <c r="Y168" i="1" s="1"/>
  <c r="BF176" i="1"/>
  <c r="W184" i="1"/>
  <c r="Y184" i="1" s="1"/>
  <c r="BF200" i="1"/>
  <c r="W206" i="1"/>
  <c r="Y206" i="1" s="1"/>
  <c r="X231" i="1"/>
  <c r="BF231" i="1" s="1"/>
  <c r="W231" i="1"/>
  <c r="Y231" i="1" s="1"/>
  <c r="AJ208" i="1"/>
  <c r="AJ222" i="1"/>
  <c r="AJ234" i="1"/>
  <c r="AJ245" i="1"/>
  <c r="AM245" i="1"/>
  <c r="AJ263" i="1"/>
  <c r="AJ268" i="1"/>
  <c r="AJ274" i="1"/>
  <c r="AJ280" i="1"/>
  <c r="AJ286" i="1"/>
  <c r="AM263" i="1"/>
  <c r="AM268" i="1"/>
  <c r="AM274" i="1"/>
  <c r="AM280" i="1"/>
  <c r="AM286" i="1"/>
  <c r="AJ255" i="1"/>
  <c r="AJ261" i="1"/>
  <c r="AJ267" i="1"/>
  <c r="AJ272" i="1"/>
  <c r="AJ278" i="1"/>
  <c r="AJ284" i="1"/>
  <c r="AM227" i="1"/>
  <c r="AJ238" i="1"/>
  <c r="AM239" i="1"/>
  <c r="AJ249" i="1"/>
  <c r="AM250" i="1"/>
  <c r="AM255" i="1"/>
  <c r="AM261" i="1"/>
  <c r="AM267" i="1"/>
  <c r="AM272" i="1"/>
  <c r="AM278" i="1"/>
  <c r="AM284" i="1"/>
  <c r="X314" i="1"/>
  <c r="X316" i="1"/>
  <c r="BF316" i="1" s="1"/>
  <c r="X318" i="1"/>
  <c r="BF318" i="1" s="1"/>
  <c r="X320" i="1"/>
  <c r="BF320" i="1" s="1"/>
  <c r="X322" i="1"/>
  <c r="BF322" i="1" s="1"/>
  <c r="X324" i="1"/>
  <c r="BF324" i="1" s="1"/>
  <c r="X326" i="1"/>
  <c r="X328" i="1"/>
  <c r="BF328" i="1" s="1"/>
  <c r="X330" i="1"/>
  <c r="X333" i="1"/>
  <c r="X335" i="1"/>
  <c r="X337" i="1"/>
  <c r="X339" i="1"/>
  <c r="X48" i="1"/>
  <c r="BF48" i="1" s="1"/>
  <c r="X313" i="1"/>
  <c r="X315" i="1"/>
  <c r="X317" i="1"/>
  <c r="BF317" i="1" s="1"/>
  <c r="X319" i="1"/>
  <c r="BF319" i="1" s="1"/>
  <c r="X321" i="1"/>
  <c r="BF321" i="1" s="1"/>
  <c r="X323" i="1"/>
  <c r="BF323" i="1" s="1"/>
  <c r="X325" i="1"/>
  <c r="BF325" i="1" s="1"/>
  <c r="X327" i="1"/>
  <c r="BF327" i="1" s="1"/>
  <c r="X329" i="1"/>
  <c r="X332" i="1"/>
  <c r="BF332" i="1" s="1"/>
  <c r="X334" i="1"/>
  <c r="X336" i="1"/>
  <c r="X338" i="1"/>
  <c r="X340" i="1"/>
  <c r="AJ313" i="1"/>
  <c r="AJ315" i="1"/>
  <c r="AJ317" i="1"/>
  <c r="AJ319" i="1"/>
  <c r="AJ321" i="1"/>
  <c r="AJ323" i="1"/>
  <c r="AJ325" i="1"/>
  <c r="AJ327" i="1"/>
  <c r="AJ329" i="1"/>
  <c r="AJ332" i="1"/>
  <c r="AJ334" i="1"/>
  <c r="AJ336" i="1"/>
  <c r="AJ338" i="1"/>
  <c r="AJ340" i="1"/>
  <c r="AP48" i="1"/>
  <c r="AM48" i="1"/>
  <c r="W313" i="1"/>
  <c r="Y313" i="1" s="1"/>
  <c r="W314" i="1"/>
  <c r="Y314" i="1" s="1"/>
  <c r="W315" i="1"/>
  <c r="Y315" i="1" s="1"/>
  <c r="W316" i="1"/>
  <c r="Y316" i="1" s="1"/>
  <c r="W317" i="1"/>
  <c r="Y317" i="1" s="1"/>
  <c r="W318" i="1"/>
  <c r="Y318" i="1" s="1"/>
  <c r="W319" i="1"/>
  <c r="Y319" i="1" s="1"/>
  <c r="W320" i="1"/>
  <c r="Y320" i="1" s="1"/>
  <c r="W321" i="1"/>
  <c r="Y321" i="1" s="1"/>
  <c r="W322" i="1"/>
  <c r="Y322" i="1" s="1"/>
  <c r="W323" i="1"/>
  <c r="Y323" i="1" s="1"/>
  <c r="W324" i="1"/>
  <c r="Y324" i="1" s="1"/>
  <c r="W325" i="1"/>
  <c r="Y325" i="1" s="1"/>
  <c r="W326" i="1"/>
  <c r="Y326" i="1" s="1"/>
  <c r="W327" i="1"/>
  <c r="Y327" i="1" s="1"/>
  <c r="W328" i="1"/>
  <c r="Y328" i="1" s="1"/>
  <c r="W329" i="1"/>
  <c r="Y329" i="1" s="1"/>
  <c r="W330" i="1"/>
  <c r="Y330" i="1" s="1"/>
  <c r="W332" i="1"/>
  <c r="Y332" i="1" s="1"/>
  <c r="W333" i="1"/>
  <c r="Y333" i="1" s="1"/>
  <c r="W334" i="1"/>
  <c r="Y334" i="1" s="1"/>
  <c r="W335" i="1"/>
  <c r="Y335" i="1" s="1"/>
  <c r="W336" i="1"/>
  <c r="Y336" i="1" s="1"/>
  <c r="W337" i="1"/>
  <c r="Y337" i="1" s="1"/>
  <c r="W338" i="1"/>
  <c r="Y338" i="1" s="1"/>
  <c r="W339" i="1"/>
  <c r="Y339" i="1" s="1"/>
  <c r="W340" i="1"/>
  <c r="Y340" i="1" s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2" i="1"/>
  <c r="AM333" i="1"/>
  <c r="AM334" i="1"/>
  <c r="AM335" i="1"/>
  <c r="AM336" i="1"/>
  <c r="AM337" i="1"/>
  <c r="AM338" i="1"/>
  <c r="AM339" i="1"/>
  <c r="AM340" i="1"/>
  <c r="W48" i="1"/>
  <c r="Y48" i="1" s="1"/>
</calcChain>
</file>

<file path=xl/sharedStrings.xml><?xml version="1.0" encoding="utf-8"?>
<sst xmlns="http://schemas.openxmlformats.org/spreadsheetml/2006/main" count="4060" uniqueCount="1102">
  <si>
    <t>Rend.</t>
  </si>
  <si>
    <t>Carcaça Motor</t>
  </si>
  <si>
    <t>Borne</t>
  </si>
  <si>
    <t>Caixa de ligação Motor</t>
  </si>
  <si>
    <t>Tamanho Fusível</t>
  </si>
  <si>
    <t>Inversor</t>
  </si>
  <si>
    <t>Softstarter</t>
  </si>
  <si>
    <t>Disjuntor Motor</t>
  </si>
  <si>
    <t>Contator</t>
  </si>
  <si>
    <t>Disjuntor</t>
  </si>
  <si>
    <t>Potência Reativa Necessária</t>
  </si>
  <si>
    <t>VF</t>
  </si>
  <si>
    <t>Legenda</t>
  </si>
  <si>
    <t>Carga Não Prioriatária</t>
  </si>
  <si>
    <t>NP</t>
  </si>
  <si>
    <t>Carga Prioritária</t>
  </si>
  <si>
    <t>P</t>
  </si>
  <si>
    <t>Carga Reserva</t>
  </si>
  <si>
    <t>R</t>
  </si>
  <si>
    <t>Sensor de Temperatura para Proteção</t>
  </si>
  <si>
    <t>Resistência de Aquecimento para motor</t>
  </si>
  <si>
    <t>RA</t>
  </si>
  <si>
    <t>Partida Pesada</t>
  </si>
  <si>
    <t>PP</t>
  </si>
  <si>
    <t>Ventilação Forçada</t>
  </si>
  <si>
    <t>Resistência de Frenagem</t>
  </si>
  <si>
    <t>RF</t>
  </si>
  <si>
    <t>Banco de Resistência</t>
  </si>
  <si>
    <t>BR</t>
  </si>
  <si>
    <t>Ativo</t>
  </si>
  <si>
    <t>A</t>
  </si>
  <si>
    <t>Área Classificada</t>
  </si>
  <si>
    <t>Ex</t>
  </si>
  <si>
    <t>Alterados na Última Revisão</t>
  </si>
  <si>
    <t>Direta</t>
  </si>
  <si>
    <t>Soft</t>
  </si>
  <si>
    <t>Reversora</t>
  </si>
  <si>
    <t>Relé</t>
  </si>
  <si>
    <t>Frame Inversor / Soft</t>
  </si>
  <si>
    <t>Fusível</t>
  </si>
  <si>
    <t>Operando</t>
  </si>
  <si>
    <t>Intermitente</t>
  </si>
  <si>
    <t>PE</t>
  </si>
  <si>
    <t>FM</t>
  </si>
  <si>
    <t>NH00</t>
  </si>
  <si>
    <t>NH000</t>
  </si>
  <si>
    <t>TAG</t>
  </si>
  <si>
    <t>Rótulos de Linha</t>
  </si>
  <si>
    <t>Total Geral</t>
  </si>
  <si>
    <t>2"</t>
  </si>
  <si>
    <t>Frenagem</t>
  </si>
  <si>
    <t>Painel</t>
  </si>
  <si>
    <t>Área</t>
  </si>
  <si>
    <t>Partida</t>
  </si>
  <si>
    <t>(vazio)</t>
  </si>
  <si>
    <t>90S</t>
  </si>
  <si>
    <t>90L</t>
  </si>
  <si>
    <t>100L</t>
  </si>
  <si>
    <t>112M</t>
  </si>
  <si>
    <t>132S</t>
  </si>
  <si>
    <t>132M</t>
  </si>
  <si>
    <t>160M</t>
  </si>
  <si>
    <t>180M</t>
  </si>
  <si>
    <t>Fator de Potência Desejado</t>
  </si>
  <si>
    <t>L80</t>
  </si>
  <si>
    <t>L90S</t>
  </si>
  <si>
    <t>L90L</t>
  </si>
  <si>
    <t>L100L</t>
  </si>
  <si>
    <t>L112M</t>
  </si>
  <si>
    <t>132M/L</t>
  </si>
  <si>
    <t>160L</t>
  </si>
  <si>
    <t>180L</t>
  </si>
  <si>
    <t>200M</t>
  </si>
  <si>
    <t>200L</t>
  </si>
  <si>
    <t>225S/M</t>
  </si>
  <si>
    <t>250S/M</t>
  </si>
  <si>
    <t>280S/M</t>
  </si>
  <si>
    <t>315S/M</t>
  </si>
  <si>
    <t>355M/L</t>
  </si>
  <si>
    <t>355A/B</t>
  </si>
  <si>
    <t>1/2"</t>
  </si>
  <si>
    <t>3/4"</t>
  </si>
  <si>
    <t>1"</t>
  </si>
  <si>
    <t>1.1/2"</t>
  </si>
  <si>
    <t>2 x 2"</t>
  </si>
  <si>
    <t>2 x 3"</t>
  </si>
  <si>
    <t>Carcaça</t>
  </si>
  <si>
    <t>Caixa</t>
  </si>
  <si>
    <t>90S EX</t>
  </si>
  <si>
    <t>90L EX</t>
  </si>
  <si>
    <t>100L EX</t>
  </si>
  <si>
    <t>112M EX</t>
  </si>
  <si>
    <t>132S EX</t>
  </si>
  <si>
    <t>132M EX</t>
  </si>
  <si>
    <t>160M EX</t>
  </si>
  <si>
    <t>160L EX</t>
  </si>
  <si>
    <t>180M EX</t>
  </si>
  <si>
    <t>180L EX</t>
  </si>
  <si>
    <t>200M EX</t>
  </si>
  <si>
    <t>200L EX</t>
  </si>
  <si>
    <t>225S/M EX</t>
  </si>
  <si>
    <t>250S/M EX</t>
  </si>
  <si>
    <t>280S/M EX</t>
  </si>
  <si>
    <t>315S/M EX</t>
  </si>
  <si>
    <t>355M/L EX</t>
  </si>
  <si>
    <t>3/4" NPT</t>
  </si>
  <si>
    <t>1" NPT</t>
  </si>
  <si>
    <t>2" NPT</t>
  </si>
  <si>
    <t>1.1/2" NPT</t>
  </si>
  <si>
    <t>2 x 2" NPT</t>
  </si>
  <si>
    <t>2 x 3" NPT</t>
  </si>
  <si>
    <t>Reserva</t>
  </si>
  <si>
    <t>Sim</t>
  </si>
  <si>
    <t>Não</t>
  </si>
  <si>
    <t>Resitência Aquecimento</t>
  </si>
  <si>
    <t>Resistor Frenagem</t>
  </si>
  <si>
    <t>Observação</t>
  </si>
  <si>
    <t>Acionamento</t>
  </si>
  <si>
    <t>NA</t>
  </si>
  <si>
    <t>Descrição</t>
  </si>
  <si>
    <t>Status</t>
  </si>
  <si>
    <t>RTD</t>
  </si>
  <si>
    <t>Tensão
(V)</t>
  </si>
  <si>
    <t>Tipo Circuito</t>
  </si>
  <si>
    <t>Parcial 1 (m)</t>
  </si>
  <si>
    <t>Parcial 2 (m)</t>
  </si>
  <si>
    <t>Parcial 3 (m)</t>
  </si>
  <si>
    <t>Parcial 4 (m)</t>
  </si>
  <si>
    <t>Parcial 5 (m)</t>
  </si>
  <si>
    <t>Corrente (A)</t>
  </si>
  <si>
    <t>Potência (KVA)</t>
  </si>
  <si>
    <t>Corrente Partida (A)</t>
  </si>
  <si>
    <t>Potência (cv)</t>
  </si>
  <si>
    <t>Potência (KW)</t>
  </si>
  <si>
    <t>FP</t>
  </si>
  <si>
    <t>Cabo / Barramento</t>
  </si>
  <si>
    <t>Distância Total (m)</t>
  </si>
  <si>
    <t>Acessórios Inversor/Soft</t>
  </si>
  <si>
    <t>Acessórios para Relé Inteligente</t>
  </si>
  <si>
    <t>Relé Inteligente</t>
  </si>
  <si>
    <t>Falta Calcular ou dados / Observação</t>
  </si>
  <si>
    <t>Excluso</t>
  </si>
  <si>
    <t>Nº Cabos Fase</t>
  </si>
  <si>
    <t>Cabo Fases</t>
  </si>
  <si>
    <t>Nº Cabos Neutro (N)</t>
  </si>
  <si>
    <t>Cabo Neutro (N)</t>
  </si>
  <si>
    <t>Nº Cabos Terra PE/PEN</t>
  </si>
  <si>
    <t>1,50mm² - 0,6/1KV - PT - EPR 90°C</t>
  </si>
  <si>
    <t>2,50mm² - 0,6/1KV - PT - EPR 90°C</t>
  </si>
  <si>
    <t>4,00mm² - 0,6/1KV - PT - EPR 90°C</t>
  </si>
  <si>
    <t>6,00mm² - 0,6/1KV - PT - EPR 90°C</t>
  </si>
  <si>
    <t>10mm² - 0,6/1KV - PT - EPR 90°C</t>
  </si>
  <si>
    <t>16mm² - 0,6/1KV - PT - EPR 90°C</t>
  </si>
  <si>
    <t>25mm² - 0,6/1KV - PT - EPR 90°C</t>
  </si>
  <si>
    <t>35mm² - 0,6/1KV - PT - EPR 90°C</t>
  </si>
  <si>
    <t>50mm² - 0,6/1KV - PT - EPR 90°C</t>
  </si>
  <si>
    <t>70mm² - 0,6/1KV - PT - EPR 90°C</t>
  </si>
  <si>
    <t>95mm² - 0,6/1KV - PT - EPR 90°C</t>
  </si>
  <si>
    <t>120mm² - 0,6/1KV - PT - EPR 90°C</t>
  </si>
  <si>
    <t>150mm² - 0,6/1KV - PT - EPR 90°C</t>
  </si>
  <si>
    <t>185mm² - 0,6/1KV - PT - EPR 90°C</t>
  </si>
  <si>
    <t>240mm² - 0,6/1KV - PT - EPR 90°C</t>
  </si>
  <si>
    <t>300mm² - 0,6/1KV - PT - EPR 90°C</t>
  </si>
  <si>
    <t>400mm² - 0,6/1KV - PT - EPR 90°C</t>
  </si>
  <si>
    <t>500mm² - 0,6/1KV - PT - EPR 90°C</t>
  </si>
  <si>
    <t>PP 4 x 1,5 mm² - 0,6/1KV - EPR 90°C</t>
  </si>
  <si>
    <t>PP 2 x 1,5 mm² - 0,6/1KV - EPR 90°C</t>
  </si>
  <si>
    <t>PP 2 x 2,5 mm² - 0,6/1KV - EPR 90°C</t>
  </si>
  <si>
    <t>PP 2 x 4,0 mm² - 0,6/1KV - EPR 90°C</t>
  </si>
  <si>
    <t>PP 2 x 6,0 mm² - 0,6/1KV - EPR 90°C</t>
  </si>
  <si>
    <t>PP 2 x 10 mm² - 0,6/1KV - EPR 90°C</t>
  </si>
  <si>
    <t>PP 2 x 16 mm² - 0,6/1KV - EPR 90°C</t>
  </si>
  <si>
    <t>PP 2 x 25 mm² - 0,6/1KV - EPR 90°C</t>
  </si>
  <si>
    <t>PP 2 x 35 mm² - 0,6/1KV - EPR 90°C</t>
  </si>
  <si>
    <t>PP 2 x 50 mm² - 0,6/1KV - EPR 90°C</t>
  </si>
  <si>
    <t>PP 2 x 70 mm² - 0,6/1KV - EPR 90°C</t>
  </si>
  <si>
    <t>PP 3 x 1,5 mm² - 0,6/1KV - EPR 90°C</t>
  </si>
  <si>
    <t>PP 3 x 2,5 mm² - 0,6/1KV - EPR 90°C</t>
  </si>
  <si>
    <t>PP 3 x 4,0 mm² - 0,6/1KV - EPR 90°C</t>
  </si>
  <si>
    <t>PP 3 x 6,0 mm² - 0,6/1KV - EPR 90°C</t>
  </si>
  <si>
    <t>PP 4 x 10 mm² - 0,6/1KV - EPR 90°C</t>
  </si>
  <si>
    <t>PP 4 x 16 mm² - 0,6/1KV - EPR 90°C</t>
  </si>
  <si>
    <t>PP 4 x 25 mm² - 0,6/1KV - EPR 90°C</t>
  </si>
  <si>
    <t>PP 4 x 35 mm² - 0,6/1KV - EPR 90°C</t>
  </si>
  <si>
    <t>PP 3 x 10 mm² - 0,6/1KV - EPR 90°C</t>
  </si>
  <si>
    <t>PP 3 x 16 mm² - 0,6/1KV - EPR 90°C</t>
  </si>
  <si>
    <t>PP 3 x 25 mm² - 0,6/1KV - EPR 90°C</t>
  </si>
  <si>
    <t>PP 3 x 35 mm² - 0,6/1KV - EPR 90°C</t>
  </si>
  <si>
    <t>PP 3 x 50 mm² - 0,6/1KV - EPR 90°C</t>
  </si>
  <si>
    <t>PP 3 x 70 mm² - 0,6/1KV - EPR 90°C</t>
  </si>
  <si>
    <t>PP 2 x 95 mm² - 0,6/1KV - EPR 90°C</t>
  </si>
  <si>
    <t>PP 2 x 120 mm² - 0,6/1KV - EPR 90°C</t>
  </si>
  <si>
    <t>PP 2 x 150 mm² - 0,6/1KV - EPR 90°C</t>
  </si>
  <si>
    <t>PP 2 x 185 mm² - 0,6/1KV - EPR 90°C</t>
  </si>
  <si>
    <t>PP 2 x 240 mm² - 0,6/1KV - EPR 90°C</t>
  </si>
  <si>
    <t>PP 2 x 300 mm² - 0,6/1KV - EPR 90°C</t>
  </si>
  <si>
    <t>PP 3 x 95 mm² - 0,6/1KV - EPR 90°C</t>
  </si>
  <si>
    <t>PP 3 x 120 mm² - 0,6/1KV - EPR 90°C</t>
  </si>
  <si>
    <t>PP 3 x 150 mm² - 0,6/1KV - EPR 90°C</t>
  </si>
  <si>
    <t>PP 3 x 185 mm² - 0,6/1KV - EPR 90°C</t>
  </si>
  <si>
    <t>PP 3 x 240 mm² - 0,6/1KV - EPR 90°C</t>
  </si>
  <si>
    <t>PP 3 x 300 mm² - 0,6/1KV - EPR 90°C</t>
  </si>
  <si>
    <t>PP 4 x 2,5 mm² - 0,6/1KV - EPR 90°C</t>
  </si>
  <si>
    <t>PP 4 x 4,0 mm² - 0,6/1KV - EPR 90°C</t>
  </si>
  <si>
    <t>PP 4 x 6,0 mm² - 0,6/1KV - EPR 90°C</t>
  </si>
  <si>
    <t>PP 4 x 50 mm² - 0,6/1KV - EPR 90°C</t>
  </si>
  <si>
    <t>PP 4 x 70 mm² - 0,6/1KV - EPR 90°C</t>
  </si>
  <si>
    <t>PP 4 x 95 mm² - 0,6/1KV - EPR 90°C</t>
  </si>
  <si>
    <t>PP 4 x 120 mm² - 0,6/1KV - EPR 90°C</t>
  </si>
  <si>
    <t>PP 4 x 150 mm² - 0,6/1KV - EPR 90°C</t>
  </si>
  <si>
    <t>PP 4 x 185 mm² - 0,6/1KV - EPR 90°C</t>
  </si>
  <si>
    <t>PP 4 x 240 mm² - 0,6/1KV - EPR 90°C</t>
  </si>
  <si>
    <t>PP 4 x 300 mm² - 0,6/1KV - EPR 90°C</t>
  </si>
  <si>
    <t>3# 2,5mm² + 2,5mm² - 0,6/1KV - EPR 90°C - NC</t>
  </si>
  <si>
    <t>3# 4,0mm² + 4,0mm² - 0,6/1KV - EPR 90°C - NC</t>
  </si>
  <si>
    <t>3# 6,0mm² + 6,0mm² - 0,6/1KV - EPR 90°C - NC</t>
  </si>
  <si>
    <t>3# 10mm² + 10mm² - 0,6/1KV - EPR 90°C - NC</t>
  </si>
  <si>
    <t>3# 16mm² + 16mm² - 0,6/1KV - EPR 90°C - NC</t>
  </si>
  <si>
    <t>3# 25mm² + 16mm² - 0,6/1KV - EPR 90°C - NC</t>
  </si>
  <si>
    <t>3# 25mm² + 25mm² - 0,6/1KV - EPR 90°C - NC</t>
  </si>
  <si>
    <t>3# 35mm² + 16mm² - 0,6/1KV - EPR 90°C - NC</t>
  </si>
  <si>
    <t>3# 35mm² + 25mm² - 0,6/1KV - EPR 90°C - NC</t>
  </si>
  <si>
    <t>3# 50mm² + 25mm² - 0,6/1KV - EPR 90°C - NC</t>
  </si>
  <si>
    <t>3# 70mm² + 35mm² - 0,6/1KV - EPR 90°C - NC</t>
  </si>
  <si>
    <t>3# 95mm² + 50mm² - 0,6/1KV - EPR 90°C - NC</t>
  </si>
  <si>
    <t>3# 120mm² + 70mm² - 0,6/1KV - EPR 90°C - NC</t>
  </si>
  <si>
    <t>3# 150mm² + 70mm² - 0,6/1KV - EPR 90°C - NC</t>
  </si>
  <si>
    <t>3# 150mm² + 95mm² - 0,6/1KV - EPR 90°C - NC</t>
  </si>
  <si>
    <t>3# 185mm² + 95mm² - 0,6/1KV - EPR 90°C - NC</t>
  </si>
  <si>
    <t>3# 240mm² + 120mm² - 0,6/1KV - EPR 90°C - NC</t>
  </si>
  <si>
    <t>3# 300mm² + 150mm² - 0,6/1KV - EPR 90°C - NC</t>
  </si>
  <si>
    <t>0,50mm² - 750V - PVC 70°C</t>
  </si>
  <si>
    <t>0,75mm² - 750V - PVC 70°C</t>
  </si>
  <si>
    <t>1,00mm² - 750V - PVC 70°C</t>
  </si>
  <si>
    <t>1,50mm² - 750V - PVC 70°C</t>
  </si>
  <si>
    <t>2,50mm² - 750V - PVC 70°C</t>
  </si>
  <si>
    <t>4,00mm² - 750V - PVC 70°C</t>
  </si>
  <si>
    <t>6,00mm² - 750V - PVC 70°C</t>
  </si>
  <si>
    <t>10mm² - 750V - PVC 70°C</t>
  </si>
  <si>
    <t>16mm² - 750V - PVC 70°C</t>
  </si>
  <si>
    <t>25mm² - 750V - PVC 70°C</t>
  </si>
  <si>
    <t>35mm² - 750V - PVC 70°C</t>
  </si>
  <si>
    <t>50mm² - 750V - PVC 70°C</t>
  </si>
  <si>
    <t>70mm² - 750V - PVC 70°C</t>
  </si>
  <si>
    <t>95mm² - 750V - PVC 70°C</t>
  </si>
  <si>
    <t>120mm² - 750V - PVC 70°C</t>
  </si>
  <si>
    <t>150mm² - 750V - PVC 70°C</t>
  </si>
  <si>
    <t>185mm² - 750V - PVC 70°C</t>
  </si>
  <si>
    <t>240mm² - 750V - PVC 70°C</t>
  </si>
  <si>
    <t>300mm² - 750V - PVC 70°C</t>
  </si>
  <si>
    <t>400mm² - 750V - PVC 70°C</t>
  </si>
  <si>
    <t>500mm² - 750V - PVC 70°C</t>
  </si>
  <si>
    <t>16 mm² - 6/10KV - EPR 105°C</t>
  </si>
  <si>
    <t>25 mm² - 6/10KV - EPR 105°C</t>
  </si>
  <si>
    <t>35 mm² - 6/10KV - EPR 105°C</t>
  </si>
  <si>
    <t>50 mm² - 6/10KV - EPR 105°C</t>
  </si>
  <si>
    <t>70 mm² - 6/10KV - EPR 105°C</t>
  </si>
  <si>
    <t>95 mm² - 6/10KV - EPR 105°C</t>
  </si>
  <si>
    <t>120 mm² - 6/10KV - EPR 105°C</t>
  </si>
  <si>
    <t>150 mm² - 6/10KV - EPR 105°C</t>
  </si>
  <si>
    <t>185 mm² - 6/10KV - EPR 105°C</t>
  </si>
  <si>
    <t>240 mm² - 6/10KV - EPR 105°C</t>
  </si>
  <si>
    <t>300 mm² - 6/10KV - EPR 105°C</t>
  </si>
  <si>
    <t>400 mm² - 6/10KV - EPR 105°C</t>
  </si>
  <si>
    <t>500 mm² - 6/10KV - EPR 105°C</t>
  </si>
  <si>
    <t>25 mm² - 8,7/15KV - EPR 105°C</t>
  </si>
  <si>
    <t>35 mm² - 8,7/15KV - EPR 105°C</t>
  </si>
  <si>
    <t>50 mm² - 8,7/15KV - EPR 105°C</t>
  </si>
  <si>
    <t>70 mm² - 8,7/15KV - EPR 105°C</t>
  </si>
  <si>
    <t>95 mm² - 8,7/15KV - EPR 105°C</t>
  </si>
  <si>
    <t>120 mm² - 8,7/15KV - EPR 105°C</t>
  </si>
  <si>
    <t>150 mm² - 8,7/15KV - EPR 105°C</t>
  </si>
  <si>
    <t>185 mm² - 8,7/15KV - EPR 105°C</t>
  </si>
  <si>
    <t>240 mm² - 8,7/15KV - EPR 105°C</t>
  </si>
  <si>
    <t>300 mm² - 8,7/15KV - EPR 105°C</t>
  </si>
  <si>
    <t>400 mm² - 8,7/15KV - EPR 105°C</t>
  </si>
  <si>
    <t>500 mm² - 8,7/15KV - EPR 105°C</t>
  </si>
  <si>
    <t>35 mm² - 12/20KV - EPR 105°C</t>
  </si>
  <si>
    <t>50 mm² - 12/20KV - EPR 105°C</t>
  </si>
  <si>
    <t>70 mm² - 12/20KV - EPR 105°C</t>
  </si>
  <si>
    <t>95 mm² - 12/20KV - EPR 105°C</t>
  </si>
  <si>
    <t>120 mm² - 12/20KV - EPR 105°C</t>
  </si>
  <si>
    <t>150 mm² - 12/20KV - EPR 105°C</t>
  </si>
  <si>
    <t>185 mm² - 12/20KV - EPR 105°C</t>
  </si>
  <si>
    <t>240 mm² - 12/20KV - EPR 105°C</t>
  </si>
  <si>
    <t>300 mm² - 12/20KV - EPR 105°C</t>
  </si>
  <si>
    <t>400 mm² - 12/20KV - EPR 105°C</t>
  </si>
  <si>
    <t>500 mm² - 12/20KV - EPR 105°C</t>
  </si>
  <si>
    <t>16 mm² - 3,6/6KV - EPR 105°C</t>
  </si>
  <si>
    <t>25 mm² - 3,6/6KV - EPR 105°C</t>
  </si>
  <si>
    <t>35 mm² - 3,6/6KV - EPR 105°C</t>
  </si>
  <si>
    <t>50 mm² - 3,6/6KV - EPR 105°C</t>
  </si>
  <si>
    <t>70 mm² - 3,6/6KV - EPR 105°C</t>
  </si>
  <si>
    <t>95 mm² - 3,6/6KV - EPR 105°C</t>
  </si>
  <si>
    <t>120 mm² - 3,6/6KV - EPR 105°C</t>
  </si>
  <si>
    <t>150 mm² - 3,6/6KV - EPR 105°C</t>
  </si>
  <si>
    <t>185 mm² - 3,6/6KV - EPR 105°C</t>
  </si>
  <si>
    <t>240 mm² - 3,6/6KV - EPR 105°C</t>
  </si>
  <si>
    <t>300 mm² - 3,6/6KV - EPR 105°C</t>
  </si>
  <si>
    <t>400 mm² - 3,6/6KV - EPR 105°C</t>
  </si>
  <si>
    <t>500 mm² - 3,6/6KV - EPR 105°C</t>
  </si>
  <si>
    <t>35 mm² - 15/25KV - EPR 105°C</t>
  </si>
  <si>
    <t>50 mm² - 15/25KV - EPR 105°C</t>
  </si>
  <si>
    <t>70 mm² - 15/25KV - EPR 105°C</t>
  </si>
  <si>
    <t>95 mm² - 15/25KV - EPR 105°C</t>
  </si>
  <si>
    <t>120 mm² - 15/25KV - EPR 105°C</t>
  </si>
  <si>
    <t>150 mm² - 15/25KV - EPR 105°C</t>
  </si>
  <si>
    <t>185 mm² - 15/25KV - EPR 105°C</t>
  </si>
  <si>
    <t>240 mm² - 15/25KV - EPR 105°C</t>
  </si>
  <si>
    <t>300 mm² - 15/25KV - EPR 105°C</t>
  </si>
  <si>
    <t>400 mm² - 15/25KV - EPR 105°C</t>
  </si>
  <si>
    <t>500 mm² - 15/25KV - EPR 105°C</t>
  </si>
  <si>
    <t>50 mm² - 20/35KV - EPR 105°C</t>
  </si>
  <si>
    <t>70 mm² - 20/35KV - EPR 105°C</t>
  </si>
  <si>
    <t>95 mm² - 20/35KV - EPR 105°C</t>
  </si>
  <si>
    <t>120 mm² - 20/35KV - EPR 105°C</t>
  </si>
  <si>
    <t>150 mm² - 20/35KV - EPR 105°C</t>
  </si>
  <si>
    <t>185 mm² - 20/35KV - EPR 105°C</t>
  </si>
  <si>
    <t>240 mm² - 20/35KV - EPR 105°C</t>
  </si>
  <si>
    <t>300 mm² - 20/35KV - EPR 105°C</t>
  </si>
  <si>
    <t>400 mm² - 20/35KV - EPR 105°C</t>
  </si>
  <si>
    <t>500 mm² - 20/35KV - EPR 105°C</t>
  </si>
  <si>
    <t>Controle 2 x 1,0 mm² - 1KV - PVC 70°C</t>
  </si>
  <si>
    <t>Controle 5 x 1,0 mm² - 1KV - PVC 70°C</t>
  </si>
  <si>
    <t>Controle 9 x 1,0 mm² - 1KV - PVC 70°C</t>
  </si>
  <si>
    <t>Controle 14 x 1,0 mm² - 1KV - PVC 70°C</t>
  </si>
  <si>
    <t>Controle 20 x 1,0 mm² - 1KV - PVC 70°C</t>
  </si>
  <si>
    <t>Controle 3 x 1,0 mm² - 1KV - PVC 70°C</t>
  </si>
  <si>
    <t>Controle 2 x 1,5 mm² - 1KV - PVC 70°C</t>
  </si>
  <si>
    <t>Controle 3 x 1,5 mm² - 1KV - PVC 70°C</t>
  </si>
  <si>
    <t>Controle 5 x 1,5 mm² - 1KV - PVC 70°C</t>
  </si>
  <si>
    <t>Controle 9 x 1,5 mm² - 1KV - PVC 70°C</t>
  </si>
  <si>
    <t>Controle 14 x 1,5 mm² - 1KV - PVC 70°C</t>
  </si>
  <si>
    <t>Controle 20 x 1,5 mm² - 1KV - PVC 70°C</t>
  </si>
  <si>
    <t>Controle 2 x 1,0 mm² - 1KV - PVC 70°C - Blindado</t>
  </si>
  <si>
    <t>Controle 3 x 1,0 mm² - 1KV - PVC 70°C - Blindado</t>
  </si>
  <si>
    <t>Controle 5 x 1,0 mm² - 1KV - PVC 70°C - Blindado</t>
  </si>
  <si>
    <t>Controle 9 x 1,0 mm² - 1KV - PVC 70°C - Blindado</t>
  </si>
  <si>
    <t>Controle 14 x 1,0 mm² - 1KV - PVC 70°C - Blindado</t>
  </si>
  <si>
    <t>Controle 20 x 1,0 mm² - 1KV - PVC 70°C - Blindado</t>
  </si>
  <si>
    <t>Controle 2 x 1,5 mm² - 1KV - PVC 70°C - Blindado</t>
  </si>
  <si>
    <t>Controle 3 x 1,5 mm² - 1KV - PVC 70°C - Blindado</t>
  </si>
  <si>
    <t>Controle 5 x 1,5 mm² - 1KV - PVC 70°C - Blindado</t>
  </si>
  <si>
    <t>Controle 9 x 1,5 mm² - 1KV - PVC 70°C - Blindado</t>
  </si>
  <si>
    <t>Controle 14 x 1,5 mm² - 1KV - PVC 70°C - Blindado</t>
  </si>
  <si>
    <t>Controle 20 x 1,5 mm² - 1KV - PVC 70°C - Blindado</t>
  </si>
  <si>
    <t>Inst - 1 x 2 x 0,75 mm² - SH</t>
  </si>
  <si>
    <t>Inst - 1 x 2 x 1,00 mm² - SH</t>
  </si>
  <si>
    <t>Inst - 1 x 2 x 1,50 mm² - SH</t>
  </si>
  <si>
    <t>Inst - 1 x 2 x 2,5 mm² - SH</t>
  </si>
  <si>
    <t>Inst - 1 x 3 x 0,75 mm² - SH</t>
  </si>
  <si>
    <t>Inst - 1 x 3 x 1,00 mm² - SH</t>
  </si>
  <si>
    <t>Inst - 1 x 3 x 1,50 mm² - SH</t>
  </si>
  <si>
    <t>Inst - 1 x 3 x 2,5 mm² - SH</t>
  </si>
  <si>
    <t>1,50mm² - 0,6/1KV - AZ - EPR 90°C</t>
  </si>
  <si>
    <t>2,50mm² - 0,6/1KV - AZ - EPR 90°C</t>
  </si>
  <si>
    <t>4,00mm² - 0,6/1KV - AZ - EPR 90°C</t>
  </si>
  <si>
    <t>6,00mm² - 0,6/1KV - AZ - EPR 90°C</t>
  </si>
  <si>
    <t>10mm² - 0,6/1KV - AZ - EPR 90°C</t>
  </si>
  <si>
    <t>16mm² - 0,6/1KV - AZ - EPR 90°C</t>
  </si>
  <si>
    <t>25mm² - 0,6/1KV - AZ - EPR 90°C</t>
  </si>
  <si>
    <t>35mm² - 0,6/1KV - AZ - EPR 90°C</t>
  </si>
  <si>
    <t>50mm² - 0,6/1KV - AZ - EPR 90°C</t>
  </si>
  <si>
    <t>70mm² - 0,6/1KV - AZ - EPR 90°C</t>
  </si>
  <si>
    <t>95mm² - 0,6/1KV - AZ - EPR 90°C</t>
  </si>
  <si>
    <t>120mm² - 0,6/1KV - AZ - EPR 90°C</t>
  </si>
  <si>
    <t>150mm² - 0,6/1KV - AZ - EPR 90°C</t>
  </si>
  <si>
    <t>185mm² - 0,6/1KV - AZ - EPR 90°C</t>
  </si>
  <si>
    <t>240mm² - 0,6/1KV - AZ - EPR 90°C</t>
  </si>
  <si>
    <t>300mm² - 0,6/1KV - AZ - EPR 90°C</t>
  </si>
  <si>
    <t>400mm² - 0,6/1KV - AZ - EPR 90°C</t>
  </si>
  <si>
    <t>500mm² - 0,6/1KV - AZ - EPR 90°C</t>
  </si>
  <si>
    <t>0,50mm² - 750V - AZ - PVC 70°C</t>
  </si>
  <si>
    <t>0,75mm² - 750V - AZ - PVC 70°C</t>
  </si>
  <si>
    <t>1,00mm² - 750V - AZ - PVC 70°C</t>
  </si>
  <si>
    <t>1,50mm² - 750V - AZ - PVC 70°C</t>
  </si>
  <si>
    <t>2,50mm² - 750V - AZ - PVC 70°C</t>
  </si>
  <si>
    <t>4,00mm² - 750V - AZ - PVC 70°C</t>
  </si>
  <si>
    <t>6,00mm² - 750V - AZ - PVC 70°C</t>
  </si>
  <si>
    <t>10mm² - 750V - AZ - PVC 70°C</t>
  </si>
  <si>
    <t>16mm² - 750V - AZ - PVC 70°C</t>
  </si>
  <si>
    <t>25mm² - 750V - AZ - PVC 70°C</t>
  </si>
  <si>
    <t>35mm² - 750V - AZ - PVC 70°C</t>
  </si>
  <si>
    <t>50mm² - 750V - AZ - PVC 70°C</t>
  </si>
  <si>
    <t>70mm² - 750V - AZ - PVC 70°C</t>
  </si>
  <si>
    <t>95mm² - 750V - AZ - PVC 70°C</t>
  </si>
  <si>
    <t>120mm² - 750V - AZ - PVC 70°C</t>
  </si>
  <si>
    <t>150mm² - 750V - AZ - PVC 70°C</t>
  </si>
  <si>
    <t>185mm² - 750V - AZ - PVC 70°C</t>
  </si>
  <si>
    <t>240mm² - 750V - AZ - PVC 70°C</t>
  </si>
  <si>
    <t>300mm² - 750V - AZ - PVC 70°C</t>
  </si>
  <si>
    <t>400mm² - 750V - AZ - PVC 70°C</t>
  </si>
  <si>
    <t>500mm² - 750V - AZ - PVC 70°C</t>
  </si>
  <si>
    <t>1,50mm² - 0,6/1KV - VD - EPR 90°C</t>
  </si>
  <si>
    <t>2,50mm² - 0,6/1KV - VD - EPR 90°C</t>
  </si>
  <si>
    <t>4,00mm² - 0,6/1KV - VD - EPR 90°C</t>
  </si>
  <si>
    <t>6,00mm² - 0,6/1KV - VD - EPR 90°C</t>
  </si>
  <si>
    <t>10mm² - 0,6/1KV - VD - EPR 90°C</t>
  </si>
  <si>
    <t>16mm² - 0,6/1KV - VD - EPR 90°C</t>
  </si>
  <si>
    <t>25mm² - 0,6/1KV - VD - EPR 90°C</t>
  </si>
  <si>
    <t>35mm² - 0,6/1KV - VD - EPR 90°C</t>
  </si>
  <si>
    <t>50mm² - 0,6/1KV - VD - EPR 90°C</t>
  </si>
  <si>
    <t>70mm² - 0,6/1KV - VD - EPR 90°C</t>
  </si>
  <si>
    <t>95mm² - 0,6/1KV - VD - EPR 90°C</t>
  </si>
  <si>
    <t>120mm² - 0,6/1KV - VD - EPR 90°C</t>
  </si>
  <si>
    <t>150mm² - 0,6/1KV - VD - EPR 90°C</t>
  </si>
  <si>
    <t>185mm² - 0,6/1KV - VD - EPR 90°C</t>
  </si>
  <si>
    <t>240mm² - 0,6/1KV - VD - EPR 90°C</t>
  </si>
  <si>
    <t>300mm² - 0,6/1KV - VD - EPR 90°C</t>
  </si>
  <si>
    <t>400mm² - 0,6/1KV - VD - EPR 90°C</t>
  </si>
  <si>
    <t>500mm² - 0,6/1KV - VD - EPR 90°C</t>
  </si>
  <si>
    <t>0,50mm² - 750V - VD - PVC 70°C</t>
  </si>
  <si>
    <t>0,75mm² - 750V - VD - PVC 70°C</t>
  </si>
  <si>
    <t>1,00mm² - 750V - VD - PVC 70°C</t>
  </si>
  <si>
    <t>1,50mm² - 750V - VD - PVC 70°C</t>
  </si>
  <si>
    <t>2,50mm² - 750V - VD - PVC 70°C</t>
  </si>
  <si>
    <t>4,00mm² - 750V - VD - PVC 70°C</t>
  </si>
  <si>
    <t>6,00mm² - 750V - VD - PVC 70°C</t>
  </si>
  <si>
    <t>10mm² - 750V - VD - PVC 70°C</t>
  </si>
  <si>
    <t>16mm² - 750V - VD - PVC 70°C</t>
  </si>
  <si>
    <t>25mm² - 750V - VD - PVC 70°C</t>
  </si>
  <si>
    <t>35mm² - 750V - VD - PVC 70°C</t>
  </si>
  <si>
    <t>50mm² - 750V - VD - PVC 70°C</t>
  </si>
  <si>
    <t>70mm² - 750V - VD - PVC 70°C</t>
  </si>
  <si>
    <t>95mm² - 750V - VD - PVC 70°C</t>
  </si>
  <si>
    <t>120mm² - 750V - VD - PVC 70°C</t>
  </si>
  <si>
    <t>150mm² - 750V - VD - PVC 70°C</t>
  </si>
  <si>
    <t>185mm² - 750V - VD - PVC 70°C</t>
  </si>
  <si>
    <t>240mm² - 750V - VD - PVC 70°C</t>
  </si>
  <si>
    <t>300mm² - 750V - VD - PVC 70°C</t>
  </si>
  <si>
    <t>400mm² - 750V - VD - PVC 70°C</t>
  </si>
  <si>
    <t>500mm² - 750V - VD - PVC 70°C</t>
  </si>
  <si>
    <t>Total Cabos Fase (m)</t>
  </si>
  <si>
    <t>Total Cabos Neutro (m)</t>
  </si>
  <si>
    <t>Total Cabos Terra (m)</t>
  </si>
  <si>
    <t>Cabos Terra (PE/PEN)</t>
  </si>
  <si>
    <t>Soma de Total Cabos Fase (m)</t>
  </si>
  <si>
    <t>Soma de Total Cabos Neutro (m)</t>
  </si>
  <si>
    <t>Soma de Total Cabos Terra (m)</t>
  </si>
  <si>
    <t>NH0</t>
  </si>
  <si>
    <t>NH1</t>
  </si>
  <si>
    <t>NH2</t>
  </si>
  <si>
    <t>NH3</t>
  </si>
  <si>
    <t>NH4</t>
  </si>
  <si>
    <t>Mono/Bi/Vcc</t>
  </si>
  <si>
    <t>Trifásico</t>
  </si>
  <si>
    <t>Termistor</t>
  </si>
  <si>
    <t>Disjuntor C.A.</t>
  </si>
  <si>
    <t>Disjuntor C.M.</t>
  </si>
  <si>
    <t>Mini Disjuntor</t>
  </si>
  <si>
    <t>Mini Disjuntor + DR</t>
  </si>
  <si>
    <t>2,5mm²</t>
  </si>
  <si>
    <t>4,0mm²</t>
  </si>
  <si>
    <t>6,0mm²</t>
  </si>
  <si>
    <t>10mm²</t>
  </si>
  <si>
    <t>16mm²</t>
  </si>
  <si>
    <t>35mm²</t>
  </si>
  <si>
    <t>70mm²</t>
  </si>
  <si>
    <t xml:space="preserve"> 95mm² Pot</t>
  </si>
  <si>
    <t>150mm² Pot</t>
  </si>
  <si>
    <t>240mm² Pot</t>
  </si>
  <si>
    <t>Duplo</t>
  </si>
  <si>
    <t>Margem Cabos</t>
  </si>
  <si>
    <t>Nº Pólos</t>
  </si>
  <si>
    <t>IV polos - 1800 rpm - 60 Hz</t>
  </si>
  <si>
    <t>In (A)</t>
  </si>
  <si>
    <t>dB(A)</t>
  </si>
  <si>
    <t>Frio</t>
  </si>
  <si>
    <t>Quente</t>
  </si>
  <si>
    <t>Ip/In</t>
  </si>
  <si>
    <t>HP</t>
  </si>
  <si>
    <t>kW</t>
  </si>
  <si>
    <t>(kgm2)</t>
  </si>
  <si>
    <t>Cmáx/Cn</t>
  </si>
  <si>
    <t>Cp/Cn</t>
  </si>
  <si>
    <t>(kgfm)</t>
  </si>
  <si>
    <t>Nominal</t>
  </si>
  <si>
    <t>Fator de Potência</t>
  </si>
  <si>
    <t>Rendimento</t>
  </si>
  <si>
    <t>RPM</t>
  </si>
  <si>
    <t>Serviço</t>
  </si>
  <si>
    <t>sonora</t>
  </si>
  <si>
    <t>(kg)</t>
  </si>
  <si>
    <t>bloqueado (s)</t>
  </si>
  <si>
    <t>Inércia J</t>
  </si>
  <si>
    <t>Máximo</t>
  </si>
  <si>
    <t>de Partida</t>
  </si>
  <si>
    <t>Bloqueado</t>
  </si>
  <si>
    <t>Corrente</t>
  </si>
  <si>
    <t>% de Carga</t>
  </si>
  <si>
    <t>Fator de</t>
  </si>
  <si>
    <t>de pressão</t>
  </si>
  <si>
    <t>Massa</t>
  </si>
  <si>
    <t>com rotor</t>
  </si>
  <si>
    <t>Momento de</t>
  </si>
  <si>
    <t>Conjugado</t>
  </si>
  <si>
    <t>com Rotor</t>
  </si>
  <si>
    <t>Potência</t>
  </si>
  <si>
    <t>Nível médio</t>
  </si>
  <si>
    <t>220 V</t>
  </si>
  <si>
    <t>Tempo máximo</t>
  </si>
  <si>
    <t>dep</t>
  </si>
  <si>
    <t>ECA-101</t>
  </si>
  <si>
    <t>FCL-101</t>
  </si>
  <si>
    <t>RDL-101</t>
  </si>
  <si>
    <t>ALI-101</t>
  </si>
  <si>
    <t>MOP-101</t>
  </si>
  <si>
    <t>EXA-101</t>
  </si>
  <si>
    <t>ROS-101</t>
  </si>
  <si>
    <t>FCL-102</t>
  </si>
  <si>
    <t>ALI-102</t>
  </si>
  <si>
    <t>MOP-102</t>
  </si>
  <si>
    <t>EXA-102</t>
  </si>
  <si>
    <t>ROS-102</t>
  </si>
  <si>
    <t>FCL-103</t>
  </si>
  <si>
    <t>RDL-102</t>
  </si>
  <si>
    <t>ECA-103</t>
  </si>
  <si>
    <t>TRC-101</t>
  </si>
  <si>
    <t>TRC-102</t>
  </si>
  <si>
    <t>ECA-102</t>
  </si>
  <si>
    <t>VRT-103</t>
  </si>
  <si>
    <t>ALI-103</t>
  </si>
  <si>
    <t>MOP-103</t>
  </si>
  <si>
    <t>EXA-103</t>
  </si>
  <si>
    <t>ROS-103</t>
  </si>
  <si>
    <t>FCL-104</t>
  </si>
  <si>
    <t>BCE - 2003</t>
  </si>
  <si>
    <t>PRM-2001</t>
  </si>
  <si>
    <t>FCV-2007</t>
  </si>
  <si>
    <t>AGT-2001</t>
  </si>
  <si>
    <t>BCE - 3015</t>
  </si>
  <si>
    <t>BCE - 3016</t>
  </si>
  <si>
    <t>AGT-3012</t>
  </si>
  <si>
    <t>AGT-3013</t>
  </si>
  <si>
    <t>PRO-3001</t>
  </si>
  <si>
    <t>PRO-3002</t>
  </si>
  <si>
    <t>PRO-3003</t>
  </si>
  <si>
    <t>FAL-3001</t>
  </si>
  <si>
    <t>SCT-3001 (ME-01)</t>
  </si>
  <si>
    <t>SCT-3001 (ME-02)</t>
  </si>
  <si>
    <t>SCT-3001 (ME-03)</t>
  </si>
  <si>
    <t>SCT-3002 (ME-01)</t>
  </si>
  <si>
    <t>SCT-3002 (ME-02)</t>
  </si>
  <si>
    <t>SCT-3002 (ME-03)</t>
  </si>
  <si>
    <t>SCT-3003 (ME-01)</t>
  </si>
  <si>
    <t>SCT-3003 (ME-02)</t>
  </si>
  <si>
    <t>SCT-3003 (ME-03)</t>
  </si>
  <si>
    <t>SCT-3004 (ME-01)</t>
  </si>
  <si>
    <t>SCT-3004 (ME-02)</t>
  </si>
  <si>
    <t>SCT-3004 (ME-03)</t>
  </si>
  <si>
    <t>CPR-3001</t>
  </si>
  <si>
    <t>BDP-3001</t>
  </si>
  <si>
    <t>BCE - 4008</t>
  </si>
  <si>
    <t>RED-4003</t>
  </si>
  <si>
    <t>RED-4004</t>
  </si>
  <si>
    <t>RED-4014</t>
  </si>
  <si>
    <t>RED-4016</t>
  </si>
  <si>
    <t>ECA-4001</t>
  </si>
  <si>
    <t>MIS-4001</t>
  </si>
  <si>
    <t>PRO-4001</t>
  </si>
  <si>
    <t>PRO-4002</t>
  </si>
  <si>
    <t>PRO-4003</t>
  </si>
  <si>
    <t>CHL-4001-HP_ABSO</t>
  </si>
  <si>
    <t>CHL-4001-LP_ABSO</t>
  </si>
  <si>
    <t>CHL-4001-PP</t>
  </si>
  <si>
    <t>CHL-4001-PR</t>
  </si>
  <si>
    <t>CHL-4001-PLC</t>
  </si>
  <si>
    <t>CHL-4002-HP_ABSO</t>
  </si>
  <si>
    <t>CHL-4002-LP_ABSO</t>
  </si>
  <si>
    <t>CHL-4002-PP</t>
  </si>
  <si>
    <t>CHL-4002-PR</t>
  </si>
  <si>
    <t>CHL-4002-PLC</t>
  </si>
  <si>
    <t>DCT-4001(M01)</t>
  </si>
  <si>
    <t>DCT-4001(M02)</t>
  </si>
  <si>
    <t>DCT-4001(M03)</t>
  </si>
  <si>
    <t>DCT-4001(M15)</t>
  </si>
  <si>
    <t>DCT-4002(M01)</t>
  </si>
  <si>
    <t>DCT-4002(M02)</t>
  </si>
  <si>
    <t>DCT-4002(M03)</t>
  </si>
  <si>
    <t>DCT-4002(M15)</t>
  </si>
  <si>
    <t>DCT-4003(M01)</t>
  </si>
  <si>
    <t>DCT-4003(M02)</t>
  </si>
  <si>
    <t>DCT-4003(M03)</t>
  </si>
  <si>
    <t>DCT-4003(M15)</t>
  </si>
  <si>
    <t>RED-4015</t>
  </si>
  <si>
    <t>MIS-4001 (11M-1150-01)</t>
  </si>
  <si>
    <t>RSC-4101 (11M-1180-01)</t>
  </si>
  <si>
    <t>SCD-4001 (11M-3010-01)</t>
  </si>
  <si>
    <t>UHL-4101 (11M-3020-01)</t>
  </si>
  <si>
    <t>VNT-4001 (11M-4050-01)</t>
  </si>
  <si>
    <t>RSC-4104 (11M-5010-01)</t>
  </si>
  <si>
    <t>RSC-4107 (11M-5020-01)</t>
  </si>
  <si>
    <t>RSC-4110 (11M-5030-01-1)</t>
  </si>
  <si>
    <t>RSC-4110 (11M-5030-01-2)</t>
  </si>
  <si>
    <t>RSC-4113 (11M-5040-01)</t>
  </si>
  <si>
    <t>VRT-4101 (11X-5090-01)</t>
  </si>
  <si>
    <t>MIS-4002 (21M-1150-01)</t>
  </si>
  <si>
    <t>RSC-4102 (21M-1180-01)</t>
  </si>
  <si>
    <t>SCD-4002 (21M-3010-01)</t>
  </si>
  <si>
    <t>UHL-4102 (21M-3020-01)</t>
  </si>
  <si>
    <t>VNT-4002 (21M-4050-01)</t>
  </si>
  <si>
    <t>RSC-4105 (21M-5010-01)</t>
  </si>
  <si>
    <t>RSC-4108 (21M-5020-01)</t>
  </si>
  <si>
    <t>RSC-4111 (21M-5030-01-1)</t>
  </si>
  <si>
    <t>RSC-4111 (21M-5030-01-2)</t>
  </si>
  <si>
    <t>RSC-4114 (21M-5040-01)</t>
  </si>
  <si>
    <t>VRT-4102 (21X-5090-01)</t>
  </si>
  <si>
    <t>DCT-4004(M01)</t>
  </si>
  <si>
    <t>DCT-4004(M02)</t>
  </si>
  <si>
    <t>DCT-4004(M03)</t>
  </si>
  <si>
    <t>DCT-4004(M15)</t>
  </si>
  <si>
    <t>MIS-4003 (31M-1150-01)</t>
  </si>
  <si>
    <t>RSC-4103 (31M-1180-01)</t>
  </si>
  <si>
    <t>SCD-4003 (31M-3010-01)</t>
  </si>
  <si>
    <t>UHL-4103 (31M-3020-01)</t>
  </si>
  <si>
    <t>VNT-4003 (31M-4050-01)</t>
  </si>
  <si>
    <t>RSC-4106 (31M-5010-01)</t>
  </si>
  <si>
    <t>RSC-4109 (31M-5020-01)</t>
  </si>
  <si>
    <t>RSC-4112 (31M-5030-01-1)</t>
  </si>
  <si>
    <t>RSC-4112 (31M-5030-01-2)</t>
  </si>
  <si>
    <t>RSC-4115 (31M-5040-01)</t>
  </si>
  <si>
    <t>VRT-4103 (31X-5090-01)</t>
  </si>
  <si>
    <t>CHL-4003-HP_ABSO</t>
  </si>
  <si>
    <t>CHL-4003-LP_ABSO</t>
  </si>
  <si>
    <t>CHL-4003-PP</t>
  </si>
  <si>
    <t>CHL-4003-PR</t>
  </si>
  <si>
    <t>CHL-4003-PLC</t>
  </si>
  <si>
    <t>RFD-4001 (M01)</t>
  </si>
  <si>
    <t>RFD-4001 (M02)</t>
  </si>
  <si>
    <t>RFD-4001 (M03)</t>
  </si>
  <si>
    <t>RFD-4001 (M04)</t>
  </si>
  <si>
    <t>BCE - 508</t>
  </si>
  <si>
    <t>BCE - 509</t>
  </si>
  <si>
    <t>PRO-5001</t>
  </si>
  <si>
    <t>PRO-5002</t>
  </si>
  <si>
    <t>PRO-5003</t>
  </si>
  <si>
    <t>M-5001</t>
  </si>
  <si>
    <t>TCT-5001 (M01)</t>
  </si>
  <si>
    <t>TCT-5001 (M02)</t>
  </si>
  <si>
    <t>BCE - 7001</t>
  </si>
  <si>
    <t>BCE - 7002</t>
  </si>
  <si>
    <t>BCE-7004</t>
  </si>
  <si>
    <t>BDO-7001</t>
  </si>
  <si>
    <t>BDO-7002</t>
  </si>
  <si>
    <t>BDP-7001</t>
  </si>
  <si>
    <t>BCE-7007</t>
  </si>
  <si>
    <t>BCE-7003</t>
  </si>
  <si>
    <t>BCE-7005</t>
  </si>
  <si>
    <t>BCE-7006</t>
  </si>
  <si>
    <t>BCE-7008</t>
  </si>
  <si>
    <t>BCE-7009</t>
  </si>
  <si>
    <t>BCE-7010</t>
  </si>
  <si>
    <t>AGT-7001</t>
  </si>
  <si>
    <t>AGT-7002</t>
  </si>
  <si>
    <t>BDO-7007</t>
  </si>
  <si>
    <t>BDO-7008</t>
  </si>
  <si>
    <t>084692 - ELEVADOR DE CANECA 16 POL 20 HP 22.500 MM ACO CARBONO</t>
  </si>
  <si>
    <t>036740 - FEED  CLEANER  2.000MM C/  ACIONAMENTO  POR REDUTOR</t>
  </si>
  <si>
    <t>084693 - TRANSPORTADOR REDLER  400 X 400 MM 5 HP 10.300 MM ACO CARBONO</t>
  </si>
  <si>
    <t>MOI - ALIMENTADOR</t>
  </si>
  <si>
    <t>MOI - MOTOR PRINCIPAL</t>
  </si>
  <si>
    <t>MOI - EXAUSTOR</t>
  </si>
  <si>
    <t>MOI - ROSCA</t>
  </si>
  <si>
    <t>084695 - TRANSPORTADOR REDLER  400 X 400 MM 6 HP 16.700 MM ACO CARBONO</t>
  </si>
  <si>
    <t>084696 - ELEVADOR DE CANECA 16 POL  12.5 HP 21.000 MM ACO CARBONO</t>
  </si>
  <si>
    <t>TRANSPORTADOR TIPO CALHA PASSO NORMAL  9" X 6.700 mm</t>
  </si>
  <si>
    <t>TRANSPORTADOR TIPO CALHA PASSO NORMAL 9" X 3.600 mm</t>
  </si>
  <si>
    <t>ELEVADOR DE CANECAS  10" X 14.500 mm (ALT. UTIL)</t>
  </si>
  <si>
    <t>083325 - VALVULA ROTATIVA RETA 400 x 400 MM ACO CARBONO</t>
  </si>
  <si>
    <t>MOTO-BOMBA - TANQUE DE PASTA</t>
  </si>
  <si>
    <t>MOTO-BOMBA DE MOSTO</t>
  </si>
  <si>
    <t>MOTO-BOMBA - CIP TANQUE DE HIDRÓLISE</t>
  </si>
  <si>
    <t>PRÉ-MASHER</t>
  </si>
  <si>
    <t>VÁLVULA ROTATIVA</t>
  </si>
  <si>
    <t>AGITADOR TANQUE DE PASTA</t>
  </si>
  <si>
    <t>AGITADOR TANQUE DE HIDRÓLISE</t>
  </si>
  <si>
    <t>CABEÇOTE DE LIMPEZA - TANQUE DE PASTA</t>
  </si>
  <si>
    <t>CABEÇOTE DE LIMPEZA - TANQUE DE HIDRÓLISE TNQ-2002</t>
  </si>
  <si>
    <t>CABEÇOTE DE LIMPEZA - TANQUE DE HIDRÓLISE TNQ-2003</t>
  </si>
  <si>
    <t>CABEÇOTE DE LIMPEZA - TANQUE DE HIDRÓLISE TNQ-2004</t>
  </si>
  <si>
    <t>MOTO-BOMBA -  RECIRCULAÇÃO DE VINHO - FERMENTADORES</t>
  </si>
  <si>
    <t>MOTOBOMBA - RECIRCULAÇÃO DE LEVEDO</t>
  </si>
  <si>
    <t>MOTO-BOMBA - PARA ENVIO DE VINHO BRUTO AO TANQUES DE VINHO BRUTO/ DECANTERS</t>
  </si>
  <si>
    <t>MOTO-BOMBA - VINHO A DESTILAR</t>
  </si>
  <si>
    <t>MOTO-BOMBA - VINHO LEVEDURADO A SEDICANTERS</t>
  </si>
  <si>
    <t>MOTO-BOMBA - ÁGUA PARA SELO MOTO-BOMBAS (ÁREA 200 E 300)</t>
  </si>
  <si>
    <t>MOTO-BOMBA - ANEL FUNDO DE DORNA</t>
  </si>
  <si>
    <t>MOTO-BOMBA - TRASNFERÊNCIA DE PÉ DE CUBA</t>
  </si>
  <si>
    <t>AGITADOR TANQUE FERMENTADORES</t>
  </si>
  <si>
    <t>AGITADOR TANQUE PRÉ-FERMENTADORES</t>
  </si>
  <si>
    <t>AGITADOR TANQUE DE VINHO BRUTO</t>
  </si>
  <si>
    <t>AGITADOR TANQUE DE VINHO LEVEDURADO</t>
  </si>
  <si>
    <t>CABEÇOTE DE LIMPEZA - FERMENTADOR TNQ-3001</t>
  </si>
  <si>
    <t>CABEÇOTE DE LIMPEZA - FERMENTADOR TNQ-3002</t>
  </si>
  <si>
    <t>CABEÇOTE DE LIMPEZA - FERMENTADOR TNQ-3003</t>
  </si>
  <si>
    <t>CABEÇOTE DE LIMPEZA - FERMENTADOR TNQ-3004</t>
  </si>
  <si>
    <t>CABEÇOTE DE LIMPEZA - FERMENTADOR TNQ-3005</t>
  </si>
  <si>
    <t>CABEÇOTE DE LIMPEZA - FERMENTADOR TNQ-3006</t>
  </si>
  <si>
    <t>CABEÇOTE DE LIMPEZA - PRÉ-FERMENTADOR TNQ-3009</t>
  </si>
  <si>
    <t>CABEÇOTE DE LIMPEZA - PRÉ-FERMENTADOR TNQ-3010</t>
  </si>
  <si>
    <t>CABEÇOTE DE LIMPEZA - TQ VINHO BRUTO TNQ-3012</t>
  </si>
  <si>
    <t>CABEÇOTE DE LIMPEZA - TQ VINHO LEVEDURADO TNQ-3013</t>
  </si>
  <si>
    <t>PONTE ROLANTE - MOTOR ELEVAÇÃO</t>
  </si>
  <si>
    <t>CABEÇOTE DE LIMPEZA - FERMENTADOR TNQ-3007</t>
  </si>
  <si>
    <t>PONTE ROLANTE - MOTOR DIREÇÃO TROLE</t>
  </si>
  <si>
    <t>PONTE ROLANTE - MOTOR TRANSLAÇÃO</t>
  </si>
  <si>
    <t>FILTRO DE VINHO LEVEDURADO</t>
  </si>
  <si>
    <t>SEDICANTER - motor decanter bowl S100.01-M01</t>
  </si>
  <si>
    <t>SEDICANTER - motor decanter scroll S100.01-M02</t>
  </si>
  <si>
    <t>SEDICANTER - motor automatic impeller S100.01-M03</t>
  </si>
  <si>
    <t>SEDICANTER - motor decanter bowl S200.01-M01</t>
  </si>
  <si>
    <t>SEDICANTER - motor decanter scroll S200.01-M02</t>
  </si>
  <si>
    <t>SEDICANTER - motor automatic impeller S200.01-M03</t>
  </si>
  <si>
    <t>SEDICANTER - motor decanter bowl S300.01-M01</t>
  </si>
  <si>
    <t>SEDICANTER - motor decanter scroll S300.01-M02</t>
  </si>
  <si>
    <t>SEDICANTER - motor automatic impeller S300.01-M03</t>
  </si>
  <si>
    <t>CABEÇOTE DE LIMPEZA - FERMENTADOR TNQ-3008</t>
  </si>
  <si>
    <t>CABEÇOTE DE LIMPEZA - PRÉ-FERMENTADOR TNQ-3011</t>
  </si>
  <si>
    <t>COMPRESSOR DE CO2</t>
  </si>
  <si>
    <t>BOMBA DE SANGRIA DE CREME FERMENTAÇÃO ETANOL DE MILHO PARA PÓS-MASHER</t>
  </si>
  <si>
    <t>MOTO-BOMBA - VINHO LEVEDURADO - (ENVIO AO TANQUE PULMÃO)</t>
  </si>
  <si>
    <t>MOTO-BOMBA - CONDENSADO GERAL DE VAPOR DO SECADOR AO DESAERADOR DA CALDEIRA</t>
  </si>
  <si>
    <t>MOTO-BOMBA - CONDENSADO DE VAPOR ALCOÓLICO DO CHILLER Á VOLANTE</t>
  </si>
  <si>
    <t>MOTO-BOMBA - CONDENSADO DE VAPOR DO CHILLER PARA O DESAERADOR DA CALDEIRA</t>
  </si>
  <si>
    <t>MOTO-BOMBA - TANQUE DE ÁGUA GELADA AO PROCESSO</t>
  </si>
  <si>
    <t>MOTO-BOMBA - ÁGUA PARA SELO MOTO-BOMBAS (ÁREA 400)</t>
  </si>
  <si>
    <t>MOTO-BOMBA - ÁGUA GELADA RECIRCULAÇÃO (CHILLER)</t>
  </si>
  <si>
    <t>TRANSPORTADOR REDLER "A"</t>
  </si>
  <si>
    <t>TRANSPORTADOR REDLER "B"</t>
  </si>
  <si>
    <t>TRANSPORTADOR REDLER "C" (proposta diferente do projeto)</t>
  </si>
  <si>
    <t>TRANSPORTADOR REDLER "D"</t>
  </si>
  <si>
    <t>TRANSPORTADOR REDLER "E"</t>
  </si>
  <si>
    <t>TRANSPORTADOR REDLER "F"</t>
  </si>
  <si>
    <t>TRANSPORTADOR REDLER "G"</t>
  </si>
  <si>
    <t>TRANSPORTADOR REDLER "I"</t>
  </si>
  <si>
    <t>ELEVADOR DE CANECA "H"</t>
  </si>
  <si>
    <t>MISTURADOR WDG (PÓS-MASHER)</t>
  </si>
  <si>
    <t>VÁLVULAS ROTATIVAS</t>
  </si>
  <si>
    <t>CHILLER - VAM - HP Absorbent Pump</t>
  </si>
  <si>
    <t>CHILLER - VAM - LP_Absorbent Pump</t>
  </si>
  <si>
    <t>CHILLER - VAM - Refrigerant Pump</t>
  </si>
  <si>
    <t>CHILLER - VAM - Vacuum Pump Motor</t>
  </si>
  <si>
    <t>CHILLER - Control Supply (Con.Transformer)</t>
  </si>
  <si>
    <t>DCT-401 - motor decanter bowl S100.01-M01</t>
  </si>
  <si>
    <t>DCT-401 - motor decanter scroll S100.01-M02</t>
  </si>
  <si>
    <t>DCT-401 - motor automatic impeller S100.01-M03</t>
  </si>
  <si>
    <t>DCT-401 - Actuator for solids gate valve S100.01-M15</t>
  </si>
  <si>
    <t>DCT-402 - motor decanter bowl S200.01-M01</t>
  </si>
  <si>
    <t>DCT-402 - motor decanter scroll S200.01-M02</t>
  </si>
  <si>
    <t>DCT-402 - motor automatic impeller S200.01-M03</t>
  </si>
  <si>
    <t>DCT-402 - Actuator for solids gate valve S200.01-M15</t>
  </si>
  <si>
    <t>DCT-403 - motor decanter bowl S300.01-M01</t>
  </si>
  <si>
    <t>DCT-403 - motor decanter scroll S300.01-M02</t>
  </si>
  <si>
    <t>DCT-403 - motor automatic impeller S300.01-M03</t>
  </si>
  <si>
    <t>DCT-403 - Actuator for solids gate valve S300.01-M15</t>
  </si>
  <si>
    <t>TRANSPORTADOR REDLER "J"</t>
  </si>
  <si>
    <t>MIS-4001 - Double Shaft Mixer</t>
  </si>
  <si>
    <t>RSC-4101 - Feed Screw</t>
  </si>
  <si>
    <t>SCD-4001 - Tube Bundle Dryer</t>
  </si>
  <si>
    <t>SCD-4001 - Greasing Unit</t>
  </si>
  <si>
    <t>VNT-4001 - Vapour Fan</t>
  </si>
  <si>
    <t>RSC-4104 - Haul Off Screw</t>
  </si>
  <si>
    <t>RSC-4107 - Discharge Screw</t>
  </si>
  <si>
    <t>RSC-4110 - Dosing Screw</t>
  </si>
  <si>
    <t>RSC-4113 - Conveying Screw</t>
  </si>
  <si>
    <t>VRT-4101 - Product Rotary Valve</t>
  </si>
  <si>
    <t>MIS-4002 - Double Shaft Mixer</t>
  </si>
  <si>
    <t>RSC-4102 - Feed Screw</t>
  </si>
  <si>
    <t>SCD-4002 - Tube Bundle Dryer</t>
  </si>
  <si>
    <t>SCD-4002 - Greasing Unit</t>
  </si>
  <si>
    <t>VNT-4002 - Vapour Fan</t>
  </si>
  <si>
    <t>RSC-4105 - Haul Off Screw</t>
  </si>
  <si>
    <t>RSC-4108 - Discharge Screw</t>
  </si>
  <si>
    <t>RSC-4111 - Dosing Screw</t>
  </si>
  <si>
    <t>RSC-4114 - Conveying Screw</t>
  </si>
  <si>
    <t>VRT-4102 - Product Rotary Valve</t>
  </si>
  <si>
    <t>DCT-404 - motor decanter bowl S300.01-M01</t>
  </si>
  <si>
    <t>DCT-404 - motor decanter scroll S300.01-M02</t>
  </si>
  <si>
    <t>DCT-404 - motor automatic impeller S300.01-M03</t>
  </si>
  <si>
    <t>DCT-404 - Actuator for solids gate valve S300.01-M15</t>
  </si>
  <si>
    <t>MIS-4003 - Double Shaft Mixer</t>
  </si>
  <si>
    <t>RSC-4103 - Feed Screw</t>
  </si>
  <si>
    <t>SCD-4003 - Tube Bundle Dryer</t>
  </si>
  <si>
    <t>SCD-4003 - Greasing Unit</t>
  </si>
  <si>
    <t>VNT-4003 - Vapour Fan</t>
  </si>
  <si>
    <t>RSC-4106 - Haul Off Screw</t>
  </si>
  <si>
    <t>RSC-4109 - Discharge Screw</t>
  </si>
  <si>
    <t>RSC-4112 - Dosing Screw</t>
  </si>
  <si>
    <t>RSC-4115 - Conveying Screw</t>
  </si>
  <si>
    <t>VRT-4103 - Product Rotary Valve</t>
  </si>
  <si>
    <t>Motor resfriador DDGS M01 (RES-01)</t>
  </si>
  <si>
    <t>Motor Válvula Dosadora Rotativa M02 (VDR-01)</t>
  </si>
  <si>
    <t>Motor Redler Saída DDG Resf M03 (RDL-01)</t>
  </si>
  <si>
    <t>Motor Exaustor do Filtro de Mangas M04 (EX-01)</t>
  </si>
  <si>
    <t>MOTO-BOMBA - BACKSET VINHAÇA FINAO AO PRÉ-MASHER</t>
  </si>
  <si>
    <t>MOTO-BOMBA - VINHAÇA CONCENTRADA PARA O ENVIO AO TROCADOR/TRICANTER</t>
  </si>
  <si>
    <t>MOTO-BOMBA - CONDENSADO DE VAPOR DE ESCAPE CONCENTRAÇÃO DE VINHAÇA</t>
  </si>
  <si>
    <t>MOTO-BOMBA - CONDENSADO DE  VINHAÇA AO PRÉ-MASHER
/PROCESSO</t>
  </si>
  <si>
    <t>MOTO-BOMBA - VINHAÇA CONCENTRADA SEM ÓLEO PARA ENVIO AO SECADOR DE DDGS</t>
  </si>
  <si>
    <t>MOTO-BOMBA - ÓLEO BRUTO</t>
  </si>
  <si>
    <t>MOTO-BOMBA - ÁGUA PARA SELO MOTO-BOMBAS (ÁREA 500)</t>
  </si>
  <si>
    <t>MOTO-BOMBA - RECIRCULAÇÃO DE SOLUÇÃO DE CIP (DEDINI)</t>
  </si>
  <si>
    <t>MOTO-BOMBA - RETORNO DE CIP (DEDINI)</t>
  </si>
  <si>
    <t>MOTO-BOMBA - VINHAÇA DO 1 AO 2 EFEITO (DEDINI)</t>
  </si>
  <si>
    <t>MOTO-BOMBA - VINHAÇA FINA PARA ENVIO A CONCENTRAÇÃO DE VINHAÇA</t>
  </si>
  <si>
    <t>CABEÇOTE ROTATIVO TANQUE DE VINHAÇA</t>
  </si>
  <si>
    <t>MOTO-BOMBA CONDENSADO VINHAÇA DESTILARIA</t>
  </si>
  <si>
    <t>TRICANTER (MOTOR)</t>
  </si>
  <si>
    <t>TRICANTER (BACK DRIVE)</t>
  </si>
  <si>
    <t>MOTO-BOMBA - SODA - CIP - CENTRIFUGAS (DECANTER, SEDICANTER E TRICANTER)</t>
  </si>
  <si>
    <t>MOTO-BOMBA - URÉIA</t>
  </si>
  <si>
    <t>MOTO-BOMBA - ANTIESPUMANTE</t>
  </si>
  <si>
    <t>MOTO-BOMBA - ÁCIDO SÚLFURICO</t>
  </si>
  <si>
    <t>MOTO-BOMBA - ÁCIDO FOSFÓRICO</t>
  </si>
  <si>
    <t>MOTO-BOMBA - DISPERSANTE</t>
  </si>
  <si>
    <t>MOTO-BOMBA - ÁGUA PARA SELO DAS MOTO-BOMBAS</t>
  </si>
  <si>
    <t>MOTO-BOMBA - FLEGMAÇA - PRÉ-MASHER (DILUÍÇÃO)</t>
  </si>
  <si>
    <t>MOTO-BOMBA - FLEGMAÇA - CIP - DUPLO  ANEL DE MOSTO + TROCADORES (MOSTO X ÁGUA) E (MOSTO X VINHO)</t>
  </si>
  <si>
    <t>MOTO-BOMBA - FLEGMAÇA - CIP - (LADO ÁGUA – TORCADOR DE
MOSTO X ÁGUA) E (LADO VINHO - TROCADOR MOSTO X VINHO)</t>
  </si>
  <si>
    <t>MOTO-BOMBA - FLEGMAÇA - CIP - TROCADOR RECIRCULAÇÃO
FERMENTADOR LADO ÁGUA + TROCADOR PRÉ-FERMENTADOR - (LADO ÁGUA)</t>
  </si>
  <si>
    <t>MOTO-BOMBA FLEGMAÇA - CABEÇOTES ROTATIVO</t>
  </si>
  <si>
    <t>MOTO-BOMBA FLEGMAÇA CIP CENTRIFUGAS</t>
  </si>
  <si>
    <t>AGITADOR TANQUE DE  SODA</t>
  </si>
  <si>
    <t>AGITADOR TANQUE DE URÉIA</t>
  </si>
  <si>
    <t>MOTO-BOMBA -  ÁGUA ALCOÓLICA A COLUNA DE CO2</t>
  </si>
  <si>
    <t>MOTO-BOMBA - ALPHA AMILASE (DOSADORA)</t>
  </si>
  <si>
    <t>MOTO-BOMBA - GLUCO AMILASE (DOSADORA)</t>
  </si>
  <si>
    <t>BCE - 2001 B</t>
  </si>
  <si>
    <t>BCE - 2001 A</t>
  </si>
  <si>
    <t>BCE - 2002 A</t>
  </si>
  <si>
    <t>BCE - 2002 B</t>
  </si>
  <si>
    <t>AGT-2002</t>
  </si>
  <si>
    <t>AGT-2003</t>
  </si>
  <si>
    <t>AGT-2004</t>
  </si>
  <si>
    <t>CLT-2001</t>
  </si>
  <si>
    <t>CLT-2002</t>
  </si>
  <si>
    <t>CLT-2003</t>
  </si>
  <si>
    <t>CLT-2004</t>
  </si>
  <si>
    <t>CLT-2005</t>
  </si>
  <si>
    <t>CLT-2006</t>
  </si>
  <si>
    <t>CLT-2007</t>
  </si>
  <si>
    <t>CLT-2008</t>
  </si>
  <si>
    <t>BCE - 3001</t>
  </si>
  <si>
    <t>BCE - 3002</t>
  </si>
  <si>
    <t>BCE - 3003</t>
  </si>
  <si>
    <t>BCE - 3004</t>
  </si>
  <si>
    <t>BCE - 3005</t>
  </si>
  <si>
    <t>BCE - 3006</t>
  </si>
  <si>
    <t>BCE - 3007</t>
  </si>
  <si>
    <t>BCE - 3008</t>
  </si>
  <si>
    <t>BCE - 3009</t>
  </si>
  <si>
    <t>BCE - 3010</t>
  </si>
  <si>
    <t>BCE - 3011</t>
  </si>
  <si>
    <t>BCE - 3012 A</t>
  </si>
  <si>
    <t>BCE - 3012 B</t>
  </si>
  <si>
    <t>BCE - 3012 C</t>
  </si>
  <si>
    <t>BCE - 3014 A</t>
  </si>
  <si>
    <t>BCE - 3014 B</t>
  </si>
  <si>
    <t>BCE - 3013 A</t>
  </si>
  <si>
    <t>BCE - 3013 B</t>
  </si>
  <si>
    <t>BCE - 3017 A</t>
  </si>
  <si>
    <t>BCE - 3017 B</t>
  </si>
  <si>
    <t>AGT-3001</t>
  </si>
  <si>
    <t>AGT-3002</t>
  </si>
  <si>
    <t>AGT-3003</t>
  </si>
  <si>
    <t>AGT-3004</t>
  </si>
  <si>
    <t>AGT-3005</t>
  </si>
  <si>
    <t>AGT-3006</t>
  </si>
  <si>
    <t>AGT-3007</t>
  </si>
  <si>
    <t>AGT-3008</t>
  </si>
  <si>
    <t>AGT-3009</t>
  </si>
  <si>
    <t>AGT-3010</t>
  </si>
  <si>
    <t>AGT-3011</t>
  </si>
  <si>
    <t>CLT-3001</t>
  </si>
  <si>
    <t>CLT-3002</t>
  </si>
  <si>
    <t>CLT-3003</t>
  </si>
  <si>
    <t>CLT-3004</t>
  </si>
  <si>
    <t>CLT-3005</t>
  </si>
  <si>
    <t>CLT-3006</t>
  </si>
  <si>
    <t>CLT-3007</t>
  </si>
  <si>
    <t>CLT-3008</t>
  </si>
  <si>
    <t>CLT-3009</t>
  </si>
  <si>
    <t>CLT-3010</t>
  </si>
  <si>
    <t>CLT-3011</t>
  </si>
  <si>
    <t>CLT-3012</t>
  </si>
  <si>
    <t>CLT-3017</t>
  </si>
  <si>
    <t>CLT-3018</t>
  </si>
  <si>
    <t>CLT-3019</t>
  </si>
  <si>
    <t>CLT-3020</t>
  </si>
  <si>
    <t>CLT-3023</t>
  </si>
  <si>
    <t>CLT-3024</t>
  </si>
  <si>
    <t>CLT-3025</t>
  </si>
  <si>
    <t>CLT-3026</t>
  </si>
  <si>
    <t>CLT-3013</t>
  </si>
  <si>
    <t>CLT-3014</t>
  </si>
  <si>
    <t>CLT-3015</t>
  </si>
  <si>
    <t>CLT-3016</t>
  </si>
  <si>
    <t>CLT-3021</t>
  </si>
  <si>
    <t>CLT-3022</t>
  </si>
  <si>
    <t>BCE - 4001 A</t>
  </si>
  <si>
    <t>BCE - 4001 B</t>
  </si>
  <si>
    <t>BCE - 4002 A</t>
  </si>
  <si>
    <t>BCE - 4002 B</t>
  </si>
  <si>
    <t>BCE - 4003 A</t>
  </si>
  <si>
    <t>BCE - 4003 B</t>
  </si>
  <si>
    <t>BCE - 4004 A</t>
  </si>
  <si>
    <t>BCE - 4004 B</t>
  </si>
  <si>
    <t>BCE - 4005 A</t>
  </si>
  <si>
    <t>BCE - 4005 B</t>
  </si>
  <si>
    <t>BCE - 4006 A</t>
  </si>
  <si>
    <t>BCE - 4006 B</t>
  </si>
  <si>
    <t>BCE - 4007 A</t>
  </si>
  <si>
    <t>BCE - 4007 B</t>
  </si>
  <si>
    <t>BCE - 4007 C</t>
  </si>
  <si>
    <t>BCE - 4009 A</t>
  </si>
  <si>
    <t>BCE - 4009 B</t>
  </si>
  <si>
    <t>BCE - 4009 C</t>
  </si>
  <si>
    <t>BCE - 4009 D</t>
  </si>
  <si>
    <t>RED-4001</t>
  </si>
  <si>
    <t>RED-4002</t>
  </si>
  <si>
    <t>RED-4005</t>
  </si>
  <si>
    <t>RED-4007</t>
  </si>
  <si>
    <t>RED-4009</t>
  </si>
  <si>
    <t>RED-4006</t>
  </si>
  <si>
    <t>RED-4008</t>
  </si>
  <si>
    <t>RED-4010</t>
  </si>
  <si>
    <t>RED-4011</t>
  </si>
  <si>
    <t>RED-4012</t>
  </si>
  <si>
    <t>RED-4013</t>
  </si>
  <si>
    <t>VRT-4001</t>
  </si>
  <si>
    <t>VRT-4002</t>
  </si>
  <si>
    <t>VRT-4003</t>
  </si>
  <si>
    <t>BCE - 5001 A</t>
  </si>
  <si>
    <t>BCE - 5001 B</t>
  </si>
  <si>
    <t>BCE - 5002 A</t>
  </si>
  <si>
    <t>BCE - 5002 B</t>
  </si>
  <si>
    <t>BCE - 5003 A</t>
  </si>
  <si>
    <t>BCE - 5003 B</t>
  </si>
  <si>
    <t>BCE - 5004 A</t>
  </si>
  <si>
    <t>BCE - 5004 B</t>
  </si>
  <si>
    <t>BCE - 5005 A</t>
  </si>
  <si>
    <t>BCE - 5005 B</t>
  </si>
  <si>
    <t>BCE - 5006 A</t>
  </si>
  <si>
    <t>BCE - 5006 B</t>
  </si>
  <si>
    <t>BCE - 5010 A</t>
  </si>
  <si>
    <t>BCE - 5010 B</t>
  </si>
  <si>
    <t>BCE - 5011 A</t>
  </si>
  <si>
    <t>BCE - 5011 B</t>
  </si>
  <si>
    <t>BCE - 5012 A</t>
  </si>
  <si>
    <t>BCE - 5012 B</t>
  </si>
  <si>
    <t>BCE-3018 A</t>
  </si>
  <si>
    <t>BCE-3018 B</t>
  </si>
  <si>
    <t>Moagem</t>
  </si>
  <si>
    <t>Preparo da pasta, hidrólise e resfriamento do mosto</t>
  </si>
  <si>
    <t>Fermentação, separação do levedo e pré-fermentação</t>
  </si>
  <si>
    <t>Separação de fibras, secagem e resfriamento DDGs</t>
  </si>
  <si>
    <t>Concentrador de vinhaça</t>
  </si>
  <si>
    <t>Destilação e concentração de vinhaça</t>
  </si>
  <si>
    <t>BCE - 507</t>
  </si>
  <si>
    <t>SE-02</t>
  </si>
  <si>
    <t>QGBT-1</t>
  </si>
  <si>
    <t>SE-03</t>
  </si>
  <si>
    <t>Q0</t>
  </si>
  <si>
    <t>MO1-100-01</t>
  </si>
  <si>
    <t>MOINHO (FASE 2)</t>
  </si>
  <si>
    <t>DISJUNTOR DE ENTRADA</t>
  </si>
  <si>
    <t>SCD-401 - (PRT001-09)</t>
  </si>
  <si>
    <t>SECADOR N°1 - ÁREA 400</t>
  </si>
  <si>
    <t>SCD-402 - (PRT001-09)</t>
  </si>
  <si>
    <t>SCD-403 - (PRT001-09)</t>
  </si>
  <si>
    <t>SECADOR N°2 - ÁREA 401</t>
  </si>
  <si>
    <t>SECADOR N°3 - ÁREA 402</t>
  </si>
  <si>
    <t>PRT001-04</t>
  </si>
  <si>
    <t>BANCO DE CAPACITORES QGBT-1 - TRANSFORMADOR N°1</t>
  </si>
  <si>
    <t>QGBT-2</t>
  </si>
  <si>
    <t>MO1-100-00</t>
  </si>
  <si>
    <t>MOINHO (FASE 1)</t>
  </si>
  <si>
    <t>PRT001-12</t>
  </si>
  <si>
    <t>CCM 2.1 - ÁREA 400</t>
  </si>
  <si>
    <t>BANCO DE CAPACITORES QGBT-2 - TRANSFORMADOR N°2</t>
  </si>
  <si>
    <t>PRT001-05</t>
  </si>
  <si>
    <t>QGBT-3</t>
  </si>
  <si>
    <t>DCT-401</t>
  </si>
  <si>
    <t>DECANTER N°1 (FASE 1)</t>
  </si>
  <si>
    <t>DCT-402</t>
  </si>
  <si>
    <t>DCT-403</t>
  </si>
  <si>
    <t>DECANTER N°2 (FASE 1)</t>
  </si>
  <si>
    <t>DECANTER N°3 (FASE 1)</t>
  </si>
  <si>
    <t>DECANTER N°4 (FASE 1)</t>
  </si>
  <si>
    <t>CHL-401</t>
  </si>
  <si>
    <t>CHILLER N°1 (FASE 1)</t>
  </si>
  <si>
    <t>CHL-402</t>
  </si>
  <si>
    <t>CHL-403</t>
  </si>
  <si>
    <t>CHILLER N°2 (FASE 1)</t>
  </si>
  <si>
    <t>CHILLER N°3 (FASE 1)</t>
  </si>
  <si>
    <t>RFD-401</t>
  </si>
  <si>
    <t>RESFRIADOR DDGS (FASE1)</t>
  </si>
  <si>
    <t>PRO-4001, 4002, 4003</t>
  </si>
  <si>
    <t>PONTE ROLANTE</t>
  </si>
  <si>
    <t>TRF-001</t>
  </si>
  <si>
    <t>TRANSFORMADOR DE 150 kVA</t>
  </si>
  <si>
    <t>PRT001-06</t>
  </si>
  <si>
    <t>BANCO DE CAPACITORES QGBT-3 - TRANSFORMADOR N°3</t>
  </si>
  <si>
    <t>QGBT-4</t>
  </si>
  <si>
    <t>PRM-201</t>
  </si>
  <si>
    <t>PRT001-13</t>
  </si>
  <si>
    <t>CCM 3.1 - ÁREA 200</t>
  </si>
  <si>
    <t>PRT001-14</t>
  </si>
  <si>
    <t>CCM 3.2 - ÁREA 300</t>
  </si>
  <si>
    <t>PRT001-15</t>
  </si>
  <si>
    <t>PRO-3001, 3002, 3003</t>
  </si>
  <si>
    <t>TRF-002</t>
  </si>
  <si>
    <t>PRT001-07</t>
  </si>
  <si>
    <t>BANCO DE CAPACITORES QGBT-4 - TRANSFORMADOR N°4</t>
  </si>
  <si>
    <t>QGBT-5</t>
  </si>
  <si>
    <t>SCT-301</t>
  </si>
  <si>
    <t>SEDICANTER N°1 (FASE 1)</t>
  </si>
  <si>
    <t>SCT-302</t>
  </si>
  <si>
    <t>SCT-303</t>
  </si>
  <si>
    <t>SCT-304</t>
  </si>
  <si>
    <t>SEDICANTER N°2 (FASE 1)</t>
  </si>
  <si>
    <t>SEDICANTER N°3 (FASE 1)</t>
  </si>
  <si>
    <t>SEDICANTER N°4 (FASE 2)</t>
  </si>
  <si>
    <t>PRT001-16</t>
  </si>
  <si>
    <t>CCM 4.1 - ÁREA 300</t>
  </si>
  <si>
    <t>PRT001-17</t>
  </si>
  <si>
    <t>CCM 4.2 - ÁREA 700</t>
  </si>
  <si>
    <t>PRT001-08</t>
  </si>
  <si>
    <t>BANCO DE CAPACITORES QGBT-5 - TRANSFORMADOR N°5</t>
  </si>
  <si>
    <t>Painel SCD-401</t>
  </si>
  <si>
    <t>Painel SCD-402</t>
  </si>
  <si>
    <t>Painel SCD-403</t>
  </si>
  <si>
    <t>Painel CCM-2.1</t>
  </si>
  <si>
    <t>Painel CCM-3.1</t>
  </si>
  <si>
    <t>Painel CCM-3.2</t>
  </si>
  <si>
    <t>Painel CCM-4.1</t>
  </si>
  <si>
    <t>Painel CCM-4.2</t>
  </si>
  <si>
    <t>Painel CCM-5.1</t>
  </si>
  <si>
    <t>Painel Fornecido com a Ponte</t>
  </si>
  <si>
    <t>Painel Chiller 1</t>
  </si>
  <si>
    <t>Painel Chiller2</t>
  </si>
  <si>
    <t>Painel Chiller 3</t>
  </si>
  <si>
    <t>Painel Fornecido Pela Dedini</t>
  </si>
  <si>
    <t>CCM Moinhos atual</t>
  </si>
  <si>
    <t>CCM Moinhos Futuro</t>
  </si>
  <si>
    <t>CCM 3.3 - ÁREA 700</t>
  </si>
  <si>
    <t>240mm² - 0,6/1kV - PT - EPR - 90ºC - Cobre</t>
  </si>
  <si>
    <t>240mm² - 0,6/1kV - VD - EPR - 90ºC - Cobre</t>
  </si>
  <si>
    <t>120mm² - 0,6/1kV - VD - EPR - 90ºC - Cobre</t>
  </si>
  <si>
    <t>185mm² - 0,6/1kV - PT - EPR - 90ºC - Cobre</t>
  </si>
  <si>
    <t>185mm² - 0,6/1kV - VD - EPR - 90ºC - Cobre</t>
  </si>
  <si>
    <t>150mm² - 0,6/1kV - VD - EPR - 90ºC - Cobre</t>
  </si>
  <si>
    <t>70mm² - 0,6/1kV - PT - EPR - 90ºC - Cobre</t>
  </si>
  <si>
    <t>35mm² - 0,6/1kV - VD - EPR - 90ºC - Cobre</t>
  </si>
  <si>
    <t>PP 4 x 2,5mm² - 0,6/1kV - EPR - 90ºC - Cobre</t>
  </si>
  <si>
    <t>95mm² - 0,6/1kV - PT - EPR - 90ºC - Cobre</t>
  </si>
  <si>
    <t>50mm² - 0,6/1kV - VD - EPR - 90ºC - Cobre</t>
  </si>
  <si>
    <t>PP 4 x 10mm² - 0,6/1kV - EPR - 90ºC - Cobre</t>
  </si>
  <si>
    <t>50mm² - 0,6/1kV - PT - EPR - 90ºC - Cobre</t>
  </si>
  <si>
    <t>25mm² - 0,6/1kV - VD - EPR - 90ºC - Cobre</t>
  </si>
  <si>
    <t>35mm² - 0,6/1kV - PT - EPR - 90ºC - Cobre</t>
  </si>
  <si>
    <t>120mm² - 0,6/1kV - PT - EPR - 90ºC - Cobre</t>
  </si>
  <si>
    <t>PP 4 x 6mm² - 0,6/1kV - EPR - 90ºC - Cobre</t>
  </si>
  <si>
    <t>PP 4 x 4mm² - 0,6/1kV - EPR - 90ºC - Cobre</t>
  </si>
  <si>
    <t>70mm² - 0,6/1kV - VD - EPR - 90ºC - Cobre</t>
  </si>
  <si>
    <t>150mm² - 0,6/1kV - PT - EPR - 90ºC - Cobre</t>
  </si>
  <si>
    <t>95mm² - 0,6/1kV - VD - EPR - 90ºC - Cobre</t>
  </si>
  <si>
    <t>PP 4 x 16mm² - 0,6/1kV - EPR - 90ºC - Cobre</t>
  </si>
  <si>
    <t>PP 3 x 2,5mm² - 0,6/1kV - EPR - 90ºC - Cobre</t>
  </si>
  <si>
    <t>PP 4 x 25mm² - 0,6/1kV - EPR - 90ºC - Cobre</t>
  </si>
  <si>
    <t>CUB02</t>
  </si>
  <si>
    <t>TRF1</t>
  </si>
  <si>
    <t>Aliemntação Transformador 1</t>
  </si>
  <si>
    <t>Alimentação Geral</t>
  </si>
  <si>
    <t>Aliemntação Transformador 2</t>
  </si>
  <si>
    <t>Aliemntação Transformador 3</t>
  </si>
  <si>
    <t>TRF2</t>
  </si>
  <si>
    <t>TRF3</t>
  </si>
  <si>
    <t>Geral</t>
  </si>
  <si>
    <t>G Diesel</t>
  </si>
  <si>
    <t xml:space="preserve">Alimentação Gerador Diesel </t>
  </si>
  <si>
    <t>QTDE</t>
  </si>
  <si>
    <t>Soma de QTDE</t>
  </si>
  <si>
    <t>Soma de Nº Cabos Fase</t>
  </si>
  <si>
    <t>TERMINAIS FASE</t>
  </si>
  <si>
    <t>Soma de Nº Cabos Terra PE/PEN</t>
  </si>
  <si>
    <t>TERMINAIS TERRA</t>
  </si>
  <si>
    <t>TOTAL</t>
  </si>
  <si>
    <t>BITOLA</t>
  </si>
  <si>
    <t>120mm²</t>
  </si>
  <si>
    <t>150mm²</t>
  </si>
  <si>
    <t>185mm²</t>
  </si>
  <si>
    <t>240mm²</t>
  </si>
  <si>
    <t>50mm²</t>
  </si>
  <si>
    <t>95mm²</t>
  </si>
  <si>
    <t>2,5-4mm²</t>
  </si>
  <si>
    <t>25mm²</t>
  </si>
  <si>
    <t>6mm²</t>
  </si>
  <si>
    <t>TERRA</t>
  </si>
  <si>
    <t>Soma de TOTAL</t>
  </si>
  <si>
    <t>TERMINAIS TOTAL</t>
  </si>
  <si>
    <t>ELETROD,CONECTOR E SEAL TUBO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</si>
</sst>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0.000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rgb="FF000000"/>
      <name val="Arial"/>
      <family val="2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name val="Arial"/>
    </font>
    <font>
      <b/>
      <strike/>
      <sz val="10"/>
      <name val="Calibri"/>
      <family val="2"/>
      <scheme val="minor"/>
    </font>
    <font>
      <b/>
      <strike/>
      <sz val="10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1" fillId="0" borderId="0"/>
  </cellStyleXfs>
  <cellXfs count="144">
    <xf numFmtId="0" fontId="0" fillId="0" borderId="0" xfId="0"/>
    <xf numFmtId="0" fontId="5" fillId="0" borderId="1" xfId="2" applyFont="1" applyBorder="1" applyAlignment="1">
      <alignment horizontal="center"/>
    </xf>
    <xf numFmtId="2" fontId="5" fillId="0" borderId="1" xfId="2" applyNumberFormat="1" applyFont="1" applyBorder="1" applyAlignment="1">
      <alignment horizontal="center"/>
    </xf>
    <xf numFmtId="0" fontId="6" fillId="2" borderId="1" xfId="2" applyFont="1" applyFill="1" applyBorder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5" fillId="0" borderId="0" xfId="2" applyFont="1"/>
    <xf numFmtId="2" fontId="5" fillId="0" borderId="0" xfId="2" applyNumberFormat="1" applyFont="1" applyAlignment="1">
      <alignment horizontal="center"/>
    </xf>
    <xf numFmtId="0" fontId="5" fillId="0" borderId="0" xfId="2" applyFont="1" applyAlignment="1">
      <alignment horizontal="center"/>
    </xf>
    <xf numFmtId="0" fontId="5" fillId="0" borderId="0" xfId="2" applyFont="1" applyAlignment="1">
      <alignment horizontal="left"/>
    </xf>
    <xf numFmtId="164" fontId="5" fillId="0" borderId="0" xfId="1" applyNumberFormat="1" applyFont="1" applyFill="1" applyBorder="1" applyAlignment="1">
      <alignment horizontal="center"/>
    </xf>
    <xf numFmtId="0" fontId="5" fillId="5" borderId="0" xfId="2" applyFont="1" applyFill="1" applyAlignment="1">
      <alignment horizontal="center"/>
    </xf>
    <xf numFmtId="0" fontId="6" fillId="0" borderId="0" xfId="2" applyFont="1" applyAlignment="1">
      <alignment horizontal="center" vertical="center"/>
    </xf>
    <xf numFmtId="9" fontId="5" fillId="0" borderId="0" xfId="1" applyFont="1" applyFill="1" applyBorder="1" applyAlignment="1">
      <alignment horizontal="center"/>
    </xf>
    <xf numFmtId="165" fontId="5" fillId="0" borderId="0" xfId="2" applyNumberFormat="1" applyFont="1" applyAlignment="1">
      <alignment horizontal="center"/>
    </xf>
    <xf numFmtId="166" fontId="5" fillId="0" borderId="0" xfId="2" applyNumberFormat="1" applyFont="1" applyAlignment="1">
      <alignment horizontal="center"/>
    </xf>
    <xf numFmtId="0" fontId="6" fillId="0" borderId="0" xfId="2" applyFont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1" xfId="2" applyNumberFormat="1" applyFont="1" applyBorder="1" applyAlignment="1">
      <alignment horizontal="center" wrapText="1"/>
    </xf>
    <xf numFmtId="0" fontId="5" fillId="0" borderId="1" xfId="2" applyFont="1" applyBorder="1" applyAlignment="1">
      <alignment horizontal="center" wrapText="1"/>
    </xf>
    <xf numFmtId="0" fontId="6" fillId="0" borderId="1" xfId="2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2" applyFont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5" fillId="0" borderId="0" xfId="2" applyFont="1" applyAlignment="1">
      <alignment horizontal="left" wrapText="1"/>
    </xf>
    <xf numFmtId="0" fontId="5" fillId="5" borderId="0" xfId="2" applyFont="1" applyFill="1" applyAlignment="1">
      <alignment horizontal="left" wrapText="1"/>
    </xf>
    <xf numFmtId="0" fontId="6" fillId="3" borderId="0" xfId="2" applyFont="1" applyFill="1" applyAlignment="1">
      <alignment horizontal="center" wrapText="1"/>
    </xf>
    <xf numFmtId="0" fontId="5" fillId="4" borderId="0" xfId="2" applyFont="1" applyFill="1" applyAlignment="1">
      <alignment horizontal="center"/>
    </xf>
    <xf numFmtId="0" fontId="7" fillId="0" borderId="1" xfId="0" applyFont="1" applyBorder="1" applyAlignment="1">
      <alignment horizontal="center" vertical="center"/>
    </xf>
    <xf numFmtId="4" fontId="6" fillId="2" borderId="1" xfId="2" applyNumberFormat="1" applyFont="1" applyFill="1" applyBorder="1" applyAlignment="1">
      <alignment horizontal="center" vertical="center" wrapText="1"/>
    </xf>
    <xf numFmtId="4" fontId="5" fillId="0" borderId="1" xfId="2" applyNumberFormat="1" applyFont="1" applyBorder="1" applyAlignment="1">
      <alignment horizontal="center"/>
    </xf>
    <xf numFmtId="4" fontId="5" fillId="0" borderId="0" xfId="2" applyNumberFormat="1" applyFont="1" applyAlignment="1">
      <alignment horizontal="center"/>
    </xf>
    <xf numFmtId="4" fontId="5" fillId="0" borderId="0" xfId="2" applyNumberFormat="1" applyFont="1" applyAlignment="1">
      <alignment horizontal="left"/>
    </xf>
    <xf numFmtId="4" fontId="5" fillId="0" borderId="0" xfId="2" applyNumberFormat="1" applyFont="1"/>
    <xf numFmtId="1" fontId="5" fillId="0" borderId="0" xfId="2" applyNumberFormat="1" applyFont="1" applyAlignment="1">
      <alignment horizontal="center"/>
    </xf>
    <xf numFmtId="0" fontId="5" fillId="0" borderId="1" xfId="2" applyFont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center" vertical="center"/>
    </xf>
    <xf numFmtId="0" fontId="6" fillId="6" borderId="0" xfId="2" applyFont="1" applyFill="1" applyAlignment="1">
      <alignment horizontal="center" wrapText="1"/>
    </xf>
    <xf numFmtId="0" fontId="6" fillId="7" borderId="0" xfId="2" applyFont="1" applyFill="1" applyAlignment="1">
      <alignment horizontal="center" wrapText="1"/>
    </xf>
    <xf numFmtId="9" fontId="6" fillId="2" borderId="1" xfId="2" applyNumberFormat="1" applyFont="1" applyFill="1" applyBorder="1" applyAlignment="1">
      <alignment horizontal="center" vertical="center" wrapText="1"/>
    </xf>
    <xf numFmtId="1" fontId="8" fillId="0" borderId="0" xfId="0" applyNumberFormat="1" applyFont="1"/>
    <xf numFmtId="0" fontId="8" fillId="0" borderId="0" xfId="0" applyFont="1"/>
    <xf numFmtId="49" fontId="8" fillId="0" borderId="0" xfId="0" applyNumberFormat="1" applyFont="1"/>
    <xf numFmtId="0" fontId="6" fillId="8" borderId="1" xfId="2" applyFont="1" applyFill="1" applyBorder="1" applyAlignment="1">
      <alignment horizontal="center" vertical="center" wrapText="1"/>
    </xf>
    <xf numFmtId="49" fontId="7" fillId="8" borderId="1" xfId="0" applyNumberFormat="1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 vertical="center"/>
    </xf>
    <xf numFmtId="49" fontId="7" fillId="8" borderId="1" xfId="0" applyNumberFormat="1" applyFont="1" applyFill="1" applyBorder="1" applyAlignment="1">
      <alignment horizontal="center" vertical="center"/>
    </xf>
    <xf numFmtId="2" fontId="7" fillId="8" borderId="1" xfId="0" applyNumberFormat="1" applyFont="1" applyFill="1" applyBorder="1" applyAlignment="1">
      <alignment horizontal="center" vertical="center"/>
    </xf>
    <xf numFmtId="4" fontId="5" fillId="8" borderId="1" xfId="2" applyNumberFormat="1" applyFont="1" applyFill="1" applyBorder="1" applyAlignment="1">
      <alignment horizontal="center"/>
    </xf>
    <xf numFmtId="0" fontId="5" fillId="8" borderId="1" xfId="2" applyFont="1" applyFill="1" applyBorder="1" applyAlignment="1">
      <alignment horizontal="center"/>
    </xf>
    <xf numFmtId="0" fontId="5" fillId="8" borderId="1" xfId="2" applyFont="1" applyFill="1" applyBorder="1" applyAlignment="1">
      <alignment horizontal="center" vertical="center"/>
    </xf>
    <xf numFmtId="164" fontId="5" fillId="8" borderId="1" xfId="1" applyNumberFormat="1" applyFont="1" applyFill="1" applyBorder="1" applyAlignment="1">
      <alignment horizontal="center" vertical="center"/>
    </xf>
    <xf numFmtId="2" fontId="5" fillId="8" borderId="1" xfId="2" applyNumberFormat="1" applyFont="1" applyFill="1" applyBorder="1" applyAlignment="1">
      <alignment horizontal="center"/>
    </xf>
    <xf numFmtId="2" fontId="5" fillId="8" borderId="1" xfId="2" applyNumberFormat="1" applyFont="1" applyFill="1" applyBorder="1" applyAlignment="1">
      <alignment horizontal="center" wrapText="1"/>
    </xf>
    <xf numFmtId="0" fontId="5" fillId="8" borderId="1" xfId="2" applyFont="1" applyFill="1" applyBorder="1" applyAlignment="1">
      <alignment horizontal="center" wrapText="1"/>
    </xf>
    <xf numFmtId="49" fontId="13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/>
    </xf>
    <xf numFmtId="4" fontId="6" fillId="0" borderId="1" xfId="2" applyNumberFormat="1" applyFont="1" applyBorder="1" applyAlignment="1">
      <alignment horizontal="center"/>
    </xf>
    <xf numFmtId="0" fontId="6" fillId="0" borderId="1" xfId="2" applyFont="1" applyBorder="1" applyAlignment="1">
      <alignment horizontal="center" vertical="center"/>
    </xf>
    <xf numFmtId="164" fontId="6" fillId="0" borderId="1" xfId="1" applyNumberFormat="1" applyFont="1" applyFill="1" applyBorder="1" applyAlignment="1">
      <alignment horizontal="center" vertical="center"/>
    </xf>
    <xf numFmtId="2" fontId="6" fillId="0" borderId="1" xfId="2" applyNumberFormat="1" applyFont="1" applyBorder="1" applyAlignment="1">
      <alignment horizontal="center"/>
    </xf>
    <xf numFmtId="0" fontId="6" fillId="0" borderId="1" xfId="2" applyFont="1" applyBorder="1" applyAlignment="1">
      <alignment horizontal="center"/>
    </xf>
    <xf numFmtId="2" fontId="6" fillId="0" borderId="1" xfId="2" applyNumberFormat="1" applyFont="1" applyBorder="1" applyAlignment="1">
      <alignment horizontal="center" wrapText="1"/>
    </xf>
    <xf numFmtId="0" fontId="6" fillId="0" borderId="1" xfId="2" applyFont="1" applyBorder="1" applyAlignment="1">
      <alignment horizontal="center" wrapText="1"/>
    </xf>
    <xf numFmtId="2" fontId="6" fillId="0" borderId="0" xfId="2" applyNumberFormat="1" applyFont="1" applyAlignment="1">
      <alignment horizontal="center"/>
    </xf>
    <xf numFmtId="0" fontId="6" fillId="0" borderId="0" xfId="2" applyFont="1"/>
    <xf numFmtId="0" fontId="13" fillId="6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1" fillId="0" borderId="1" xfId="2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4" fontId="12" fillId="0" borderId="1" xfId="2" applyNumberFormat="1" applyFont="1" applyBorder="1" applyAlignment="1">
      <alignment horizontal="center"/>
    </xf>
    <xf numFmtId="0" fontId="12" fillId="0" borderId="1" xfId="2" applyFont="1" applyBorder="1" applyAlignment="1">
      <alignment horizontal="center"/>
    </xf>
    <xf numFmtId="0" fontId="12" fillId="0" borderId="1" xfId="2" applyFont="1" applyBorder="1" applyAlignment="1">
      <alignment horizontal="center" vertical="center"/>
    </xf>
    <xf numFmtId="164" fontId="12" fillId="0" borderId="1" xfId="1" applyNumberFormat="1" applyFont="1" applyFill="1" applyBorder="1" applyAlignment="1">
      <alignment horizontal="center" vertical="center"/>
    </xf>
    <xf numFmtId="2" fontId="12" fillId="0" borderId="1" xfId="2" applyNumberFormat="1" applyFont="1" applyBorder="1" applyAlignment="1">
      <alignment horizontal="center"/>
    </xf>
    <xf numFmtId="2" fontId="12" fillId="0" borderId="1" xfId="2" applyNumberFormat="1" applyFont="1" applyBorder="1" applyAlignment="1">
      <alignment horizontal="center" wrapText="1"/>
    </xf>
    <xf numFmtId="0" fontId="12" fillId="0" borderId="1" xfId="2" applyFont="1" applyBorder="1" applyAlignment="1">
      <alignment horizontal="center" wrapText="1"/>
    </xf>
    <xf numFmtId="2" fontId="12" fillId="0" borderId="0" xfId="2" applyNumberFormat="1" applyFont="1" applyAlignment="1">
      <alignment horizontal="center"/>
    </xf>
    <xf numFmtId="0" fontId="12" fillId="0" borderId="0" xfId="2" applyFont="1"/>
    <xf numFmtId="0" fontId="9" fillId="0" borderId="1" xfId="2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4" fontId="10" fillId="0" borderId="1" xfId="2" applyNumberFormat="1" applyFont="1" applyBorder="1" applyAlignment="1">
      <alignment horizontal="center"/>
    </xf>
    <xf numFmtId="0" fontId="10" fillId="0" borderId="1" xfId="2" applyFont="1" applyBorder="1" applyAlignment="1">
      <alignment horizontal="center" vertical="center"/>
    </xf>
    <xf numFmtId="164" fontId="10" fillId="0" borderId="1" xfId="1" applyNumberFormat="1" applyFont="1" applyFill="1" applyBorder="1" applyAlignment="1">
      <alignment horizontal="center" vertical="center"/>
    </xf>
    <xf numFmtId="2" fontId="10" fillId="0" borderId="1" xfId="2" applyNumberFormat="1" applyFont="1" applyBorder="1" applyAlignment="1">
      <alignment horizontal="center"/>
    </xf>
    <xf numFmtId="0" fontId="10" fillId="0" borderId="1" xfId="2" applyFont="1" applyBorder="1" applyAlignment="1">
      <alignment horizontal="center"/>
    </xf>
    <xf numFmtId="2" fontId="10" fillId="0" borderId="1" xfId="2" applyNumberFormat="1" applyFont="1" applyBorder="1" applyAlignment="1">
      <alignment horizontal="center" wrapText="1"/>
    </xf>
    <xf numFmtId="0" fontId="10" fillId="0" borderId="1" xfId="2" applyFont="1" applyBorder="1" applyAlignment="1">
      <alignment horizontal="center" wrapText="1"/>
    </xf>
    <xf numFmtId="2" fontId="10" fillId="0" borderId="0" xfId="2" applyNumberFormat="1" applyFont="1" applyAlignment="1">
      <alignment horizontal="center"/>
    </xf>
    <xf numFmtId="0" fontId="10" fillId="0" borderId="0" xfId="2" applyFont="1"/>
    <xf numFmtId="49" fontId="9" fillId="0" borderId="1" xfId="0" applyNumberFormat="1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/>
    </xf>
    <xf numFmtId="49" fontId="9" fillId="0" borderId="1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4" fontId="9" fillId="0" borderId="1" xfId="2" applyNumberFormat="1" applyFont="1" applyBorder="1" applyAlignment="1">
      <alignment horizontal="center"/>
    </xf>
    <xf numFmtId="0" fontId="9" fillId="0" borderId="1" xfId="2" applyFont="1" applyBorder="1" applyAlignment="1">
      <alignment horizontal="center" vertical="center"/>
    </xf>
    <xf numFmtId="164" fontId="9" fillId="0" borderId="1" xfId="1" applyNumberFormat="1" applyFont="1" applyFill="1" applyBorder="1" applyAlignment="1">
      <alignment horizontal="center" vertical="center"/>
    </xf>
    <xf numFmtId="2" fontId="9" fillId="0" borderId="1" xfId="2" applyNumberFormat="1" applyFont="1" applyBorder="1" applyAlignment="1">
      <alignment horizontal="center"/>
    </xf>
    <xf numFmtId="0" fontId="9" fillId="0" borderId="1" xfId="2" applyFont="1" applyBorder="1" applyAlignment="1">
      <alignment horizontal="center"/>
    </xf>
    <xf numFmtId="2" fontId="9" fillId="0" borderId="1" xfId="2" applyNumberFormat="1" applyFont="1" applyBorder="1" applyAlignment="1">
      <alignment horizontal="center" wrapText="1"/>
    </xf>
    <xf numFmtId="0" fontId="9" fillId="0" borderId="1" xfId="2" applyFont="1" applyBorder="1" applyAlignment="1">
      <alignment horizontal="center" wrapText="1"/>
    </xf>
    <xf numFmtId="2" fontId="9" fillId="0" borderId="0" xfId="2" applyNumberFormat="1" applyFont="1" applyAlignment="1">
      <alignment horizontal="center"/>
    </xf>
    <xf numFmtId="0" fontId="9" fillId="0" borderId="0" xfId="2" applyFont="1"/>
    <xf numFmtId="0" fontId="15" fillId="0" borderId="1" xfId="2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/>
    </xf>
    <xf numFmtId="0" fontId="16" fillId="6" borderId="1" xfId="0" applyFont="1" applyFill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2" fontId="16" fillId="0" borderId="1" xfId="0" applyNumberFormat="1" applyFont="1" applyBorder="1" applyAlignment="1">
      <alignment horizontal="center" vertical="center"/>
    </xf>
    <xf numFmtId="4" fontId="15" fillId="0" borderId="1" xfId="2" applyNumberFormat="1" applyFont="1" applyBorder="1" applyAlignment="1">
      <alignment horizontal="center"/>
    </xf>
    <xf numFmtId="0" fontId="15" fillId="0" borderId="1" xfId="2" applyFont="1" applyBorder="1" applyAlignment="1">
      <alignment horizontal="center" vertical="center"/>
    </xf>
    <xf numFmtId="164" fontId="15" fillId="0" borderId="1" xfId="1" applyNumberFormat="1" applyFont="1" applyFill="1" applyBorder="1" applyAlignment="1">
      <alignment horizontal="center" vertical="center"/>
    </xf>
    <xf numFmtId="2" fontId="15" fillId="0" borderId="1" xfId="2" applyNumberFormat="1" applyFont="1" applyBorder="1" applyAlignment="1">
      <alignment horizontal="center"/>
    </xf>
    <xf numFmtId="0" fontId="15" fillId="0" borderId="1" xfId="2" applyFont="1" applyBorder="1" applyAlignment="1">
      <alignment horizontal="center"/>
    </xf>
    <xf numFmtId="2" fontId="15" fillId="0" borderId="1" xfId="2" applyNumberFormat="1" applyFont="1" applyBorder="1" applyAlignment="1">
      <alignment horizontal="center" wrapText="1"/>
    </xf>
    <xf numFmtId="0" fontId="15" fillId="0" borderId="1" xfId="2" applyFont="1" applyBorder="1" applyAlignment="1">
      <alignment horizontal="center" wrapText="1"/>
    </xf>
    <xf numFmtId="2" fontId="15" fillId="0" borderId="0" xfId="2" applyNumberFormat="1" applyFont="1" applyAlignment="1">
      <alignment horizontal="center"/>
    </xf>
    <xf numFmtId="0" fontId="15" fillId="0" borderId="0" xfId="2" applyFont="1"/>
    <xf numFmtId="0" fontId="6" fillId="7" borderId="1" xfId="2" applyFont="1" applyFill="1" applyBorder="1" applyAlignment="1">
      <alignment horizontal="center" vertical="center" wrapText="1"/>
    </xf>
    <xf numFmtId="49" fontId="7" fillId="7" borderId="1" xfId="0" applyNumberFormat="1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 vertical="center"/>
    </xf>
    <xf numFmtId="49" fontId="7" fillId="7" borderId="1" xfId="0" applyNumberFormat="1" applyFont="1" applyFill="1" applyBorder="1" applyAlignment="1">
      <alignment horizontal="center" vertical="center"/>
    </xf>
    <xf numFmtId="2" fontId="7" fillId="7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5" fillId="4" borderId="0" xfId="2" applyFont="1" applyFill="1" applyAlignment="1">
      <alignment horizontal="center"/>
    </xf>
    <xf numFmtId="0" fontId="0" fillId="0" borderId="0" xfId="0" applyAlignment="1">
      <alignment horizontal="center"/>
    </xf>
  </cellXfs>
  <cellStyles count="6">
    <cellStyle name="Normal" xfId="0" builtinId="0"/>
    <cellStyle name="Normal 13" xfId="2" xr:uid="{00000000-0005-0000-0000-000001000000}"/>
    <cellStyle name="Normal 2" xfId="3" xr:uid="{00000000-0005-0000-0000-000002000000}"/>
    <cellStyle name="Normal 3" xfId="4" xr:uid="{00000000-0005-0000-0000-000003000000}"/>
    <cellStyle name="Normal 4" xfId="5" xr:uid="{00000000-0005-0000-0000-000004000000}"/>
    <cellStyle name="Porcentagem" xfId="1" builtinId="5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storage\dados\Users\agouvea\AppData\Local\Microsoft\Windows\Temporary%20Internet%20Files\Content.Outlook\EZGHPGV3\MOI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AUTHOM\COMERCIAL\Propostas\Matriz\2012\Biocom\PDE_ACS_019A_12_(BIOCOM_Sistema%20de%20Controle_SDCD)_Rev4_R1_Consolidad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ISSAO_FC014_00_00"/>
      <sheetName val="FFF"/>
      <sheetName val="Impostos"/>
      <sheetName val="Apresentação Valores"/>
      <sheetName val="Retorno"/>
      <sheetName val="Mestre"/>
      <sheetName val="I_O"/>
      <sheetName val="Calc Eng"/>
      <sheetName val="Histograma_Custo MOI_ATK"/>
      <sheetName val="MI"/>
      <sheetName val="MOI"/>
      <sheetName val="O.S."/>
      <sheetName val="ACV"/>
      <sheetName val="Pareto Metas"/>
      <sheetName val="Metas"/>
      <sheetName val="Valores HH_D_Km"/>
      <sheetName val="Valores HH_D_Km Services"/>
      <sheetName val="Plan1"/>
      <sheetName val="Custos de HH_LOG"/>
    </sheetNames>
    <sheetDataSet>
      <sheetData sheetId="0"/>
      <sheetData sheetId="1"/>
      <sheetData sheetId="2">
        <row r="8">
          <cell r="K8">
            <v>0.12</v>
          </cell>
        </row>
        <row r="9">
          <cell r="H9">
            <v>1.6500000000000001E-2</v>
          </cell>
          <cell r="K9">
            <v>6.4999999999999997E-3</v>
          </cell>
        </row>
        <row r="10">
          <cell r="H10">
            <v>7.5999999999999998E-2</v>
          </cell>
          <cell r="K10">
            <v>0.03</v>
          </cell>
        </row>
        <row r="11">
          <cell r="H11">
            <v>1.6500000000000001E-2</v>
          </cell>
          <cell r="K11">
            <v>6.4999999999999997E-3</v>
          </cell>
        </row>
        <row r="12">
          <cell r="H12">
            <v>7.5999999999999998E-2</v>
          </cell>
          <cell r="K12">
            <v>0.03</v>
          </cell>
        </row>
        <row r="13">
          <cell r="H13">
            <v>1.4999999999999999E-2</v>
          </cell>
          <cell r="K13">
            <v>1.4999999999999999E-2</v>
          </cell>
        </row>
        <row r="14">
          <cell r="H14">
            <v>0.03</v>
          </cell>
        </row>
        <row r="15">
          <cell r="H15">
            <v>1.6500000000000001E-2</v>
          </cell>
          <cell r="K15">
            <v>6.4999999999999997E-3</v>
          </cell>
        </row>
        <row r="16">
          <cell r="H16">
            <v>7.5999999999999998E-2</v>
          </cell>
          <cell r="K16">
            <v>0.03</v>
          </cell>
        </row>
        <row r="17">
          <cell r="H17">
            <v>0.03</v>
          </cell>
        </row>
        <row r="18">
          <cell r="H18">
            <v>1.6500000000000001E-2</v>
          </cell>
          <cell r="K18">
            <v>6.4999999999999997E-3</v>
          </cell>
        </row>
        <row r="19">
          <cell r="H19">
            <v>7.5999999999999998E-2</v>
          </cell>
          <cell r="K19">
            <v>0.03</v>
          </cell>
        </row>
        <row r="20">
          <cell r="H20">
            <v>0.03</v>
          </cell>
        </row>
        <row r="21">
          <cell r="H21">
            <v>1.6500000000000001E-2</v>
          </cell>
          <cell r="K21">
            <v>6.4999999999999997E-3</v>
          </cell>
        </row>
        <row r="22">
          <cell r="H22">
            <v>7.5999999999999998E-2</v>
          </cell>
          <cell r="K22">
            <v>0.03</v>
          </cell>
        </row>
        <row r="23">
          <cell r="H23">
            <v>0.05</v>
          </cell>
        </row>
        <row r="24">
          <cell r="H24">
            <v>1.6500000000000001E-2</v>
          </cell>
          <cell r="K24">
            <v>6.4999999999999997E-3</v>
          </cell>
        </row>
        <row r="25">
          <cell r="H25">
            <v>7.5999999999999998E-2</v>
          </cell>
          <cell r="K25">
            <v>0.03</v>
          </cell>
        </row>
        <row r="26">
          <cell r="H26">
            <v>0.03</v>
          </cell>
        </row>
        <row r="27">
          <cell r="H27">
            <v>1.2E-2</v>
          </cell>
        </row>
        <row r="28">
          <cell r="H28">
            <v>7.1999999999999998E-3</v>
          </cell>
        </row>
      </sheetData>
      <sheetData sheetId="3"/>
      <sheetData sheetId="4">
        <row r="3">
          <cell r="GP3">
            <v>1</v>
          </cell>
        </row>
        <row r="4">
          <cell r="GP4">
            <v>0</v>
          </cell>
        </row>
        <row r="6">
          <cell r="B6">
            <v>0</v>
          </cell>
        </row>
        <row r="7">
          <cell r="B7">
            <v>0</v>
          </cell>
        </row>
        <row r="8">
          <cell r="B8">
            <v>7526.6119412285061</v>
          </cell>
        </row>
        <row r="9">
          <cell r="B9">
            <v>22695.516314509121</v>
          </cell>
        </row>
        <row r="10">
          <cell r="B10">
            <v>10024.46625364624</v>
          </cell>
        </row>
        <row r="11">
          <cell r="B11">
            <v>19400.215194127049</v>
          </cell>
        </row>
        <row r="12">
          <cell r="B12">
            <v>1142.425996176215</v>
          </cell>
        </row>
        <row r="13">
          <cell r="B13">
            <v>40000</v>
          </cell>
        </row>
        <row r="14">
          <cell r="B14">
            <v>0</v>
          </cell>
        </row>
        <row r="15">
          <cell r="B15">
            <v>0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0</v>
          </cell>
        </row>
        <row r="19">
          <cell r="B19">
            <v>0</v>
          </cell>
        </row>
        <row r="20">
          <cell r="B20">
            <v>0</v>
          </cell>
        </row>
        <row r="21">
          <cell r="B21">
            <v>0</v>
          </cell>
        </row>
        <row r="22">
          <cell r="B22">
            <v>0</v>
          </cell>
        </row>
        <row r="23">
          <cell r="B23">
            <v>100789.23569968712</v>
          </cell>
          <cell r="J23">
            <v>18408.15547156438</v>
          </cell>
        </row>
        <row r="25">
          <cell r="B25">
            <v>1.3080165879867287</v>
          </cell>
        </row>
        <row r="39">
          <cell r="B39">
            <v>168793.17</v>
          </cell>
        </row>
      </sheetData>
      <sheetData sheetId="5"/>
      <sheetData sheetId="6"/>
      <sheetData sheetId="7">
        <row r="2">
          <cell r="B2">
            <v>1107.5</v>
          </cell>
        </row>
        <row r="4">
          <cell r="B4">
            <v>125.38259417680548</v>
          </cell>
          <cell r="H4">
            <v>8335.2151941270513</v>
          </cell>
        </row>
        <row r="5">
          <cell r="B5">
            <v>108.08844325586681</v>
          </cell>
          <cell r="H5">
            <v>0</v>
          </cell>
        </row>
        <row r="6">
          <cell r="B6">
            <v>28.401805195338834</v>
          </cell>
        </row>
        <row r="7">
          <cell r="B7">
            <v>1.2444857142857142</v>
          </cell>
        </row>
        <row r="8">
          <cell r="B8">
            <v>2.1551786186441051</v>
          </cell>
          <cell r="H8">
            <v>7526.6119412285061</v>
          </cell>
        </row>
        <row r="9">
          <cell r="B9">
            <v>63.413593484299362</v>
          </cell>
          <cell r="H9">
            <v>24.466253646240002</v>
          </cell>
        </row>
        <row r="10">
          <cell r="B10">
            <v>43.273711976371779</v>
          </cell>
        </row>
        <row r="11">
          <cell r="B11">
            <v>81.775178122439698</v>
          </cell>
        </row>
        <row r="12">
          <cell r="B12">
            <v>63.413593484299362</v>
          </cell>
          <cell r="H12">
            <v>0</v>
          </cell>
        </row>
        <row r="13">
          <cell r="B13">
            <v>43.273711976371779</v>
          </cell>
        </row>
        <row r="14">
          <cell r="B14">
            <v>43.273711976371779</v>
          </cell>
        </row>
        <row r="15">
          <cell r="B15">
            <v>43.273711976371779</v>
          </cell>
        </row>
        <row r="16">
          <cell r="B16">
            <v>81.775178122439698</v>
          </cell>
          <cell r="H16">
            <v>29837.545813078497</v>
          </cell>
        </row>
        <row r="17">
          <cell r="B17">
            <v>2.5</v>
          </cell>
          <cell r="H17">
            <v>20095.516314509121</v>
          </cell>
        </row>
        <row r="18">
          <cell r="B18">
            <v>0.01</v>
          </cell>
        </row>
        <row r="20">
          <cell r="H20">
            <v>0</v>
          </cell>
        </row>
        <row r="22">
          <cell r="B22">
            <v>13</v>
          </cell>
        </row>
        <row r="23">
          <cell r="B23">
            <v>0</v>
          </cell>
          <cell r="H23">
            <v>9</v>
          </cell>
        </row>
        <row r="24">
          <cell r="B24">
            <v>0</v>
          </cell>
          <cell r="H24">
            <v>2</v>
          </cell>
        </row>
        <row r="25">
          <cell r="B25">
            <v>0</v>
          </cell>
          <cell r="H25">
            <v>0</v>
          </cell>
        </row>
        <row r="26">
          <cell r="H26">
            <v>10</v>
          </cell>
        </row>
        <row r="27">
          <cell r="B27">
            <v>0.2</v>
          </cell>
        </row>
        <row r="28">
          <cell r="B28">
            <v>10</v>
          </cell>
          <cell r="H28">
            <v>0</v>
          </cell>
        </row>
        <row r="29">
          <cell r="B29">
            <v>20.388544705200001</v>
          </cell>
          <cell r="H29">
            <v>12</v>
          </cell>
        </row>
        <row r="30">
          <cell r="B30">
            <v>0</v>
          </cell>
          <cell r="H30">
            <v>0</v>
          </cell>
        </row>
        <row r="31">
          <cell r="B31">
            <v>0</v>
          </cell>
          <cell r="H31">
            <v>0</v>
          </cell>
        </row>
        <row r="32">
          <cell r="B32">
            <v>19</v>
          </cell>
          <cell r="H32">
            <v>0</v>
          </cell>
        </row>
        <row r="33">
          <cell r="B33">
            <v>1</v>
          </cell>
          <cell r="H33">
            <v>0</v>
          </cell>
        </row>
        <row r="34">
          <cell r="B34">
            <v>3.7565217391304353</v>
          </cell>
        </row>
        <row r="35">
          <cell r="B35">
            <v>2</v>
          </cell>
        </row>
        <row r="36">
          <cell r="B36">
            <v>604</v>
          </cell>
        </row>
        <row r="37">
          <cell r="B37">
            <v>70</v>
          </cell>
        </row>
        <row r="39">
          <cell r="B39">
            <v>0</v>
          </cell>
        </row>
        <row r="40">
          <cell r="B40">
            <v>0</v>
          </cell>
        </row>
        <row r="41">
          <cell r="B41">
            <v>816.32213941047678</v>
          </cell>
        </row>
        <row r="42">
          <cell r="B42">
            <v>0.12521739130434784</v>
          </cell>
        </row>
        <row r="43">
          <cell r="B43">
            <v>989</v>
          </cell>
        </row>
        <row r="44">
          <cell r="B44">
            <v>0</v>
          </cell>
        </row>
        <row r="45">
          <cell r="B45">
            <v>0.25</v>
          </cell>
        </row>
        <row r="46">
          <cell r="B46">
            <v>0</v>
          </cell>
        </row>
        <row r="47">
          <cell r="B47">
            <v>144</v>
          </cell>
        </row>
        <row r="48">
          <cell r="B48">
            <v>0</v>
          </cell>
        </row>
        <row r="49">
          <cell r="B49">
            <v>64.8</v>
          </cell>
        </row>
        <row r="50">
          <cell r="B50">
            <v>0</v>
          </cell>
          <cell r="O50">
            <v>24.466253646240002</v>
          </cell>
        </row>
        <row r="51">
          <cell r="B51">
            <v>0.11000000000000001</v>
          </cell>
          <cell r="L51">
            <v>0</v>
          </cell>
        </row>
        <row r="52">
          <cell r="B52">
            <v>0.09</v>
          </cell>
        </row>
        <row r="53">
          <cell r="B53">
            <v>79.200000000000017</v>
          </cell>
        </row>
        <row r="54">
          <cell r="B54">
            <v>0</v>
          </cell>
        </row>
        <row r="55">
          <cell r="B55">
            <v>0</v>
          </cell>
          <cell r="O55">
            <v>37.044883046355999</v>
          </cell>
        </row>
        <row r="56">
          <cell r="B56">
            <v>0</v>
          </cell>
          <cell r="O56">
            <v>0.61165634115599998</v>
          </cell>
        </row>
        <row r="57">
          <cell r="B57">
            <v>21</v>
          </cell>
          <cell r="O57">
            <v>27.830413293639999</v>
          </cell>
        </row>
        <row r="58">
          <cell r="B58">
            <v>260.65200000000004</v>
          </cell>
          <cell r="O58">
            <v>8.6028134115599997</v>
          </cell>
        </row>
        <row r="59">
          <cell r="B59">
            <v>10</v>
          </cell>
        </row>
        <row r="60">
          <cell r="B60">
            <v>6</v>
          </cell>
          <cell r="M60">
            <v>144</v>
          </cell>
        </row>
        <row r="61">
          <cell r="B61">
            <v>190.65200000000002</v>
          </cell>
          <cell r="M61">
            <v>0</v>
          </cell>
        </row>
        <row r="62">
          <cell r="B62">
            <v>2</v>
          </cell>
          <cell r="M62">
            <v>79.200000000000017</v>
          </cell>
        </row>
        <row r="63">
          <cell r="B63">
            <v>42.112491038884059</v>
          </cell>
          <cell r="M63">
            <v>64.8</v>
          </cell>
        </row>
        <row r="65">
          <cell r="B65">
            <v>43.273711976371779</v>
          </cell>
        </row>
        <row r="77">
          <cell r="A77" t="str">
            <v>Sim</v>
          </cell>
          <cell r="H77" t="str">
            <v>Tropical Bioenergia</v>
          </cell>
          <cell r="K77" t="str">
            <v>08195806/0001-94</v>
          </cell>
          <cell r="L77">
            <v>104030135</v>
          </cell>
        </row>
        <row r="78">
          <cell r="A78" t="str">
            <v>Não</v>
          </cell>
          <cell r="H78" t="str">
            <v>Edéia</v>
          </cell>
          <cell r="J78" t="str">
            <v>GO</v>
          </cell>
          <cell r="P78">
            <v>0</v>
          </cell>
        </row>
        <row r="79">
          <cell r="P79">
            <v>0</v>
          </cell>
        </row>
        <row r="80">
          <cell r="P80">
            <v>0</v>
          </cell>
        </row>
        <row r="81">
          <cell r="P81">
            <v>0</v>
          </cell>
        </row>
        <row r="82">
          <cell r="P82">
            <v>0</v>
          </cell>
        </row>
        <row r="99">
          <cell r="K99" t="str">
            <v>Não</v>
          </cell>
        </row>
        <row r="127">
          <cell r="DA127">
            <v>13.03245272629238</v>
          </cell>
        </row>
        <row r="135">
          <cell r="AB135">
            <v>0</v>
          </cell>
        </row>
      </sheetData>
      <sheetData sheetId="8">
        <row r="26">
          <cell r="J26">
            <v>0</v>
          </cell>
        </row>
      </sheetData>
      <sheetData sheetId="9"/>
      <sheetData sheetId="10"/>
      <sheetData sheetId="11"/>
      <sheetData sheetId="12"/>
      <sheetData sheetId="13">
        <row r="63">
          <cell r="R63">
            <v>0.61165634115599998</v>
          </cell>
        </row>
        <row r="64">
          <cell r="R64">
            <v>27.830413293639999</v>
          </cell>
        </row>
        <row r="65">
          <cell r="R65">
            <v>8.6028134115599997</v>
          </cell>
        </row>
        <row r="66">
          <cell r="R66">
            <v>37.044883046355999</v>
          </cell>
        </row>
        <row r="67">
          <cell r="R67">
            <v>0</v>
          </cell>
        </row>
        <row r="68">
          <cell r="R68">
            <v>79.200000000000017</v>
          </cell>
        </row>
        <row r="69">
          <cell r="R69">
            <v>64.8</v>
          </cell>
        </row>
        <row r="70">
          <cell r="R70">
            <v>0</v>
          </cell>
        </row>
        <row r="71">
          <cell r="R71">
            <v>144</v>
          </cell>
        </row>
        <row r="72">
          <cell r="R72">
            <v>1142.425996176215</v>
          </cell>
        </row>
        <row r="73">
          <cell r="R73">
            <v>19400.215194127049</v>
          </cell>
        </row>
        <row r="74">
          <cell r="R74">
            <v>40000</v>
          </cell>
        </row>
        <row r="75">
          <cell r="R75">
            <v>24.466253646240002</v>
          </cell>
        </row>
        <row r="76">
          <cell r="R76">
            <v>0</v>
          </cell>
        </row>
        <row r="77">
          <cell r="R77">
            <v>10024.46625364624</v>
          </cell>
        </row>
        <row r="78">
          <cell r="R78">
            <v>22695.516314509121</v>
          </cell>
        </row>
        <row r="79">
          <cell r="R79">
            <v>7526.6119412285061</v>
          </cell>
        </row>
        <row r="80">
          <cell r="R80">
            <v>1007.8923569968713</v>
          </cell>
        </row>
        <row r="81">
          <cell r="R81">
            <v>0</v>
          </cell>
        </row>
        <row r="83">
          <cell r="R83">
            <v>0</v>
          </cell>
        </row>
        <row r="84">
          <cell r="R84">
            <v>0</v>
          </cell>
        </row>
        <row r="85">
          <cell r="R85">
            <v>0</v>
          </cell>
        </row>
        <row r="86">
          <cell r="R86">
            <v>0</v>
          </cell>
        </row>
      </sheetData>
      <sheetData sheetId="14">
        <row r="18">
          <cell r="U18">
            <v>0</v>
          </cell>
        </row>
        <row r="55">
          <cell r="U55">
            <v>0</v>
          </cell>
        </row>
        <row r="92">
          <cell r="U92">
            <v>0</v>
          </cell>
        </row>
        <row r="127">
          <cell r="U127">
            <v>0</v>
          </cell>
        </row>
        <row r="162">
          <cell r="U162">
            <v>0</v>
          </cell>
        </row>
        <row r="198">
          <cell r="U198">
            <v>0</v>
          </cell>
        </row>
        <row r="234">
          <cell r="U234">
            <v>0</v>
          </cell>
        </row>
        <row r="310">
          <cell r="U310">
            <v>0</v>
          </cell>
        </row>
        <row r="346">
          <cell r="U346">
            <v>0</v>
          </cell>
        </row>
        <row r="382">
          <cell r="U382">
            <v>0</v>
          </cell>
        </row>
      </sheetData>
      <sheetData sheetId="15">
        <row r="50">
          <cell r="F50">
            <v>13.03</v>
          </cell>
        </row>
      </sheetData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DCD x PLC"/>
      <sheetName val="Material Instalação Check"/>
      <sheetName val="Valores ja apresentados"/>
      <sheetName val="Calc Eng"/>
      <sheetName val="FFF_Revisada"/>
      <sheetName val="FFF_antigo"/>
      <sheetName val="Apresentação Valores"/>
      <sheetName val="ACV"/>
      <sheetName val="Cálculo Eng"/>
      <sheetName val="Apresentação de Valores antiga."/>
      <sheetName val="Apresentação de Valores REV4"/>
      <sheetName val="I_O"/>
      <sheetName val="Mestre"/>
      <sheetName val="IO Costa Rica"/>
      <sheetName val="COMISSAO_REV8"/>
      <sheetName val="Retorno"/>
      <sheetName val="Cortes Fermentação Malhas"/>
      <sheetName val="Cortes Fermentação Válv ON_OFF_"/>
      <sheetName val="Cortes Caldeiras_desaerador"/>
      <sheetName val="Cortes Destilaria"/>
      <sheetName val="Cortes ETA_Torres"/>
      <sheetName val="Cortes Extração_Recepção"/>
      <sheetName val="Cortes Fábrica Açúcar"/>
      <sheetName val="Cortes Redutoras e Vazão Turb"/>
      <sheetName val="Cortes Tratamento Caldo"/>
      <sheetName val="MBOARD"/>
      <sheetName val="Despesas Viagens"/>
      <sheetName val="Histograma_Custo MOI_ATK"/>
      <sheetName val="Valor UCR Sem IPI"/>
      <sheetName val="Demo Custo UCR x Biocom 1"/>
      <sheetName val="Demo Custo UCR x Biocom 2"/>
      <sheetName val="Venda Contrato UCR"/>
      <sheetName val="Vendas iniciais"/>
      <sheetName val="Medição Vazão Vapor"/>
      <sheetName val="Medição Vapor Turbinas 2"/>
      <sheetName val="Histograma_Custo MOC"/>
      <sheetName val="H_H_MOI"/>
      <sheetName val="Cálculos MOC e LOG"/>
      <sheetName val="Bancada de Calibração"/>
      <sheetName val="EPI"/>
      <sheetName val="Uniforme_Acess"/>
      <sheetName val="Qtde Motores"/>
      <sheetName val="QDTC"/>
      <sheetName val="Metas"/>
      <sheetName val="O.S."/>
      <sheetName val="Pareto Metas"/>
      <sheetName val="Histograma_Tecneletra"/>
      <sheetName val="H_H"/>
      <sheetName val="Histograma_Flávio_Base_Gsm"/>
      <sheetName val="Efetivo UCR"/>
      <sheetName val="Aterramento Analog."/>
      <sheetName val="Despesas Hotel em Luanda"/>
      <sheetName val="Mestre_Complemento"/>
      <sheetName val="Retorno_Complemento"/>
      <sheetName val="Medição Vapor duas Turbinas"/>
    </sheetNames>
    <sheetDataSet>
      <sheetData sheetId="0" refreshError="1"/>
      <sheetData sheetId="1" refreshError="1"/>
      <sheetData sheetId="2" refreshError="1"/>
      <sheetData sheetId="3">
        <row r="2">
          <cell r="B2">
            <v>32.38728750923871</v>
          </cell>
        </row>
        <row r="4">
          <cell r="B4">
            <v>122.05385273848323</v>
          </cell>
        </row>
        <row r="5">
          <cell r="B5">
            <v>105.21883856765797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5">
          <cell r="C5">
            <v>125674</v>
          </cell>
        </row>
        <row r="44">
          <cell r="C44">
            <v>2915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58">
          <cell r="H58">
            <v>273.01873192608957</v>
          </cell>
        </row>
        <row r="68">
          <cell r="H68">
            <v>3602988.5423219893</v>
          </cell>
        </row>
        <row r="73">
          <cell r="H73">
            <v>408228.74127329816</v>
          </cell>
        </row>
        <row r="77">
          <cell r="H77">
            <v>50084.434875000006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>
        <row r="5">
          <cell r="D5">
            <v>56065.083839999999</v>
          </cell>
        </row>
      </sheetData>
      <sheetData sheetId="5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isco C. Pignata" refreshedDate="45951.714026273148" createdVersion="6" refreshedVersion="8" minRefreshableVersion="3" recordCount="339" xr:uid="{1D8151B9-3BB6-4BF5-890F-4FD656783A78}">
  <cacheSource type="worksheet">
    <worksheetSource ref="A1:BF340" sheet="Lista de Cargas"/>
  </cacheSource>
  <cacheFields count="58">
    <cacheField name="Área" numFmtId="0">
      <sharedItems containsBlank="1" containsMixedTypes="1" containsNumber="1" containsInteger="1" minValue="100" maxValue="700"/>
    </cacheField>
    <cacheField name="Painel" numFmtId="0">
      <sharedItems containsBlank="1"/>
    </cacheField>
    <cacheField name="TAG" numFmtId="0">
      <sharedItems containsBlank="1"/>
    </cacheField>
    <cacheField name="Descrição" numFmtId="49">
      <sharedItems containsBlank="1"/>
    </cacheField>
    <cacheField name="Ex" numFmtId="49">
      <sharedItems containsNonDate="0" containsString="0" containsBlank="1"/>
    </cacheField>
    <cacheField name="Status" numFmtId="0">
      <sharedItems containsNonDate="0" containsString="0" containsBlank="1"/>
    </cacheField>
    <cacheField name="Partida" numFmtId="0">
      <sharedItems containsNonDate="0" containsString="0" containsBlank="1"/>
    </cacheField>
    <cacheField name="Partida Pesada" numFmtId="0">
      <sharedItems containsNonDate="0" containsString="0" containsBlank="1"/>
    </cacheField>
    <cacheField name="Resitência Aquecimento" numFmtId="0">
      <sharedItems containsNonDate="0" containsString="0" containsBlank="1"/>
    </cacheField>
    <cacheField name="Resistor Frenagem" numFmtId="0">
      <sharedItems containsNonDate="0" containsString="0" containsBlank="1"/>
    </cacheField>
    <cacheField name="Ventilação Forçada" numFmtId="0">
      <sharedItems containsNonDate="0" containsString="0" containsBlank="1"/>
    </cacheField>
    <cacheField name="Termistor" numFmtId="0">
      <sharedItems containsNonDate="0" containsString="0" containsBlank="1"/>
    </cacheField>
    <cacheField name="RTD" numFmtId="0">
      <sharedItems containsNonDate="0" containsString="0" containsBlank="1"/>
    </cacheField>
    <cacheField name="Observação" numFmtId="0">
      <sharedItems containsBlank="1"/>
    </cacheField>
    <cacheField name="Acionamento" numFmtId="49">
      <sharedItems containsBlank="1"/>
    </cacheField>
    <cacheField name="Potência (cv)" numFmtId="2">
      <sharedItems containsString="0" containsBlank="1" containsNumber="1" minValue="0.03" maxValue="9249.3297587131383"/>
    </cacheField>
    <cacheField name="Potência (KW)" numFmtId="4">
      <sharedItems containsSemiMixedTypes="0" containsString="0" containsNumber="1" minValue="0" maxValue="6900.0000000000009"/>
    </cacheField>
    <cacheField name="Nº Pólos" numFmtId="0">
      <sharedItems containsNonDate="0" containsString="0" containsBlank="1"/>
    </cacheField>
    <cacheField name="FP" numFmtId="0">
      <sharedItems containsMixedTypes="1" containsNumber="1" minValue="0.66" maxValue="0.92"/>
    </cacheField>
    <cacheField name="Rend." numFmtId="164">
      <sharedItems containsMixedTypes="1" containsNumber="1" minValue="0.7" maxValue="1"/>
    </cacheField>
    <cacheField name="Tipo Circuito" numFmtId="164">
      <sharedItems containsBlank="1"/>
    </cacheField>
    <cacheField name="Tensão_x000a_(V)" numFmtId="0">
      <sharedItems containsString="0" containsBlank="1" containsNumber="1" containsInteger="1" minValue="220" maxValue="13800"/>
    </cacheField>
    <cacheField name="Corrente (A)" numFmtId="2">
      <sharedItems containsSemiMixedTypes="0" containsString="0" containsNumber="1" minValue="0" maxValue="3200.0000000000005"/>
    </cacheField>
    <cacheField name="Potência (KVA)" numFmtId="2">
      <sharedItems containsSemiMixedTypes="0" containsString="0" containsNumber="1" minValue="0" maxValue="7500.0000000000009"/>
    </cacheField>
    <cacheField name="Corrente Partida (A)" numFmtId="2">
      <sharedItems containsSemiMixedTypes="0" containsString="0" containsNumber="1" minValue="0" maxValue="3200.0000000000005"/>
    </cacheField>
    <cacheField name="Cabo / Barramento" numFmtId="0">
      <sharedItems containsNonDate="0" containsString="0" containsBlank="1"/>
    </cacheField>
    <cacheField name="Borne" numFmtId="0">
      <sharedItems containsNonDate="0" containsString="0" containsBlank="1"/>
    </cacheField>
    <cacheField name="Parcial 1 (m)" numFmtId="0">
      <sharedItems containsString="0" containsBlank="1" containsNumber="1" containsInteger="1" minValue="0" maxValue="600"/>
    </cacheField>
    <cacheField name="Parcial 2 (m)" numFmtId="0">
      <sharedItems containsNonDate="0" containsString="0" containsBlank="1"/>
    </cacheField>
    <cacheField name="Parcial 3 (m)" numFmtId="0">
      <sharedItems containsNonDate="0" containsString="0" containsBlank="1"/>
    </cacheField>
    <cacheField name="Parcial 4 (m)" numFmtId="0">
      <sharedItems containsNonDate="0" containsString="0" containsBlank="1"/>
    </cacheField>
    <cacheField name="Parcial 5 (m)" numFmtId="0">
      <sharedItems containsNonDate="0" containsString="0" containsBlank="1"/>
    </cacheField>
    <cacheField name="Distância Total (m)" numFmtId="0">
      <sharedItems containsSemiMixedTypes="0" containsString="0" containsNumber="1" containsInteger="1" minValue="0" maxValue="600"/>
    </cacheField>
    <cacheField name="Nº Cabos Fase" numFmtId="0">
      <sharedItems containsString="0" containsBlank="1" containsNumber="1" containsInteger="1" minValue="1" maxValue="21"/>
    </cacheField>
    <cacheField name="Cabo Fases" numFmtId="0">
      <sharedItems containsBlank="1" count="17">
        <s v="70 mm² - 15/25KV - EPR 105°C"/>
        <s v="240mm² - 0,6/1kV - PT - EPR - 90ºC - Cobre"/>
        <m/>
        <s v="185mm² - 0,6/1kV - PT - EPR - 90ºC - Cobre"/>
        <s v="70mm² - 0,6/1kV - PT - EPR - 90ºC - Cobre"/>
        <s v="PP 4 x 2,5mm² - 0,6/1kV - EPR - 90ºC - Cobre"/>
        <s v="95mm² - 0,6/1kV - PT - EPR - 90ºC - Cobre"/>
        <s v="PP 4 x 10mm² - 0,6/1kV - EPR - 90ºC - Cobre"/>
        <s v="50mm² - 0,6/1kV - PT - EPR - 90ºC - Cobre"/>
        <s v="35mm² - 0,6/1kV - PT - EPR - 90ºC - Cobre"/>
        <s v="PP 4 x 25mm² - 0,6/1kV - EPR - 90ºC - Cobre"/>
        <s v="120mm² - 0,6/1kV - PT - EPR - 90ºC - Cobre"/>
        <s v="PP 4 x 6mm² - 0,6/1kV - EPR - 90ºC - Cobre"/>
        <s v="PP 4 x 4mm² - 0,6/1kV - EPR - 90ºC - Cobre"/>
        <s v="150mm² - 0,6/1kV - PT - EPR - 90ºC - Cobre"/>
        <s v="PP 4 x 16mm² - 0,6/1kV - EPR - 90ºC - Cobre"/>
        <s v="PP 3 x 2,5mm² - 0,6/1kV - EPR - 90ºC - Cobre"/>
      </sharedItems>
    </cacheField>
    <cacheField name="Total Cabos Fase (m)" numFmtId="0">
      <sharedItems containsSemiMixedTypes="0" containsString="0" containsNumber="1" containsInteger="1" minValue="0" maxValue="3600"/>
    </cacheField>
    <cacheField name="Nº Cabos Neutro (N)" numFmtId="0">
      <sharedItems containsString="0" containsBlank="1" containsNumber="1" containsInteger="1" minValue="0" maxValue="0"/>
    </cacheField>
    <cacheField name="Cabo Neutro (N)" numFmtId="0">
      <sharedItems containsBlank="1" count="2">
        <s v="NA"/>
        <m/>
      </sharedItems>
    </cacheField>
    <cacheField name="Total Cabos Neutro (m)" numFmtId="0">
      <sharedItems containsString="0" containsBlank="1" containsNumber="1" containsInteger="1" minValue="0" maxValue="0"/>
    </cacheField>
    <cacheField name="Nº Cabos Terra PE/PEN" numFmtId="0">
      <sharedItems containsString="0" containsBlank="1" containsNumber="1" containsInteger="1" minValue="0" maxValue="4"/>
    </cacheField>
    <cacheField name="Cabos Terra (PE/PEN)" numFmtId="0">
      <sharedItems containsBlank="1" count="11">
        <s v="240mm² - 0,6/1kV - VD - EPR - 90ºC - Cobre"/>
        <m/>
        <s v="120mm² - 0,6/1kV - VD - EPR - 90ºC - Cobre"/>
        <s v="185mm² - 0,6/1kV - VD - EPR - 90ºC - Cobre"/>
        <s v="150mm² - 0,6/1kV - VD - EPR - 90ºC - Cobre"/>
        <s v="35mm² - 0,6/1kV - VD - EPR - 90ºC - Cobre"/>
        <s v="NA"/>
        <s v="50mm² - 0,6/1kV - VD - EPR - 90ºC - Cobre"/>
        <s v="25mm² - 0,6/1kV - VD - EPR - 90ºC - Cobre"/>
        <s v="70mm² - 0,6/1kV - VD - EPR - 90ºC - Cobre"/>
        <s v="95mm² - 0,6/1kV - VD - EPR - 90ºC - Cobre"/>
      </sharedItems>
    </cacheField>
    <cacheField name="Total Cabos Terra (m)" numFmtId="0">
      <sharedItems containsSemiMixedTypes="0" containsString="0" containsNumber="1" containsInteger="1" minValue="0" maxValue="2400"/>
    </cacheField>
    <cacheField name="Carcaça Motor" numFmtId="0">
      <sharedItems containsBlank="1"/>
    </cacheField>
    <cacheField name="Caixa de ligação Motor" numFmtId="0">
      <sharedItems containsBlank="1"/>
    </cacheField>
    <cacheField name="QTDE" numFmtId="0">
      <sharedItems containsString="0" containsBlank="1" containsNumber="1" containsInteger="1" minValue="1" maxValue="1"/>
    </cacheField>
    <cacheField name="Fusível" numFmtId="0">
      <sharedItems containsNonDate="0" containsString="0" containsBlank="1"/>
    </cacheField>
    <cacheField name="Tamanho Fusível" numFmtId="0">
      <sharedItems containsNonDate="0" containsString="0" containsBlank="1"/>
    </cacheField>
    <cacheField name="Inversor" numFmtId="2">
      <sharedItems containsNonDate="0" containsString="0" containsBlank="1"/>
    </cacheField>
    <cacheField name="Frame Inversor / Soft" numFmtId="2">
      <sharedItems containsNonDate="0" containsString="0" containsBlank="1"/>
    </cacheField>
    <cacheField name="Frenagem" numFmtId="2">
      <sharedItems containsNonDate="0" containsString="0" containsBlank="1"/>
    </cacheField>
    <cacheField name="Softstarter" numFmtId="2">
      <sharedItems containsNonDate="0" containsString="0" containsBlank="1"/>
    </cacheField>
    <cacheField name="Acessórios Inversor/Soft" numFmtId="2">
      <sharedItems containsNonDate="0" containsString="0" containsBlank="1"/>
    </cacheField>
    <cacheField name="Disjuntor Motor" numFmtId="0">
      <sharedItems containsNonDate="0" containsString="0" containsBlank="1"/>
    </cacheField>
    <cacheField name="Contator" numFmtId="0">
      <sharedItems containsNonDate="0" containsString="0" containsBlank="1"/>
    </cacheField>
    <cacheField name="Relé Inteligente" numFmtId="0">
      <sharedItems containsNonDate="0" containsString="0" containsBlank="1"/>
    </cacheField>
    <cacheField name="Acessórios para Relé Inteligente" numFmtId="0">
      <sharedItems containsNonDate="0" containsString="0" containsBlank="1"/>
    </cacheField>
    <cacheField name="Disjuntor" numFmtId="0">
      <sharedItems containsNonDate="0" containsString="0" containsBlank="1"/>
    </cacheField>
    <cacheField name="Potência Reativa Necessária" numFmtId="2">
      <sharedItems containsString="0" containsBlank="1" containsNumber="1" minValue="0" maxValue="26.2457534328196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isco C. Pignata" refreshedDate="45951.714296527774" createdVersion="8" refreshedVersion="8" minRefreshableVersion="3" recordCount="339" xr:uid="{C8D168BE-89B7-4FE4-8696-43D392F93D34}">
  <cacheSource type="worksheet">
    <worksheetSource ref="AQ1:AS340" sheet="Lista de Cargas"/>
  </cacheSource>
  <cacheFields count="3">
    <cacheField name="Carcaça Motor" numFmtId="0">
      <sharedItems containsBlank="1"/>
    </cacheField>
    <cacheField name="Caixa de ligação Motor" numFmtId="0">
      <sharedItems containsBlank="1" count="7">
        <m/>
        <s v="1&quot;"/>
        <s v="3/4&quot;"/>
        <s v="2 x 3&quot;"/>
        <s v="1.1/2&quot;"/>
        <s v="2&quot;"/>
        <s v="NA"/>
      </sharedItems>
    </cacheField>
    <cacheField name="QTDE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isco C. Pignata" refreshedDate="45951.721356712966" createdVersion="8" refreshedVersion="8" minRefreshableVersion="3" recordCount="25" xr:uid="{B4C64374-FF67-495F-924D-A84610A9D7C6}">
  <cacheSource type="worksheet">
    <worksheetSource ref="O2:P27" sheet="Cabos"/>
  </cacheSource>
  <cacheFields count="2">
    <cacheField name="BITOLA" numFmtId="0">
      <sharedItems count="13">
        <s v="120mm²"/>
        <s v="150mm²"/>
        <s v="185mm²"/>
        <s v="240mm²"/>
        <s v="35mm²"/>
        <s v="50mm²"/>
        <s v="70mm²"/>
        <s v="95mm²"/>
        <s v="2,5-4mm²"/>
        <s v="10mm²"/>
        <s v="16mm²"/>
        <s v="25mm²"/>
        <s v="6mm²"/>
      </sharedItems>
    </cacheField>
    <cacheField name="TOTAL" numFmtId="0">
      <sharedItems containsSemiMixedTypes="0" containsString="0" containsNumber="1" containsInteger="1" minValue="2" maxValue="6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9">
  <r>
    <s v="SE-02"/>
    <s v="QGBT-1"/>
    <s v="CUB02"/>
    <s v="Alimentação Geral"/>
    <m/>
    <m/>
    <m/>
    <m/>
    <m/>
    <m/>
    <m/>
    <m/>
    <m/>
    <m/>
    <s v="Disjuntor C.A."/>
    <n v="9249.3297587131383"/>
    <n v="6900.0000000000009"/>
    <m/>
    <n v="0.92"/>
    <n v="1"/>
    <s v="Trifásico"/>
    <n v="13800"/>
    <n v="313.77732021175319"/>
    <n v="7500.0000000000009"/>
    <n v="313.77732021175319"/>
    <m/>
    <m/>
    <n v="600"/>
    <m/>
    <m/>
    <m/>
    <m/>
    <n v="600"/>
    <n v="6"/>
    <x v="0"/>
    <n v="3600"/>
    <n v="0"/>
    <x v="0"/>
    <m/>
    <n v="4"/>
    <x v="0"/>
    <n v="2400"/>
    <s v="NA"/>
    <m/>
    <n v="1"/>
    <m/>
    <m/>
    <m/>
    <m/>
    <m/>
    <m/>
    <m/>
    <m/>
    <m/>
    <m/>
    <m/>
    <m/>
    <m/>
  </r>
  <r>
    <s v="SE-02"/>
    <s v="QGBT-1"/>
    <s v="TRF1"/>
    <s v="Aliemntação Transformador 1"/>
    <m/>
    <m/>
    <m/>
    <m/>
    <m/>
    <m/>
    <m/>
    <m/>
    <m/>
    <m/>
    <s v="Disjuntor C.A."/>
    <n v="3083.1099195710453"/>
    <n v="2300"/>
    <m/>
    <n v="0.92"/>
    <n v="1"/>
    <s v="Trifásico"/>
    <n v="13800"/>
    <n v="104.59244007058439"/>
    <n v="2500"/>
    <n v="104.59244007058439"/>
    <m/>
    <m/>
    <n v="20"/>
    <m/>
    <m/>
    <m/>
    <m/>
    <n v="20"/>
    <n v="3"/>
    <x v="0"/>
    <n v="60"/>
    <m/>
    <x v="1"/>
    <m/>
    <m/>
    <x v="1"/>
    <n v="0"/>
    <s v="NA"/>
    <m/>
    <n v="1"/>
    <m/>
    <m/>
    <m/>
    <m/>
    <m/>
    <m/>
    <m/>
    <m/>
    <m/>
    <m/>
    <m/>
    <m/>
    <m/>
  </r>
  <r>
    <s v="SE-02"/>
    <s v="QGBT-1"/>
    <s v="TRF2"/>
    <s v="Aliemntação Transformador 2"/>
    <m/>
    <m/>
    <m/>
    <m/>
    <m/>
    <m/>
    <m/>
    <m/>
    <m/>
    <m/>
    <s v="Disjuntor C.A."/>
    <n v="3083.1099195710453"/>
    <n v="2300"/>
    <m/>
    <n v="0.92"/>
    <n v="1"/>
    <s v="Trifásico"/>
    <n v="13800"/>
    <n v="104.59244007058439"/>
    <n v="2500"/>
    <n v="104.59244007058439"/>
    <m/>
    <m/>
    <n v="20"/>
    <m/>
    <m/>
    <m/>
    <m/>
    <n v="20"/>
    <n v="3"/>
    <x v="0"/>
    <n v="60"/>
    <n v="0"/>
    <x v="0"/>
    <m/>
    <n v="1"/>
    <x v="2"/>
    <n v="20"/>
    <s v="NA"/>
    <m/>
    <n v="1"/>
    <m/>
    <m/>
    <m/>
    <m/>
    <m/>
    <m/>
    <m/>
    <m/>
    <m/>
    <m/>
    <m/>
    <m/>
    <m/>
  </r>
  <r>
    <s v="SE-02"/>
    <s v="QGBT-1"/>
    <s v="TRF3"/>
    <s v="Aliemntação Transformador 3"/>
    <m/>
    <m/>
    <m/>
    <m/>
    <m/>
    <m/>
    <m/>
    <m/>
    <m/>
    <m/>
    <s v="Disjuntor C.A."/>
    <n v="3083.1099195710453"/>
    <n v="2300"/>
    <m/>
    <n v="0.92"/>
    <n v="1"/>
    <s v="Trifásico"/>
    <n v="13800"/>
    <n v="104.59244007058439"/>
    <n v="2500"/>
    <n v="104.59244007058439"/>
    <m/>
    <m/>
    <n v="20"/>
    <m/>
    <m/>
    <m/>
    <m/>
    <n v="20"/>
    <n v="3"/>
    <x v="0"/>
    <n v="60"/>
    <n v="0"/>
    <x v="0"/>
    <m/>
    <n v="1"/>
    <x v="2"/>
    <n v="20"/>
    <s v="NA"/>
    <m/>
    <n v="1"/>
    <m/>
    <m/>
    <m/>
    <m/>
    <m/>
    <m/>
    <m/>
    <m/>
    <m/>
    <m/>
    <m/>
    <m/>
    <m/>
  </r>
  <r>
    <s v="SE-03"/>
    <s v="QGBT-1"/>
    <s v="CUB02"/>
    <s v="Alimentação Geral"/>
    <m/>
    <m/>
    <m/>
    <m/>
    <m/>
    <m/>
    <m/>
    <m/>
    <m/>
    <m/>
    <s v="Disjuntor C.A."/>
    <n v="6166.2198391420916"/>
    <n v="4600"/>
    <m/>
    <n v="0.92"/>
    <n v="1"/>
    <s v="Trifásico"/>
    <n v="13800"/>
    <n v="209.18488014116878"/>
    <n v="5000"/>
    <n v="209.18488014116878"/>
    <m/>
    <m/>
    <n v="400"/>
    <m/>
    <m/>
    <m/>
    <m/>
    <n v="400"/>
    <n v="3"/>
    <x v="0"/>
    <n v="1200"/>
    <n v="0"/>
    <x v="0"/>
    <m/>
    <n v="1"/>
    <x v="2"/>
    <n v="400"/>
    <s v="NA"/>
    <m/>
    <n v="1"/>
    <m/>
    <m/>
    <m/>
    <m/>
    <m/>
    <m/>
    <m/>
    <m/>
    <m/>
    <m/>
    <m/>
    <m/>
    <m/>
  </r>
  <r>
    <s v="SE-03"/>
    <s v="QGBT-1"/>
    <s v="TRF1"/>
    <s v="Aliemntação Transformador 1"/>
    <m/>
    <m/>
    <m/>
    <m/>
    <m/>
    <m/>
    <m/>
    <m/>
    <m/>
    <m/>
    <s v="Disjuntor C.A."/>
    <n v="3083.1099195710453"/>
    <n v="2300"/>
    <m/>
    <n v="0.92"/>
    <n v="1"/>
    <s v="Trifásico"/>
    <n v="13800"/>
    <n v="104.59244007058439"/>
    <n v="2500"/>
    <n v="104.59244007058439"/>
    <m/>
    <m/>
    <n v="20"/>
    <m/>
    <m/>
    <m/>
    <m/>
    <n v="20"/>
    <n v="3"/>
    <x v="0"/>
    <n v="60"/>
    <n v="0"/>
    <x v="0"/>
    <m/>
    <n v="1"/>
    <x v="0"/>
    <n v="20"/>
    <s v="NA"/>
    <m/>
    <n v="1"/>
    <m/>
    <m/>
    <m/>
    <m/>
    <m/>
    <m/>
    <m/>
    <m/>
    <m/>
    <m/>
    <m/>
    <m/>
    <m/>
  </r>
  <r>
    <s v="SE-03"/>
    <s v="QGBT-1"/>
    <s v="TRF2"/>
    <s v="Aliemntação Transformador 2"/>
    <m/>
    <m/>
    <m/>
    <m/>
    <m/>
    <m/>
    <m/>
    <m/>
    <m/>
    <m/>
    <s v="Disjuntor C.A."/>
    <n v="3083.1099195710453"/>
    <n v="2300"/>
    <m/>
    <n v="0.92"/>
    <n v="1"/>
    <s v="Trifásico"/>
    <n v="13800"/>
    <n v="104.59244007058439"/>
    <n v="2500"/>
    <n v="104.59244007058439"/>
    <m/>
    <m/>
    <n v="20"/>
    <m/>
    <m/>
    <m/>
    <m/>
    <n v="20"/>
    <n v="3"/>
    <x v="0"/>
    <n v="60"/>
    <n v="0"/>
    <x v="0"/>
    <m/>
    <n v="1"/>
    <x v="0"/>
    <n v="20"/>
    <s v="NA"/>
    <m/>
    <n v="1"/>
    <m/>
    <m/>
    <m/>
    <m/>
    <m/>
    <m/>
    <m/>
    <m/>
    <m/>
    <m/>
    <m/>
    <m/>
    <m/>
  </r>
  <r>
    <s v="Geral"/>
    <s v="QGBT-1"/>
    <s v="G Diesel"/>
    <s v="Alimentação Gerador Diesel "/>
    <m/>
    <m/>
    <m/>
    <m/>
    <m/>
    <m/>
    <m/>
    <m/>
    <m/>
    <m/>
    <s v="Disjuntor C.A."/>
    <n v="3083.1099195710453"/>
    <n v="2300"/>
    <m/>
    <n v="0.92"/>
    <n v="1"/>
    <s v="Trifásico"/>
    <n v="13800"/>
    <n v="104.59244007058439"/>
    <n v="2500"/>
    <n v="104.59244007058439"/>
    <m/>
    <m/>
    <n v="50"/>
    <m/>
    <m/>
    <m/>
    <m/>
    <n v="50"/>
    <n v="3"/>
    <x v="0"/>
    <n v="150"/>
    <n v="0"/>
    <x v="0"/>
    <m/>
    <n v="1"/>
    <x v="2"/>
    <n v="50"/>
    <s v="NA"/>
    <m/>
    <n v="1"/>
    <m/>
    <m/>
    <m/>
    <m/>
    <m/>
    <m/>
    <m/>
    <m/>
    <m/>
    <m/>
    <m/>
    <m/>
    <m/>
  </r>
  <r>
    <s v="SE-02"/>
    <s v="QGBT-1"/>
    <s v="Q0"/>
    <s v="DISJUNTOR DE ENTRADA"/>
    <m/>
    <m/>
    <m/>
    <m/>
    <m/>
    <m/>
    <m/>
    <m/>
    <m/>
    <m/>
    <s v="Disjuntor C.A."/>
    <n v="3007.5460242525751"/>
    <n v="2243.6293340924208"/>
    <m/>
    <n v="0.92"/>
    <n v="1"/>
    <s v="Trifásico"/>
    <n v="440"/>
    <n v="3200.0000000000005"/>
    <n v="2438.7275370569791"/>
    <n v="3200.0000000000005"/>
    <m/>
    <m/>
    <n v="20"/>
    <m/>
    <m/>
    <m/>
    <m/>
    <n v="20"/>
    <n v="21"/>
    <x v="1"/>
    <n v="420"/>
    <n v="0"/>
    <x v="0"/>
    <m/>
    <n v="4"/>
    <x v="0"/>
    <n v="80"/>
    <s v="NA"/>
    <m/>
    <n v="1"/>
    <m/>
    <m/>
    <m/>
    <m/>
    <m/>
    <m/>
    <m/>
    <m/>
    <m/>
    <m/>
    <m/>
    <m/>
    <m/>
  </r>
  <r>
    <s v="SE-02"/>
    <s v="QGBT-1"/>
    <s v="MO1-100-01"/>
    <s v="MOINHO (FASE 2)"/>
    <m/>
    <m/>
    <m/>
    <m/>
    <m/>
    <m/>
    <m/>
    <m/>
    <m/>
    <m/>
    <s v="Disjuntor C.M."/>
    <n v="499.72256909221687"/>
    <n v="372.7930365427938"/>
    <m/>
    <n v="0.92"/>
    <n v="1"/>
    <s v="Trifásico"/>
    <n v="440"/>
    <n v="531.70000000000005"/>
    <n v="405.20982232912365"/>
    <n v="531.70000000000005"/>
    <m/>
    <m/>
    <n v="0"/>
    <m/>
    <m/>
    <m/>
    <m/>
    <n v="0"/>
    <m/>
    <x v="2"/>
    <n v="0"/>
    <m/>
    <x v="1"/>
    <m/>
    <m/>
    <x v="1"/>
    <n v="0"/>
    <s v="NA"/>
    <m/>
    <n v="1"/>
    <m/>
    <m/>
    <m/>
    <m/>
    <m/>
    <m/>
    <m/>
    <m/>
    <m/>
    <m/>
    <m/>
    <m/>
    <m/>
  </r>
  <r>
    <s v="SE-02"/>
    <s v="QGBT-1"/>
    <s v="SCD-401 - (PRT001-09)"/>
    <s v="SECADOR N°1 - ÁREA 400"/>
    <m/>
    <m/>
    <m/>
    <m/>
    <m/>
    <m/>
    <m/>
    <m/>
    <m/>
    <m/>
    <s v="Disjuntor C.M."/>
    <n v="555.83209960717898"/>
    <n v="414.65074630695551"/>
    <m/>
    <n v="0.92"/>
    <n v="1"/>
    <s v="Trifásico"/>
    <n v="440"/>
    <n v="591.40000000000009"/>
    <n v="450.70733294234293"/>
    <n v="591.40000000000009"/>
    <m/>
    <m/>
    <n v="20"/>
    <m/>
    <m/>
    <m/>
    <m/>
    <n v="20"/>
    <n v="3"/>
    <x v="1"/>
    <n v="60"/>
    <n v="0"/>
    <x v="0"/>
    <m/>
    <n v="1"/>
    <x v="2"/>
    <n v="20"/>
    <s v="NA"/>
    <m/>
    <n v="1"/>
    <m/>
    <m/>
    <m/>
    <m/>
    <m/>
    <m/>
    <m/>
    <m/>
    <m/>
    <m/>
    <m/>
    <m/>
    <m/>
  </r>
  <r>
    <s v="SE-02"/>
    <s v="QGBT-1"/>
    <s v="SCD-402 - (PRT001-09)"/>
    <s v="SECADOR N°2 - ÁREA 401"/>
    <m/>
    <m/>
    <m/>
    <m/>
    <m/>
    <m/>
    <m/>
    <m/>
    <m/>
    <m/>
    <s v="Disjuntor C.M."/>
    <n v="555.83209960717898"/>
    <n v="414.65074630695551"/>
    <m/>
    <n v="0.92"/>
    <n v="1"/>
    <s v="Trifásico"/>
    <n v="440"/>
    <n v="591.40000000000009"/>
    <n v="450.70733294234293"/>
    <n v="591.40000000000009"/>
    <m/>
    <m/>
    <n v="20"/>
    <m/>
    <m/>
    <m/>
    <m/>
    <n v="20"/>
    <n v="3"/>
    <x v="1"/>
    <n v="60"/>
    <n v="0"/>
    <x v="0"/>
    <m/>
    <n v="1"/>
    <x v="2"/>
    <n v="20"/>
    <s v="NA"/>
    <m/>
    <n v="1"/>
    <m/>
    <m/>
    <m/>
    <m/>
    <m/>
    <m/>
    <m/>
    <m/>
    <m/>
    <m/>
    <m/>
    <m/>
    <m/>
  </r>
  <r>
    <s v="SE-02"/>
    <s v="QGBT-1"/>
    <s v="SCD-403 - (PRT001-09)"/>
    <s v="SECADOR N°3 - ÁREA 402"/>
    <m/>
    <m/>
    <m/>
    <m/>
    <m/>
    <m/>
    <m/>
    <m/>
    <m/>
    <m/>
    <s v="Disjuntor C.M."/>
    <n v="555.83209960717898"/>
    <n v="414.65074630695551"/>
    <m/>
    <n v="0.92"/>
    <n v="1"/>
    <s v="Trifásico"/>
    <n v="440"/>
    <n v="591.40000000000009"/>
    <n v="450.70733294234293"/>
    <n v="591.40000000000009"/>
    <m/>
    <m/>
    <n v="20"/>
    <m/>
    <m/>
    <m/>
    <m/>
    <n v="20"/>
    <n v="3"/>
    <x v="1"/>
    <n v="60"/>
    <n v="0"/>
    <x v="0"/>
    <m/>
    <n v="1"/>
    <x v="2"/>
    <n v="20"/>
    <s v="NA"/>
    <m/>
    <n v="1"/>
    <m/>
    <m/>
    <m/>
    <m/>
    <m/>
    <m/>
    <m/>
    <m/>
    <m/>
    <m/>
    <m/>
    <m/>
    <m/>
  </r>
  <r>
    <s v="SE-02"/>
    <s v="QGBT-1"/>
    <s v="PRT001-04"/>
    <s v="BANCO DE CAPACITORES QGBT-1 - TRANSFORMADOR N°1"/>
    <m/>
    <m/>
    <m/>
    <m/>
    <m/>
    <m/>
    <m/>
    <m/>
    <m/>
    <m/>
    <s v="Disjuntor C.M."/>
    <n v="925.9482322167612"/>
    <n v="690.75738123370388"/>
    <m/>
    <n v="0.92"/>
    <n v="1"/>
    <s v="Trifásico"/>
    <n v="440"/>
    <n v="985.1999999999997"/>
    <n v="750.82324047141719"/>
    <n v="985.1999999999997"/>
    <m/>
    <m/>
    <n v="20"/>
    <m/>
    <m/>
    <m/>
    <m/>
    <n v="20"/>
    <n v="6"/>
    <x v="1"/>
    <n v="120"/>
    <n v="0"/>
    <x v="0"/>
    <m/>
    <n v="1"/>
    <x v="0"/>
    <n v="20"/>
    <s v="NA"/>
    <m/>
    <n v="1"/>
    <m/>
    <m/>
    <m/>
    <m/>
    <m/>
    <m/>
    <m/>
    <m/>
    <m/>
    <m/>
    <m/>
    <m/>
    <m/>
  </r>
  <r>
    <s v="SE-02"/>
    <s v="QGBT-2"/>
    <s v="Q0"/>
    <s v="DISJUNTOR DE ENTRADA"/>
    <m/>
    <m/>
    <m/>
    <m/>
    <m/>
    <m/>
    <m/>
    <m/>
    <m/>
    <m/>
    <s v="Disjuntor C.A."/>
    <n v="3007.5460242525751"/>
    <n v="2243.6293340924208"/>
    <m/>
    <n v="0.92"/>
    <n v="1"/>
    <s v="Trifásico"/>
    <n v="440"/>
    <n v="3200.0000000000005"/>
    <n v="2438.7275370569791"/>
    <n v="3200.0000000000005"/>
    <m/>
    <m/>
    <n v="20"/>
    <m/>
    <m/>
    <m/>
    <m/>
    <n v="20"/>
    <n v="21"/>
    <x v="1"/>
    <n v="420"/>
    <n v="0"/>
    <x v="0"/>
    <m/>
    <n v="4"/>
    <x v="0"/>
    <n v="80"/>
    <s v="NA"/>
    <m/>
    <n v="1"/>
    <m/>
    <m/>
    <m/>
    <m/>
    <m/>
    <m/>
    <m/>
    <m/>
    <m/>
    <m/>
    <m/>
    <m/>
    <m/>
  </r>
  <r>
    <s v="SE-02"/>
    <s v="QGBT-2"/>
    <s v="MO1-100-00"/>
    <s v="MOINHO (FASE 1)"/>
    <m/>
    <m/>
    <m/>
    <m/>
    <m/>
    <m/>
    <m/>
    <m/>
    <m/>
    <m/>
    <s v="Disjuntor C.M."/>
    <n v="850.00769510438352"/>
    <n v="634.10574054787014"/>
    <m/>
    <n v="0.92"/>
    <n v="1"/>
    <s v="Trifásico"/>
    <n v="440"/>
    <n v="904.39999999999952"/>
    <n v="689.24537016072838"/>
    <n v="904.39999999999952"/>
    <m/>
    <m/>
    <n v="20"/>
    <m/>
    <m/>
    <m/>
    <m/>
    <n v="20"/>
    <n v="6"/>
    <x v="3"/>
    <n v="120"/>
    <n v="0"/>
    <x v="0"/>
    <m/>
    <n v="1"/>
    <x v="3"/>
    <n v="20"/>
    <s v="NA"/>
    <m/>
    <n v="1"/>
    <m/>
    <m/>
    <m/>
    <m/>
    <m/>
    <m/>
    <m/>
    <m/>
    <m/>
    <m/>
    <m/>
    <m/>
    <m/>
  </r>
  <r>
    <s v="SE-02"/>
    <s v="QGBT-2"/>
    <s v="PRT001-12"/>
    <s v="CCM 2.1 - ÁREA 400"/>
    <m/>
    <m/>
    <m/>
    <m/>
    <m/>
    <m/>
    <m/>
    <m/>
    <m/>
    <m/>
    <s v="Disjuntor C.M."/>
    <n v="2349.6453314473238"/>
    <n v="1752.8354172597035"/>
    <m/>
    <n v="0.92"/>
    <n v="1"/>
    <s v="Trifásico"/>
    <n v="440"/>
    <n v="2500"/>
    <n v="1905.2558883257645"/>
    <n v="2500"/>
    <m/>
    <m/>
    <n v="20"/>
    <m/>
    <m/>
    <m/>
    <m/>
    <n v="20"/>
    <n v="15"/>
    <x v="1"/>
    <n v="300"/>
    <n v="0"/>
    <x v="0"/>
    <m/>
    <n v="4"/>
    <x v="4"/>
    <n v="80"/>
    <s v="NA"/>
    <m/>
    <n v="1"/>
    <m/>
    <m/>
    <m/>
    <m/>
    <m/>
    <m/>
    <m/>
    <m/>
    <m/>
    <m/>
    <m/>
    <m/>
    <m/>
  </r>
  <r>
    <s v="SE-02"/>
    <s v="QGBT-2"/>
    <s v="PRT001-05"/>
    <s v="BANCO DE CAPACITORES QGBT-2 - TRANSFORMADOR N°2"/>
    <m/>
    <m/>
    <m/>
    <m/>
    <m/>
    <m/>
    <m/>
    <m/>
    <m/>
    <m/>
    <s v="Disjuntor C.M."/>
    <n v="925.9482322167612"/>
    <n v="690.75738123370388"/>
    <m/>
    <n v="0.92"/>
    <n v="1"/>
    <s v="Trifásico"/>
    <n v="440"/>
    <n v="985.1999999999997"/>
    <n v="750.82324047141719"/>
    <n v="985.1999999999997"/>
    <m/>
    <m/>
    <n v="20"/>
    <m/>
    <m/>
    <m/>
    <m/>
    <n v="20"/>
    <n v="6"/>
    <x v="1"/>
    <n v="120"/>
    <n v="0"/>
    <x v="0"/>
    <m/>
    <n v="1"/>
    <x v="0"/>
    <n v="20"/>
    <s v="NA"/>
    <m/>
    <n v="1"/>
    <m/>
    <m/>
    <m/>
    <m/>
    <m/>
    <m/>
    <m/>
    <m/>
    <m/>
    <m/>
    <m/>
    <m/>
    <m/>
  </r>
  <r>
    <s v="SE-02"/>
    <s v="QGBT-3"/>
    <s v="Q0"/>
    <s v="DISJUNTOR DE ENTRADA"/>
    <m/>
    <m/>
    <m/>
    <m/>
    <m/>
    <m/>
    <m/>
    <m/>
    <m/>
    <m/>
    <s v="Disjuntor C.M."/>
    <n v="3007.5460242525751"/>
    <n v="2243.6293340924208"/>
    <m/>
    <n v="0.92"/>
    <n v="1"/>
    <s v="Trifásico"/>
    <n v="440"/>
    <n v="3200.0000000000005"/>
    <n v="2438.7275370569791"/>
    <n v="3200.0000000000005"/>
    <m/>
    <m/>
    <n v="20"/>
    <m/>
    <m/>
    <m/>
    <m/>
    <n v="20"/>
    <n v="21"/>
    <x v="1"/>
    <n v="420"/>
    <n v="0"/>
    <x v="0"/>
    <m/>
    <n v="4"/>
    <x v="0"/>
    <n v="80"/>
    <s v="NA"/>
    <m/>
    <n v="1"/>
    <m/>
    <m/>
    <m/>
    <m/>
    <m/>
    <m/>
    <m/>
    <m/>
    <m/>
    <m/>
    <m/>
    <m/>
    <m/>
  </r>
  <r>
    <s v="SE-02"/>
    <s v="QGBT-3"/>
    <s v="DCT-401"/>
    <s v="DECANTER N°1 (FASE 1)"/>
    <m/>
    <m/>
    <m/>
    <m/>
    <m/>
    <m/>
    <m/>
    <m/>
    <m/>
    <m/>
    <s v="Disjuntor C.M."/>
    <n v="234.96453314473237"/>
    <n v="175.28354172597034"/>
    <m/>
    <n v="0.92"/>
    <n v="1"/>
    <s v="Trifásico"/>
    <n v="440"/>
    <n v="249.99999999999997"/>
    <n v="190.52558883257643"/>
    <n v="249.99999999999997"/>
    <m/>
    <m/>
    <n v="20"/>
    <m/>
    <m/>
    <m/>
    <m/>
    <n v="20"/>
    <n v="3"/>
    <x v="4"/>
    <n v="60"/>
    <n v="0"/>
    <x v="0"/>
    <m/>
    <n v="1"/>
    <x v="5"/>
    <n v="20"/>
    <s v="NA"/>
    <m/>
    <n v="1"/>
    <m/>
    <m/>
    <m/>
    <m/>
    <m/>
    <m/>
    <m/>
    <m/>
    <m/>
    <m/>
    <m/>
    <m/>
    <m/>
  </r>
  <r>
    <s v="SE-02"/>
    <s v="QGBT-3"/>
    <s v="DCT-402"/>
    <s v="DECANTER N°2 (FASE 1)"/>
    <m/>
    <m/>
    <m/>
    <m/>
    <m/>
    <m/>
    <m/>
    <m/>
    <m/>
    <m/>
    <s v="Disjuntor C.M."/>
    <n v="234.96453314473237"/>
    <n v="175.28354172597034"/>
    <m/>
    <n v="0.92"/>
    <n v="1"/>
    <s v="Trifásico"/>
    <n v="440"/>
    <n v="249.99999999999997"/>
    <n v="190.52558883257643"/>
    <n v="249.99999999999997"/>
    <m/>
    <m/>
    <n v="20"/>
    <m/>
    <m/>
    <m/>
    <m/>
    <n v="20"/>
    <n v="3"/>
    <x v="4"/>
    <n v="60"/>
    <n v="0"/>
    <x v="0"/>
    <m/>
    <n v="1"/>
    <x v="5"/>
    <n v="20"/>
    <s v="NA"/>
    <m/>
    <n v="1"/>
    <m/>
    <m/>
    <m/>
    <m/>
    <m/>
    <m/>
    <m/>
    <m/>
    <m/>
    <m/>
    <m/>
    <m/>
    <m/>
  </r>
  <r>
    <s v="SE-02"/>
    <s v="QGBT-3"/>
    <s v="DCT-403"/>
    <s v="DECANTER N°3 (FASE 1)"/>
    <m/>
    <m/>
    <m/>
    <m/>
    <m/>
    <m/>
    <m/>
    <m/>
    <m/>
    <m/>
    <s v="Disjuntor C.M."/>
    <n v="234.96453314473237"/>
    <n v="175.28354172597034"/>
    <m/>
    <n v="0.92"/>
    <n v="1"/>
    <s v="Trifásico"/>
    <n v="440"/>
    <n v="249.99999999999997"/>
    <n v="190.52558883257643"/>
    <n v="249.99999999999997"/>
    <m/>
    <m/>
    <n v="20"/>
    <m/>
    <m/>
    <m/>
    <m/>
    <n v="20"/>
    <n v="3"/>
    <x v="4"/>
    <n v="60"/>
    <n v="0"/>
    <x v="0"/>
    <m/>
    <n v="1"/>
    <x v="5"/>
    <n v="20"/>
    <s v="NA"/>
    <m/>
    <n v="1"/>
    <m/>
    <m/>
    <m/>
    <m/>
    <m/>
    <m/>
    <m/>
    <m/>
    <m/>
    <m/>
    <m/>
    <m/>
    <m/>
  </r>
  <r>
    <s v="SE-02"/>
    <s v="QGBT-3"/>
    <s v="DCT-401"/>
    <s v="DECANTER N°4 (FASE 1)"/>
    <m/>
    <m/>
    <m/>
    <m/>
    <m/>
    <m/>
    <m/>
    <m/>
    <m/>
    <m/>
    <s v="Disjuntor C.M."/>
    <n v="234.96453314473237"/>
    <n v="175.28354172597034"/>
    <m/>
    <n v="0.92"/>
    <n v="1"/>
    <s v="Trifásico"/>
    <n v="440"/>
    <n v="249.99999999999997"/>
    <n v="190.52558883257643"/>
    <n v="249.99999999999997"/>
    <m/>
    <m/>
    <n v="20"/>
    <m/>
    <m/>
    <m/>
    <m/>
    <n v="20"/>
    <n v="3"/>
    <x v="4"/>
    <n v="60"/>
    <n v="0"/>
    <x v="0"/>
    <m/>
    <n v="1"/>
    <x v="5"/>
    <n v="20"/>
    <s v="NA"/>
    <m/>
    <n v="1"/>
    <m/>
    <m/>
    <m/>
    <m/>
    <m/>
    <m/>
    <m/>
    <m/>
    <m/>
    <m/>
    <m/>
    <m/>
    <m/>
  </r>
  <r>
    <s v="SE-02"/>
    <s v="QGBT-3"/>
    <s v="CHL-401"/>
    <s v="CHILLER N°1 (FASE 1)"/>
    <m/>
    <m/>
    <m/>
    <m/>
    <m/>
    <m/>
    <m/>
    <m/>
    <m/>
    <m/>
    <s v="Disjuntor C.M."/>
    <n v="25.470155392888991"/>
    <n v="19.000735923095188"/>
    <m/>
    <n v="0.92"/>
    <n v="1"/>
    <s v="Trifásico"/>
    <n v="440"/>
    <n v="27.1"/>
    <n v="20.652973829451291"/>
    <n v="27.1"/>
    <m/>
    <m/>
    <n v="20"/>
    <m/>
    <m/>
    <m/>
    <m/>
    <n v="20"/>
    <n v="1"/>
    <x v="5"/>
    <n v="20"/>
    <n v="0"/>
    <x v="0"/>
    <m/>
    <n v="0"/>
    <x v="1"/>
    <n v="0"/>
    <s v="NA"/>
    <m/>
    <n v="1"/>
    <m/>
    <m/>
    <m/>
    <m/>
    <m/>
    <m/>
    <m/>
    <m/>
    <m/>
    <m/>
    <m/>
    <m/>
    <m/>
  </r>
  <r>
    <s v="SE-02"/>
    <s v="QGBT-3"/>
    <s v="CHL-402"/>
    <s v="CHILLER N°2 (FASE 1)"/>
    <m/>
    <m/>
    <m/>
    <m/>
    <m/>
    <m/>
    <m/>
    <m/>
    <m/>
    <m/>
    <s v="Disjuntor C.M."/>
    <n v="25.470155392888991"/>
    <n v="19.000735923095188"/>
    <m/>
    <n v="0.92"/>
    <n v="1"/>
    <s v="Trifásico"/>
    <n v="440"/>
    <n v="27.1"/>
    <n v="20.652973829451291"/>
    <n v="27.1"/>
    <m/>
    <m/>
    <n v="20"/>
    <m/>
    <m/>
    <m/>
    <m/>
    <n v="20"/>
    <n v="1"/>
    <x v="5"/>
    <n v="20"/>
    <n v="0"/>
    <x v="0"/>
    <m/>
    <n v="0"/>
    <x v="6"/>
    <n v="0"/>
    <s v="NA"/>
    <m/>
    <n v="1"/>
    <m/>
    <m/>
    <m/>
    <m/>
    <m/>
    <m/>
    <m/>
    <m/>
    <m/>
    <m/>
    <m/>
    <m/>
    <m/>
  </r>
  <r>
    <s v="SE-02"/>
    <s v="QGBT-3"/>
    <s v="CHL-403"/>
    <s v="CHILLER N°3 (FASE 1)"/>
    <m/>
    <m/>
    <m/>
    <m/>
    <m/>
    <m/>
    <m/>
    <m/>
    <m/>
    <m/>
    <s v="Disjuntor C.M."/>
    <n v="25.470155392888991"/>
    <n v="19.000735923095188"/>
    <m/>
    <n v="0.92"/>
    <n v="1"/>
    <s v="Trifásico"/>
    <n v="440"/>
    <n v="27.1"/>
    <n v="20.652973829451291"/>
    <n v="27.1"/>
    <m/>
    <m/>
    <n v="20"/>
    <m/>
    <m/>
    <m/>
    <m/>
    <n v="20"/>
    <n v="1"/>
    <x v="5"/>
    <n v="20"/>
    <n v="0"/>
    <x v="0"/>
    <m/>
    <n v="0"/>
    <x v="6"/>
    <n v="0"/>
    <s v="NA"/>
    <m/>
    <n v="1"/>
    <m/>
    <m/>
    <m/>
    <m/>
    <m/>
    <m/>
    <m/>
    <m/>
    <m/>
    <m/>
    <m/>
    <m/>
    <m/>
  </r>
  <r>
    <s v="SE-02"/>
    <s v="QGBT-3"/>
    <s v="RFD-401"/>
    <s v="RESFRIADOR DDGS (FASE1)"/>
    <m/>
    <m/>
    <m/>
    <m/>
    <m/>
    <m/>
    <m/>
    <m/>
    <m/>
    <m/>
    <s v="Disjuntor C.M."/>
    <n v="301.69446055783641"/>
    <n v="225.06406757614596"/>
    <m/>
    <n v="0.92"/>
    <n v="1"/>
    <s v="Trifásico"/>
    <n v="440"/>
    <n v="321"/>
    <n v="244.63485606102822"/>
    <n v="321"/>
    <m/>
    <m/>
    <n v="20"/>
    <m/>
    <m/>
    <m/>
    <m/>
    <n v="20"/>
    <n v="3"/>
    <x v="6"/>
    <n v="60"/>
    <n v="0"/>
    <x v="0"/>
    <m/>
    <n v="1"/>
    <x v="7"/>
    <n v="20"/>
    <s v="NA"/>
    <m/>
    <n v="1"/>
    <m/>
    <m/>
    <m/>
    <m/>
    <m/>
    <m/>
    <m/>
    <m/>
    <m/>
    <m/>
    <m/>
    <m/>
    <m/>
  </r>
  <r>
    <s v="SE-02"/>
    <s v="QGBT-3"/>
    <s v="PRO-4001, 4002, 4003"/>
    <s v="PONTE ROLANTE"/>
    <m/>
    <m/>
    <m/>
    <m/>
    <m/>
    <m/>
    <m/>
    <m/>
    <m/>
    <m/>
    <s v="Disjuntor C.M."/>
    <n v="34.304821839130923"/>
    <n v="25.59139709199167"/>
    <m/>
    <n v="0.92"/>
    <n v="1"/>
    <s v="Trifásico"/>
    <n v="440"/>
    <n v="36.499999999999993"/>
    <n v="27.816735969556163"/>
    <n v="36.499999999999993"/>
    <m/>
    <m/>
    <n v="100"/>
    <m/>
    <m/>
    <m/>
    <m/>
    <n v="100"/>
    <n v="1"/>
    <x v="7"/>
    <n v="100"/>
    <n v="0"/>
    <x v="0"/>
    <m/>
    <n v="0"/>
    <x v="6"/>
    <n v="0"/>
    <s v="NA"/>
    <m/>
    <n v="1"/>
    <m/>
    <m/>
    <m/>
    <m/>
    <m/>
    <m/>
    <m/>
    <m/>
    <m/>
    <m/>
    <m/>
    <m/>
    <m/>
  </r>
  <r>
    <s v="SE-02"/>
    <s v="QGBT-3"/>
    <s v="TRF-001"/>
    <s v="TRANSFORMADOR DE 150 kVA"/>
    <m/>
    <m/>
    <m/>
    <m/>
    <m/>
    <m/>
    <m/>
    <m/>
    <m/>
    <m/>
    <s v="Disjuntor C.M."/>
    <n v="185.1990450246781"/>
    <n v="138.15848758840986"/>
    <m/>
    <n v="0.92"/>
    <n v="1"/>
    <s v="Trifásico"/>
    <n v="440"/>
    <n v="197.05"/>
    <n v="150.17226911783681"/>
    <n v="197.05"/>
    <m/>
    <m/>
    <n v="20"/>
    <m/>
    <m/>
    <m/>
    <m/>
    <n v="20"/>
    <n v="3"/>
    <x v="8"/>
    <n v="60"/>
    <n v="0"/>
    <x v="0"/>
    <m/>
    <n v="1"/>
    <x v="8"/>
    <n v="20"/>
    <s v="NA"/>
    <m/>
    <n v="1"/>
    <m/>
    <m/>
    <m/>
    <m/>
    <m/>
    <m/>
    <m/>
    <m/>
    <m/>
    <m/>
    <m/>
    <m/>
    <m/>
  </r>
  <r>
    <s v="SE-02"/>
    <s v="QGBT-3"/>
    <s v="PRT001-06"/>
    <s v="BANCO DE CAPACITORES QGBT-3 - TRANSFORMADOR N°3"/>
    <m/>
    <m/>
    <m/>
    <m/>
    <m/>
    <m/>
    <m/>
    <m/>
    <m/>
    <m/>
    <s v="Disjuntor C.M."/>
    <n v="925.94823221676131"/>
    <n v="690.75738123370388"/>
    <m/>
    <n v="0.92"/>
    <n v="1"/>
    <s v="Trifásico"/>
    <n v="440"/>
    <n v="985.19999999999982"/>
    <n v="750.82324047141719"/>
    <n v="985.19999999999982"/>
    <m/>
    <m/>
    <n v="20"/>
    <m/>
    <m/>
    <m/>
    <m/>
    <n v="20"/>
    <n v="6"/>
    <x v="1"/>
    <n v="120"/>
    <n v="0"/>
    <x v="0"/>
    <m/>
    <n v="1"/>
    <x v="0"/>
    <n v="20"/>
    <s v="NA"/>
    <m/>
    <n v="1"/>
    <m/>
    <m/>
    <m/>
    <m/>
    <m/>
    <m/>
    <m/>
    <m/>
    <m/>
    <m/>
    <m/>
    <m/>
    <m/>
  </r>
  <r>
    <s v="SE-03"/>
    <s v="QGBT-4"/>
    <s v="Q0"/>
    <s v="DISJUNTOR DE ENTRADA"/>
    <m/>
    <m/>
    <m/>
    <m/>
    <m/>
    <m/>
    <m/>
    <m/>
    <m/>
    <m/>
    <s v="Disjuntor C.A."/>
    <n v="3007.5460242525751"/>
    <n v="2243.6293340924208"/>
    <m/>
    <n v="0.92"/>
    <n v="1"/>
    <s v="Trifásico"/>
    <n v="440"/>
    <n v="3200.0000000000005"/>
    <n v="2438.7275370569791"/>
    <n v="3200.0000000000005"/>
    <m/>
    <m/>
    <n v="20"/>
    <m/>
    <m/>
    <m/>
    <m/>
    <n v="20"/>
    <n v="21"/>
    <x v="1"/>
    <n v="420"/>
    <n v="0"/>
    <x v="0"/>
    <m/>
    <n v="4"/>
    <x v="0"/>
    <n v="80"/>
    <s v="NA"/>
    <m/>
    <n v="1"/>
    <m/>
    <m/>
    <m/>
    <m/>
    <m/>
    <m/>
    <m/>
    <m/>
    <m/>
    <m/>
    <m/>
    <m/>
    <m/>
  </r>
  <r>
    <s v="SE-03"/>
    <s v="QGBT-4"/>
    <s v="PRM-201"/>
    <s v="PRÉ-MASHER"/>
    <m/>
    <m/>
    <m/>
    <m/>
    <m/>
    <m/>
    <m/>
    <m/>
    <m/>
    <m/>
    <s v="Disjuntor C.M."/>
    <n v="141.1666915133552"/>
    <n v="105.31035186896298"/>
    <m/>
    <n v="0.92"/>
    <n v="1"/>
    <s v="Trifásico"/>
    <n v="440"/>
    <n v="150.19999999999999"/>
    <n v="114.46777377061193"/>
    <n v="150.19999999999999"/>
    <m/>
    <m/>
    <n v="20"/>
    <m/>
    <m/>
    <m/>
    <m/>
    <n v="20"/>
    <n v="3"/>
    <x v="9"/>
    <n v="60"/>
    <n v="0"/>
    <x v="0"/>
    <m/>
    <n v="1"/>
    <x v="8"/>
    <n v="20"/>
    <s v="NA"/>
    <m/>
    <n v="1"/>
    <m/>
    <m/>
    <m/>
    <m/>
    <m/>
    <m/>
    <m/>
    <m/>
    <m/>
    <m/>
    <m/>
    <m/>
    <m/>
  </r>
  <r>
    <s v="SE-03"/>
    <s v="QGBT-4"/>
    <s v="PRT001-13"/>
    <s v="CCM 3.1 - ÁREA 200"/>
    <m/>
    <m/>
    <m/>
    <m/>
    <m/>
    <m/>
    <m/>
    <m/>
    <m/>
    <m/>
    <s v="Disjuntor C.M."/>
    <n v="273.02878751417904"/>
    <n v="203.67947548557757"/>
    <m/>
    <n v="0.92"/>
    <n v="1"/>
    <s v="Trifásico"/>
    <n v="440"/>
    <n v="290.5"/>
    <n v="221.39073422345388"/>
    <n v="290.5"/>
    <m/>
    <m/>
    <n v="20"/>
    <m/>
    <m/>
    <m/>
    <m/>
    <n v="20"/>
    <n v="3"/>
    <x v="6"/>
    <n v="60"/>
    <n v="0"/>
    <x v="0"/>
    <m/>
    <n v="1"/>
    <x v="7"/>
    <n v="20"/>
    <s v="NA"/>
    <m/>
    <n v="1"/>
    <m/>
    <m/>
    <m/>
    <m/>
    <m/>
    <m/>
    <m/>
    <m/>
    <m/>
    <m/>
    <m/>
    <m/>
    <m/>
  </r>
  <r>
    <s v="SE-03"/>
    <s v="QGBT-4"/>
    <s v="PRT001-14"/>
    <s v="CCM 3.2 - ÁREA 300"/>
    <m/>
    <m/>
    <m/>
    <m/>
    <m/>
    <m/>
    <m/>
    <m/>
    <m/>
    <m/>
    <s v="Disjuntor C.M."/>
    <n v="1748.2301124100668"/>
    <n v="1304.1796638579099"/>
    <m/>
    <n v="0.92"/>
    <n v="1"/>
    <s v="Trifásico"/>
    <n v="440"/>
    <n v="1860.1"/>
    <n v="1417.586591149902"/>
    <n v="1860.1"/>
    <m/>
    <m/>
    <n v="20"/>
    <m/>
    <m/>
    <m/>
    <m/>
    <n v="20"/>
    <n v="12"/>
    <x v="1"/>
    <n v="240"/>
    <n v="0"/>
    <x v="0"/>
    <m/>
    <n v="2"/>
    <x v="0"/>
    <n v="40"/>
    <s v="NA"/>
    <m/>
    <n v="1"/>
    <m/>
    <m/>
    <m/>
    <m/>
    <m/>
    <m/>
    <m/>
    <m/>
    <m/>
    <m/>
    <m/>
    <m/>
    <m/>
  </r>
  <r>
    <s v="SE-03"/>
    <s v="QGBT-4"/>
    <s v="PRT001-15"/>
    <s v="CCM 3.3 - ÁREA 700"/>
    <m/>
    <m/>
    <m/>
    <m/>
    <m/>
    <m/>
    <m/>
    <m/>
    <m/>
    <m/>
    <s v="Disjuntor C.M."/>
    <n v="127.1628053379292"/>
    <n v="94.86345278209518"/>
    <m/>
    <n v="0.92"/>
    <n v="1"/>
    <s v="Trifásico"/>
    <n v="440"/>
    <n v="135.30000000000001"/>
    <n v="103.11244867619041"/>
    <n v="135.30000000000001"/>
    <m/>
    <m/>
    <n v="20"/>
    <m/>
    <m/>
    <m/>
    <m/>
    <n v="20"/>
    <n v="1"/>
    <x v="10"/>
    <n v="20"/>
    <n v="0"/>
    <x v="0"/>
    <m/>
    <n v="0"/>
    <x v="6"/>
    <n v="0"/>
    <s v="NA"/>
    <m/>
    <n v="1"/>
    <m/>
    <m/>
    <m/>
    <m/>
    <m/>
    <m/>
    <m/>
    <m/>
    <m/>
    <m/>
    <m/>
    <m/>
    <m/>
  </r>
  <r>
    <s v="SE-03"/>
    <s v="QGBT-4"/>
    <s v="PRO-3001, 3002, 3003"/>
    <s v="PONTE ROLANTE"/>
    <m/>
    <m/>
    <m/>
    <m/>
    <m/>
    <m/>
    <m/>
    <m/>
    <m/>
    <m/>
    <s v="Disjuntor C.M."/>
    <n v="34.304821839130923"/>
    <n v="25.59139709199167"/>
    <m/>
    <n v="0.92"/>
    <n v="1"/>
    <s v="Trifásico"/>
    <n v="440"/>
    <n v="36.499999999999993"/>
    <n v="27.816735969556163"/>
    <n v="36.499999999999993"/>
    <m/>
    <m/>
    <n v="100"/>
    <m/>
    <m/>
    <m/>
    <m/>
    <n v="100"/>
    <n v="1"/>
    <x v="7"/>
    <n v="100"/>
    <n v="0"/>
    <x v="0"/>
    <m/>
    <n v="0"/>
    <x v="6"/>
    <n v="0"/>
    <s v="NA"/>
    <m/>
    <n v="1"/>
    <m/>
    <m/>
    <m/>
    <m/>
    <m/>
    <m/>
    <m/>
    <m/>
    <m/>
    <m/>
    <m/>
    <m/>
    <m/>
  </r>
  <r>
    <s v="SE-03"/>
    <s v="QGBT-4"/>
    <s v="TRF-002"/>
    <s v="TRANSFORMADOR DE 150 kVA"/>
    <m/>
    <m/>
    <m/>
    <m/>
    <m/>
    <m/>
    <m/>
    <m/>
    <m/>
    <m/>
    <s v="Disjuntor C.M."/>
    <n v="185.1990450246781"/>
    <n v="138.15848758840986"/>
    <m/>
    <n v="0.92"/>
    <n v="1"/>
    <s v="Trifásico"/>
    <n v="440"/>
    <n v="197.05"/>
    <n v="150.17226911783681"/>
    <n v="197.05"/>
    <m/>
    <m/>
    <n v="20"/>
    <m/>
    <m/>
    <m/>
    <m/>
    <n v="20"/>
    <n v="3"/>
    <x v="8"/>
    <n v="60"/>
    <n v="0"/>
    <x v="0"/>
    <m/>
    <n v="1"/>
    <x v="8"/>
    <n v="20"/>
    <s v="NA"/>
    <m/>
    <n v="1"/>
    <m/>
    <m/>
    <m/>
    <m/>
    <m/>
    <m/>
    <m/>
    <m/>
    <m/>
    <m/>
    <m/>
    <m/>
    <m/>
  </r>
  <r>
    <s v="SE-03"/>
    <s v="QGBT-4"/>
    <s v="PRT001-07"/>
    <s v="BANCO DE CAPACITORES QGBT-4 - TRANSFORMADOR N°4"/>
    <m/>
    <m/>
    <m/>
    <m/>
    <m/>
    <m/>
    <m/>
    <m/>
    <m/>
    <m/>
    <s v="Disjuntor C.M."/>
    <n v="925.94823221676131"/>
    <n v="690.75738123370388"/>
    <m/>
    <n v="0.92"/>
    <n v="1"/>
    <s v="Trifásico"/>
    <n v="440"/>
    <n v="985.19999999999982"/>
    <n v="750.82324047141719"/>
    <n v="985.19999999999982"/>
    <m/>
    <m/>
    <n v="20"/>
    <m/>
    <m/>
    <m/>
    <m/>
    <n v="20"/>
    <n v="6"/>
    <x v="1"/>
    <n v="120"/>
    <n v="0"/>
    <x v="0"/>
    <m/>
    <n v="1"/>
    <x v="0"/>
    <n v="20"/>
    <s v="NA"/>
    <m/>
    <n v="1"/>
    <m/>
    <m/>
    <m/>
    <m/>
    <m/>
    <m/>
    <m/>
    <m/>
    <m/>
    <m/>
    <m/>
    <m/>
    <m/>
  </r>
  <r>
    <s v="SE-03"/>
    <s v="QGBT-5"/>
    <s v="Q0"/>
    <s v="DISJUNTOR DE ENTRADA"/>
    <m/>
    <m/>
    <m/>
    <m/>
    <m/>
    <m/>
    <m/>
    <m/>
    <m/>
    <m/>
    <s v="Disjuntor C.A."/>
    <n v="3007.5460242525751"/>
    <n v="2243.6293340924208"/>
    <m/>
    <n v="0.92"/>
    <n v="1"/>
    <s v="Trifásico"/>
    <n v="440"/>
    <n v="3200.0000000000005"/>
    <n v="2438.7275370569791"/>
    <n v="3200.0000000000005"/>
    <m/>
    <m/>
    <n v="20"/>
    <m/>
    <m/>
    <m/>
    <m/>
    <n v="20"/>
    <n v="21"/>
    <x v="1"/>
    <n v="420"/>
    <n v="0"/>
    <x v="0"/>
    <m/>
    <n v="4"/>
    <x v="0"/>
    <n v="80"/>
    <s v="NA"/>
    <m/>
    <n v="1"/>
    <m/>
    <m/>
    <m/>
    <m/>
    <m/>
    <m/>
    <m/>
    <m/>
    <m/>
    <m/>
    <m/>
    <m/>
    <m/>
  </r>
  <r>
    <s v="SE-03"/>
    <s v="QGBT-5"/>
    <s v="SCT-301"/>
    <s v="SEDICANTER N°1 (FASE 1)"/>
    <m/>
    <m/>
    <m/>
    <m/>
    <m/>
    <m/>
    <m/>
    <m/>
    <m/>
    <m/>
    <s v="Disjuntor C.M."/>
    <n v="131.29818112127646"/>
    <n v="97.948443116472234"/>
    <m/>
    <n v="0.92"/>
    <n v="1"/>
    <s v="Trifásico"/>
    <n v="440"/>
    <n v="139.69999999999999"/>
    <n v="106.46569903964372"/>
    <n v="139.69999999999999"/>
    <m/>
    <m/>
    <n v="20"/>
    <m/>
    <m/>
    <m/>
    <m/>
    <n v="20"/>
    <n v="1"/>
    <x v="10"/>
    <n v="20"/>
    <n v="0"/>
    <x v="0"/>
    <m/>
    <n v="0"/>
    <x v="6"/>
    <n v="0"/>
    <s v="NA"/>
    <m/>
    <n v="1"/>
    <m/>
    <m/>
    <m/>
    <m/>
    <m/>
    <m/>
    <m/>
    <m/>
    <m/>
    <m/>
    <m/>
    <m/>
    <m/>
  </r>
  <r>
    <s v="SE-03"/>
    <s v="QGBT-5"/>
    <s v="SCT-302"/>
    <s v="SEDICANTER N°2 (FASE 1)"/>
    <m/>
    <m/>
    <m/>
    <m/>
    <m/>
    <m/>
    <m/>
    <m/>
    <m/>
    <m/>
    <s v="Disjuntor C.M."/>
    <n v="131.29818112127646"/>
    <n v="97.948443116472234"/>
    <m/>
    <n v="0.92"/>
    <n v="1"/>
    <s v="Trifásico"/>
    <n v="440"/>
    <n v="139.69999999999999"/>
    <n v="106.46569903964372"/>
    <n v="139.69999999999999"/>
    <m/>
    <m/>
    <n v="20"/>
    <m/>
    <m/>
    <m/>
    <m/>
    <n v="20"/>
    <n v="1"/>
    <x v="10"/>
    <n v="20"/>
    <n v="0"/>
    <x v="0"/>
    <m/>
    <n v="0"/>
    <x v="6"/>
    <n v="0"/>
    <s v="NA"/>
    <m/>
    <n v="1"/>
    <m/>
    <m/>
    <m/>
    <m/>
    <m/>
    <m/>
    <m/>
    <m/>
    <m/>
    <m/>
    <m/>
    <m/>
    <m/>
  </r>
  <r>
    <s v="SE-03"/>
    <s v="QGBT-5"/>
    <s v="SCT-303"/>
    <s v="SEDICANTER N°3 (FASE 1)"/>
    <m/>
    <m/>
    <m/>
    <m/>
    <m/>
    <m/>
    <m/>
    <m/>
    <m/>
    <m/>
    <s v="Disjuntor C.M."/>
    <n v="131.29818112127646"/>
    <n v="97.948443116472234"/>
    <m/>
    <n v="0.92"/>
    <n v="1"/>
    <s v="Trifásico"/>
    <n v="440"/>
    <n v="139.69999999999999"/>
    <n v="106.46569903964372"/>
    <n v="139.69999999999999"/>
    <m/>
    <m/>
    <n v="20"/>
    <m/>
    <m/>
    <m/>
    <m/>
    <n v="20"/>
    <n v="1"/>
    <x v="10"/>
    <n v="20"/>
    <n v="0"/>
    <x v="0"/>
    <m/>
    <n v="0"/>
    <x v="6"/>
    <n v="0"/>
    <s v="NA"/>
    <m/>
    <n v="1"/>
    <m/>
    <m/>
    <m/>
    <m/>
    <m/>
    <m/>
    <m/>
    <m/>
    <m/>
    <m/>
    <m/>
    <m/>
    <m/>
  </r>
  <r>
    <s v="SE-03"/>
    <s v="QGBT-5"/>
    <s v="SCT-304"/>
    <s v="SEDICANTER N°4 (FASE 2)"/>
    <m/>
    <m/>
    <m/>
    <m/>
    <m/>
    <m/>
    <m/>
    <m/>
    <m/>
    <m/>
    <s v="Disjuntor C.M."/>
    <n v="131.29818112127646"/>
    <n v="97.948443116472234"/>
    <m/>
    <n v="0.92"/>
    <n v="1"/>
    <s v="Trifásico"/>
    <n v="440"/>
    <n v="139.69999999999999"/>
    <n v="106.46569903964372"/>
    <n v="139.69999999999999"/>
    <m/>
    <m/>
    <n v="20"/>
    <m/>
    <m/>
    <m/>
    <m/>
    <n v="20"/>
    <n v="1"/>
    <x v="10"/>
    <n v="20"/>
    <n v="0"/>
    <x v="0"/>
    <m/>
    <n v="0"/>
    <x v="6"/>
    <n v="0"/>
    <s v="NA"/>
    <m/>
    <n v="1"/>
    <m/>
    <m/>
    <m/>
    <m/>
    <m/>
    <m/>
    <m/>
    <m/>
    <m/>
    <m/>
    <m/>
    <m/>
    <m/>
  </r>
  <r>
    <s v="SE-03"/>
    <s v="QGBT-5"/>
    <s v="PRT001-16"/>
    <s v="CCM 4.1 - ÁREA 300"/>
    <m/>
    <m/>
    <m/>
    <m/>
    <m/>
    <m/>
    <m/>
    <m/>
    <m/>
    <m/>
    <s v="Disjuntor C.M."/>
    <n v="1139.4839999386941"/>
    <n v="850.05506395426573"/>
    <m/>
    <n v="0.92"/>
    <n v="1"/>
    <s v="Trifásico"/>
    <n v="440"/>
    <n v="1212.3999999999999"/>
    <n v="923.9728956024627"/>
    <n v="1212.3999999999999"/>
    <m/>
    <m/>
    <n v="20"/>
    <m/>
    <m/>
    <m/>
    <m/>
    <n v="20"/>
    <n v="9"/>
    <x v="3"/>
    <n v="180"/>
    <n v="0"/>
    <x v="0"/>
    <m/>
    <n v="2"/>
    <x v="4"/>
    <n v="40"/>
    <s v="NA"/>
    <m/>
    <n v="1"/>
    <m/>
    <m/>
    <m/>
    <m/>
    <m/>
    <m/>
    <m/>
    <m/>
    <m/>
    <m/>
    <m/>
    <m/>
    <m/>
  </r>
  <r>
    <s v="SE-03"/>
    <s v="QGBT-5"/>
    <s v="PRT001-17"/>
    <s v="CCM 4.2 - ÁREA 700"/>
    <m/>
    <m/>
    <m/>
    <m/>
    <m/>
    <m/>
    <m/>
    <m/>
    <m/>
    <m/>
    <s v="Disjuntor C.M."/>
    <n v="609.31002735091988"/>
    <n v="454.54528040378625"/>
    <m/>
    <n v="0.92"/>
    <n v="1"/>
    <s v="Trifásico"/>
    <n v="440"/>
    <n v="648.29999999999984"/>
    <n v="494.0709569606372"/>
    <n v="648.29999999999984"/>
    <m/>
    <m/>
    <n v="20"/>
    <m/>
    <m/>
    <m/>
    <m/>
    <n v="20"/>
    <n v="6"/>
    <x v="11"/>
    <n v="120"/>
    <n v="0"/>
    <x v="0"/>
    <m/>
    <n v="1"/>
    <x v="2"/>
    <n v="20"/>
    <s v="NA"/>
    <m/>
    <n v="1"/>
    <m/>
    <m/>
    <m/>
    <m/>
    <m/>
    <m/>
    <m/>
    <m/>
    <m/>
    <m/>
    <m/>
    <m/>
    <m/>
  </r>
  <r>
    <s v="SE-03"/>
    <s v="QGBT-5"/>
    <s v="PRT001-08"/>
    <s v="BANCO DE CAPACITORES QGBT-5 - TRANSFORMADOR N°5"/>
    <m/>
    <m/>
    <m/>
    <m/>
    <m/>
    <m/>
    <m/>
    <m/>
    <m/>
    <m/>
    <s v="Disjuntor C.M."/>
    <n v="925.94823221676131"/>
    <n v="690.75738123370388"/>
    <m/>
    <n v="0.92"/>
    <n v="1"/>
    <s v="Trifásico"/>
    <n v="440"/>
    <n v="985.19999999999982"/>
    <n v="750.82324047141719"/>
    <n v="985.19999999999982"/>
    <m/>
    <m/>
    <n v="20"/>
    <m/>
    <m/>
    <m/>
    <m/>
    <n v="20"/>
    <n v="6"/>
    <x v="1"/>
    <n v="120"/>
    <n v="0"/>
    <x v="0"/>
    <m/>
    <n v="1"/>
    <x v="0"/>
    <n v="20"/>
    <s v="NA"/>
    <m/>
    <n v="1"/>
    <m/>
    <m/>
    <m/>
    <m/>
    <m/>
    <m/>
    <m/>
    <m/>
    <m/>
    <m/>
    <m/>
    <m/>
    <m/>
  </r>
  <r>
    <n v="100"/>
    <s v="Moagem"/>
    <s v="ECA-101"/>
    <s v="084692 - ELEVADOR DE CANECA 16 POL 20 HP 22.500 MM ACO CARBONO"/>
    <m/>
    <m/>
    <m/>
    <m/>
    <m/>
    <m/>
    <m/>
    <m/>
    <m/>
    <m/>
    <s v="Soft"/>
    <n v="20"/>
    <n v="14.92"/>
    <m/>
    <n v="0.81"/>
    <n v="0.92400000000000004"/>
    <s v="Trifásico"/>
    <n v="440"/>
    <n v="26.15763823999135"/>
    <n v="18.419753086419753"/>
    <n v="78.472914719974057"/>
    <m/>
    <m/>
    <n v="90"/>
    <m/>
    <m/>
    <m/>
    <m/>
    <n v="90"/>
    <n v="1"/>
    <x v="12"/>
    <n v="90"/>
    <n v="0"/>
    <x v="0"/>
    <n v="0"/>
    <n v="0"/>
    <x v="6"/>
    <n v="0"/>
    <s v="132M/L"/>
    <s v="1&quot;"/>
    <n v="1"/>
    <m/>
    <m/>
    <m/>
    <m/>
    <m/>
    <m/>
    <m/>
    <m/>
    <m/>
    <m/>
    <m/>
    <m/>
    <n v="4.4460001420638564"/>
  </r>
  <r>
    <n v="100"/>
    <s v="Moagem"/>
    <s v="FCL-101"/>
    <s v="036740 - FEED  CLEANER  2.000MM C/  ACIONAMENTO  POR REDUTOR"/>
    <m/>
    <m/>
    <m/>
    <m/>
    <m/>
    <m/>
    <m/>
    <m/>
    <m/>
    <m/>
    <s v="Soft"/>
    <n v="15"/>
    <n v="11.19"/>
    <m/>
    <n v="0.85"/>
    <n v="0.91700000000000004"/>
    <s v="Trifásico"/>
    <n v="440"/>
    <n v="18.837727979029246"/>
    <n v="13.164705882352941"/>
    <n v="56.513183937087739"/>
    <m/>
    <m/>
    <n v="90"/>
    <m/>
    <m/>
    <m/>
    <m/>
    <n v="90"/>
    <n v="1"/>
    <x v="13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2.1680191081665816"/>
  </r>
  <r>
    <n v="100"/>
    <s v="Moagem"/>
    <s v="RDL-101"/>
    <s v="084693 - TRANSPORTADOR REDLER  400 X 400 MM 5 HP 10.300 MM ACO CARBONO"/>
    <m/>
    <m/>
    <m/>
    <m/>
    <m/>
    <m/>
    <m/>
    <m/>
    <m/>
    <m/>
    <s v="Soft"/>
    <n v="5"/>
    <n v="3.73"/>
    <m/>
    <n v="0.8"/>
    <n v="0.88"/>
    <s v="Trifásico"/>
    <n v="440"/>
    <n v="6.9522097884727003"/>
    <n v="4.6624999999999996"/>
    <n v="20.856629365418101"/>
    <m/>
    <m/>
    <n v="90"/>
    <m/>
    <m/>
    <m/>
    <m/>
    <n v="90"/>
    <n v="1"/>
    <x v="5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1.2085266538119559"/>
  </r>
  <r>
    <n v="100"/>
    <s v="Moagem"/>
    <s v="ALI-101"/>
    <s v="MOI - ALIMENTADOR"/>
    <m/>
    <m/>
    <m/>
    <m/>
    <m/>
    <m/>
    <m/>
    <m/>
    <m/>
    <s v="CCM Moinhos atual"/>
    <s v="Inversor"/>
    <n v="1.5"/>
    <n v="1.119"/>
    <m/>
    <n v="0.79"/>
    <n v="0.81599999999999995"/>
    <s v="Trifásico"/>
    <n v="440"/>
    <n v="2.2777157907133203"/>
    <n v="1.4164556962025316"/>
    <n v="3.4165736860699805"/>
    <m/>
    <m/>
    <n v="90"/>
    <m/>
    <m/>
    <m/>
    <m/>
    <n v="90"/>
    <n v="1"/>
    <x v="5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100"/>
    <s v="Moagem"/>
    <s v="MOP-101"/>
    <s v="MOI - MOTOR PRINCIPAL"/>
    <m/>
    <m/>
    <m/>
    <m/>
    <m/>
    <m/>
    <m/>
    <m/>
    <m/>
    <s v="CCM Moinhos atual"/>
    <s v="Inversor"/>
    <n v="300"/>
    <n v="223.8"/>
    <m/>
    <n v="0.86"/>
    <n v="0.95900000000000007"/>
    <s v="Trifásico"/>
    <n v="440"/>
    <n v="356.06535570614608"/>
    <n v="260.23255813953489"/>
    <n v="534.09803355921918"/>
    <m/>
    <m/>
    <n v="90"/>
    <m/>
    <m/>
    <m/>
    <m/>
    <n v="90"/>
    <n v="3"/>
    <x v="11"/>
    <n v="270"/>
    <n v="0"/>
    <x v="0"/>
    <n v="0"/>
    <n v="1"/>
    <x v="9"/>
    <n v="90"/>
    <s v="315S/M"/>
    <s v="2 x 3&quot;"/>
    <n v="1"/>
    <m/>
    <m/>
    <m/>
    <m/>
    <m/>
    <m/>
    <m/>
    <m/>
    <m/>
    <m/>
    <m/>
    <m/>
    <n v="0"/>
  </r>
  <r>
    <n v="100"/>
    <s v="Moagem"/>
    <s v="EXA-101"/>
    <s v="MOI - EXAUSTOR"/>
    <m/>
    <m/>
    <m/>
    <m/>
    <m/>
    <m/>
    <m/>
    <m/>
    <m/>
    <s v="CCM Moinhos atual"/>
    <s v="Soft"/>
    <n v="30"/>
    <n v="22.38"/>
    <m/>
    <n v="0.84"/>
    <n v="0.93"/>
    <s v="Trifásico"/>
    <n v="440"/>
    <n v="37.59105753521338"/>
    <n v="26.642857142857142"/>
    <n v="112.77317260564014"/>
    <m/>
    <m/>
    <n v="90"/>
    <m/>
    <m/>
    <m/>
    <m/>
    <n v="90"/>
    <n v="1"/>
    <x v="7"/>
    <n v="90"/>
    <n v="0"/>
    <x v="0"/>
    <n v="0"/>
    <n v="0"/>
    <x v="6"/>
    <n v="0"/>
    <s v="132M"/>
    <s v="1&quot;"/>
    <n v="1"/>
    <m/>
    <m/>
    <m/>
    <m/>
    <m/>
    <m/>
    <m/>
    <m/>
    <m/>
    <m/>
    <m/>
    <m/>
    <n v="4.9222118297615935"/>
  </r>
  <r>
    <n v="100"/>
    <s v="Moagem"/>
    <s v="ROS-101"/>
    <s v="MOI - ROSCA"/>
    <m/>
    <m/>
    <m/>
    <m/>
    <m/>
    <m/>
    <m/>
    <m/>
    <m/>
    <s v="CCM Moinhos atual"/>
    <s v="Direta"/>
    <n v="2"/>
    <n v="1.492"/>
    <m/>
    <n v="0.78"/>
    <n v="0.84200000000000008"/>
    <s v="Trifásico"/>
    <n v="440"/>
    <n v="2.9809097332875214"/>
    <n v="1.9128205128205127"/>
    <n v="17.885458399725128"/>
    <m/>
    <m/>
    <n v="90"/>
    <m/>
    <m/>
    <m/>
    <m/>
    <n v="90"/>
    <n v="1"/>
    <x v="5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0.56141455218969116"/>
  </r>
  <r>
    <n v="100"/>
    <s v="Moagem"/>
    <s v="FCL-102"/>
    <s v="036740 - FEED  CLEANER  2.000MM C/  ACIONAMENTO  POR REDUTOR"/>
    <m/>
    <m/>
    <m/>
    <m/>
    <m/>
    <m/>
    <m/>
    <m/>
    <m/>
    <m/>
    <s v="Soft"/>
    <n v="15"/>
    <n v="11.19"/>
    <m/>
    <n v="0.85"/>
    <n v="0.91700000000000004"/>
    <s v="Trifásico"/>
    <n v="440"/>
    <n v="18.837727979029246"/>
    <n v="13.164705882352941"/>
    <n v="56.513183937087739"/>
    <m/>
    <m/>
    <n v="90"/>
    <m/>
    <m/>
    <m/>
    <m/>
    <n v="90"/>
    <n v="1"/>
    <x v="13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2.1680191081665816"/>
  </r>
  <r>
    <n v="100"/>
    <s v="Moagem"/>
    <s v="ALI-102"/>
    <s v="MOI - ALIMENTADOR"/>
    <m/>
    <m/>
    <m/>
    <m/>
    <m/>
    <m/>
    <m/>
    <m/>
    <m/>
    <s v="CCM Moinhos atual"/>
    <s v="Inversor"/>
    <n v="1.5"/>
    <n v="1.119"/>
    <m/>
    <n v="0.79"/>
    <n v="0.81599999999999995"/>
    <s v="Trifásico"/>
    <n v="440"/>
    <n v="2.2777157907133203"/>
    <n v="1.4164556962025316"/>
    <n v="3.4165736860699805"/>
    <m/>
    <m/>
    <n v="90"/>
    <m/>
    <m/>
    <m/>
    <m/>
    <n v="90"/>
    <n v="1"/>
    <x v="5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100"/>
    <s v="Moagem"/>
    <s v="MOP-102"/>
    <s v="MOI - MOTOR PRINCIPAL"/>
    <m/>
    <m/>
    <m/>
    <m/>
    <m/>
    <m/>
    <m/>
    <m/>
    <m/>
    <s v="CCM Moinhos atual"/>
    <s v="Inversor"/>
    <n v="300"/>
    <n v="223.8"/>
    <m/>
    <n v="0.86"/>
    <n v="0.95900000000000007"/>
    <s v="Trifásico"/>
    <n v="440"/>
    <n v="356.06535570614608"/>
    <n v="260.23255813953489"/>
    <n v="534.09803355921918"/>
    <m/>
    <m/>
    <n v="90"/>
    <m/>
    <m/>
    <m/>
    <m/>
    <n v="90"/>
    <n v="3"/>
    <x v="14"/>
    <n v="270"/>
    <n v="0"/>
    <x v="0"/>
    <n v="0"/>
    <n v="1"/>
    <x v="10"/>
    <n v="90"/>
    <s v="315S/M"/>
    <s v="2 x 3&quot;"/>
    <n v="1"/>
    <m/>
    <m/>
    <m/>
    <m/>
    <m/>
    <m/>
    <m/>
    <m/>
    <m/>
    <m/>
    <m/>
    <m/>
    <n v="0"/>
  </r>
  <r>
    <n v="100"/>
    <s v="Moagem"/>
    <s v="EXA-102"/>
    <s v="MOI - EXAUSTOR"/>
    <m/>
    <m/>
    <m/>
    <m/>
    <m/>
    <m/>
    <m/>
    <m/>
    <m/>
    <s v="CCM Moinhos atual"/>
    <s v="Soft"/>
    <n v="30"/>
    <n v="22.38"/>
    <m/>
    <n v="0.84"/>
    <n v="0.93"/>
    <s v="Trifásico"/>
    <n v="440"/>
    <n v="37.59105753521338"/>
    <n v="26.642857142857142"/>
    <n v="112.77317260564014"/>
    <m/>
    <m/>
    <n v="90"/>
    <m/>
    <m/>
    <m/>
    <m/>
    <n v="90"/>
    <n v="1"/>
    <x v="7"/>
    <n v="90"/>
    <n v="0"/>
    <x v="0"/>
    <n v="0"/>
    <n v="0"/>
    <x v="6"/>
    <n v="0"/>
    <s v="132M"/>
    <s v="1&quot;"/>
    <n v="1"/>
    <m/>
    <m/>
    <m/>
    <m/>
    <m/>
    <m/>
    <m/>
    <m/>
    <m/>
    <m/>
    <m/>
    <m/>
    <n v="4.9222118297615935"/>
  </r>
  <r>
    <n v="100"/>
    <s v="Moagem"/>
    <s v="ROS-102"/>
    <s v="MOI - ROSCA"/>
    <m/>
    <m/>
    <m/>
    <m/>
    <m/>
    <m/>
    <m/>
    <m/>
    <m/>
    <s v="CCM Moinhos atual"/>
    <s v="Direta"/>
    <n v="2"/>
    <n v="1.492"/>
    <m/>
    <n v="0.78"/>
    <n v="0.84200000000000008"/>
    <s v="Trifásico"/>
    <n v="440"/>
    <n v="2.9809097332875214"/>
    <n v="1.9128205128205127"/>
    <n v="17.885458399725128"/>
    <m/>
    <m/>
    <n v="90"/>
    <m/>
    <m/>
    <m/>
    <m/>
    <n v="90"/>
    <n v="1"/>
    <x v="5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0.56141455218969116"/>
  </r>
  <r>
    <n v="100"/>
    <s v="Moagem"/>
    <s v="FCL-103"/>
    <s v="036740 - FEED  CLEANER  2.000MM C/  ACIONAMENTO  POR REDUTOR"/>
    <m/>
    <m/>
    <m/>
    <m/>
    <m/>
    <m/>
    <m/>
    <m/>
    <m/>
    <m/>
    <s v="Soft"/>
    <n v="15"/>
    <n v="11.19"/>
    <m/>
    <n v="0.85"/>
    <n v="0.91700000000000004"/>
    <s v="Trifásico"/>
    <n v="440"/>
    <n v="18.837727979029246"/>
    <n v="13.164705882352941"/>
    <n v="56.513183937087739"/>
    <m/>
    <m/>
    <n v="90"/>
    <m/>
    <m/>
    <m/>
    <m/>
    <n v="90"/>
    <n v="1"/>
    <x v="13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2.1680191081665816"/>
  </r>
  <r>
    <n v="100"/>
    <s v="Moagem"/>
    <s v="RDL-102"/>
    <s v="084695 - TRANSPORTADOR REDLER  400 X 400 MM 6 HP 16.700 MM ACO CARBONO"/>
    <m/>
    <m/>
    <m/>
    <m/>
    <m/>
    <m/>
    <m/>
    <m/>
    <m/>
    <m/>
    <s v="Inversor"/>
    <n v="5"/>
    <n v="3.73"/>
    <m/>
    <n v="0.8"/>
    <n v="0.88"/>
    <s v="Trifásico"/>
    <n v="440"/>
    <n v="6.9522097884727003"/>
    <n v="4.6624999999999996"/>
    <n v="10.42831468270905"/>
    <m/>
    <m/>
    <n v="90"/>
    <m/>
    <m/>
    <m/>
    <m/>
    <n v="90"/>
    <n v="1"/>
    <x v="5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100"/>
    <s v="Moagem"/>
    <s v="ECA-103"/>
    <s v="084696 - ELEVADOR DE CANECA 16 POL  12.5 HP 21.000 MM ACO CARBONO"/>
    <m/>
    <m/>
    <m/>
    <m/>
    <m/>
    <m/>
    <m/>
    <m/>
    <m/>
    <m/>
    <s v="Direta"/>
    <n v="20"/>
    <n v="14.92"/>
    <m/>
    <n v="0.81"/>
    <n v="0.92400000000000004"/>
    <s v="Trifásico"/>
    <n v="440"/>
    <n v="26.15763823999135"/>
    <n v="18.419753086419753"/>
    <n v="156.94582943994811"/>
    <m/>
    <m/>
    <n v="90"/>
    <m/>
    <m/>
    <m/>
    <m/>
    <n v="90"/>
    <n v="1"/>
    <x v="7"/>
    <n v="90"/>
    <n v="0"/>
    <x v="0"/>
    <n v="0"/>
    <n v="0"/>
    <x v="6"/>
    <n v="0"/>
    <s v="132M"/>
    <s v="1&quot;"/>
    <n v="1"/>
    <m/>
    <m/>
    <m/>
    <m/>
    <m/>
    <m/>
    <m/>
    <m/>
    <m/>
    <m/>
    <m/>
    <m/>
    <n v="4.4460001420638564"/>
  </r>
  <r>
    <n v="100"/>
    <s v="Moagem"/>
    <s v="TRC-101"/>
    <s v="TRANSPORTADOR TIPO CALHA PASSO NORMAL  9&quot; X 6.700 mm"/>
    <m/>
    <m/>
    <m/>
    <m/>
    <m/>
    <m/>
    <m/>
    <m/>
    <m/>
    <m/>
    <s v="Direta"/>
    <n v="1.5"/>
    <n v="1.119"/>
    <m/>
    <n v="0.79"/>
    <n v="0.81599999999999995"/>
    <s v="Trifásico"/>
    <n v="440"/>
    <n v="2.2777157907133203"/>
    <n v="1.4164556962025316"/>
    <n v="13.666294744279922"/>
    <m/>
    <m/>
    <n v="90"/>
    <m/>
    <m/>
    <m/>
    <m/>
    <n v="90"/>
    <n v="1"/>
    <x v="5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0.3917466752134442"/>
  </r>
  <r>
    <n v="100"/>
    <s v="Moagem"/>
    <s v="TRC-102"/>
    <s v="TRANSPORTADOR TIPO CALHA PASSO NORMAL 9&quot; X 3.600 mm"/>
    <m/>
    <m/>
    <m/>
    <m/>
    <m/>
    <m/>
    <m/>
    <m/>
    <m/>
    <m/>
    <s v="Direta"/>
    <n v="1.5"/>
    <n v="1.119"/>
    <m/>
    <n v="0.79"/>
    <n v="0.81599999999999995"/>
    <s v="Trifásico"/>
    <n v="440"/>
    <n v="2.2777157907133203"/>
    <n v="1.4164556962025316"/>
    <n v="13.666294744279922"/>
    <m/>
    <m/>
    <n v="90"/>
    <m/>
    <m/>
    <m/>
    <m/>
    <n v="90"/>
    <n v="1"/>
    <x v="5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0.3917466752134442"/>
  </r>
  <r>
    <n v="100"/>
    <s v="Moagem"/>
    <s v="ECA-102"/>
    <s v="ELEVADOR DE CANECAS  10&quot; X 14.500 mm (ALT. UTIL)"/>
    <m/>
    <m/>
    <m/>
    <m/>
    <m/>
    <m/>
    <m/>
    <m/>
    <m/>
    <m/>
    <s v="Direta"/>
    <n v="3"/>
    <n v="2.238"/>
    <m/>
    <n v="0.83"/>
    <n v="0.85099999999999998"/>
    <s v="Trifásico"/>
    <n v="440"/>
    <n v="4.1575657478103292"/>
    <n v="2.6963855421686747"/>
    <n v="24.945394486861975"/>
    <m/>
    <m/>
    <n v="90"/>
    <m/>
    <m/>
    <m/>
    <m/>
    <n v="90"/>
    <n v="1"/>
    <x v="5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0.55056113490915704"/>
  </r>
  <r>
    <n v="100"/>
    <s v="Moagem"/>
    <s v="VRT-103"/>
    <s v="083325 - VALVULA ROTATIVA RETA 400 x 400 MM ACO CARBONO"/>
    <m/>
    <m/>
    <m/>
    <m/>
    <m/>
    <m/>
    <m/>
    <m/>
    <m/>
    <m/>
    <s v="Inversor"/>
    <n v="1.5"/>
    <n v="1.119"/>
    <m/>
    <n v="0.79"/>
    <n v="0.81599999999999995"/>
    <s v="Trifásico"/>
    <n v="440"/>
    <n v="2.2777157907133203"/>
    <n v="1.4164556962025316"/>
    <n v="3.4165736860699805"/>
    <m/>
    <m/>
    <n v="90"/>
    <m/>
    <m/>
    <m/>
    <m/>
    <n v="90"/>
    <n v="1"/>
    <x v="5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100"/>
    <s v="Moagem"/>
    <s v="ALI-103"/>
    <s v="MOI - ALIMENTADOR"/>
    <m/>
    <m/>
    <m/>
    <m/>
    <m/>
    <m/>
    <m/>
    <m/>
    <m/>
    <s v="CCM Moinhos Futuro"/>
    <s v="Inversor"/>
    <n v="1.5"/>
    <n v="1.119"/>
    <m/>
    <n v="0.79"/>
    <n v="0.81599999999999995"/>
    <s v="Trifásico"/>
    <n v="440"/>
    <n v="2.2777157907133203"/>
    <n v="1.4164556962025316"/>
    <n v="3.4165736860699805"/>
    <m/>
    <m/>
    <n v="90"/>
    <m/>
    <m/>
    <m/>
    <m/>
    <n v="90"/>
    <n v="1"/>
    <x v="5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100"/>
    <s v="Moagem"/>
    <s v="MOP-103"/>
    <s v="MOI - MOTOR PRINCIPAL"/>
    <m/>
    <m/>
    <m/>
    <m/>
    <m/>
    <m/>
    <m/>
    <m/>
    <m/>
    <s v="CCM Moinhos Futuro"/>
    <s v="Inversor"/>
    <n v="300"/>
    <n v="223.8"/>
    <m/>
    <n v="0.86"/>
    <n v="0.95900000000000007"/>
    <s v="Trifásico"/>
    <n v="440"/>
    <n v="356.06535570614608"/>
    <n v="260.23255813953489"/>
    <n v="534.09803355921918"/>
    <m/>
    <m/>
    <n v="90"/>
    <m/>
    <m/>
    <m/>
    <m/>
    <n v="90"/>
    <n v="3"/>
    <x v="14"/>
    <n v="270"/>
    <n v="0"/>
    <x v="0"/>
    <n v="0"/>
    <n v="1"/>
    <x v="10"/>
    <n v="90"/>
    <s v="315S/M"/>
    <s v="2 x 3&quot;"/>
    <n v="1"/>
    <m/>
    <m/>
    <m/>
    <m/>
    <m/>
    <m/>
    <m/>
    <m/>
    <m/>
    <m/>
    <m/>
    <m/>
    <n v="0"/>
  </r>
  <r>
    <n v="100"/>
    <s v="Moagem"/>
    <s v="EXA-103"/>
    <s v="MOI - EXAUSTOR"/>
    <m/>
    <m/>
    <m/>
    <m/>
    <m/>
    <m/>
    <m/>
    <m/>
    <m/>
    <s v="CCM Moinhos Futuro"/>
    <s v="Soft"/>
    <n v="30"/>
    <n v="22.38"/>
    <m/>
    <n v="0.84"/>
    <n v="0.93"/>
    <s v="Trifásico"/>
    <n v="440"/>
    <n v="37.59105753521338"/>
    <n v="26.642857142857142"/>
    <n v="112.77317260564014"/>
    <m/>
    <m/>
    <n v="90"/>
    <m/>
    <m/>
    <m/>
    <m/>
    <n v="90"/>
    <n v="1"/>
    <x v="7"/>
    <n v="90"/>
    <n v="0"/>
    <x v="0"/>
    <n v="0"/>
    <n v="0"/>
    <x v="6"/>
    <n v="0"/>
    <s v="132M"/>
    <s v="1&quot;"/>
    <n v="1"/>
    <m/>
    <m/>
    <m/>
    <m/>
    <m/>
    <m/>
    <m/>
    <m/>
    <m/>
    <m/>
    <m/>
    <m/>
    <n v="4.9222118297615935"/>
  </r>
  <r>
    <n v="100"/>
    <s v="Moagem"/>
    <s v="ROS-103"/>
    <s v="MOI - ROSCA"/>
    <m/>
    <m/>
    <m/>
    <m/>
    <m/>
    <m/>
    <m/>
    <m/>
    <m/>
    <s v="CCM Moinhos Futuro"/>
    <s v="Direta"/>
    <n v="2"/>
    <n v="1.492"/>
    <m/>
    <n v="0.78"/>
    <n v="0.84200000000000008"/>
    <s v="Trifásico"/>
    <n v="440"/>
    <n v="2.9809097332875214"/>
    <n v="1.9128205128205127"/>
    <n v="17.885458399725128"/>
    <m/>
    <m/>
    <n v="90"/>
    <m/>
    <m/>
    <m/>
    <m/>
    <n v="90"/>
    <n v="1"/>
    <x v="5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0.56141455218969116"/>
  </r>
  <r>
    <n v="100"/>
    <s v="Moagem"/>
    <s v="FCL-104"/>
    <s v="036740 - FEED  CLEANER  2.000MM C/  ACIONAMENTO  POR REDUTOR"/>
    <m/>
    <m/>
    <m/>
    <m/>
    <m/>
    <m/>
    <m/>
    <m/>
    <m/>
    <m/>
    <s v="Soft"/>
    <n v="15"/>
    <n v="11.19"/>
    <m/>
    <n v="0.85"/>
    <n v="0.91700000000000004"/>
    <s v="Trifásico"/>
    <n v="440"/>
    <n v="18.837727979029246"/>
    <n v="13.164705882352941"/>
    <n v="56.513183937087739"/>
    <m/>
    <m/>
    <n v="90"/>
    <m/>
    <m/>
    <m/>
    <m/>
    <n v="90"/>
    <n v="1"/>
    <x v="13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2.1680191081665816"/>
  </r>
  <r>
    <n v="200"/>
    <s v="Preparo da pasta, hidrólise e resfriamento do mosto"/>
    <s v="BCE - 2001 A"/>
    <s v="MOTO-BOMBA - TANQUE DE PASTA"/>
    <m/>
    <m/>
    <m/>
    <m/>
    <m/>
    <m/>
    <m/>
    <m/>
    <m/>
    <s v="Painel CCM-3.1"/>
    <s v="Inversor"/>
    <n v="40"/>
    <n v="29.84"/>
    <m/>
    <n v="0.85"/>
    <n v="0.93400000000000005"/>
    <s v="Trifásico"/>
    <n v="440"/>
    <n v="49.319619005766796"/>
    <n v="35.10588235294118"/>
    <n v="73.979428508650187"/>
    <m/>
    <m/>
    <n v="100"/>
    <m/>
    <m/>
    <m/>
    <m/>
    <n v="100"/>
    <n v="1"/>
    <x v="15"/>
    <n v="100"/>
    <n v="0"/>
    <x v="0"/>
    <n v="0"/>
    <n v="0"/>
    <x v="6"/>
    <n v="0"/>
    <s v="180L"/>
    <s v="1.1/2&quot;"/>
    <n v="1"/>
    <m/>
    <m/>
    <m/>
    <m/>
    <m/>
    <m/>
    <m/>
    <m/>
    <m/>
    <m/>
    <m/>
    <m/>
    <n v="0"/>
  </r>
  <r>
    <n v="200"/>
    <s v="Preparo da pasta, hidrólise e resfriamento do mosto"/>
    <s v="BCE - 2001 B"/>
    <s v="MOTO-BOMBA - TANQUE DE PASTA"/>
    <m/>
    <m/>
    <m/>
    <m/>
    <m/>
    <m/>
    <m/>
    <m/>
    <m/>
    <s v="Painel CCM-3.1"/>
    <s v="Inversor"/>
    <n v="40"/>
    <n v="29.84"/>
    <m/>
    <n v="0.85"/>
    <n v="0.93400000000000005"/>
    <s v="Trifásico"/>
    <n v="440"/>
    <n v="49.319619005766796"/>
    <n v="35.10588235294118"/>
    <n v="73.979428508650187"/>
    <m/>
    <m/>
    <n v="100"/>
    <m/>
    <m/>
    <m/>
    <m/>
    <n v="100"/>
    <n v="1"/>
    <x v="15"/>
    <n v="100"/>
    <n v="0"/>
    <x v="0"/>
    <n v="0"/>
    <n v="0"/>
    <x v="6"/>
    <n v="0"/>
    <s v="180L"/>
    <s v="1.1/2&quot;"/>
    <n v="1"/>
    <m/>
    <m/>
    <m/>
    <m/>
    <m/>
    <m/>
    <m/>
    <m/>
    <m/>
    <m/>
    <m/>
    <m/>
    <n v="0"/>
  </r>
  <r>
    <n v="200"/>
    <s v="Preparo da pasta, hidrólise e resfriamento do mosto"/>
    <s v="BCE - 2002 A"/>
    <s v="MOTO-BOMBA DE MOSTO"/>
    <m/>
    <m/>
    <m/>
    <m/>
    <m/>
    <m/>
    <m/>
    <m/>
    <m/>
    <s v="Painel CCM-3.1"/>
    <s v="Inversor"/>
    <n v="60"/>
    <n v="44.76"/>
    <m/>
    <n v="0.86"/>
    <n v="0.94099999999999995"/>
    <s v="Trifásico"/>
    <n v="440"/>
    <n v="72.57527654031756"/>
    <n v="52.046511627906973"/>
    <n v="108.86291481047634"/>
    <m/>
    <m/>
    <n v="100"/>
    <m/>
    <m/>
    <m/>
    <m/>
    <n v="100"/>
    <n v="1"/>
    <x v="15"/>
    <n v="100"/>
    <n v="0"/>
    <x v="0"/>
    <n v="0"/>
    <n v="0"/>
    <x v="6"/>
    <n v="0"/>
    <s v="180L"/>
    <s v="1.1/2&quot;"/>
    <n v="1"/>
    <m/>
    <m/>
    <m/>
    <m/>
    <m/>
    <m/>
    <m/>
    <m/>
    <m/>
    <m/>
    <m/>
    <m/>
    <n v="0"/>
  </r>
  <r>
    <n v="200"/>
    <s v="Preparo da pasta, hidrólise e resfriamento do mosto"/>
    <s v="BCE - 2002 B"/>
    <s v="MOTO-BOMBA DE MOSTO"/>
    <m/>
    <m/>
    <m/>
    <m/>
    <m/>
    <m/>
    <m/>
    <m/>
    <m/>
    <s v="Painel CCM-3.1"/>
    <s v="Inversor"/>
    <n v="60"/>
    <n v="44.76"/>
    <m/>
    <n v="0.86"/>
    <n v="0.94099999999999995"/>
    <s v="Trifásico"/>
    <n v="440"/>
    <n v="72.57527654031756"/>
    <n v="52.046511627906973"/>
    <n v="108.86291481047634"/>
    <m/>
    <m/>
    <n v="100"/>
    <m/>
    <m/>
    <m/>
    <m/>
    <n v="100"/>
    <n v="1"/>
    <x v="15"/>
    <n v="100"/>
    <n v="0"/>
    <x v="0"/>
    <n v="0"/>
    <n v="0"/>
    <x v="6"/>
    <n v="0"/>
    <s v="180L"/>
    <s v="1.1/2&quot;"/>
    <n v="1"/>
    <m/>
    <m/>
    <m/>
    <m/>
    <m/>
    <m/>
    <m/>
    <m/>
    <m/>
    <m/>
    <m/>
    <m/>
    <n v="0"/>
  </r>
  <r>
    <n v="200"/>
    <s v="Preparo da pasta, hidrólise e resfriamento do mosto"/>
    <s v="BCE - 2003"/>
    <s v="MOTO-BOMBA - CIP TANQUE DE HIDRÓLISE"/>
    <m/>
    <m/>
    <m/>
    <m/>
    <m/>
    <m/>
    <m/>
    <m/>
    <m/>
    <s v="Painel CCM-3.1"/>
    <s v="Direta"/>
    <n v="10"/>
    <n v="7.46"/>
    <m/>
    <n v="0.84"/>
    <n v="0.91"/>
    <s v="Trifásico"/>
    <n v="440"/>
    <n v="12.805744874633129"/>
    <n v="8.8809523809523814"/>
    <n v="76.834469247798779"/>
    <m/>
    <m/>
    <n v="100"/>
    <m/>
    <m/>
    <m/>
    <m/>
    <n v="100"/>
    <n v="1"/>
    <x v="12"/>
    <n v="100"/>
    <n v="0"/>
    <x v="0"/>
    <n v="0"/>
    <n v="0"/>
    <x v="6"/>
    <n v="0"/>
    <s v="132M/L"/>
    <s v="1&quot;"/>
    <n v="1"/>
    <m/>
    <m/>
    <m/>
    <m/>
    <m/>
    <m/>
    <m/>
    <m/>
    <m/>
    <m/>
    <m/>
    <m/>
    <n v="1.6407372765871995"/>
  </r>
  <r>
    <n v="200"/>
    <s v="Preparo da pasta, hidrólise e resfriamento do mosto"/>
    <s v="PRM-2001"/>
    <s v="PRÉ-MASHER"/>
    <m/>
    <m/>
    <m/>
    <m/>
    <m/>
    <m/>
    <m/>
    <m/>
    <m/>
    <m/>
    <s v="Inversor"/>
    <n v="125"/>
    <n v="93.25"/>
    <m/>
    <n v="0.85"/>
    <n v="0.94900000000000007"/>
    <s v="Trifásico"/>
    <n v="440"/>
    <n v="151.68771124666156"/>
    <n v="109.70588235294117"/>
    <n v="227.53156686999233"/>
    <m/>
    <m/>
    <n v="100"/>
    <m/>
    <m/>
    <m/>
    <m/>
    <n v="100"/>
    <n v="3"/>
    <x v="8"/>
    <n v="300"/>
    <n v="0"/>
    <x v="0"/>
    <n v="0"/>
    <n v="1"/>
    <x v="8"/>
    <n v="100"/>
    <s v="200L"/>
    <s v="2&quot;"/>
    <n v="1"/>
    <m/>
    <m/>
    <m/>
    <m/>
    <m/>
    <m/>
    <m/>
    <m/>
    <m/>
    <m/>
    <m/>
    <m/>
    <n v="0"/>
  </r>
  <r>
    <n v="200"/>
    <s v="Preparo da pasta, hidrólise e resfriamento do mosto"/>
    <s v="FCV-2007"/>
    <s v="VÁLVULA ROTATIVA"/>
    <m/>
    <m/>
    <m/>
    <m/>
    <m/>
    <m/>
    <m/>
    <m/>
    <m/>
    <s v="Painel CCM-3.1"/>
    <s v="Inversor"/>
    <n v="3"/>
    <n v="2.238"/>
    <m/>
    <n v="0.83"/>
    <n v="0.85099999999999998"/>
    <s v="Trifásico"/>
    <n v="440"/>
    <n v="4.1575657478103292"/>
    <n v="2.6963855421686747"/>
    <n v="6.2363486217154938"/>
    <m/>
    <m/>
    <n v="100"/>
    <m/>
    <m/>
    <m/>
    <m/>
    <n v="100"/>
    <n v="1"/>
    <x v="5"/>
    <n v="10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200"/>
    <s v="Preparo da pasta, hidrólise e resfriamento do mosto"/>
    <s v="AGT-2001"/>
    <s v="AGITADOR TANQUE DE PASTA"/>
    <m/>
    <m/>
    <m/>
    <m/>
    <m/>
    <m/>
    <m/>
    <m/>
    <m/>
    <s v="Painel CCM-3.1"/>
    <s v="Inversor"/>
    <n v="30"/>
    <n v="22.38"/>
    <m/>
    <n v="0.84"/>
    <n v="0.93"/>
    <s v="Trifásico"/>
    <n v="440"/>
    <n v="37.59105753521338"/>
    <n v="26.642857142857142"/>
    <n v="56.386586302820071"/>
    <m/>
    <m/>
    <n v="100"/>
    <m/>
    <m/>
    <m/>
    <m/>
    <n v="100"/>
    <n v="1"/>
    <x v="7"/>
    <n v="100"/>
    <n v="0"/>
    <x v="0"/>
    <n v="0"/>
    <n v="0"/>
    <x v="6"/>
    <n v="0"/>
    <s v="132M"/>
    <s v="1&quot;"/>
    <n v="1"/>
    <m/>
    <m/>
    <m/>
    <m/>
    <m/>
    <m/>
    <m/>
    <m/>
    <m/>
    <m/>
    <m/>
    <m/>
    <n v="0"/>
  </r>
  <r>
    <n v="200"/>
    <s v="Preparo da pasta, hidrólise e resfriamento do mosto"/>
    <s v="AGT-2002"/>
    <s v="AGITADOR TANQUE DE HIDRÓLISE"/>
    <m/>
    <m/>
    <m/>
    <m/>
    <m/>
    <m/>
    <m/>
    <m/>
    <m/>
    <s v="Painel CCM-3.1"/>
    <s v="Inversor"/>
    <n v="30"/>
    <n v="22.38"/>
    <m/>
    <n v="0.84"/>
    <n v="0.93"/>
    <s v="Trifásico"/>
    <n v="440"/>
    <n v="37.59105753521338"/>
    <n v="26.642857142857142"/>
    <n v="56.386586302820071"/>
    <m/>
    <m/>
    <n v="100"/>
    <m/>
    <m/>
    <m/>
    <m/>
    <n v="100"/>
    <n v="1"/>
    <x v="7"/>
    <n v="100"/>
    <n v="0"/>
    <x v="0"/>
    <n v="0"/>
    <n v="0"/>
    <x v="6"/>
    <n v="0"/>
    <s v="132M"/>
    <s v="1&quot;"/>
    <n v="1"/>
    <m/>
    <m/>
    <m/>
    <m/>
    <m/>
    <m/>
    <m/>
    <m/>
    <m/>
    <m/>
    <m/>
    <m/>
    <n v="0"/>
  </r>
  <r>
    <n v="200"/>
    <s v="Preparo da pasta, hidrólise e resfriamento do mosto"/>
    <s v="AGT-2003"/>
    <s v="AGITADOR TANQUE DE HIDRÓLISE"/>
    <m/>
    <m/>
    <m/>
    <m/>
    <m/>
    <m/>
    <m/>
    <m/>
    <m/>
    <s v="Painel CCM-3.1"/>
    <s v="Inversor"/>
    <n v="30"/>
    <n v="22.38"/>
    <m/>
    <n v="0.84"/>
    <n v="0.93"/>
    <s v="Trifásico"/>
    <n v="440"/>
    <n v="37.59105753521338"/>
    <n v="26.642857142857142"/>
    <n v="56.386586302820071"/>
    <m/>
    <m/>
    <n v="100"/>
    <m/>
    <m/>
    <m/>
    <m/>
    <n v="100"/>
    <n v="1"/>
    <x v="7"/>
    <n v="100"/>
    <n v="0"/>
    <x v="0"/>
    <n v="0"/>
    <n v="0"/>
    <x v="6"/>
    <n v="0"/>
    <s v="132M"/>
    <s v="1&quot;"/>
    <n v="1"/>
    <m/>
    <m/>
    <m/>
    <m/>
    <m/>
    <m/>
    <m/>
    <m/>
    <m/>
    <m/>
    <m/>
    <m/>
    <n v="0"/>
  </r>
  <r>
    <n v="200"/>
    <s v="Preparo da pasta, hidrólise e resfriamento do mosto"/>
    <s v="AGT-2004"/>
    <s v="AGITADOR TANQUE DE HIDRÓLISE"/>
    <m/>
    <m/>
    <m/>
    <m/>
    <m/>
    <m/>
    <m/>
    <m/>
    <m/>
    <s v="Painel CCM-3.1"/>
    <s v="Inversor"/>
    <n v="30"/>
    <n v="22.38"/>
    <m/>
    <n v="0.84"/>
    <n v="0.93"/>
    <s v="Trifásico"/>
    <n v="440"/>
    <n v="37.59105753521338"/>
    <n v="26.642857142857142"/>
    <n v="56.386586302820071"/>
    <m/>
    <m/>
    <n v="100"/>
    <m/>
    <m/>
    <m/>
    <m/>
    <n v="100"/>
    <n v="1"/>
    <x v="7"/>
    <n v="100"/>
    <n v="0"/>
    <x v="0"/>
    <n v="0"/>
    <n v="0"/>
    <x v="6"/>
    <n v="0"/>
    <s v="132M"/>
    <s v="1&quot;"/>
    <n v="1"/>
    <m/>
    <m/>
    <m/>
    <m/>
    <m/>
    <m/>
    <m/>
    <m/>
    <m/>
    <m/>
    <m/>
    <m/>
    <n v="0"/>
  </r>
  <r>
    <n v="200"/>
    <s v="Preparo da pasta, hidrólise e resfriamento do mosto"/>
    <s v="CLT-2001"/>
    <s v="CABEÇOTE DE LIMPEZA - TANQUE DE PASTA"/>
    <m/>
    <m/>
    <m/>
    <m/>
    <m/>
    <m/>
    <m/>
    <m/>
    <m/>
    <s v="Painel CCM-3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100"/>
    <m/>
    <m/>
    <m/>
    <m/>
    <n v="100"/>
    <n v="1"/>
    <x v="16"/>
    <n v="10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200"/>
    <s v="Preparo da pasta, hidrólise e resfriamento do mosto"/>
    <s v="CLT-2002"/>
    <s v="CABEÇOTE DE LIMPEZA - TANQUE DE PASTA"/>
    <m/>
    <m/>
    <m/>
    <m/>
    <m/>
    <m/>
    <m/>
    <m/>
    <m/>
    <s v="Painel CCM-3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100"/>
    <m/>
    <m/>
    <m/>
    <m/>
    <n v="100"/>
    <n v="1"/>
    <x v="16"/>
    <n v="10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200"/>
    <s v="Preparo da pasta, hidrólise e resfriamento do mosto"/>
    <s v="CLT-2003"/>
    <s v="CABEÇOTE DE LIMPEZA - TANQUE DE HIDRÓLISE TNQ-2002"/>
    <m/>
    <m/>
    <m/>
    <m/>
    <m/>
    <m/>
    <m/>
    <m/>
    <m/>
    <s v="Painel CCM-3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100"/>
    <m/>
    <m/>
    <m/>
    <m/>
    <n v="100"/>
    <n v="1"/>
    <x v="16"/>
    <n v="10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200"/>
    <s v="Preparo da pasta, hidrólise e resfriamento do mosto"/>
    <s v="CLT-2004"/>
    <s v="CABEÇOTE DE LIMPEZA - TANQUE DE HIDRÓLISE TNQ-2002"/>
    <m/>
    <m/>
    <m/>
    <m/>
    <m/>
    <m/>
    <m/>
    <m/>
    <m/>
    <s v="Painel CCM-3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100"/>
    <m/>
    <m/>
    <m/>
    <m/>
    <n v="100"/>
    <n v="1"/>
    <x v="16"/>
    <n v="10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200"/>
    <s v="Preparo da pasta, hidrólise e resfriamento do mosto"/>
    <s v="CLT-2005"/>
    <s v="CABEÇOTE DE LIMPEZA - TANQUE DE HIDRÓLISE TNQ-2003"/>
    <m/>
    <m/>
    <m/>
    <m/>
    <m/>
    <m/>
    <m/>
    <m/>
    <m/>
    <s v="Painel CCM-3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100"/>
    <m/>
    <m/>
    <m/>
    <m/>
    <n v="100"/>
    <n v="1"/>
    <x v="16"/>
    <n v="10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200"/>
    <s v="Preparo da pasta, hidrólise e resfriamento do mosto"/>
    <s v="CLT-2006"/>
    <s v="CABEÇOTE DE LIMPEZA - TANQUE DE HIDRÓLISE TNQ-2003"/>
    <m/>
    <m/>
    <m/>
    <m/>
    <m/>
    <m/>
    <m/>
    <m/>
    <m/>
    <s v="Painel CCM-3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100"/>
    <m/>
    <m/>
    <m/>
    <m/>
    <n v="100"/>
    <n v="1"/>
    <x v="16"/>
    <n v="10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200"/>
    <s v="Preparo da pasta, hidrólise e resfriamento do mosto"/>
    <s v="CLT-2007"/>
    <s v="CABEÇOTE DE LIMPEZA - TANQUE DE HIDRÓLISE TNQ-2004"/>
    <m/>
    <m/>
    <m/>
    <m/>
    <m/>
    <m/>
    <m/>
    <m/>
    <m/>
    <s v="Painel CCM-3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100"/>
    <m/>
    <m/>
    <m/>
    <m/>
    <n v="100"/>
    <n v="1"/>
    <x v="16"/>
    <n v="10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200"/>
    <s v="Preparo da pasta, hidrólise e resfriamento do mosto"/>
    <s v="CLT-2008"/>
    <s v="CABEÇOTE DE LIMPEZA - TANQUE DE HIDRÓLISE TNQ-2004"/>
    <m/>
    <m/>
    <m/>
    <m/>
    <m/>
    <m/>
    <m/>
    <m/>
    <m/>
    <s v="Painel CCM-3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100"/>
    <m/>
    <m/>
    <m/>
    <m/>
    <n v="100"/>
    <n v="1"/>
    <x v="16"/>
    <n v="10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BCE - 3001"/>
    <s v="MOTO-BOMBA -  RECIRCULAÇÃO DE VINHO - FERMENTADORES"/>
    <m/>
    <m/>
    <m/>
    <m/>
    <m/>
    <m/>
    <m/>
    <m/>
    <m/>
    <s v="Painel CCM-3.2"/>
    <s v="Inversor"/>
    <n v="175"/>
    <n v="130.55000000000001"/>
    <m/>
    <n v="0.85"/>
    <n v="0.95299999999999996"/>
    <s v="Trifásico"/>
    <n v="440"/>
    <n v="211.47145137703524"/>
    <n v="153.58823529411765"/>
    <n v="317.20717706555286"/>
    <m/>
    <m/>
    <n v="90"/>
    <m/>
    <m/>
    <m/>
    <m/>
    <n v="90"/>
    <n v="3"/>
    <x v="4"/>
    <n v="270"/>
    <n v="0"/>
    <x v="0"/>
    <n v="0"/>
    <n v="1"/>
    <x v="5"/>
    <n v="90"/>
    <s v="200M"/>
    <s v="2&quot;"/>
    <n v="1"/>
    <m/>
    <m/>
    <m/>
    <m/>
    <m/>
    <m/>
    <m/>
    <m/>
    <m/>
    <m/>
    <m/>
    <m/>
    <n v="0"/>
  </r>
  <r>
    <n v="300"/>
    <s v="Fermentação, separação do levedo e pré-fermentação"/>
    <s v="BCE - 3002"/>
    <s v="MOTO-BOMBA -  RECIRCULAÇÃO DE VINHO - FERMENTADORES"/>
    <m/>
    <m/>
    <m/>
    <m/>
    <m/>
    <m/>
    <m/>
    <m/>
    <m/>
    <s v="Painel CCM-3.2"/>
    <s v="Inversor"/>
    <n v="175"/>
    <n v="130.55000000000001"/>
    <m/>
    <n v="0.85"/>
    <n v="0.95299999999999996"/>
    <s v="Trifásico"/>
    <n v="440"/>
    <n v="211.47145137703524"/>
    <n v="153.58823529411765"/>
    <n v="317.20717706555286"/>
    <m/>
    <m/>
    <n v="90"/>
    <m/>
    <m/>
    <m/>
    <m/>
    <n v="90"/>
    <n v="3"/>
    <x v="4"/>
    <n v="270"/>
    <n v="0"/>
    <x v="0"/>
    <n v="0"/>
    <n v="1"/>
    <x v="5"/>
    <n v="90"/>
    <s v="200M"/>
    <s v="2&quot;"/>
    <n v="1"/>
    <m/>
    <m/>
    <m/>
    <m/>
    <m/>
    <m/>
    <m/>
    <m/>
    <m/>
    <m/>
    <m/>
    <m/>
    <n v="0"/>
  </r>
  <r>
    <n v="300"/>
    <s v="Fermentação, separação do levedo e pré-fermentação"/>
    <s v="BCE - 3003"/>
    <s v="MOTO-BOMBA -  RECIRCULAÇÃO DE VINHO - FERMENTADORES"/>
    <m/>
    <m/>
    <m/>
    <m/>
    <m/>
    <m/>
    <m/>
    <m/>
    <m/>
    <s v="Painel CCM-3.2"/>
    <s v="Inversor"/>
    <n v="175"/>
    <n v="130.55000000000001"/>
    <m/>
    <n v="0.85"/>
    <n v="0.95299999999999996"/>
    <s v="Trifásico"/>
    <n v="440"/>
    <n v="211.47145137703524"/>
    <n v="153.58823529411765"/>
    <n v="317.20717706555286"/>
    <m/>
    <m/>
    <n v="90"/>
    <m/>
    <m/>
    <m/>
    <m/>
    <n v="90"/>
    <n v="3"/>
    <x v="4"/>
    <n v="270"/>
    <n v="0"/>
    <x v="0"/>
    <n v="0"/>
    <n v="1"/>
    <x v="5"/>
    <n v="90"/>
    <s v="200M"/>
    <s v="2&quot;"/>
    <n v="1"/>
    <m/>
    <m/>
    <m/>
    <m/>
    <m/>
    <m/>
    <m/>
    <m/>
    <m/>
    <m/>
    <m/>
    <m/>
    <n v="0"/>
  </r>
  <r>
    <n v="300"/>
    <s v="Fermentação, separação do levedo e pré-fermentação"/>
    <s v="BCE - 3004"/>
    <s v="MOTO-BOMBA -  RECIRCULAÇÃO DE VINHO - FERMENTADORES"/>
    <m/>
    <m/>
    <m/>
    <m/>
    <m/>
    <m/>
    <m/>
    <m/>
    <m/>
    <s v="Painel CCM-3.2"/>
    <s v="Inversor"/>
    <n v="175"/>
    <n v="130.55000000000001"/>
    <m/>
    <n v="0.85"/>
    <n v="0.95299999999999996"/>
    <s v="Trifásico"/>
    <n v="440"/>
    <n v="211.47145137703524"/>
    <n v="153.58823529411765"/>
    <n v="317.20717706555286"/>
    <m/>
    <m/>
    <n v="90"/>
    <m/>
    <m/>
    <m/>
    <m/>
    <n v="90"/>
    <n v="3"/>
    <x v="4"/>
    <n v="270"/>
    <n v="0"/>
    <x v="0"/>
    <n v="0"/>
    <n v="1"/>
    <x v="5"/>
    <n v="90"/>
    <s v="200M"/>
    <s v="2&quot;"/>
    <n v="1"/>
    <m/>
    <m/>
    <m/>
    <m/>
    <m/>
    <m/>
    <m/>
    <m/>
    <m/>
    <m/>
    <m/>
    <m/>
    <n v="0"/>
  </r>
  <r>
    <n v="300"/>
    <s v="Fermentação, separação do levedo e pré-fermentação"/>
    <s v="BCE - 3005"/>
    <s v="MOTO-BOMBA -  RECIRCULAÇÃO DE VINHO - FERMENTADORES"/>
    <m/>
    <m/>
    <m/>
    <m/>
    <m/>
    <m/>
    <m/>
    <m/>
    <m/>
    <s v="Painel CCM-3.2"/>
    <s v="Inversor"/>
    <n v="175"/>
    <n v="130.55000000000001"/>
    <m/>
    <n v="0.85"/>
    <n v="0.95299999999999996"/>
    <s v="Trifásico"/>
    <n v="440"/>
    <n v="211.47145137703524"/>
    <n v="153.58823529411765"/>
    <n v="317.20717706555286"/>
    <m/>
    <m/>
    <n v="90"/>
    <m/>
    <m/>
    <m/>
    <m/>
    <n v="90"/>
    <n v="3"/>
    <x v="4"/>
    <n v="270"/>
    <n v="0"/>
    <x v="0"/>
    <n v="0"/>
    <n v="1"/>
    <x v="5"/>
    <n v="90"/>
    <s v="200M"/>
    <s v="2&quot;"/>
    <n v="1"/>
    <m/>
    <m/>
    <m/>
    <m/>
    <m/>
    <m/>
    <m/>
    <m/>
    <m/>
    <m/>
    <m/>
    <m/>
    <n v="0"/>
  </r>
  <r>
    <n v="300"/>
    <s v="Fermentação, separação do levedo e pré-fermentação"/>
    <s v="BCE - 3006"/>
    <s v="MOTO-BOMBA -  RECIRCULAÇÃO DE VINHO - FERMENTADORES"/>
    <m/>
    <m/>
    <m/>
    <m/>
    <m/>
    <m/>
    <m/>
    <m/>
    <m/>
    <s v="Painel CCM-3.2"/>
    <s v="Inversor"/>
    <n v="175"/>
    <n v="130.55000000000001"/>
    <m/>
    <n v="0.85"/>
    <n v="0.95299999999999996"/>
    <s v="Trifásico"/>
    <n v="440"/>
    <n v="211.47145137703524"/>
    <n v="153.58823529411765"/>
    <n v="317.20717706555286"/>
    <m/>
    <m/>
    <n v="90"/>
    <m/>
    <m/>
    <m/>
    <m/>
    <n v="90"/>
    <n v="3"/>
    <x v="4"/>
    <n v="270"/>
    <n v="0"/>
    <x v="0"/>
    <n v="0"/>
    <n v="1"/>
    <x v="5"/>
    <n v="90"/>
    <s v="200M"/>
    <s v="2&quot;"/>
    <n v="1"/>
    <m/>
    <m/>
    <m/>
    <m/>
    <m/>
    <m/>
    <m/>
    <m/>
    <m/>
    <m/>
    <m/>
    <m/>
    <n v="0"/>
  </r>
  <r>
    <n v="300"/>
    <s v="Fermentação, separação do levedo e pré-fermentação"/>
    <s v="BCE - 3007"/>
    <s v="MOTO-BOMBA -  RECIRCULAÇÃO DE VINHO - FERMENTADORES"/>
    <m/>
    <m/>
    <m/>
    <m/>
    <m/>
    <m/>
    <m/>
    <m/>
    <m/>
    <s v="Painel CCM-3.2"/>
    <s v="Inversor"/>
    <n v="175"/>
    <n v="130.55000000000001"/>
    <m/>
    <n v="0.85"/>
    <n v="0.95299999999999996"/>
    <s v="Trifásico"/>
    <n v="440"/>
    <n v="211.47145137703524"/>
    <n v="153.58823529411765"/>
    <n v="317.20717706555286"/>
    <m/>
    <m/>
    <n v="90"/>
    <m/>
    <m/>
    <m/>
    <m/>
    <n v="90"/>
    <n v="3"/>
    <x v="4"/>
    <n v="270"/>
    <n v="0"/>
    <x v="0"/>
    <n v="0"/>
    <n v="1"/>
    <x v="5"/>
    <n v="90"/>
    <s v="200M"/>
    <s v="2&quot;"/>
    <n v="1"/>
    <m/>
    <m/>
    <m/>
    <m/>
    <m/>
    <m/>
    <m/>
    <m/>
    <m/>
    <m/>
    <m/>
    <m/>
    <n v="0"/>
  </r>
  <r>
    <n v="300"/>
    <s v="Fermentação, separação do levedo e pré-fermentação"/>
    <s v="BCE - 3008"/>
    <s v="MOTO-BOMBA -  RECIRCULAÇÃO DE VINHO - FERMENTADORES"/>
    <m/>
    <m/>
    <m/>
    <m/>
    <m/>
    <m/>
    <m/>
    <m/>
    <m/>
    <s v="Painel CCM-3.2"/>
    <s v="Inversor"/>
    <n v="175"/>
    <n v="130.55000000000001"/>
    <m/>
    <n v="0.85"/>
    <n v="0.95299999999999996"/>
    <s v="Trifásico"/>
    <n v="440"/>
    <n v="211.47145137703524"/>
    <n v="153.58823529411765"/>
    <n v="317.20717706555286"/>
    <m/>
    <m/>
    <n v="90"/>
    <m/>
    <m/>
    <m/>
    <m/>
    <n v="90"/>
    <n v="3"/>
    <x v="4"/>
    <n v="270"/>
    <n v="0"/>
    <x v="0"/>
    <n v="0"/>
    <n v="1"/>
    <x v="5"/>
    <n v="90"/>
    <s v="200M"/>
    <s v="2&quot;"/>
    <n v="1"/>
    <m/>
    <m/>
    <m/>
    <m/>
    <m/>
    <m/>
    <m/>
    <m/>
    <m/>
    <m/>
    <m/>
    <m/>
    <n v="0"/>
  </r>
  <r>
    <n v="300"/>
    <s v="Fermentação, separação do levedo e pré-fermentação"/>
    <s v="BCE - 3009"/>
    <s v="MOTOBOMBA - RECIRCULAÇÃO DE LEVEDO"/>
    <m/>
    <m/>
    <m/>
    <m/>
    <m/>
    <m/>
    <m/>
    <m/>
    <m/>
    <s v="Painel CCM-3.2"/>
    <s v="Soft"/>
    <n v="40"/>
    <n v="29.84"/>
    <m/>
    <n v="0.85"/>
    <n v="0.93400000000000005"/>
    <s v="Trifásico"/>
    <n v="440"/>
    <n v="49.319619005766796"/>
    <n v="35.10588235294118"/>
    <n v="147.95885701730037"/>
    <m/>
    <m/>
    <n v="90"/>
    <m/>
    <m/>
    <m/>
    <m/>
    <n v="90"/>
    <n v="1"/>
    <x v="7"/>
    <n v="90"/>
    <n v="0"/>
    <x v="0"/>
    <n v="0"/>
    <n v="0"/>
    <x v="6"/>
    <n v="0"/>
    <s v="132M"/>
    <s v="1&quot;"/>
    <n v="1"/>
    <m/>
    <m/>
    <m/>
    <m/>
    <m/>
    <m/>
    <m/>
    <m/>
    <m/>
    <m/>
    <m/>
    <m/>
    <n v="5.7813842884442348"/>
  </r>
  <r>
    <n v="300"/>
    <s v="Fermentação, separação do levedo e pré-fermentação"/>
    <s v="BCE - 3010"/>
    <s v="MOTOBOMBA - RECIRCULAÇÃO DE LEVEDO"/>
    <m/>
    <m/>
    <m/>
    <m/>
    <m/>
    <m/>
    <m/>
    <m/>
    <m/>
    <s v="Painel CCM-3.2"/>
    <s v="Soft"/>
    <n v="40"/>
    <n v="29.84"/>
    <m/>
    <n v="0.85"/>
    <n v="0.93400000000000005"/>
    <s v="Trifásico"/>
    <n v="440"/>
    <n v="49.319619005766796"/>
    <n v="35.10588235294118"/>
    <n v="147.95885701730037"/>
    <m/>
    <m/>
    <n v="90"/>
    <m/>
    <m/>
    <m/>
    <m/>
    <n v="90"/>
    <n v="1"/>
    <x v="7"/>
    <n v="90"/>
    <n v="0"/>
    <x v="0"/>
    <n v="0"/>
    <n v="0"/>
    <x v="6"/>
    <n v="0"/>
    <s v="132M"/>
    <s v="1&quot;"/>
    <n v="1"/>
    <m/>
    <m/>
    <m/>
    <m/>
    <m/>
    <m/>
    <m/>
    <m/>
    <m/>
    <m/>
    <m/>
    <m/>
    <n v="5.7813842884442348"/>
  </r>
  <r>
    <n v="300"/>
    <s v="Fermentação, separação do levedo e pré-fermentação"/>
    <s v="BCE - 3011"/>
    <s v="MOTOBOMBA - RECIRCULAÇÃO DE LEVEDO"/>
    <m/>
    <m/>
    <m/>
    <m/>
    <m/>
    <m/>
    <m/>
    <m/>
    <m/>
    <s v="Painel CCM-3.2"/>
    <s v="Soft"/>
    <n v="40"/>
    <n v="29.84"/>
    <m/>
    <n v="0.85"/>
    <n v="0.93400000000000005"/>
    <s v="Trifásico"/>
    <n v="440"/>
    <n v="49.319619005766796"/>
    <n v="35.10588235294118"/>
    <n v="147.95885701730037"/>
    <m/>
    <m/>
    <n v="90"/>
    <m/>
    <m/>
    <m/>
    <m/>
    <n v="90"/>
    <n v="1"/>
    <x v="7"/>
    <n v="90"/>
    <n v="0"/>
    <x v="0"/>
    <n v="0"/>
    <n v="0"/>
    <x v="6"/>
    <n v="0"/>
    <s v="132M"/>
    <s v="1&quot;"/>
    <n v="1"/>
    <m/>
    <m/>
    <m/>
    <m/>
    <m/>
    <m/>
    <m/>
    <m/>
    <m/>
    <m/>
    <m/>
    <m/>
    <n v="5.7813842884442348"/>
  </r>
  <r>
    <n v="300"/>
    <s v="Fermentação, separação do levedo e pré-fermentação"/>
    <s v="BCE - 3012 A"/>
    <s v="MOTO-BOMBA - PARA ENVIO DE VINHO BRUTO AO TANQUES DE VINHO BRUTO/ DECANTERS"/>
    <m/>
    <m/>
    <m/>
    <m/>
    <m/>
    <m/>
    <m/>
    <m/>
    <m/>
    <s v="Painel CCM-4.1"/>
    <s v="Inversor"/>
    <n v="50"/>
    <n v="37.299999999999997"/>
    <m/>
    <n v="0.85"/>
    <n v="0.93599999999999994"/>
    <s v="Trifásico"/>
    <n v="440"/>
    <n v="61.517794005590531"/>
    <n v="43.882352941176471"/>
    <n v="92.276691008385797"/>
    <m/>
    <m/>
    <n v="110"/>
    <m/>
    <m/>
    <m/>
    <m/>
    <n v="110"/>
    <n v="1"/>
    <x v="15"/>
    <n v="110"/>
    <n v="0"/>
    <x v="0"/>
    <n v="0"/>
    <n v="0"/>
    <x v="6"/>
    <n v="0"/>
    <s v="180L"/>
    <s v="1.1/2&quot;"/>
    <n v="1"/>
    <m/>
    <m/>
    <m/>
    <m/>
    <m/>
    <m/>
    <m/>
    <m/>
    <m/>
    <m/>
    <m/>
    <m/>
    <n v="0"/>
  </r>
  <r>
    <n v="300"/>
    <s v="Fermentação, separação do levedo e pré-fermentação"/>
    <s v="BCE - 3012 B"/>
    <s v="MOTO-BOMBA - PARA ENVIO DE VINHO BRUTO AO TANQUES DE VINHO BRUTO/ DECANTERS"/>
    <m/>
    <m/>
    <m/>
    <m/>
    <m/>
    <m/>
    <m/>
    <m/>
    <m/>
    <s v="Painel CCM-4.1"/>
    <s v="Inversor"/>
    <n v="50"/>
    <n v="37.299999999999997"/>
    <m/>
    <n v="0.85"/>
    <n v="0.93599999999999994"/>
    <s v="Trifásico"/>
    <n v="440"/>
    <n v="61.517794005590531"/>
    <n v="43.882352941176471"/>
    <n v="92.276691008385797"/>
    <m/>
    <m/>
    <n v="110"/>
    <m/>
    <m/>
    <m/>
    <m/>
    <n v="110"/>
    <n v="1"/>
    <x v="15"/>
    <n v="110"/>
    <n v="0"/>
    <x v="0"/>
    <n v="0"/>
    <n v="0"/>
    <x v="6"/>
    <n v="0"/>
    <s v="180L"/>
    <s v="1.1/2&quot;"/>
    <n v="1"/>
    <m/>
    <m/>
    <m/>
    <m/>
    <m/>
    <m/>
    <m/>
    <m/>
    <m/>
    <m/>
    <m/>
    <m/>
    <n v="0"/>
  </r>
  <r>
    <n v="300"/>
    <s v="Fermentação, separação do levedo e pré-fermentação"/>
    <s v="BCE - 3012 C"/>
    <s v="MOTO-BOMBA - PARA ENVIO DE VINHO BRUTO AO TANQUES DE VINHO BRUTO/ DECANTERS"/>
    <m/>
    <m/>
    <m/>
    <m/>
    <m/>
    <m/>
    <m/>
    <m/>
    <m/>
    <s v="Painel CCM-4.1"/>
    <s v="Inversor"/>
    <n v="50"/>
    <n v="37.299999999999997"/>
    <m/>
    <n v="0.85"/>
    <n v="0.93599999999999994"/>
    <s v="Trifásico"/>
    <n v="440"/>
    <n v="61.517794005590531"/>
    <n v="43.882352941176471"/>
    <n v="92.276691008385797"/>
    <m/>
    <m/>
    <n v="110"/>
    <m/>
    <m/>
    <m/>
    <m/>
    <n v="110"/>
    <n v="1"/>
    <x v="15"/>
    <n v="110"/>
    <n v="0"/>
    <x v="0"/>
    <n v="0"/>
    <n v="0"/>
    <x v="6"/>
    <n v="0"/>
    <s v="180L"/>
    <s v="1.1/2&quot;"/>
    <n v="1"/>
    <m/>
    <m/>
    <m/>
    <m/>
    <m/>
    <m/>
    <m/>
    <m/>
    <m/>
    <m/>
    <m/>
    <m/>
    <n v="0"/>
  </r>
  <r>
    <n v="300"/>
    <s v="Fermentação, separação do levedo e pré-fermentação"/>
    <s v="BCE - 3014 A"/>
    <s v="MOTO-BOMBA - VINHO A DESTILAR"/>
    <m/>
    <m/>
    <m/>
    <m/>
    <m/>
    <m/>
    <m/>
    <m/>
    <m/>
    <s v="Painel CCM-4.1"/>
    <s v="Inversor"/>
    <n v="50"/>
    <n v="37.299999999999997"/>
    <m/>
    <n v="0.85"/>
    <n v="0.93599999999999994"/>
    <s v="Trifásico"/>
    <n v="440"/>
    <n v="61.517794005590531"/>
    <n v="43.882352941176471"/>
    <n v="92.276691008385797"/>
    <m/>
    <m/>
    <n v="110"/>
    <m/>
    <m/>
    <m/>
    <m/>
    <n v="110"/>
    <n v="1"/>
    <x v="15"/>
    <n v="110"/>
    <n v="0"/>
    <x v="0"/>
    <n v="0"/>
    <n v="0"/>
    <x v="6"/>
    <n v="0"/>
    <s v="180L"/>
    <s v="1.1/2&quot;"/>
    <n v="1"/>
    <m/>
    <m/>
    <m/>
    <m/>
    <m/>
    <m/>
    <m/>
    <m/>
    <m/>
    <m/>
    <m/>
    <m/>
    <n v="0"/>
  </r>
  <r>
    <n v="300"/>
    <s v="Fermentação, separação do levedo e pré-fermentação"/>
    <s v="BCE - 3014 B"/>
    <s v="MOTO-BOMBA - VINHO A DESTILAR"/>
    <m/>
    <m/>
    <m/>
    <m/>
    <m/>
    <m/>
    <m/>
    <m/>
    <m/>
    <s v="Painel CCM-4.1"/>
    <s v="Inversor"/>
    <n v="50"/>
    <n v="37.299999999999997"/>
    <m/>
    <n v="0.85"/>
    <n v="0.93599999999999994"/>
    <s v="Trifásico"/>
    <n v="440"/>
    <n v="61.517794005590531"/>
    <n v="43.882352941176471"/>
    <n v="92.276691008385797"/>
    <m/>
    <m/>
    <n v="110"/>
    <m/>
    <m/>
    <m/>
    <m/>
    <n v="110"/>
    <n v="1"/>
    <x v="15"/>
    <n v="110"/>
    <n v="0"/>
    <x v="0"/>
    <n v="0"/>
    <n v="0"/>
    <x v="6"/>
    <n v="0"/>
    <s v="180L"/>
    <s v="1.1/2&quot;"/>
    <n v="1"/>
    <m/>
    <m/>
    <m/>
    <m/>
    <m/>
    <m/>
    <m/>
    <m/>
    <m/>
    <m/>
    <m/>
    <m/>
    <n v="0"/>
  </r>
  <r>
    <n v="300"/>
    <s v="Fermentação, separação do levedo e pré-fermentação"/>
    <s v="BCE - 3013 A"/>
    <s v="MOTO-BOMBA - VINHO LEVEDURADO A SEDICANTERS"/>
    <m/>
    <m/>
    <m/>
    <m/>
    <m/>
    <m/>
    <m/>
    <m/>
    <m/>
    <s v="Painel CCM-4.1"/>
    <s v="Inversor"/>
    <n v="75"/>
    <n v="55.95"/>
    <m/>
    <n v="0.87"/>
    <n v="0.94400000000000006"/>
    <s v="Trifásico"/>
    <n v="440"/>
    <n v="89.391359056925452"/>
    <n v="64.310344827586206"/>
    <n v="134.08703858538817"/>
    <m/>
    <m/>
    <n v="110"/>
    <m/>
    <m/>
    <m/>
    <m/>
    <n v="110"/>
    <n v="1"/>
    <x v="10"/>
    <n v="110"/>
    <n v="0"/>
    <x v="0"/>
    <n v="0"/>
    <n v="0"/>
    <x v="6"/>
    <n v="0"/>
    <s v="200M"/>
    <s v="2&quot;"/>
    <n v="1"/>
    <m/>
    <m/>
    <m/>
    <m/>
    <m/>
    <m/>
    <m/>
    <m/>
    <m/>
    <m/>
    <m/>
    <m/>
    <n v="0"/>
  </r>
  <r>
    <n v="300"/>
    <s v="Fermentação, separação do levedo e pré-fermentação"/>
    <s v="BCE - 3013 B"/>
    <s v="MOTO-BOMBA - VINHO LEVEDURADO A SEDICANTERS"/>
    <m/>
    <m/>
    <m/>
    <m/>
    <m/>
    <m/>
    <m/>
    <m/>
    <m/>
    <s v="Painel CCM-4.1"/>
    <s v="Inversor"/>
    <n v="75"/>
    <n v="55.95"/>
    <m/>
    <n v="0.87"/>
    <n v="0.94400000000000006"/>
    <s v="Trifásico"/>
    <n v="440"/>
    <n v="89.391359056925452"/>
    <n v="64.310344827586206"/>
    <n v="134.08703858538817"/>
    <m/>
    <m/>
    <n v="110"/>
    <m/>
    <m/>
    <m/>
    <m/>
    <n v="110"/>
    <n v="1"/>
    <x v="10"/>
    <n v="110"/>
    <n v="0"/>
    <x v="0"/>
    <n v="0"/>
    <n v="0"/>
    <x v="6"/>
    <n v="0"/>
    <s v="200M"/>
    <s v="2&quot;"/>
    <n v="1"/>
    <m/>
    <m/>
    <m/>
    <m/>
    <m/>
    <m/>
    <m/>
    <m/>
    <m/>
    <m/>
    <m/>
    <m/>
    <n v="0"/>
  </r>
  <r>
    <n v="300"/>
    <s v="Fermentação, separação do levedo e pré-fermentação"/>
    <s v="BCE - 3015"/>
    <s v="MOTO-BOMBA - ÁGUA PARA SELO MOTO-BOMBAS (ÁREA 200 E 300)"/>
    <m/>
    <m/>
    <m/>
    <m/>
    <m/>
    <m/>
    <m/>
    <m/>
    <m/>
    <s v="Painel CCM-4.1"/>
    <s v="Direta"/>
    <n v="10"/>
    <n v="7.46"/>
    <m/>
    <n v="0.84"/>
    <n v="0.91"/>
    <s v="Trifásico"/>
    <n v="440"/>
    <n v="12.805744874633129"/>
    <n v="8.8809523809523814"/>
    <n v="76.834469247798779"/>
    <m/>
    <m/>
    <n v="110"/>
    <m/>
    <m/>
    <m/>
    <m/>
    <n v="110"/>
    <n v="1"/>
    <x v="12"/>
    <n v="110"/>
    <n v="0"/>
    <x v="0"/>
    <n v="0"/>
    <n v="0"/>
    <x v="6"/>
    <n v="0"/>
    <s v="132M/L"/>
    <s v="1&quot;"/>
    <n v="1"/>
    <m/>
    <m/>
    <m/>
    <m/>
    <m/>
    <m/>
    <m/>
    <m/>
    <m/>
    <m/>
    <m/>
    <m/>
    <n v="1.6407372765871995"/>
  </r>
  <r>
    <n v="300"/>
    <s v="Fermentação, separação do levedo e pré-fermentação"/>
    <s v="BCE - 3016"/>
    <s v="MOTO-BOMBA - ANEL FUNDO DE DORNA"/>
    <m/>
    <m/>
    <m/>
    <m/>
    <m/>
    <m/>
    <m/>
    <m/>
    <m/>
    <s v="Painel CCM-4.1"/>
    <s v="Inversor"/>
    <n v="75"/>
    <n v="55.95"/>
    <m/>
    <n v="0.87"/>
    <n v="0.94400000000000006"/>
    <s v="Trifásico"/>
    <n v="440"/>
    <n v="89.391359056925452"/>
    <n v="64.310344827586206"/>
    <n v="134.08703858538817"/>
    <m/>
    <m/>
    <n v="110"/>
    <m/>
    <m/>
    <m/>
    <m/>
    <n v="110"/>
    <n v="1"/>
    <x v="10"/>
    <n v="110"/>
    <n v="0"/>
    <x v="0"/>
    <n v="0"/>
    <n v="0"/>
    <x v="6"/>
    <n v="0"/>
    <s v="200M"/>
    <s v="2&quot;"/>
    <n v="1"/>
    <m/>
    <m/>
    <m/>
    <m/>
    <m/>
    <m/>
    <m/>
    <m/>
    <m/>
    <m/>
    <m/>
    <m/>
    <n v="0"/>
  </r>
  <r>
    <n v="300"/>
    <s v="Fermentação, separação do levedo e pré-fermentação"/>
    <s v="BCE - 3017 A"/>
    <s v="MOTO-BOMBA - TRASNFERÊNCIA DE PÉ DE CUBA"/>
    <m/>
    <m/>
    <m/>
    <m/>
    <m/>
    <m/>
    <m/>
    <m/>
    <m/>
    <s v="Painel CCM-4.1"/>
    <s v="Inversor"/>
    <n v="150"/>
    <n v="111.9"/>
    <m/>
    <n v="0.86"/>
    <n v="0.95200000000000007"/>
    <s v="Trifásico"/>
    <n v="440"/>
    <n v="179.34174166081624"/>
    <n v="130.11627906976744"/>
    <n v="269.01261249122433"/>
    <m/>
    <m/>
    <n v="110"/>
    <m/>
    <m/>
    <m/>
    <m/>
    <n v="110"/>
    <n v="3"/>
    <x v="4"/>
    <n v="330"/>
    <n v="0"/>
    <x v="0"/>
    <n v="0"/>
    <n v="1"/>
    <x v="5"/>
    <n v="110"/>
    <s v="200M"/>
    <s v="2&quot;"/>
    <n v="1"/>
    <m/>
    <m/>
    <m/>
    <m/>
    <m/>
    <m/>
    <m/>
    <m/>
    <m/>
    <m/>
    <m/>
    <m/>
    <n v="0"/>
  </r>
  <r>
    <n v="300"/>
    <s v="Fermentação, separação do levedo e pré-fermentação"/>
    <s v="BCE - 3017 B"/>
    <s v="MOTO-BOMBA - TRASNFERÊNCIA DE PÉ DE CUBA"/>
    <m/>
    <m/>
    <m/>
    <m/>
    <m/>
    <m/>
    <m/>
    <m/>
    <m/>
    <s v="Painel CCM-4.1"/>
    <s v="Inversor"/>
    <n v="150"/>
    <n v="111.9"/>
    <m/>
    <n v="0.86"/>
    <n v="0.95200000000000007"/>
    <s v="Trifásico"/>
    <n v="440"/>
    <n v="179.34174166081624"/>
    <n v="130.11627906976744"/>
    <n v="269.01261249122433"/>
    <m/>
    <m/>
    <n v="110"/>
    <m/>
    <m/>
    <m/>
    <m/>
    <n v="110"/>
    <n v="3"/>
    <x v="4"/>
    <n v="330"/>
    <n v="0"/>
    <x v="0"/>
    <n v="0"/>
    <n v="1"/>
    <x v="5"/>
    <n v="110"/>
    <s v="200M"/>
    <s v="2&quot;"/>
    <n v="1"/>
    <m/>
    <m/>
    <m/>
    <m/>
    <m/>
    <m/>
    <m/>
    <m/>
    <m/>
    <m/>
    <m/>
    <m/>
    <n v="0"/>
  </r>
  <r>
    <n v="300"/>
    <s v="Fermentação, separação do levedo e pré-fermentação"/>
    <s v="AGT-3001"/>
    <s v="AGITADOR TANQUE FERMENTADORES"/>
    <m/>
    <m/>
    <m/>
    <m/>
    <m/>
    <m/>
    <m/>
    <m/>
    <m/>
    <s v="Painel CCM-4.1"/>
    <s v="Inversor"/>
    <n v="50"/>
    <n v="37.299999999999997"/>
    <m/>
    <n v="0.85"/>
    <n v="0.93599999999999994"/>
    <s v="Trifásico"/>
    <n v="440"/>
    <n v="61.517794005590531"/>
    <n v="43.882352941176471"/>
    <n v="92.276691008385797"/>
    <m/>
    <m/>
    <n v="90"/>
    <m/>
    <m/>
    <m/>
    <m/>
    <n v="90"/>
    <n v="1"/>
    <x v="15"/>
    <n v="90"/>
    <n v="0"/>
    <x v="0"/>
    <n v="0"/>
    <n v="0"/>
    <x v="6"/>
    <n v="0"/>
    <s v="180L"/>
    <s v="1.1/2&quot;"/>
    <n v="1"/>
    <m/>
    <m/>
    <m/>
    <m/>
    <m/>
    <m/>
    <m/>
    <m/>
    <m/>
    <m/>
    <m/>
    <m/>
    <n v="0"/>
  </r>
  <r>
    <n v="300"/>
    <s v="Fermentação, separação do levedo e pré-fermentação"/>
    <s v="AGT-3002"/>
    <s v="AGITADOR TANQUE FERMENTADORES"/>
    <m/>
    <m/>
    <m/>
    <m/>
    <m/>
    <m/>
    <m/>
    <m/>
    <m/>
    <s v="Painel CCM-4.1"/>
    <s v="Inversor"/>
    <n v="50"/>
    <n v="37.299999999999997"/>
    <m/>
    <n v="0.85"/>
    <n v="0.93599999999999994"/>
    <s v="Trifásico"/>
    <n v="440"/>
    <n v="61.517794005590531"/>
    <n v="43.882352941176471"/>
    <n v="92.276691008385797"/>
    <m/>
    <m/>
    <n v="90"/>
    <m/>
    <m/>
    <m/>
    <m/>
    <n v="90"/>
    <n v="1"/>
    <x v="15"/>
    <n v="90"/>
    <n v="0"/>
    <x v="0"/>
    <n v="0"/>
    <n v="0"/>
    <x v="6"/>
    <n v="0"/>
    <s v="180L"/>
    <s v="1.1/2&quot;"/>
    <n v="1"/>
    <m/>
    <m/>
    <m/>
    <m/>
    <m/>
    <m/>
    <m/>
    <m/>
    <m/>
    <m/>
    <m/>
    <m/>
    <n v="0"/>
  </r>
  <r>
    <n v="300"/>
    <s v="Fermentação, separação do levedo e pré-fermentação"/>
    <s v="AGT-3003"/>
    <s v="AGITADOR TANQUE FERMENTADORES"/>
    <m/>
    <m/>
    <m/>
    <m/>
    <m/>
    <m/>
    <m/>
    <m/>
    <m/>
    <s v="Painel CCM-4.1"/>
    <s v="Inversor"/>
    <n v="50"/>
    <n v="37.299999999999997"/>
    <m/>
    <n v="0.85"/>
    <n v="0.93599999999999994"/>
    <s v="Trifásico"/>
    <n v="440"/>
    <n v="61.517794005590531"/>
    <n v="43.882352941176471"/>
    <n v="92.276691008385797"/>
    <m/>
    <m/>
    <n v="90"/>
    <m/>
    <m/>
    <m/>
    <m/>
    <n v="90"/>
    <n v="1"/>
    <x v="15"/>
    <n v="90"/>
    <n v="0"/>
    <x v="0"/>
    <n v="0"/>
    <n v="0"/>
    <x v="6"/>
    <n v="0"/>
    <s v="180L"/>
    <s v="1.1/2&quot;"/>
    <n v="1"/>
    <m/>
    <m/>
    <m/>
    <m/>
    <m/>
    <m/>
    <m/>
    <m/>
    <m/>
    <m/>
    <m/>
    <m/>
    <n v="0"/>
  </r>
  <r>
    <n v="300"/>
    <s v="Fermentação, separação do levedo e pré-fermentação"/>
    <s v="AGT-3004"/>
    <s v="AGITADOR TANQUE FERMENTADORES"/>
    <m/>
    <m/>
    <m/>
    <m/>
    <m/>
    <m/>
    <m/>
    <m/>
    <m/>
    <s v="Painel CCM-4.1"/>
    <s v="Inversor"/>
    <n v="50"/>
    <n v="37.299999999999997"/>
    <m/>
    <n v="0.85"/>
    <n v="0.93599999999999994"/>
    <s v="Trifásico"/>
    <n v="440"/>
    <n v="61.517794005590531"/>
    <n v="43.882352941176471"/>
    <n v="92.276691008385797"/>
    <m/>
    <m/>
    <n v="90"/>
    <m/>
    <m/>
    <m/>
    <m/>
    <n v="90"/>
    <n v="1"/>
    <x v="15"/>
    <n v="90"/>
    <n v="0"/>
    <x v="0"/>
    <n v="0"/>
    <n v="0"/>
    <x v="6"/>
    <n v="0"/>
    <s v="180L"/>
    <s v="1.1/2&quot;"/>
    <n v="1"/>
    <m/>
    <m/>
    <m/>
    <m/>
    <m/>
    <m/>
    <m/>
    <m/>
    <m/>
    <m/>
    <m/>
    <m/>
    <n v="0"/>
  </r>
  <r>
    <n v="300"/>
    <s v="Fermentação, separação do levedo e pré-fermentação"/>
    <s v="AGT-3005"/>
    <s v="AGITADOR TANQUE FERMENTADORES"/>
    <m/>
    <m/>
    <m/>
    <m/>
    <m/>
    <m/>
    <m/>
    <m/>
    <m/>
    <s v="Painel CCM-4.1"/>
    <s v="Inversor"/>
    <n v="50"/>
    <n v="37.299999999999997"/>
    <m/>
    <n v="0.85"/>
    <n v="0.93599999999999994"/>
    <s v="Trifásico"/>
    <n v="440"/>
    <n v="61.517794005590531"/>
    <n v="43.882352941176471"/>
    <n v="92.276691008385797"/>
    <m/>
    <m/>
    <n v="90"/>
    <m/>
    <m/>
    <m/>
    <m/>
    <n v="90"/>
    <n v="1"/>
    <x v="15"/>
    <n v="90"/>
    <n v="0"/>
    <x v="0"/>
    <n v="0"/>
    <n v="0"/>
    <x v="6"/>
    <n v="0"/>
    <s v="180L"/>
    <s v="1.1/2&quot;"/>
    <n v="1"/>
    <m/>
    <m/>
    <m/>
    <m/>
    <m/>
    <m/>
    <m/>
    <m/>
    <m/>
    <m/>
    <m/>
    <m/>
    <n v="0"/>
  </r>
  <r>
    <n v="300"/>
    <s v="Fermentação, separação do levedo e pré-fermentação"/>
    <s v="AGT-3006"/>
    <s v="AGITADOR TANQUE FERMENTADORES"/>
    <m/>
    <m/>
    <m/>
    <m/>
    <m/>
    <m/>
    <m/>
    <m/>
    <m/>
    <s v="Painel CCM-4.1"/>
    <s v="Inversor"/>
    <n v="50"/>
    <n v="37.299999999999997"/>
    <m/>
    <n v="0.85"/>
    <n v="0.93599999999999994"/>
    <s v="Trifásico"/>
    <n v="440"/>
    <n v="61.517794005590531"/>
    <n v="43.882352941176471"/>
    <n v="92.276691008385797"/>
    <m/>
    <m/>
    <n v="90"/>
    <m/>
    <m/>
    <m/>
    <m/>
    <n v="90"/>
    <n v="1"/>
    <x v="15"/>
    <n v="90"/>
    <n v="0"/>
    <x v="0"/>
    <n v="0"/>
    <n v="0"/>
    <x v="6"/>
    <n v="0"/>
    <s v="180L"/>
    <s v="1.1/2&quot;"/>
    <n v="1"/>
    <m/>
    <m/>
    <m/>
    <m/>
    <m/>
    <m/>
    <m/>
    <m/>
    <m/>
    <m/>
    <m/>
    <m/>
    <n v="0"/>
  </r>
  <r>
    <n v="300"/>
    <s v="Fermentação, separação do levedo e pré-fermentação"/>
    <s v="AGT-3007"/>
    <s v="AGITADOR TANQUE FERMENTADORES"/>
    <m/>
    <m/>
    <m/>
    <m/>
    <m/>
    <m/>
    <m/>
    <m/>
    <m/>
    <s v="Painel CCM-4.1"/>
    <s v="Inversor"/>
    <n v="50"/>
    <n v="37.299999999999997"/>
    <m/>
    <n v="0.85"/>
    <n v="0.93599999999999994"/>
    <s v="Trifásico"/>
    <n v="440"/>
    <n v="61.517794005590531"/>
    <n v="43.882352941176471"/>
    <n v="92.276691008385797"/>
    <m/>
    <m/>
    <n v="90"/>
    <m/>
    <m/>
    <m/>
    <m/>
    <n v="90"/>
    <n v="1"/>
    <x v="15"/>
    <n v="90"/>
    <n v="0"/>
    <x v="0"/>
    <n v="0"/>
    <n v="0"/>
    <x v="6"/>
    <n v="0"/>
    <s v="180L"/>
    <s v="1.1/2&quot;"/>
    <n v="1"/>
    <m/>
    <m/>
    <m/>
    <m/>
    <m/>
    <m/>
    <m/>
    <m/>
    <m/>
    <m/>
    <m/>
    <m/>
    <n v="0"/>
  </r>
  <r>
    <n v="300"/>
    <s v="Fermentação, separação do levedo e pré-fermentação"/>
    <s v="AGT-3008"/>
    <s v="AGITADOR TANQUE FERMENTADORES"/>
    <m/>
    <m/>
    <m/>
    <m/>
    <m/>
    <m/>
    <m/>
    <m/>
    <m/>
    <s v="Painel CCM-4.1"/>
    <s v="Inversor"/>
    <n v="50"/>
    <n v="37.299999999999997"/>
    <m/>
    <n v="0.85"/>
    <n v="0.93599999999999994"/>
    <s v="Trifásico"/>
    <n v="440"/>
    <n v="61.517794005590531"/>
    <n v="43.882352941176471"/>
    <n v="92.276691008385797"/>
    <m/>
    <m/>
    <n v="90"/>
    <m/>
    <m/>
    <m/>
    <m/>
    <n v="90"/>
    <n v="1"/>
    <x v="15"/>
    <n v="90"/>
    <n v="0"/>
    <x v="0"/>
    <n v="0"/>
    <n v="0"/>
    <x v="6"/>
    <n v="0"/>
    <s v="180L"/>
    <s v="1.1/2&quot;"/>
    <n v="1"/>
    <m/>
    <m/>
    <m/>
    <m/>
    <m/>
    <m/>
    <m/>
    <m/>
    <m/>
    <m/>
    <m/>
    <m/>
    <n v="0"/>
  </r>
  <r>
    <n v="300"/>
    <s v="Fermentação, separação do levedo e pré-fermentação"/>
    <s v="AGT-3009"/>
    <s v="AGITADOR TANQUE PRÉ-FERMENTADORES"/>
    <m/>
    <m/>
    <m/>
    <m/>
    <m/>
    <m/>
    <m/>
    <m/>
    <m/>
    <s v="Painel CCM-4.1"/>
    <s v="Inversor"/>
    <n v="30"/>
    <n v="22.38"/>
    <m/>
    <n v="0.84"/>
    <n v="0.93"/>
    <s v="Trifásico"/>
    <n v="440"/>
    <n v="37.59105753521338"/>
    <n v="26.642857142857142"/>
    <n v="56.386586302820071"/>
    <m/>
    <m/>
    <n v="110"/>
    <m/>
    <m/>
    <m/>
    <m/>
    <n v="110"/>
    <n v="1"/>
    <x v="7"/>
    <n v="110"/>
    <n v="0"/>
    <x v="0"/>
    <n v="0"/>
    <n v="0"/>
    <x v="6"/>
    <n v="0"/>
    <s v="132M"/>
    <s v="1&quot;"/>
    <n v="1"/>
    <m/>
    <m/>
    <m/>
    <m/>
    <m/>
    <m/>
    <m/>
    <m/>
    <m/>
    <m/>
    <m/>
    <m/>
    <n v="0"/>
  </r>
  <r>
    <n v="300"/>
    <s v="Fermentação, separação do levedo e pré-fermentação"/>
    <s v="AGT-3010"/>
    <s v="AGITADOR TANQUE PRÉ-FERMENTADORES"/>
    <m/>
    <m/>
    <m/>
    <m/>
    <m/>
    <m/>
    <m/>
    <m/>
    <m/>
    <s v="Painel CCM-4.1"/>
    <s v="Inversor"/>
    <n v="30"/>
    <n v="22.38"/>
    <m/>
    <n v="0.84"/>
    <n v="0.93"/>
    <s v="Trifásico"/>
    <n v="440"/>
    <n v="37.59105753521338"/>
    <n v="26.642857142857142"/>
    <n v="56.386586302820071"/>
    <m/>
    <m/>
    <n v="110"/>
    <m/>
    <m/>
    <m/>
    <m/>
    <n v="110"/>
    <n v="1"/>
    <x v="7"/>
    <n v="110"/>
    <n v="0"/>
    <x v="0"/>
    <n v="0"/>
    <n v="0"/>
    <x v="6"/>
    <n v="0"/>
    <s v="132M"/>
    <s v="1&quot;"/>
    <n v="1"/>
    <m/>
    <m/>
    <m/>
    <m/>
    <m/>
    <m/>
    <m/>
    <m/>
    <m/>
    <m/>
    <m/>
    <m/>
    <n v="0"/>
  </r>
  <r>
    <n v="300"/>
    <s v="Fermentação, separação do levedo e pré-fermentação"/>
    <s v="AGT-3011"/>
    <s v="AGITADOR TANQUE PRÉ-FERMENTADORES"/>
    <m/>
    <m/>
    <m/>
    <m/>
    <m/>
    <m/>
    <m/>
    <m/>
    <m/>
    <s v="Painel CCM-4.1"/>
    <s v="Inversor"/>
    <n v="30"/>
    <n v="22.38"/>
    <m/>
    <n v="0.84"/>
    <n v="0.93"/>
    <s v="Trifásico"/>
    <n v="440"/>
    <n v="37.59105753521338"/>
    <n v="26.642857142857142"/>
    <n v="56.386586302820071"/>
    <m/>
    <m/>
    <n v="110"/>
    <m/>
    <m/>
    <m/>
    <m/>
    <n v="110"/>
    <n v="1"/>
    <x v="7"/>
    <n v="110"/>
    <n v="0"/>
    <x v="0"/>
    <n v="0"/>
    <n v="0"/>
    <x v="6"/>
    <n v="0"/>
    <s v="132M"/>
    <s v="1&quot;"/>
    <n v="1"/>
    <m/>
    <m/>
    <m/>
    <m/>
    <m/>
    <m/>
    <m/>
    <m/>
    <m/>
    <m/>
    <m/>
    <m/>
    <n v="0"/>
  </r>
  <r>
    <n v="300"/>
    <s v="Fermentação, separação do levedo e pré-fermentação"/>
    <s v="AGT-3012"/>
    <s v="AGITADOR TANQUE DE VINHO BRUTO"/>
    <m/>
    <m/>
    <m/>
    <m/>
    <m/>
    <m/>
    <m/>
    <m/>
    <m/>
    <s v="Painel CCM-4.1"/>
    <s v="Inversor"/>
    <n v="30"/>
    <n v="22.38"/>
    <m/>
    <n v="0.84"/>
    <n v="0.93"/>
    <s v="Trifásico"/>
    <n v="440"/>
    <n v="37.59105753521338"/>
    <n v="26.642857142857142"/>
    <n v="56.386586302820071"/>
    <m/>
    <m/>
    <n v="120"/>
    <m/>
    <m/>
    <m/>
    <m/>
    <n v="120"/>
    <n v="1"/>
    <x v="7"/>
    <n v="120"/>
    <n v="0"/>
    <x v="0"/>
    <n v="0"/>
    <n v="0"/>
    <x v="6"/>
    <n v="0"/>
    <s v="132M"/>
    <s v="1&quot;"/>
    <n v="1"/>
    <m/>
    <m/>
    <m/>
    <m/>
    <m/>
    <m/>
    <m/>
    <m/>
    <m/>
    <m/>
    <m/>
    <m/>
    <n v="0"/>
  </r>
  <r>
    <n v="300"/>
    <s v="Fermentação, separação do levedo e pré-fermentação"/>
    <s v="AGT-3013"/>
    <s v="AGITADOR TANQUE DE VINHO LEVEDURADO"/>
    <m/>
    <m/>
    <m/>
    <m/>
    <m/>
    <m/>
    <m/>
    <m/>
    <m/>
    <s v="Painel CCM-4.1"/>
    <s v="Inversor"/>
    <n v="15"/>
    <n v="11.19"/>
    <m/>
    <n v="0.85"/>
    <n v="0.91700000000000004"/>
    <s v="Trifásico"/>
    <n v="440"/>
    <n v="18.837727979029246"/>
    <n v="13.164705882352941"/>
    <n v="28.256591968543869"/>
    <m/>
    <m/>
    <n v="120"/>
    <m/>
    <m/>
    <m/>
    <m/>
    <n v="120"/>
    <n v="1"/>
    <x v="12"/>
    <n v="120"/>
    <n v="0"/>
    <x v="0"/>
    <n v="0"/>
    <n v="0"/>
    <x v="6"/>
    <n v="0"/>
    <s v="132M/L"/>
    <s v="1&quot;"/>
    <n v="1"/>
    <m/>
    <m/>
    <m/>
    <m/>
    <m/>
    <m/>
    <m/>
    <m/>
    <m/>
    <m/>
    <m/>
    <m/>
    <n v="0"/>
  </r>
  <r>
    <n v="300"/>
    <s v="Fermentação, separação do levedo e pré-fermentação"/>
    <s v="CLT-3001"/>
    <s v="CABEÇOTE DE LIMPEZA - FERMENTADOR TNQ-3001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CLT-3002"/>
    <s v="CABEÇOTE DE LIMPEZA - FERMENTADOR TNQ-3001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CLT-3003"/>
    <s v="CABEÇOTE DE LIMPEZA - FERMENTADOR TNQ-3002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CLT-3004"/>
    <s v="CABEÇOTE DE LIMPEZA - FERMENTADOR TNQ-3002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CLT-3005"/>
    <s v="CABEÇOTE DE LIMPEZA - FERMENTADOR TNQ-3003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CLT-3006"/>
    <s v="CABEÇOTE DE LIMPEZA - FERMENTADOR TNQ-3003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CLT-3007"/>
    <s v="CABEÇOTE DE LIMPEZA - FERMENTADOR TNQ-3004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CLT-3008"/>
    <s v="CABEÇOTE DE LIMPEZA - FERMENTADOR TNQ-3004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CLT-3009"/>
    <s v="CABEÇOTE DE LIMPEZA - FERMENTADOR TNQ-3005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CLT-3010"/>
    <s v="CABEÇOTE DE LIMPEZA - FERMENTADOR TNQ-3005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CLT-3011"/>
    <s v="CABEÇOTE DE LIMPEZA - FERMENTADOR TNQ-3006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CLT-3012"/>
    <s v="CABEÇOTE DE LIMPEZA - FERMENTADOR TNQ-3006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CLT-3017"/>
    <s v="CABEÇOTE DE LIMPEZA - PRÉ-FERMENTADOR TNQ-3009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CLT-3018"/>
    <s v="CABEÇOTE DE LIMPEZA - PRÉ-FERMENTADOR TNQ-3009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CLT-3019"/>
    <s v="CABEÇOTE DE LIMPEZA - PRÉ-FERMENTADOR TNQ-3010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CLT-3020"/>
    <s v="CABEÇOTE DE LIMPEZA - PRÉ-FERMENTADOR TNQ-3010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CLT-3023"/>
    <s v="CABEÇOTE DE LIMPEZA - TQ VINHO BRUTO TNQ-3012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CLT-3024"/>
    <s v="CABEÇOTE DE LIMPEZA - TQ VINHO BRUTO TNQ-3012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CLT-3025"/>
    <s v="CABEÇOTE DE LIMPEZA - TQ VINHO LEVEDURADO TNQ-3013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CLT-3026"/>
    <s v="CABEÇOTE DE LIMPEZA - TQ VINHO LEVEDURADO TNQ-3013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PRO-3001"/>
    <s v="PONTE ROLANTE - MOTOR ELEVAÇÃO"/>
    <m/>
    <m/>
    <m/>
    <m/>
    <m/>
    <m/>
    <m/>
    <m/>
    <m/>
    <s v="Painel Fornecido com a Ponte"/>
    <s v="Inversor"/>
    <n v="25"/>
    <n v="18.649999999999999"/>
    <m/>
    <n v="0.81"/>
    <n v="0.92799999999999994"/>
    <s v="Trifásico"/>
    <n v="440"/>
    <n v="32.556112249127175"/>
    <n v="23.02469135802469"/>
    <n v="48.834168373690758"/>
    <m/>
    <m/>
    <n v="0"/>
    <m/>
    <m/>
    <m/>
    <m/>
    <n v="0"/>
    <n v="1"/>
    <x v="7"/>
    <n v="0"/>
    <n v="0"/>
    <x v="0"/>
    <n v="0"/>
    <n v="0"/>
    <x v="6"/>
    <n v="0"/>
    <s v="132M"/>
    <s v="1&quot;"/>
    <n v="1"/>
    <m/>
    <m/>
    <m/>
    <m/>
    <m/>
    <m/>
    <m/>
    <m/>
    <m/>
    <m/>
    <m/>
    <m/>
    <n v="0"/>
  </r>
  <r>
    <n v="300"/>
    <s v="Fermentação, separação do levedo e pré-fermentação"/>
    <s v="CLT-3013"/>
    <s v="CABEÇOTE DE LIMPEZA - FERMENTADOR TNQ-3007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CLT-3014"/>
    <s v="CABEÇOTE DE LIMPEZA - FERMENTADOR TNQ-3007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PRO-3002"/>
    <s v="PONTE ROLANTE - MOTOR DIREÇÃO TROLE"/>
    <m/>
    <m/>
    <m/>
    <m/>
    <m/>
    <m/>
    <m/>
    <m/>
    <m/>
    <s v="Painel Fornecido com a Ponte"/>
    <s v="Inversor"/>
    <n v="1"/>
    <n v="0.746"/>
    <m/>
    <n v="0.81"/>
    <n v="0.80500000000000005"/>
    <s v="Trifásico"/>
    <n v="440"/>
    <n v="1.5012209772516776"/>
    <n v="0.92098765432098761"/>
    <n v="2.2518314658775163"/>
    <m/>
    <m/>
    <n v="0"/>
    <m/>
    <m/>
    <m/>
    <m/>
    <n v="0"/>
    <n v="1"/>
    <x v="5"/>
    <n v="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300"/>
    <s v="Fermentação, separação do levedo e pré-fermentação"/>
    <s v="PRO-3003"/>
    <s v="PONTE ROLANTE - MOTOR TRANSLAÇÃO"/>
    <m/>
    <m/>
    <m/>
    <m/>
    <m/>
    <m/>
    <m/>
    <m/>
    <m/>
    <s v="Painel Fornecido com a Ponte"/>
    <s v="Inversor"/>
    <n v="0.75"/>
    <n v="0.5595"/>
    <m/>
    <n v="0.66"/>
    <n v="0.72"/>
    <s v="Trifásico"/>
    <n v="440"/>
    <n v="1.5449355085494896"/>
    <n v="0.84772727272727266"/>
    <n v="2.3174032628242345"/>
    <m/>
    <m/>
    <n v="0"/>
    <m/>
    <m/>
    <m/>
    <m/>
    <n v="0"/>
    <n v="1"/>
    <x v="5"/>
    <n v="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300"/>
    <s v="Fermentação, separação do levedo e pré-fermentação"/>
    <s v="PRO-3003"/>
    <s v="PONTE ROLANTE - MOTOR TRANSLAÇÃO"/>
    <m/>
    <m/>
    <m/>
    <m/>
    <m/>
    <m/>
    <m/>
    <m/>
    <m/>
    <s v="Painel Fornecido com a Ponte"/>
    <s v="Inversor"/>
    <n v="0.75"/>
    <n v="0.5595"/>
    <m/>
    <n v="0.66"/>
    <n v="0.72"/>
    <s v="Trifásico"/>
    <n v="440"/>
    <n v="1.5449355085494896"/>
    <n v="0.84772727272727266"/>
    <n v="2.3174032628242345"/>
    <m/>
    <m/>
    <n v="0"/>
    <m/>
    <m/>
    <m/>
    <m/>
    <n v="0"/>
    <n v="1"/>
    <x v="5"/>
    <n v="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300"/>
    <s v="Fermentação, separação do levedo e pré-fermentação"/>
    <s v="FAL-3001"/>
    <s v="FILTRO DE VINHO LEVEDURADO"/>
    <m/>
    <m/>
    <m/>
    <m/>
    <m/>
    <m/>
    <m/>
    <m/>
    <m/>
    <s v="Painel CCM-4.1"/>
    <s v="Direta"/>
    <n v="0.5"/>
    <n v="0.373"/>
    <m/>
    <n v="0.69"/>
    <n v="0.7"/>
    <s v="Trifásico"/>
    <n v="440"/>
    <n v="1.0133241596448825"/>
    <n v="0.54057971014492756"/>
    <n v="6.0799449578692952"/>
    <m/>
    <m/>
    <n v="90"/>
    <m/>
    <m/>
    <m/>
    <m/>
    <n v="90"/>
    <n v="1"/>
    <x v="5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0.23237932328500399"/>
  </r>
  <r>
    <n v="300"/>
    <s v="Fermentação, separação do levedo e pré-fermentação"/>
    <s v="SCT-3001 (ME-01)"/>
    <s v="SEDICANTER - motor decanter bowl S100.01-M01"/>
    <m/>
    <m/>
    <m/>
    <m/>
    <m/>
    <m/>
    <m/>
    <m/>
    <m/>
    <s v="Disjuntor"/>
    <s v="Inversor"/>
    <n v="100"/>
    <n v="74.599999999999994"/>
    <m/>
    <n v="0.87"/>
    <n v="0.94599999999999995"/>
    <s v="Trifásico"/>
    <n v="440"/>
    <n v="118.93649464374577"/>
    <n v="85.747126436781599"/>
    <n v="178.40474196561865"/>
    <m/>
    <m/>
    <n v="120"/>
    <m/>
    <m/>
    <m/>
    <m/>
    <n v="120"/>
    <n v="3"/>
    <x v="9"/>
    <n v="360"/>
    <n v="0"/>
    <x v="0"/>
    <n v="0"/>
    <n v="1"/>
    <x v="8"/>
    <n v="120"/>
    <s v="180M"/>
    <s v="1.1/2&quot;"/>
    <n v="1"/>
    <m/>
    <m/>
    <m/>
    <m/>
    <m/>
    <m/>
    <m/>
    <m/>
    <m/>
    <m/>
    <m/>
    <m/>
    <n v="0"/>
  </r>
  <r>
    <n v="300"/>
    <s v="Fermentação, separação do levedo e pré-fermentação"/>
    <s v="SCT-3001 (ME-02)"/>
    <s v="SEDICANTER - motor decanter scroll S100.01-M02"/>
    <m/>
    <m/>
    <m/>
    <m/>
    <m/>
    <m/>
    <m/>
    <m/>
    <m/>
    <s v="Disjuntor"/>
    <s v="Inversor"/>
    <n v="15"/>
    <n v="11.19"/>
    <m/>
    <n v="0.85"/>
    <n v="0.91700000000000004"/>
    <s v="Trifásico"/>
    <n v="440"/>
    <n v="18.837727979029246"/>
    <n v="13.164705882352941"/>
    <n v="28.256591968543869"/>
    <m/>
    <m/>
    <n v="120"/>
    <m/>
    <m/>
    <m/>
    <m/>
    <n v="120"/>
    <n v="1"/>
    <x v="12"/>
    <n v="120"/>
    <n v="0"/>
    <x v="0"/>
    <n v="0"/>
    <n v="0"/>
    <x v="6"/>
    <n v="0"/>
    <s v="132M/L"/>
    <s v="1&quot;"/>
    <n v="1"/>
    <m/>
    <m/>
    <m/>
    <m/>
    <m/>
    <m/>
    <m/>
    <m/>
    <m/>
    <m/>
    <m/>
    <m/>
    <n v="0"/>
  </r>
  <r>
    <n v="300"/>
    <s v="Fermentação, separação do levedo e pré-fermentação"/>
    <s v="SCT-3001 (ME-03)"/>
    <s v="SEDICANTER - motor automatic impeller S100.01-M03"/>
    <m/>
    <m/>
    <m/>
    <m/>
    <m/>
    <m/>
    <m/>
    <m/>
    <m/>
    <s v="Disjuntor"/>
    <s v="Direta"/>
    <n v="0.05"/>
    <n v="3.73E-2"/>
    <m/>
    <n v="0.84"/>
    <n v="0.93"/>
    <s v="Trifásico"/>
    <n v="440"/>
    <n v="6.2651762558688984E-2"/>
    <n v="4.4404761904761905E-2"/>
    <n v="0.3759105753521339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8.2036863829359971E-3"/>
  </r>
  <r>
    <n v="300"/>
    <s v="Fermentação, separação do levedo e pré-fermentação"/>
    <s v="SCT-3002 (ME-01)"/>
    <s v="SEDICANTER - motor decanter bowl S200.01-M01"/>
    <m/>
    <m/>
    <m/>
    <m/>
    <m/>
    <m/>
    <m/>
    <m/>
    <m/>
    <s v="Disjuntor"/>
    <s v="Inversor"/>
    <n v="100"/>
    <n v="74.599999999999994"/>
    <m/>
    <n v="0.87"/>
    <n v="0.94599999999999995"/>
    <s v="Trifásico"/>
    <n v="440"/>
    <n v="118.93649464374577"/>
    <n v="85.747126436781599"/>
    <n v="178.40474196561865"/>
    <m/>
    <m/>
    <n v="120"/>
    <m/>
    <m/>
    <m/>
    <m/>
    <n v="120"/>
    <n v="3"/>
    <x v="9"/>
    <n v="360"/>
    <n v="0"/>
    <x v="0"/>
    <n v="0"/>
    <n v="1"/>
    <x v="8"/>
    <n v="120"/>
    <s v="180M"/>
    <s v="1.1/2&quot;"/>
    <n v="1"/>
    <m/>
    <m/>
    <m/>
    <m/>
    <m/>
    <m/>
    <m/>
    <m/>
    <m/>
    <m/>
    <m/>
    <m/>
    <n v="0"/>
  </r>
  <r>
    <n v="300"/>
    <s v="Fermentação, separação do levedo e pré-fermentação"/>
    <s v="SCT-3002 (ME-02)"/>
    <s v="SEDICANTER - motor decanter scroll S200.01-M02"/>
    <m/>
    <m/>
    <m/>
    <m/>
    <m/>
    <m/>
    <m/>
    <m/>
    <m/>
    <s v="Disjuntor"/>
    <s v="Inversor"/>
    <n v="15"/>
    <n v="11.19"/>
    <m/>
    <n v="0.85"/>
    <n v="0.91700000000000004"/>
    <s v="Trifásico"/>
    <n v="440"/>
    <n v="18.837727979029246"/>
    <n v="13.164705882352941"/>
    <n v="28.256591968543869"/>
    <m/>
    <m/>
    <n v="120"/>
    <m/>
    <m/>
    <m/>
    <m/>
    <n v="120"/>
    <n v="1"/>
    <x v="12"/>
    <n v="120"/>
    <n v="0"/>
    <x v="0"/>
    <n v="0"/>
    <n v="0"/>
    <x v="6"/>
    <n v="0"/>
    <s v="132M/L"/>
    <s v="1&quot;"/>
    <n v="1"/>
    <m/>
    <m/>
    <m/>
    <m/>
    <m/>
    <m/>
    <m/>
    <m/>
    <m/>
    <m/>
    <m/>
    <m/>
    <n v="0"/>
  </r>
  <r>
    <n v="300"/>
    <s v="Fermentação, separação do levedo e pré-fermentação"/>
    <s v="SCT-3002 (ME-03)"/>
    <s v="SEDICANTER - motor automatic impeller S200.01-M03"/>
    <m/>
    <m/>
    <m/>
    <m/>
    <m/>
    <m/>
    <m/>
    <m/>
    <m/>
    <s v="Disjuntor"/>
    <s v="Direta"/>
    <n v="0.05"/>
    <n v="3.73E-2"/>
    <m/>
    <n v="0.84"/>
    <n v="0.93"/>
    <s v="Trifásico"/>
    <n v="440"/>
    <n v="6.2651762558688984E-2"/>
    <n v="4.4404761904761905E-2"/>
    <n v="0.3759105753521339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8.2036863829359971E-3"/>
  </r>
  <r>
    <n v="300"/>
    <s v="Fermentação, separação do levedo e pré-fermentação"/>
    <s v="SCT-3003 (ME-01)"/>
    <s v="SEDICANTER - motor decanter bowl S300.01-M01"/>
    <m/>
    <m/>
    <m/>
    <m/>
    <m/>
    <m/>
    <m/>
    <m/>
    <m/>
    <s v="Disjuntor"/>
    <s v="Inversor"/>
    <n v="100"/>
    <n v="74.599999999999994"/>
    <m/>
    <n v="0.87"/>
    <n v="0.94599999999999995"/>
    <s v="Trifásico"/>
    <n v="440"/>
    <n v="118.93649464374577"/>
    <n v="85.747126436781599"/>
    <n v="178.40474196561865"/>
    <m/>
    <m/>
    <n v="120"/>
    <m/>
    <m/>
    <m/>
    <m/>
    <n v="120"/>
    <n v="3"/>
    <x v="9"/>
    <n v="360"/>
    <n v="0"/>
    <x v="0"/>
    <n v="0"/>
    <n v="1"/>
    <x v="8"/>
    <n v="120"/>
    <s v="180M"/>
    <s v="1.1/2&quot;"/>
    <n v="1"/>
    <m/>
    <m/>
    <m/>
    <m/>
    <m/>
    <m/>
    <m/>
    <m/>
    <m/>
    <m/>
    <m/>
    <m/>
    <n v="0"/>
  </r>
  <r>
    <n v="300"/>
    <s v="Fermentação, separação do levedo e pré-fermentação"/>
    <s v="SCT-3003 (ME-02)"/>
    <s v="SEDICANTER - motor decanter scroll S300.01-M02"/>
    <m/>
    <m/>
    <m/>
    <m/>
    <m/>
    <m/>
    <m/>
    <m/>
    <m/>
    <s v="Disjuntor"/>
    <s v="Inversor"/>
    <n v="15"/>
    <n v="11.19"/>
    <m/>
    <n v="0.85"/>
    <n v="0.91700000000000004"/>
    <s v="Trifásico"/>
    <n v="440"/>
    <n v="18.837727979029246"/>
    <n v="13.164705882352941"/>
    <n v="28.256591968543869"/>
    <m/>
    <m/>
    <n v="120"/>
    <m/>
    <m/>
    <m/>
    <m/>
    <n v="120"/>
    <n v="1"/>
    <x v="12"/>
    <n v="120"/>
    <n v="0"/>
    <x v="0"/>
    <n v="0"/>
    <n v="0"/>
    <x v="6"/>
    <n v="0"/>
    <s v="132M/L"/>
    <s v="1&quot;"/>
    <n v="1"/>
    <m/>
    <m/>
    <m/>
    <m/>
    <m/>
    <m/>
    <m/>
    <m/>
    <m/>
    <m/>
    <m/>
    <m/>
    <n v="0"/>
  </r>
  <r>
    <n v="300"/>
    <s v="Fermentação, separação do levedo e pré-fermentação"/>
    <s v="SCT-3003 (ME-03)"/>
    <s v="SEDICANTER - motor automatic impeller S300.01-M03"/>
    <m/>
    <m/>
    <m/>
    <m/>
    <m/>
    <m/>
    <m/>
    <m/>
    <m/>
    <s v="Disjuntor"/>
    <s v="Direta"/>
    <n v="0.05"/>
    <n v="3.73E-2"/>
    <m/>
    <n v="0.84"/>
    <n v="0.93"/>
    <s v="Trifásico"/>
    <n v="440"/>
    <n v="6.2651762558688984E-2"/>
    <n v="4.4404761904761905E-2"/>
    <n v="0.3759105753521339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8.2036863829359971E-3"/>
  </r>
  <r>
    <n v="300"/>
    <s v="Fermentação, separação do levedo e pré-fermentação"/>
    <s v="CLT-3015"/>
    <s v="CABEÇOTE DE LIMPEZA - FERMENTADOR TNQ-3008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CLT-3016"/>
    <s v="CABEÇOTE DE LIMPEZA - FERMENTADOR TNQ-3008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CLT-3021"/>
    <s v="CABEÇOTE DE LIMPEZA - PRÉ-FERMENTADOR TNQ-3011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CLT-3022"/>
    <s v="CABEÇOTE DE LIMPEZA - PRÉ-FERMENTADOR TNQ-3011"/>
    <m/>
    <m/>
    <m/>
    <m/>
    <m/>
    <m/>
    <m/>
    <m/>
    <m/>
    <s v="Painel CCM-4.1"/>
    <s v="Direta"/>
    <n v="0.03"/>
    <n v="2.2380000000000001E-2"/>
    <m/>
    <n v="0.84"/>
    <n v="0.93"/>
    <s v="Mono/Bi/Vcc"/>
    <n v="220"/>
    <n v="0.13021924312246891"/>
    <n v="2.6642857142857145E-2"/>
    <n v="0.78131545873481345"/>
    <m/>
    <m/>
    <n v="90"/>
    <m/>
    <m/>
    <m/>
    <m/>
    <n v="90"/>
    <n v="1"/>
    <x v="16"/>
    <n v="90"/>
    <n v="0"/>
    <x v="0"/>
    <n v="0"/>
    <n v="0"/>
    <x v="6"/>
    <n v="0"/>
    <s v="100L"/>
    <s v="3/4&quot;"/>
    <n v="1"/>
    <m/>
    <m/>
    <m/>
    <m/>
    <m/>
    <m/>
    <m/>
    <m/>
    <m/>
    <m/>
    <m/>
    <m/>
    <n v="4.922211829761599E-3"/>
  </r>
  <r>
    <n v="300"/>
    <s v="Fermentação, separação do levedo e pré-fermentação"/>
    <s v="SCT-3004 (ME-01)"/>
    <s v="SEDICANTER - motor decanter bowl S300.01-M01"/>
    <m/>
    <m/>
    <m/>
    <m/>
    <m/>
    <m/>
    <m/>
    <m/>
    <m/>
    <s v="Disjuntor"/>
    <s v="Inversor"/>
    <n v="100"/>
    <n v="74.599999999999994"/>
    <m/>
    <n v="0.87"/>
    <n v="0.94599999999999995"/>
    <s v="Trifásico"/>
    <n v="440"/>
    <n v="118.93649464374577"/>
    <n v="85.747126436781599"/>
    <n v="178.40474196561865"/>
    <m/>
    <m/>
    <n v="120"/>
    <m/>
    <m/>
    <m/>
    <m/>
    <n v="120"/>
    <n v="3"/>
    <x v="9"/>
    <n v="360"/>
    <n v="0"/>
    <x v="0"/>
    <n v="0"/>
    <n v="1"/>
    <x v="8"/>
    <n v="120"/>
    <s v="180M"/>
    <s v="1.1/2&quot;"/>
    <n v="1"/>
    <m/>
    <m/>
    <m/>
    <m/>
    <m/>
    <m/>
    <m/>
    <m/>
    <m/>
    <m/>
    <m/>
    <m/>
    <n v="0"/>
  </r>
  <r>
    <n v="300"/>
    <s v="Fermentação, separação do levedo e pré-fermentação"/>
    <s v="SCT-3004 (ME-02)"/>
    <s v="SEDICANTER - motor decanter scroll S300.01-M02"/>
    <m/>
    <m/>
    <m/>
    <m/>
    <m/>
    <m/>
    <m/>
    <m/>
    <m/>
    <s v="Disjuntor"/>
    <s v="Inversor"/>
    <n v="15"/>
    <n v="11.19"/>
    <m/>
    <n v="0.85"/>
    <n v="0.91700000000000004"/>
    <s v="Trifásico"/>
    <n v="440"/>
    <n v="18.837727979029246"/>
    <n v="13.164705882352941"/>
    <n v="28.256591968543869"/>
    <m/>
    <m/>
    <n v="120"/>
    <m/>
    <m/>
    <m/>
    <m/>
    <n v="120"/>
    <n v="1"/>
    <x v="12"/>
    <n v="120"/>
    <n v="0"/>
    <x v="0"/>
    <n v="0"/>
    <n v="0"/>
    <x v="6"/>
    <n v="0"/>
    <s v="132M/L"/>
    <s v="1&quot;"/>
    <n v="1"/>
    <m/>
    <m/>
    <m/>
    <m/>
    <m/>
    <m/>
    <m/>
    <m/>
    <m/>
    <m/>
    <m/>
    <m/>
    <n v="0"/>
  </r>
  <r>
    <n v="300"/>
    <s v="Fermentação, separação do levedo e pré-fermentação"/>
    <s v="SCT-3004 (ME-03)"/>
    <s v="SEDICANTER - motor automatic impeller S300.01-M03"/>
    <m/>
    <m/>
    <m/>
    <m/>
    <m/>
    <m/>
    <m/>
    <m/>
    <m/>
    <s v="Disjuntor"/>
    <s v="Direta"/>
    <n v="0.05"/>
    <n v="3.73E-2"/>
    <m/>
    <n v="0.84"/>
    <n v="0.93"/>
    <s v="Trifásico"/>
    <n v="440"/>
    <n v="6.2651762558688984E-2"/>
    <n v="4.4404761904761905E-2"/>
    <n v="0.3759105753521339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8.2036863829359971E-3"/>
  </r>
  <r>
    <n v="300"/>
    <s v="Fermentação, separação do levedo e pré-fermentação"/>
    <s v="CPR-3001"/>
    <s v="COMPRESSOR DE CO2"/>
    <m/>
    <m/>
    <m/>
    <m/>
    <m/>
    <m/>
    <m/>
    <m/>
    <m/>
    <m/>
    <s v="Inversor"/>
    <m/>
    <n v="0"/>
    <m/>
    <n v="0.84"/>
    <n v="0.93"/>
    <s v="Trifásico"/>
    <n v="440"/>
    <n v="0"/>
    <n v="0"/>
    <n v="0"/>
    <m/>
    <m/>
    <n v="0"/>
    <m/>
    <m/>
    <m/>
    <m/>
    <n v="0"/>
    <m/>
    <x v="2"/>
    <n v="0"/>
    <m/>
    <x v="1"/>
    <n v="0"/>
    <m/>
    <x v="1"/>
    <n v="0"/>
    <m/>
    <s v="NA"/>
    <n v="1"/>
    <m/>
    <m/>
    <m/>
    <m/>
    <m/>
    <m/>
    <m/>
    <m/>
    <m/>
    <m/>
    <m/>
    <m/>
    <n v="0"/>
  </r>
  <r>
    <n v="300"/>
    <s v="Fermentação, separação do levedo e pré-fermentação"/>
    <s v="CPR-3001"/>
    <s v="COMPRESSOR DE CO2"/>
    <m/>
    <m/>
    <m/>
    <m/>
    <m/>
    <m/>
    <m/>
    <m/>
    <m/>
    <m/>
    <s v="Inversor"/>
    <m/>
    <n v="0"/>
    <m/>
    <n v="0.84"/>
    <n v="0.93"/>
    <s v="Trifásico"/>
    <n v="440"/>
    <n v="0"/>
    <n v="0"/>
    <n v="0"/>
    <m/>
    <m/>
    <n v="0"/>
    <m/>
    <m/>
    <m/>
    <m/>
    <n v="0"/>
    <m/>
    <x v="2"/>
    <n v="0"/>
    <m/>
    <x v="1"/>
    <n v="0"/>
    <m/>
    <x v="1"/>
    <n v="0"/>
    <m/>
    <s v="NA"/>
    <n v="1"/>
    <m/>
    <m/>
    <m/>
    <m/>
    <m/>
    <m/>
    <m/>
    <m/>
    <m/>
    <m/>
    <m/>
    <m/>
    <n v="0"/>
  </r>
  <r>
    <n v="300"/>
    <s v="Fermentação, separação do levedo e pré-fermentação"/>
    <s v="CPR-3001"/>
    <s v="COMPRESSOR DE CO2"/>
    <m/>
    <m/>
    <m/>
    <m/>
    <m/>
    <m/>
    <m/>
    <m/>
    <m/>
    <m/>
    <s v="Inversor"/>
    <m/>
    <n v="0"/>
    <m/>
    <n v="0.84"/>
    <n v="0.93"/>
    <s v="Trifásico"/>
    <n v="440"/>
    <n v="0"/>
    <n v="0"/>
    <n v="0"/>
    <m/>
    <m/>
    <n v="0"/>
    <m/>
    <m/>
    <m/>
    <m/>
    <n v="0"/>
    <m/>
    <x v="2"/>
    <n v="0"/>
    <m/>
    <x v="1"/>
    <n v="0"/>
    <m/>
    <x v="1"/>
    <n v="0"/>
    <m/>
    <s v="NA"/>
    <n v="1"/>
    <m/>
    <m/>
    <m/>
    <m/>
    <m/>
    <m/>
    <m/>
    <m/>
    <m/>
    <m/>
    <m/>
    <m/>
    <n v="0"/>
  </r>
  <r>
    <n v="300"/>
    <s v="Fermentação, separação do levedo e pré-fermentação"/>
    <s v="BDP-3001"/>
    <s v="BOMBA DE SANGRIA DE CREME FERMENTAÇÃO ETANOL DE MILHO PARA PÓS-MASHER"/>
    <m/>
    <m/>
    <m/>
    <m/>
    <m/>
    <m/>
    <m/>
    <m/>
    <m/>
    <m/>
    <s v="Inversor"/>
    <m/>
    <n v="0"/>
    <m/>
    <n v="0.84"/>
    <n v="0.93"/>
    <s v="Trifásico"/>
    <n v="440"/>
    <n v="0"/>
    <n v="0"/>
    <n v="0"/>
    <m/>
    <m/>
    <n v="0"/>
    <m/>
    <m/>
    <m/>
    <m/>
    <n v="0"/>
    <m/>
    <x v="2"/>
    <n v="0"/>
    <m/>
    <x v="1"/>
    <n v="0"/>
    <m/>
    <x v="1"/>
    <n v="0"/>
    <m/>
    <s v="NA"/>
    <n v="1"/>
    <m/>
    <m/>
    <m/>
    <m/>
    <m/>
    <m/>
    <m/>
    <m/>
    <m/>
    <m/>
    <m/>
    <m/>
    <n v="0"/>
  </r>
  <r>
    <n v="400"/>
    <s v="Separação de fibras, secagem e resfriamento DDGs"/>
    <s v="BCE - 4001 A"/>
    <s v="MOTO-BOMBA - VINHO LEVEDURADO - (ENVIO AO TANQUE PULMÃO)"/>
    <m/>
    <m/>
    <m/>
    <m/>
    <m/>
    <m/>
    <m/>
    <m/>
    <m/>
    <s v="Painel CCM-2.1"/>
    <s v="Soft"/>
    <n v="30"/>
    <n v="22.38"/>
    <m/>
    <n v="0.84"/>
    <n v="0.93"/>
    <s v="Trifásico"/>
    <n v="440"/>
    <n v="37.59105753521338"/>
    <n v="26.642857142857142"/>
    <n v="112.77317260564014"/>
    <m/>
    <m/>
    <n v="150"/>
    <m/>
    <m/>
    <m/>
    <m/>
    <n v="150"/>
    <n v="1"/>
    <x v="15"/>
    <n v="150"/>
    <m/>
    <x v="1"/>
    <n v="0"/>
    <m/>
    <x v="1"/>
    <n v="0"/>
    <s v="180L"/>
    <s v="1.1/2&quot;"/>
    <n v="1"/>
    <m/>
    <m/>
    <m/>
    <m/>
    <m/>
    <m/>
    <m/>
    <m/>
    <m/>
    <m/>
    <m/>
    <m/>
    <n v="4.9222118297615935"/>
  </r>
  <r>
    <n v="400"/>
    <s v="Separação de fibras, secagem e resfriamento DDGs"/>
    <s v="BCE - 4001 B"/>
    <s v="MOTO-BOMBA - VINHO LEVEDURADO - (ENVIO AO TANQUE PULMÃO)"/>
    <m/>
    <m/>
    <m/>
    <m/>
    <m/>
    <m/>
    <m/>
    <m/>
    <m/>
    <s v="Painel CCM-2.1"/>
    <s v="Soft"/>
    <n v="30"/>
    <n v="22.38"/>
    <m/>
    <n v="0.84"/>
    <n v="0.93"/>
    <s v="Trifásico"/>
    <n v="440"/>
    <n v="37.59105753521338"/>
    <n v="26.642857142857142"/>
    <n v="112.77317260564014"/>
    <m/>
    <m/>
    <n v="150"/>
    <m/>
    <m/>
    <m/>
    <m/>
    <n v="150"/>
    <n v="1"/>
    <x v="15"/>
    <n v="150"/>
    <n v="0"/>
    <x v="0"/>
    <n v="0"/>
    <n v="0"/>
    <x v="6"/>
    <n v="0"/>
    <s v="180L"/>
    <s v="1.1/2&quot;"/>
    <n v="1"/>
    <m/>
    <m/>
    <m/>
    <m/>
    <m/>
    <m/>
    <m/>
    <m/>
    <m/>
    <m/>
    <m/>
    <m/>
    <n v="4.9222118297615935"/>
  </r>
  <r>
    <n v="400"/>
    <s v="Separação de fibras, secagem e resfriamento DDGs"/>
    <s v="BCE - 4002 A"/>
    <s v="MOTO-BOMBA - CONDENSADO GERAL DE VAPOR DO SECADOR AO DESAERADOR DA CALDEIRA"/>
    <m/>
    <m/>
    <m/>
    <m/>
    <m/>
    <m/>
    <m/>
    <m/>
    <m/>
    <s v="Painel CCM-2.1"/>
    <s v="Inversor"/>
    <n v="12.5"/>
    <n v="9.3249999999999993"/>
    <m/>
    <n v="0.84"/>
    <n v="0.91"/>
    <s v="Trifásico"/>
    <n v="440"/>
    <n v="16.007181093291411"/>
    <n v="11.101190476190476"/>
    <n v="24.010771639937118"/>
    <m/>
    <m/>
    <n v="150"/>
    <m/>
    <m/>
    <m/>
    <m/>
    <n v="150"/>
    <n v="1"/>
    <x v="12"/>
    <n v="150"/>
    <n v="0"/>
    <x v="0"/>
    <n v="0"/>
    <n v="0"/>
    <x v="6"/>
    <n v="0"/>
    <s v="132M/L"/>
    <s v="1&quot;"/>
    <n v="1"/>
    <m/>
    <m/>
    <m/>
    <m/>
    <m/>
    <m/>
    <m/>
    <m/>
    <m/>
    <m/>
    <m/>
    <m/>
    <n v="0"/>
  </r>
  <r>
    <n v="400"/>
    <s v="Separação de fibras, secagem e resfriamento DDGs"/>
    <s v="BCE - 4002 B"/>
    <s v="MOTO-BOMBA - CONDENSADO GERAL DE VAPOR DO SECADOR AO DESAERADOR DA CALDEIRA"/>
    <m/>
    <m/>
    <m/>
    <m/>
    <m/>
    <m/>
    <m/>
    <m/>
    <m/>
    <s v="Painel CCM-2.1"/>
    <s v="Inversor"/>
    <n v="12.5"/>
    <n v="9.3249999999999993"/>
    <m/>
    <n v="0.84"/>
    <n v="0.91"/>
    <s v="Trifásico"/>
    <n v="440"/>
    <n v="16.007181093291411"/>
    <n v="11.101190476190476"/>
    <n v="24.010771639937118"/>
    <m/>
    <m/>
    <n v="150"/>
    <m/>
    <m/>
    <m/>
    <m/>
    <n v="150"/>
    <n v="1"/>
    <x v="12"/>
    <n v="150"/>
    <n v="0"/>
    <x v="0"/>
    <n v="0"/>
    <n v="0"/>
    <x v="6"/>
    <n v="0"/>
    <s v="132M/L"/>
    <s v="1&quot;"/>
    <n v="1"/>
    <m/>
    <m/>
    <m/>
    <m/>
    <m/>
    <m/>
    <m/>
    <m/>
    <m/>
    <m/>
    <m/>
    <m/>
    <n v="0"/>
  </r>
  <r>
    <n v="400"/>
    <s v="Separação de fibras, secagem e resfriamento DDGs"/>
    <s v="BCE - 4003 A"/>
    <s v="MOTO-BOMBA - CONDENSADO DE VAPOR ALCOÓLICO DO CHILLER Á VOLANTE"/>
    <m/>
    <m/>
    <m/>
    <m/>
    <m/>
    <m/>
    <m/>
    <m/>
    <m/>
    <s v="Painel CCM-2.1"/>
    <s v="Direta"/>
    <n v="12.5"/>
    <n v="9.3249999999999993"/>
    <m/>
    <n v="0.84"/>
    <n v="0.91"/>
    <s v="Trifásico"/>
    <n v="440"/>
    <n v="16.007181093291411"/>
    <n v="11.101190476190476"/>
    <n v="96.043086559748474"/>
    <m/>
    <m/>
    <n v="150"/>
    <m/>
    <m/>
    <m/>
    <m/>
    <n v="150"/>
    <n v="1"/>
    <x v="15"/>
    <n v="150"/>
    <n v="0"/>
    <x v="0"/>
    <n v="0"/>
    <n v="0"/>
    <x v="6"/>
    <n v="0"/>
    <s v="180L"/>
    <s v="1.1/2&quot;"/>
    <n v="1"/>
    <m/>
    <m/>
    <m/>
    <m/>
    <m/>
    <m/>
    <m/>
    <m/>
    <m/>
    <m/>
    <m/>
    <m/>
    <n v="2.0509215957339983"/>
  </r>
  <r>
    <n v="400"/>
    <s v="Separação de fibras, secagem e resfriamento DDGs"/>
    <s v="BCE - 4003 B"/>
    <s v="MOTO-BOMBA - CONDENSADO DE VAPOR ALCOÓLICO DO CHILLER Á VOLANTE"/>
    <m/>
    <m/>
    <m/>
    <m/>
    <m/>
    <m/>
    <m/>
    <m/>
    <m/>
    <s v="Painel CCM-2.1"/>
    <s v="Direta"/>
    <n v="12.5"/>
    <n v="9.3249999999999993"/>
    <m/>
    <n v="0.84"/>
    <n v="0.91"/>
    <s v="Trifásico"/>
    <n v="440"/>
    <n v="16.007181093291411"/>
    <n v="11.101190476190476"/>
    <n v="96.043086559748474"/>
    <m/>
    <m/>
    <n v="150"/>
    <m/>
    <m/>
    <m/>
    <m/>
    <n v="150"/>
    <n v="1"/>
    <x v="15"/>
    <n v="150"/>
    <n v="0"/>
    <x v="0"/>
    <n v="0"/>
    <n v="0"/>
    <x v="6"/>
    <n v="0"/>
    <s v="180L"/>
    <s v="1.1/2&quot;"/>
    <n v="1"/>
    <m/>
    <m/>
    <m/>
    <m/>
    <m/>
    <m/>
    <m/>
    <m/>
    <m/>
    <m/>
    <m/>
    <m/>
    <n v="2.0509215957339983"/>
  </r>
  <r>
    <n v="400"/>
    <s v="Separação de fibras, secagem e resfriamento DDGs"/>
    <s v="BCE - 4004 A"/>
    <s v="MOTO-BOMBA - CONDENSADO DE VAPOR ALCOÓLICO DO CHILLER Á VOLANTE"/>
    <m/>
    <m/>
    <m/>
    <m/>
    <m/>
    <m/>
    <m/>
    <m/>
    <m/>
    <s v="Painel CCM-2.1"/>
    <s v="Direta"/>
    <n v="12.5"/>
    <n v="9.3249999999999993"/>
    <m/>
    <n v="0.84"/>
    <n v="0.91"/>
    <s v="Trifásico"/>
    <n v="440"/>
    <n v="16.007181093291411"/>
    <n v="11.101190476190476"/>
    <n v="96.043086559748474"/>
    <m/>
    <m/>
    <n v="150"/>
    <m/>
    <m/>
    <m/>
    <m/>
    <n v="150"/>
    <n v="1"/>
    <x v="15"/>
    <n v="150"/>
    <n v="0"/>
    <x v="0"/>
    <n v="0"/>
    <n v="0"/>
    <x v="6"/>
    <n v="0"/>
    <s v="180L"/>
    <s v="1.1/2&quot;"/>
    <n v="1"/>
    <m/>
    <m/>
    <m/>
    <m/>
    <m/>
    <m/>
    <m/>
    <m/>
    <m/>
    <m/>
    <m/>
    <m/>
    <n v="2.0509215957339983"/>
  </r>
  <r>
    <n v="400"/>
    <s v="Separação de fibras, secagem e resfriamento DDGs"/>
    <s v="BCE - 4004 B"/>
    <s v="MOTO-BOMBA - CONDENSADO DE VAPOR ALCOÓLICO DO CHILLER Á VOLANTE"/>
    <m/>
    <m/>
    <m/>
    <m/>
    <m/>
    <m/>
    <m/>
    <m/>
    <m/>
    <s v="Painel CCM-2.1"/>
    <s v="Direta"/>
    <n v="12.5"/>
    <n v="9.3249999999999993"/>
    <m/>
    <n v="0.84"/>
    <n v="0.91"/>
    <s v="Trifásico"/>
    <n v="440"/>
    <n v="16.007181093291411"/>
    <n v="11.101190476190476"/>
    <n v="96.043086559748474"/>
    <m/>
    <m/>
    <n v="150"/>
    <m/>
    <m/>
    <m/>
    <m/>
    <n v="150"/>
    <n v="1"/>
    <x v="15"/>
    <n v="150"/>
    <n v="0"/>
    <x v="0"/>
    <n v="0"/>
    <n v="0"/>
    <x v="6"/>
    <n v="0"/>
    <s v="180L"/>
    <s v="1.1/2&quot;"/>
    <n v="1"/>
    <m/>
    <m/>
    <m/>
    <m/>
    <m/>
    <m/>
    <m/>
    <m/>
    <m/>
    <m/>
    <m/>
    <m/>
    <n v="2.0509215957339983"/>
  </r>
  <r>
    <n v="400"/>
    <s v="Separação de fibras, secagem e resfriamento DDGs"/>
    <s v="BCE - 4005 A"/>
    <s v="MOTO-BOMBA - CONDENSADO DE VAPOR DO CHILLER PARA O DESAERADOR DA CALDEIRA"/>
    <m/>
    <m/>
    <m/>
    <m/>
    <m/>
    <m/>
    <m/>
    <m/>
    <m/>
    <s v="Painel CCM-2.1"/>
    <s v="Inversor"/>
    <n v="12.5"/>
    <n v="9.3249999999999993"/>
    <m/>
    <n v="0.84"/>
    <n v="0.91"/>
    <s v="Trifásico"/>
    <n v="440"/>
    <n v="16.007181093291411"/>
    <n v="11.101190476190476"/>
    <n v="24.010771639937118"/>
    <m/>
    <m/>
    <n v="150"/>
    <m/>
    <m/>
    <m/>
    <m/>
    <n v="150"/>
    <n v="1"/>
    <x v="12"/>
    <n v="150"/>
    <n v="0"/>
    <x v="0"/>
    <n v="0"/>
    <n v="0"/>
    <x v="6"/>
    <n v="0"/>
    <s v="132M/L"/>
    <s v="1&quot;"/>
    <n v="1"/>
    <m/>
    <m/>
    <m/>
    <m/>
    <m/>
    <m/>
    <m/>
    <m/>
    <m/>
    <m/>
    <m/>
    <m/>
    <n v="0"/>
  </r>
  <r>
    <n v="400"/>
    <s v="Separação de fibras, secagem e resfriamento DDGs"/>
    <s v="BCE - 4005 B"/>
    <s v="MOTO-BOMBA - CONDENSADO DE VAPOR DO CHILLER PARA O DESAERADOR DA CALDEIRA"/>
    <m/>
    <m/>
    <m/>
    <m/>
    <m/>
    <m/>
    <m/>
    <m/>
    <m/>
    <s v="Painel CCM-2.1"/>
    <s v="Inversor"/>
    <n v="12.5"/>
    <n v="9.3249999999999993"/>
    <m/>
    <n v="0.84"/>
    <n v="0.91"/>
    <s v="Trifásico"/>
    <n v="440"/>
    <n v="16.007181093291411"/>
    <n v="11.101190476190476"/>
    <n v="24.010771639937118"/>
    <m/>
    <m/>
    <n v="150"/>
    <m/>
    <m/>
    <m/>
    <m/>
    <n v="150"/>
    <n v="1"/>
    <x v="12"/>
    <n v="150"/>
    <n v="0"/>
    <x v="0"/>
    <n v="0"/>
    <n v="0"/>
    <x v="6"/>
    <n v="0"/>
    <s v="132M/L"/>
    <s v="1&quot;"/>
    <n v="1"/>
    <m/>
    <m/>
    <m/>
    <m/>
    <m/>
    <m/>
    <m/>
    <m/>
    <m/>
    <m/>
    <m/>
    <m/>
    <n v="0"/>
  </r>
  <r>
    <n v="400"/>
    <s v="Separação de fibras, secagem e resfriamento DDGs"/>
    <s v="BCE - 4006 A"/>
    <s v="MOTO-BOMBA - CONDENSADO DE VAPOR DO CHILLER PARA O DESAERADOR DA CALDEIRA"/>
    <m/>
    <m/>
    <m/>
    <m/>
    <m/>
    <m/>
    <m/>
    <m/>
    <m/>
    <s v="Painel CCM-2.1"/>
    <s v="Inversor"/>
    <n v="12.5"/>
    <n v="9.3249999999999993"/>
    <m/>
    <n v="0.84"/>
    <n v="0.91"/>
    <s v="Trifásico"/>
    <n v="440"/>
    <n v="16.007181093291411"/>
    <n v="11.101190476190476"/>
    <n v="24.010771639937118"/>
    <m/>
    <m/>
    <n v="150"/>
    <m/>
    <m/>
    <m/>
    <m/>
    <n v="150"/>
    <n v="1"/>
    <x v="12"/>
    <n v="150"/>
    <n v="0"/>
    <x v="0"/>
    <n v="0"/>
    <n v="0"/>
    <x v="6"/>
    <n v="0"/>
    <s v="132M/L"/>
    <s v="1&quot;"/>
    <n v="1"/>
    <m/>
    <m/>
    <m/>
    <m/>
    <m/>
    <m/>
    <m/>
    <m/>
    <m/>
    <m/>
    <m/>
    <m/>
    <n v="0"/>
  </r>
  <r>
    <n v="400"/>
    <s v="Separação de fibras, secagem e resfriamento DDGs"/>
    <s v="BCE - 4006 B"/>
    <s v="MOTO-BOMBA - CONDENSADO DE VAPOR DO CHILLER PARA O DESAERADOR DA CALDEIRA"/>
    <m/>
    <m/>
    <m/>
    <m/>
    <m/>
    <m/>
    <m/>
    <m/>
    <m/>
    <s v="Painel CCM-2.1"/>
    <s v="Inversor"/>
    <n v="12.5"/>
    <n v="9.3249999999999993"/>
    <m/>
    <n v="0.84"/>
    <n v="0.91"/>
    <s v="Trifásico"/>
    <n v="440"/>
    <n v="16.007181093291411"/>
    <n v="11.101190476190476"/>
    <n v="24.010771639937118"/>
    <m/>
    <m/>
    <n v="150"/>
    <m/>
    <m/>
    <m/>
    <m/>
    <n v="150"/>
    <n v="1"/>
    <x v="12"/>
    <n v="150"/>
    <n v="0"/>
    <x v="0"/>
    <n v="0"/>
    <n v="0"/>
    <x v="6"/>
    <n v="0"/>
    <s v="132M/L"/>
    <s v="1&quot;"/>
    <n v="1"/>
    <m/>
    <m/>
    <m/>
    <m/>
    <m/>
    <m/>
    <m/>
    <m/>
    <m/>
    <m/>
    <m/>
    <m/>
    <n v="0"/>
  </r>
  <r>
    <n v="400"/>
    <s v="Separação de fibras, secagem e resfriamento DDGs"/>
    <s v="BCE - 4007 A"/>
    <s v="MOTO-BOMBA - TANQUE DE ÁGUA GELADA AO PROCESSO"/>
    <m/>
    <m/>
    <m/>
    <m/>
    <m/>
    <m/>
    <m/>
    <m/>
    <m/>
    <s v="Painel CCM-2.1"/>
    <s v="Soft"/>
    <n v="250"/>
    <n v="186.5"/>
    <m/>
    <n v="0.87"/>
    <n v="0.95700000000000007"/>
    <s v="Trifásico"/>
    <n v="440"/>
    <n v="293.92352124603838"/>
    <n v="214.36781609195401"/>
    <n v="881.77056373811513"/>
    <m/>
    <m/>
    <n v="150"/>
    <m/>
    <m/>
    <m/>
    <m/>
    <n v="150"/>
    <n v="3"/>
    <x v="11"/>
    <n v="450"/>
    <n v="0"/>
    <x v="0"/>
    <n v="0"/>
    <n v="1"/>
    <x v="9"/>
    <n v="150"/>
    <s v="315S/M"/>
    <s v="2 x 3&quot;"/>
    <n v="1"/>
    <m/>
    <m/>
    <m/>
    <m/>
    <m/>
    <m/>
    <m/>
    <m/>
    <m/>
    <m/>
    <m/>
    <m/>
    <n v="26.245753432819669"/>
  </r>
  <r>
    <n v="400"/>
    <s v="Separação de fibras, secagem e resfriamento DDGs"/>
    <s v="BCE - 4007 B"/>
    <s v="MOTO-BOMBA - TANQUE DE ÁGUA GELADA AO PROCESSO"/>
    <m/>
    <m/>
    <m/>
    <m/>
    <m/>
    <m/>
    <m/>
    <m/>
    <m/>
    <s v="Painel CCM-2.1"/>
    <s v="Soft"/>
    <n v="250"/>
    <n v="186.5"/>
    <m/>
    <n v="0.87"/>
    <n v="0.95700000000000007"/>
    <s v="Trifásico"/>
    <n v="440"/>
    <n v="293.92352124603838"/>
    <n v="214.36781609195401"/>
    <n v="881.77056373811513"/>
    <m/>
    <m/>
    <n v="150"/>
    <m/>
    <m/>
    <m/>
    <m/>
    <n v="150"/>
    <n v="3"/>
    <x v="11"/>
    <n v="450"/>
    <n v="0"/>
    <x v="0"/>
    <n v="0"/>
    <n v="1"/>
    <x v="9"/>
    <n v="150"/>
    <s v="315S/M"/>
    <s v="2 x 3&quot;"/>
    <n v="1"/>
    <m/>
    <m/>
    <m/>
    <m/>
    <m/>
    <m/>
    <m/>
    <m/>
    <m/>
    <m/>
    <m/>
    <m/>
    <n v="26.245753432819669"/>
  </r>
  <r>
    <n v="400"/>
    <s v="Separação de fibras, secagem e resfriamento DDGs"/>
    <s v="BCE - 4007 C"/>
    <s v="MOTO-BOMBA - TANQUE DE ÁGUA GELADA AO PROCESSO"/>
    <m/>
    <m/>
    <m/>
    <m/>
    <m/>
    <m/>
    <m/>
    <m/>
    <m/>
    <s v="Painel CCM-2.1"/>
    <s v="Soft"/>
    <n v="250"/>
    <n v="186.5"/>
    <m/>
    <n v="0.87"/>
    <n v="0.95700000000000007"/>
    <s v="Trifásico"/>
    <n v="440"/>
    <n v="293.92352124603838"/>
    <n v="214.36781609195401"/>
    <n v="881.77056373811513"/>
    <m/>
    <m/>
    <n v="150"/>
    <m/>
    <m/>
    <m/>
    <m/>
    <n v="150"/>
    <n v="3"/>
    <x v="11"/>
    <n v="450"/>
    <n v="0"/>
    <x v="0"/>
    <n v="0"/>
    <n v="1"/>
    <x v="9"/>
    <n v="150"/>
    <s v="315S/M"/>
    <s v="2 x 3&quot;"/>
    <n v="1"/>
    <m/>
    <m/>
    <m/>
    <m/>
    <m/>
    <m/>
    <m/>
    <m/>
    <m/>
    <m/>
    <m/>
    <m/>
    <n v="26.245753432819669"/>
  </r>
  <r>
    <n v="400"/>
    <s v="Separação de fibras, secagem e resfriamento DDGs"/>
    <s v="BCE - 4008"/>
    <s v="MOTO-BOMBA - ÁGUA PARA SELO MOTO-BOMBAS (ÁREA 400)"/>
    <m/>
    <m/>
    <m/>
    <m/>
    <m/>
    <m/>
    <m/>
    <m/>
    <m/>
    <s v="Painel CCM-2.1"/>
    <s v="Direta"/>
    <n v="10"/>
    <n v="7.46"/>
    <m/>
    <n v="0.84"/>
    <n v="0.91"/>
    <s v="Trifásico"/>
    <n v="440"/>
    <n v="12.805744874633129"/>
    <n v="8.8809523809523814"/>
    <n v="76.834469247798779"/>
    <m/>
    <m/>
    <n v="150"/>
    <m/>
    <m/>
    <m/>
    <m/>
    <n v="150"/>
    <n v="1"/>
    <x v="7"/>
    <n v="150"/>
    <n v="0"/>
    <x v="0"/>
    <n v="0"/>
    <n v="0"/>
    <x v="6"/>
    <n v="0"/>
    <s v="132M"/>
    <s v="1&quot;"/>
    <n v="1"/>
    <m/>
    <m/>
    <m/>
    <m/>
    <m/>
    <m/>
    <m/>
    <m/>
    <m/>
    <m/>
    <m/>
    <m/>
    <n v="1.6407372765871995"/>
  </r>
  <r>
    <n v="400"/>
    <s v="Separação de fibras, secagem e resfriamento DDGs"/>
    <s v="BCE - 4009 A"/>
    <s v="MOTO-BOMBA - ÁGUA GELADA RECIRCULAÇÃO (CHILLER)"/>
    <m/>
    <m/>
    <m/>
    <m/>
    <m/>
    <m/>
    <m/>
    <m/>
    <m/>
    <s v="Painel CCM-2.1"/>
    <s v="Soft"/>
    <n v="125"/>
    <n v="93.25"/>
    <m/>
    <n v="0.85"/>
    <n v="0.94900000000000007"/>
    <s v="Trifásico"/>
    <n v="440"/>
    <n v="151.68771124666156"/>
    <n v="109.70588235294117"/>
    <n v="455.06313373998466"/>
    <m/>
    <m/>
    <n v="150"/>
    <m/>
    <m/>
    <m/>
    <m/>
    <n v="150"/>
    <n v="3"/>
    <x v="4"/>
    <n v="450"/>
    <n v="0"/>
    <x v="0"/>
    <n v="0"/>
    <n v="1"/>
    <x v="5"/>
    <n v="150"/>
    <s v="200M"/>
    <s v="2&quot;"/>
    <n v="1"/>
    <m/>
    <m/>
    <m/>
    <m/>
    <m/>
    <m/>
    <m/>
    <m/>
    <m/>
    <m/>
    <m/>
    <m/>
    <n v="18.066825901388206"/>
  </r>
  <r>
    <n v="400"/>
    <s v="Separação de fibras, secagem e resfriamento DDGs"/>
    <s v="BCE - 4009 B"/>
    <s v="MOTO-BOMBA - ÁGUA GELADA RECIRCULAÇÃO (CHILLER)"/>
    <m/>
    <m/>
    <m/>
    <m/>
    <m/>
    <m/>
    <m/>
    <m/>
    <m/>
    <s v="Painel CCM-2.1"/>
    <s v="Soft"/>
    <n v="125"/>
    <n v="93.25"/>
    <m/>
    <n v="0.85"/>
    <n v="0.94900000000000007"/>
    <s v="Trifásico"/>
    <n v="440"/>
    <n v="151.68771124666156"/>
    <n v="109.70588235294117"/>
    <n v="455.06313373998466"/>
    <m/>
    <m/>
    <n v="150"/>
    <m/>
    <m/>
    <m/>
    <m/>
    <n v="150"/>
    <n v="3"/>
    <x v="4"/>
    <n v="450"/>
    <n v="0"/>
    <x v="0"/>
    <n v="0"/>
    <n v="1"/>
    <x v="5"/>
    <n v="150"/>
    <s v="200M"/>
    <s v="2&quot;"/>
    <n v="1"/>
    <m/>
    <m/>
    <m/>
    <m/>
    <m/>
    <m/>
    <m/>
    <m/>
    <m/>
    <m/>
    <m/>
    <m/>
    <n v="18.066825901388206"/>
  </r>
  <r>
    <n v="400"/>
    <s v="Separação de fibras, secagem e resfriamento DDGs"/>
    <s v="BCE - 4009 C"/>
    <s v="MOTO-BOMBA - ÁGUA GELADA RECIRCULAÇÃO (CHILLER)"/>
    <m/>
    <m/>
    <m/>
    <m/>
    <m/>
    <m/>
    <m/>
    <m/>
    <m/>
    <s v="Painel CCM-2.1"/>
    <s v="Soft"/>
    <n v="125"/>
    <n v="93.25"/>
    <m/>
    <n v="0.85"/>
    <n v="0.94900000000000007"/>
    <s v="Trifásico"/>
    <n v="440"/>
    <n v="151.68771124666156"/>
    <n v="109.70588235294117"/>
    <n v="455.06313373998466"/>
    <m/>
    <m/>
    <n v="150"/>
    <m/>
    <m/>
    <m/>
    <m/>
    <n v="150"/>
    <n v="3"/>
    <x v="4"/>
    <n v="450"/>
    <n v="0"/>
    <x v="0"/>
    <n v="0"/>
    <n v="1"/>
    <x v="5"/>
    <n v="150"/>
    <s v="200M"/>
    <s v="2&quot;"/>
    <n v="1"/>
    <m/>
    <m/>
    <m/>
    <m/>
    <m/>
    <m/>
    <m/>
    <m/>
    <m/>
    <m/>
    <m/>
    <m/>
    <n v="18.066825901388206"/>
  </r>
  <r>
    <n v="400"/>
    <s v="Separação de fibras, secagem e resfriamento DDGs"/>
    <s v="BCE - 4009 D"/>
    <s v="MOTO-BOMBA - ÁGUA GELADA RECIRCULAÇÃO (CHILLER)"/>
    <m/>
    <m/>
    <m/>
    <m/>
    <m/>
    <m/>
    <m/>
    <m/>
    <m/>
    <s v="Painel CCM-2.1"/>
    <s v="Soft"/>
    <n v="125"/>
    <n v="93.25"/>
    <m/>
    <n v="0.85"/>
    <n v="0.94900000000000007"/>
    <s v="Trifásico"/>
    <n v="440"/>
    <n v="151.68771124666156"/>
    <n v="109.70588235294117"/>
    <n v="455.06313373998466"/>
    <m/>
    <m/>
    <n v="150"/>
    <m/>
    <m/>
    <m/>
    <m/>
    <n v="150"/>
    <n v="3"/>
    <x v="4"/>
    <n v="450"/>
    <n v="0"/>
    <x v="0"/>
    <n v="0"/>
    <n v="1"/>
    <x v="5"/>
    <n v="150"/>
    <s v="200M"/>
    <s v="2&quot;"/>
    <n v="1"/>
    <m/>
    <m/>
    <m/>
    <m/>
    <m/>
    <m/>
    <m/>
    <m/>
    <m/>
    <m/>
    <m/>
    <m/>
    <n v="18.066825901388206"/>
  </r>
  <r>
    <n v="400"/>
    <s v="Separação de fibras, secagem e resfriamento DDGs"/>
    <s v="RED-4001"/>
    <s v="TRANSPORTADOR REDLER &quot;A&quot;"/>
    <m/>
    <m/>
    <m/>
    <m/>
    <m/>
    <m/>
    <m/>
    <m/>
    <m/>
    <s v="Painel CCM-2.1"/>
    <s v="Inversor"/>
    <n v="7.5"/>
    <n v="5.5949999999999998"/>
    <m/>
    <n v="0.79"/>
    <n v="0.9"/>
    <s v="Trifásico"/>
    <n v="440"/>
    <n v="10.325644917900386"/>
    <n v="7.0822784810126578"/>
    <n v="15.488467376850579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400"/>
    <s v="Separação de fibras, secagem e resfriamento DDGs"/>
    <s v="RED-4002"/>
    <s v="TRANSPORTADOR REDLER &quot;A&quot;"/>
    <m/>
    <m/>
    <m/>
    <m/>
    <m/>
    <m/>
    <m/>
    <m/>
    <m/>
    <s v="Painel CCM-2.1"/>
    <s v="Inversor"/>
    <n v="7.5"/>
    <n v="5.5949999999999998"/>
    <m/>
    <n v="0.79"/>
    <n v="0.9"/>
    <s v="Trifásico"/>
    <n v="440"/>
    <n v="10.325644917900386"/>
    <n v="7.0822784810126578"/>
    <n v="15.488467376850579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400"/>
    <s v="Separação de fibras, secagem e resfriamento DDGs"/>
    <s v="RED-4003"/>
    <s v="TRANSPORTADOR REDLER &quot;B&quot;"/>
    <m/>
    <m/>
    <m/>
    <m/>
    <m/>
    <m/>
    <m/>
    <m/>
    <m/>
    <s v="Painel CCM-2.1"/>
    <s v="Inversor"/>
    <n v="10"/>
    <n v="7.46"/>
    <m/>
    <n v="0.84"/>
    <n v="0.91"/>
    <s v="Trifásico"/>
    <n v="440"/>
    <n v="12.805744874633129"/>
    <n v="8.8809523809523814"/>
    <n v="19.208617311949695"/>
    <m/>
    <m/>
    <n v="120"/>
    <m/>
    <m/>
    <m/>
    <m/>
    <n v="120"/>
    <n v="1"/>
    <x v="13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400"/>
    <s v="Separação de fibras, secagem e resfriamento DDGs"/>
    <s v="RED-4004"/>
    <s v="TRANSPORTADOR REDLER &quot;C&quot; (proposta diferente do projeto)"/>
    <m/>
    <m/>
    <m/>
    <m/>
    <m/>
    <m/>
    <m/>
    <m/>
    <m/>
    <s v="Painel CCM-2.1"/>
    <s v="Inversor"/>
    <n v="40"/>
    <n v="29.84"/>
    <m/>
    <n v="0.85"/>
    <n v="0.93400000000000005"/>
    <s v="Trifásico"/>
    <n v="440"/>
    <n v="49.319619005766796"/>
    <n v="35.10588235294118"/>
    <n v="73.979428508650187"/>
    <m/>
    <m/>
    <n v="120"/>
    <m/>
    <m/>
    <m/>
    <m/>
    <n v="120"/>
    <n v="1"/>
    <x v="15"/>
    <n v="120"/>
    <n v="0"/>
    <x v="0"/>
    <n v="0"/>
    <n v="0"/>
    <x v="6"/>
    <n v="0"/>
    <s v="180L"/>
    <s v="1.1/2&quot;"/>
    <n v="1"/>
    <m/>
    <m/>
    <m/>
    <m/>
    <m/>
    <m/>
    <m/>
    <m/>
    <m/>
    <m/>
    <m/>
    <m/>
    <n v="0"/>
  </r>
  <r>
    <n v="400"/>
    <s v="Separação de fibras, secagem e resfriamento DDGs"/>
    <s v="RED-4004"/>
    <s v="TRANSPORTADOR REDLER &quot;C&quot; (proposta diferente do projeto)"/>
    <m/>
    <m/>
    <m/>
    <m/>
    <m/>
    <m/>
    <m/>
    <m/>
    <m/>
    <s v="Painel CCM-2.1"/>
    <s v="Inversor"/>
    <n v="40"/>
    <n v="29.84"/>
    <m/>
    <n v="0.85"/>
    <n v="0.93400000000000005"/>
    <s v="Trifásico"/>
    <n v="440"/>
    <n v="49.319619005766796"/>
    <n v="35.10588235294118"/>
    <n v="73.979428508650187"/>
    <m/>
    <m/>
    <n v="120"/>
    <m/>
    <m/>
    <m/>
    <m/>
    <n v="120"/>
    <n v="1"/>
    <x v="15"/>
    <n v="120"/>
    <n v="0"/>
    <x v="0"/>
    <n v="0"/>
    <n v="0"/>
    <x v="6"/>
    <n v="0"/>
    <s v="180L"/>
    <s v="1.1/2&quot;"/>
    <n v="1"/>
    <m/>
    <m/>
    <m/>
    <m/>
    <m/>
    <m/>
    <m/>
    <m/>
    <m/>
    <m/>
    <m/>
    <m/>
    <n v="0"/>
  </r>
  <r>
    <n v="400"/>
    <s v="Separação de fibras, secagem e resfriamento DDGs"/>
    <s v="RED-4005"/>
    <s v="TRANSPORTADOR REDLER &quot;D&quot;"/>
    <m/>
    <m/>
    <m/>
    <m/>
    <m/>
    <m/>
    <m/>
    <m/>
    <m/>
    <s v="Painel CCM-2.1"/>
    <s v="Inversor"/>
    <n v="5"/>
    <n v="3.73"/>
    <m/>
    <n v="0.8"/>
    <n v="0.88"/>
    <s v="Trifásico"/>
    <n v="440"/>
    <n v="6.9522097884727003"/>
    <n v="4.6624999999999996"/>
    <n v="10.42831468270905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400"/>
    <s v="Separação de fibras, secagem e resfriamento DDGs"/>
    <s v="RED-4007"/>
    <s v="TRANSPORTADOR REDLER &quot;D&quot;"/>
    <m/>
    <m/>
    <m/>
    <m/>
    <m/>
    <m/>
    <m/>
    <m/>
    <m/>
    <s v="Painel CCM-2.1"/>
    <s v="Inversor"/>
    <n v="5"/>
    <n v="3.73"/>
    <m/>
    <n v="0.8"/>
    <n v="0.88"/>
    <s v="Trifásico"/>
    <n v="440"/>
    <n v="6.9522097884727003"/>
    <n v="4.6624999999999996"/>
    <n v="10.42831468270905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400"/>
    <s v="Separação de fibras, secagem e resfriamento DDGs"/>
    <s v="RED-4009"/>
    <s v="TRANSPORTADOR REDLER &quot;D&quot;"/>
    <m/>
    <m/>
    <m/>
    <m/>
    <m/>
    <m/>
    <m/>
    <m/>
    <m/>
    <s v="Painel CCM-2.1"/>
    <s v="Inversor"/>
    <n v="5"/>
    <n v="3.73"/>
    <m/>
    <n v="0.8"/>
    <n v="0.88"/>
    <s v="Trifásico"/>
    <n v="440"/>
    <n v="6.9522097884727003"/>
    <n v="4.6624999999999996"/>
    <n v="10.42831468270905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400"/>
    <s v="Separação de fibras, secagem e resfriamento DDGs"/>
    <s v="RED-4006"/>
    <s v="TRANSPORTADOR REDLER &quot;E&quot;"/>
    <m/>
    <m/>
    <m/>
    <m/>
    <m/>
    <m/>
    <m/>
    <m/>
    <m/>
    <s v="Painel CCM-2.1"/>
    <s v="Inversor"/>
    <n v="3"/>
    <n v="2.238"/>
    <m/>
    <n v="0.83"/>
    <n v="0.85099999999999998"/>
    <s v="Trifásico"/>
    <n v="440"/>
    <n v="4.1575657478103292"/>
    <n v="2.6963855421686747"/>
    <n v="6.2363486217154938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400"/>
    <s v="Separação de fibras, secagem e resfriamento DDGs"/>
    <s v="RED-4008"/>
    <s v="TRANSPORTADOR REDLER &quot;E&quot;"/>
    <m/>
    <m/>
    <m/>
    <m/>
    <m/>
    <m/>
    <m/>
    <m/>
    <m/>
    <s v="Painel CCM-2.1"/>
    <s v="Inversor"/>
    <n v="3"/>
    <n v="2.238"/>
    <m/>
    <n v="0.83"/>
    <n v="0.85099999999999998"/>
    <s v="Trifásico"/>
    <n v="440"/>
    <n v="4.1575657478103292"/>
    <n v="2.6963855421686747"/>
    <n v="6.2363486217154938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400"/>
    <s v="Separação de fibras, secagem e resfriamento DDGs"/>
    <s v="RED-4010"/>
    <s v="TRANSPORTADOR REDLER &quot;E&quot;"/>
    <m/>
    <m/>
    <m/>
    <m/>
    <m/>
    <m/>
    <m/>
    <m/>
    <m/>
    <s v="Painel CCM-2.1"/>
    <s v="Inversor"/>
    <n v="3"/>
    <n v="2.238"/>
    <m/>
    <n v="0.83"/>
    <n v="0.85099999999999998"/>
    <s v="Trifásico"/>
    <n v="440"/>
    <n v="4.1575657478103292"/>
    <n v="2.6963855421686747"/>
    <n v="6.2363486217154938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400"/>
    <s v="Separação de fibras, secagem e resfriamento DDGs"/>
    <s v="RED-4011"/>
    <s v="TRANSPORTADOR REDLER &quot;F&quot;"/>
    <m/>
    <m/>
    <m/>
    <m/>
    <m/>
    <m/>
    <m/>
    <m/>
    <m/>
    <s v="Painel CCM-2.1"/>
    <s v="Inversor"/>
    <n v="2"/>
    <n v="1.492"/>
    <m/>
    <n v="0.78"/>
    <n v="0.84200000000000008"/>
    <s v="Trifásico"/>
    <n v="440"/>
    <n v="2.9809097332875214"/>
    <n v="1.9128205128205127"/>
    <n v="4.4713645999312819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400"/>
    <s v="Separação de fibras, secagem e resfriamento DDGs"/>
    <s v="RED-4012"/>
    <s v="TRANSPORTADOR REDLER &quot;F&quot;"/>
    <m/>
    <m/>
    <m/>
    <m/>
    <m/>
    <m/>
    <m/>
    <m/>
    <m/>
    <s v="Painel CCM-2.1"/>
    <s v="Inversor"/>
    <n v="2"/>
    <n v="1.492"/>
    <m/>
    <n v="0.78"/>
    <n v="0.84200000000000008"/>
    <s v="Trifásico"/>
    <n v="440"/>
    <n v="2.9809097332875214"/>
    <n v="1.9128205128205127"/>
    <n v="4.4713645999312819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400"/>
    <s v="Separação de fibras, secagem e resfriamento DDGs"/>
    <s v="RED-4013"/>
    <s v="TRANSPORTADOR REDLER &quot;F&quot;"/>
    <m/>
    <m/>
    <m/>
    <m/>
    <m/>
    <m/>
    <m/>
    <m/>
    <m/>
    <s v="Painel CCM-2.1"/>
    <s v="Inversor"/>
    <n v="2"/>
    <n v="1.492"/>
    <m/>
    <n v="0.78"/>
    <n v="0.84200000000000008"/>
    <s v="Trifásico"/>
    <n v="440"/>
    <n v="2.9809097332875214"/>
    <n v="1.9128205128205127"/>
    <n v="4.4713645999312819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400"/>
    <s v="Separação de fibras, secagem e resfriamento DDGs"/>
    <s v="RED-4014"/>
    <s v="TRANSPORTADOR REDLER &quot;G&quot;"/>
    <m/>
    <m/>
    <m/>
    <m/>
    <m/>
    <m/>
    <m/>
    <m/>
    <m/>
    <s v="Painel CCM-2.1"/>
    <s v="Inversor"/>
    <n v="15"/>
    <n v="11.19"/>
    <m/>
    <n v="0.85"/>
    <n v="0.91700000000000004"/>
    <s v="Trifásico"/>
    <n v="440"/>
    <n v="18.837727979029246"/>
    <n v="13.164705882352941"/>
    <n v="28.256591968543869"/>
    <m/>
    <m/>
    <n v="120"/>
    <m/>
    <m/>
    <m/>
    <m/>
    <n v="120"/>
    <n v="1"/>
    <x v="12"/>
    <n v="120"/>
    <n v="0"/>
    <x v="0"/>
    <n v="0"/>
    <n v="0"/>
    <x v="6"/>
    <n v="0"/>
    <s v="132M/L"/>
    <s v="1&quot;"/>
    <n v="1"/>
    <m/>
    <m/>
    <m/>
    <m/>
    <m/>
    <m/>
    <m/>
    <m/>
    <m/>
    <m/>
    <m/>
    <m/>
    <n v="0"/>
  </r>
  <r>
    <n v="400"/>
    <s v="Separação de fibras, secagem e resfriamento DDGs"/>
    <s v="RED-4014"/>
    <s v="TRANSPORTADOR REDLER &quot;G&quot;"/>
    <m/>
    <m/>
    <m/>
    <m/>
    <m/>
    <m/>
    <m/>
    <m/>
    <m/>
    <s v="Painel CCM-2.1"/>
    <s v="Inversor"/>
    <n v="15"/>
    <n v="11.19"/>
    <m/>
    <n v="0.85"/>
    <n v="0.91700000000000004"/>
    <s v="Trifásico"/>
    <n v="440"/>
    <n v="18.837727979029246"/>
    <n v="13.164705882352941"/>
    <n v="28.256591968543869"/>
    <m/>
    <m/>
    <n v="120"/>
    <m/>
    <m/>
    <m/>
    <m/>
    <n v="120"/>
    <n v="1"/>
    <x v="12"/>
    <n v="120"/>
    <n v="0"/>
    <x v="0"/>
    <n v="0"/>
    <n v="0"/>
    <x v="6"/>
    <n v="0"/>
    <s v="132M/L"/>
    <s v="1&quot;"/>
    <n v="1"/>
    <m/>
    <m/>
    <m/>
    <m/>
    <m/>
    <m/>
    <m/>
    <m/>
    <m/>
    <m/>
    <m/>
    <m/>
    <n v="0"/>
  </r>
  <r>
    <n v="400"/>
    <s v="Separação de fibras, secagem e resfriamento DDGs"/>
    <s v="RED-4016"/>
    <s v="TRANSPORTADOR REDLER &quot;I&quot;"/>
    <m/>
    <m/>
    <m/>
    <m/>
    <m/>
    <m/>
    <m/>
    <m/>
    <m/>
    <s v="Painel CCM-2.1"/>
    <s v="Inversor"/>
    <n v="7.5"/>
    <n v="5.5949999999999998"/>
    <m/>
    <n v="0.79"/>
    <n v="0.9"/>
    <s v="Trifásico"/>
    <n v="440"/>
    <n v="10.325644917900386"/>
    <n v="7.0822784810126578"/>
    <n v="15.488467376850579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400"/>
    <s v="Separação de fibras, secagem e resfriamento DDGs"/>
    <s v="ECA-4001"/>
    <s v="ELEVADOR DE CANECA &quot;H&quot;"/>
    <m/>
    <m/>
    <m/>
    <m/>
    <m/>
    <m/>
    <m/>
    <m/>
    <m/>
    <s v="Painel CCM-2.1"/>
    <s v="Inversor"/>
    <n v="15"/>
    <n v="11.19"/>
    <m/>
    <n v="0.85"/>
    <n v="0.91700000000000004"/>
    <s v="Trifásico"/>
    <n v="440"/>
    <n v="18.837727979029246"/>
    <n v="13.164705882352941"/>
    <n v="28.256591968543869"/>
    <m/>
    <m/>
    <n v="150"/>
    <m/>
    <m/>
    <m/>
    <m/>
    <n v="150"/>
    <n v="1"/>
    <x v="7"/>
    <n v="150"/>
    <n v="0"/>
    <x v="0"/>
    <n v="0"/>
    <n v="0"/>
    <x v="6"/>
    <n v="0"/>
    <s v="132M"/>
    <s v="1&quot;"/>
    <n v="1"/>
    <m/>
    <m/>
    <m/>
    <m/>
    <m/>
    <m/>
    <m/>
    <m/>
    <m/>
    <m/>
    <m/>
    <m/>
    <n v="0"/>
  </r>
  <r>
    <n v="400"/>
    <s v="Separação de fibras, secagem e resfriamento DDGs"/>
    <s v="MIS-4001"/>
    <s v="MISTURADOR WDG (PÓS-MASHER)"/>
    <m/>
    <m/>
    <m/>
    <m/>
    <m/>
    <m/>
    <m/>
    <m/>
    <m/>
    <s v="Painel CCM-2.1"/>
    <s v="Inversor"/>
    <n v="40"/>
    <n v="29.84"/>
    <m/>
    <n v="0.85"/>
    <n v="0.93400000000000005"/>
    <s v="Trifásico"/>
    <n v="440"/>
    <n v="49.319619005766796"/>
    <n v="35.10588235294118"/>
    <n v="73.979428508650187"/>
    <m/>
    <m/>
    <n v="120"/>
    <m/>
    <m/>
    <m/>
    <m/>
    <n v="120"/>
    <n v="1"/>
    <x v="15"/>
    <n v="120"/>
    <n v="0"/>
    <x v="0"/>
    <n v="0"/>
    <n v="0"/>
    <x v="6"/>
    <n v="0"/>
    <s v="180L"/>
    <s v="1.1/2&quot;"/>
    <n v="1"/>
    <m/>
    <m/>
    <m/>
    <m/>
    <m/>
    <m/>
    <m/>
    <m/>
    <m/>
    <m/>
    <m/>
    <m/>
    <n v="0"/>
  </r>
  <r>
    <n v="400"/>
    <s v="Separação de fibras, secagem e resfriamento DDGs"/>
    <s v="PRO-4001"/>
    <s v="PONTE ROLANTE - MOTOR ELEVAÇÃO"/>
    <m/>
    <m/>
    <m/>
    <m/>
    <m/>
    <m/>
    <m/>
    <m/>
    <m/>
    <s v="Painel Fornecido com a Ponte"/>
    <s v="Inversor"/>
    <n v="25"/>
    <n v="18.649999999999999"/>
    <m/>
    <n v="0.81"/>
    <n v="0.92799999999999994"/>
    <s v="Trifásico"/>
    <n v="440"/>
    <n v="32.556112249127175"/>
    <n v="23.02469135802469"/>
    <n v="48.834168373690758"/>
    <m/>
    <m/>
    <n v="0"/>
    <m/>
    <m/>
    <m/>
    <m/>
    <n v="0"/>
    <m/>
    <x v="2"/>
    <n v="0"/>
    <m/>
    <x v="1"/>
    <n v="0"/>
    <m/>
    <x v="1"/>
    <n v="0"/>
    <s v="180L"/>
    <s v="1.1/2&quot;"/>
    <n v="1"/>
    <m/>
    <m/>
    <m/>
    <m/>
    <m/>
    <m/>
    <m/>
    <m/>
    <m/>
    <m/>
    <m/>
    <m/>
    <n v="0"/>
  </r>
  <r>
    <n v="400"/>
    <s v="Separação de fibras, secagem e resfriamento DDGs"/>
    <s v="PRO-4002"/>
    <s v="PONTE ROLANTE - MOTOR DIREÇÃO TROLE"/>
    <m/>
    <m/>
    <m/>
    <m/>
    <m/>
    <m/>
    <m/>
    <m/>
    <m/>
    <s v="Painel Fornecido com a Ponte"/>
    <s v="Inversor"/>
    <n v="1"/>
    <n v="0.746"/>
    <m/>
    <n v="0.81"/>
    <n v="0.80500000000000005"/>
    <s v="Trifásico"/>
    <n v="440"/>
    <n v="1.5012209772516776"/>
    <n v="0.92098765432098761"/>
    <n v="2.2518314658775163"/>
    <m/>
    <m/>
    <n v="0"/>
    <m/>
    <m/>
    <m/>
    <m/>
    <n v="0"/>
    <m/>
    <x v="2"/>
    <n v="0"/>
    <m/>
    <x v="1"/>
    <n v="0"/>
    <m/>
    <x v="1"/>
    <n v="0"/>
    <s v="100L"/>
    <s v="3/4&quot;"/>
    <n v="1"/>
    <m/>
    <m/>
    <m/>
    <m/>
    <m/>
    <m/>
    <m/>
    <m/>
    <m/>
    <m/>
    <m/>
    <m/>
    <n v="0"/>
  </r>
  <r>
    <n v="400"/>
    <s v="Separação de fibras, secagem e resfriamento DDGs"/>
    <s v="PRO-4003"/>
    <s v="PONTE ROLANTE - MOTOR TRANSLAÇÃO"/>
    <m/>
    <m/>
    <m/>
    <m/>
    <m/>
    <m/>
    <m/>
    <m/>
    <m/>
    <s v="Painel Fornecido com a Ponte"/>
    <s v="Inversor"/>
    <n v="0.75"/>
    <n v="0.5595"/>
    <m/>
    <n v="0.66"/>
    <n v="0.72"/>
    <s v="Trifásico"/>
    <n v="440"/>
    <n v="1.5449355085494896"/>
    <n v="0.84772727272727266"/>
    <n v="2.3174032628242345"/>
    <m/>
    <m/>
    <n v="0"/>
    <m/>
    <m/>
    <m/>
    <m/>
    <n v="0"/>
    <m/>
    <x v="2"/>
    <n v="0"/>
    <m/>
    <x v="1"/>
    <n v="0"/>
    <m/>
    <x v="1"/>
    <n v="0"/>
    <s v="100L"/>
    <s v="3/4&quot;"/>
    <n v="1"/>
    <m/>
    <m/>
    <m/>
    <m/>
    <m/>
    <m/>
    <m/>
    <m/>
    <m/>
    <m/>
    <m/>
    <m/>
    <n v="0"/>
  </r>
  <r>
    <n v="400"/>
    <s v="Separação de fibras, secagem e resfriamento DDGs"/>
    <s v="PRO-4003"/>
    <s v="PONTE ROLANTE - MOTOR TRANSLAÇÃO"/>
    <m/>
    <m/>
    <m/>
    <m/>
    <m/>
    <m/>
    <m/>
    <m/>
    <m/>
    <s v="Painel Fornecido com a Ponte"/>
    <s v="Inversor"/>
    <n v="0.75"/>
    <n v="0.5595"/>
    <m/>
    <n v="0.66"/>
    <n v="0.72"/>
    <s v="Trifásico"/>
    <n v="440"/>
    <n v="1.5449355085494896"/>
    <n v="0.84772727272727266"/>
    <n v="2.3174032628242345"/>
    <m/>
    <m/>
    <n v="0"/>
    <m/>
    <m/>
    <m/>
    <m/>
    <n v="0"/>
    <m/>
    <x v="2"/>
    <n v="0"/>
    <m/>
    <x v="1"/>
    <n v="0"/>
    <m/>
    <x v="1"/>
    <n v="0"/>
    <s v="100L"/>
    <s v="3/4&quot;"/>
    <n v="1"/>
    <m/>
    <m/>
    <m/>
    <m/>
    <m/>
    <m/>
    <m/>
    <m/>
    <m/>
    <m/>
    <m/>
    <m/>
    <n v="0"/>
  </r>
  <r>
    <n v="400"/>
    <s v="Separação de fibras, secagem e resfriamento DDGs"/>
    <s v="VRT-4001"/>
    <s v="VÁLVULAS ROTATIVAS"/>
    <m/>
    <m/>
    <m/>
    <m/>
    <m/>
    <m/>
    <m/>
    <m/>
    <m/>
    <s v="Painel CCM-2.1"/>
    <s v="Inversor"/>
    <n v="3"/>
    <n v="2.238"/>
    <m/>
    <n v="0.83"/>
    <n v="0.85099999999999998"/>
    <s v="Trifásico"/>
    <n v="440"/>
    <n v="4.1575657478103292"/>
    <n v="2.6963855421686747"/>
    <n v="6.2363486217154938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400"/>
    <s v="Separação de fibras, secagem e resfriamento DDGs"/>
    <s v="VRT-4002"/>
    <s v="VÁLVULAS ROTATIVAS"/>
    <m/>
    <m/>
    <m/>
    <m/>
    <m/>
    <m/>
    <m/>
    <m/>
    <m/>
    <s v="Painel CCM-2.1"/>
    <s v="Inversor"/>
    <n v="3"/>
    <n v="2.238"/>
    <m/>
    <n v="0.83"/>
    <n v="0.85099999999999998"/>
    <s v="Trifásico"/>
    <n v="440"/>
    <n v="4.1575657478103292"/>
    <n v="2.6963855421686747"/>
    <n v="6.2363486217154938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400"/>
    <s v="Separação de fibras, secagem e resfriamento DDGs"/>
    <s v="VRT-4003"/>
    <s v="VÁLVULAS ROTATIVAS"/>
    <m/>
    <m/>
    <m/>
    <m/>
    <m/>
    <m/>
    <m/>
    <m/>
    <m/>
    <s v="Painel CCM-2.1"/>
    <s v="Inversor"/>
    <n v="3"/>
    <n v="2.238"/>
    <m/>
    <n v="0.83"/>
    <n v="0.85099999999999998"/>
    <s v="Trifásico"/>
    <n v="440"/>
    <n v="4.1575657478103292"/>
    <n v="2.6963855421686747"/>
    <n v="6.2363486217154938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400"/>
    <s v="Separação de fibras, secagem e resfriamento DDGs"/>
    <s v="CHL-4001-HP_ABSO"/>
    <s v="CHILLER - VAM - HP Absorbent Pump"/>
    <m/>
    <m/>
    <m/>
    <m/>
    <m/>
    <m/>
    <m/>
    <m/>
    <m/>
    <s v="Painel Chiller 1"/>
    <s v="Direta"/>
    <n v="10"/>
    <n v="7.46"/>
    <m/>
    <n v="0.84"/>
    <n v="0.91"/>
    <s v="Trifásico"/>
    <n v="440"/>
    <n v="12.805744874633129"/>
    <n v="8.8809523809523814"/>
    <n v="76.834469247798779"/>
    <m/>
    <m/>
    <n v="120"/>
    <m/>
    <m/>
    <m/>
    <m/>
    <n v="120"/>
    <n v="1"/>
    <x v="7"/>
    <n v="120"/>
    <n v="0"/>
    <x v="0"/>
    <n v="0"/>
    <n v="0"/>
    <x v="6"/>
    <n v="0"/>
    <s v="132M"/>
    <s v="1&quot;"/>
    <n v="1"/>
    <m/>
    <m/>
    <m/>
    <m/>
    <m/>
    <m/>
    <m/>
    <m/>
    <m/>
    <m/>
    <m/>
    <m/>
    <n v="1.6407372765871995"/>
  </r>
  <r>
    <n v="400"/>
    <s v="Separação de fibras, secagem e resfriamento DDGs"/>
    <s v="CHL-4001-LP_ABSO"/>
    <s v="CHILLER - VAM - LP_Absorbent Pump"/>
    <m/>
    <m/>
    <m/>
    <m/>
    <m/>
    <m/>
    <m/>
    <m/>
    <m/>
    <s v="Painel Chiller 1"/>
    <s v="Direta"/>
    <n v="3"/>
    <n v="2.238"/>
    <m/>
    <n v="0.83"/>
    <n v="0.85099999999999998"/>
    <s v="Trifásico"/>
    <n v="440"/>
    <n v="4.1575657478103292"/>
    <n v="2.6963855421686747"/>
    <n v="24.945394486861975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.55056113490915704"/>
  </r>
  <r>
    <n v="400"/>
    <s v="Separação de fibras, secagem e resfriamento DDGs"/>
    <s v="CHL-4001-PP"/>
    <s v="CHILLER - VAM - Refrigerant Pump"/>
    <m/>
    <m/>
    <m/>
    <m/>
    <m/>
    <m/>
    <m/>
    <m/>
    <m/>
    <s v="Painel Chiller 1"/>
    <s v="Direta"/>
    <n v="0.5"/>
    <n v="0.373"/>
    <m/>
    <n v="0.69"/>
    <n v="0.7"/>
    <s v="Trifásico"/>
    <n v="440"/>
    <n v="1.0133241596448825"/>
    <n v="0.54057971014492756"/>
    <n v="6.0799449578692952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.23237932328500399"/>
  </r>
  <r>
    <n v="400"/>
    <s v="Separação de fibras, secagem e resfriamento DDGs"/>
    <s v="CHL-4001-PR"/>
    <s v="CHILLER - VAM - Vacuum Pump Motor"/>
    <m/>
    <m/>
    <m/>
    <m/>
    <m/>
    <m/>
    <m/>
    <m/>
    <m/>
    <s v="Painel Chiller 1"/>
    <s v="Direta"/>
    <n v="1"/>
    <n v="0.746"/>
    <m/>
    <n v="0.81"/>
    <n v="0.80500000000000005"/>
    <s v="Trifásico"/>
    <n v="440"/>
    <n v="1.5012209772516776"/>
    <n v="0.92098765432098761"/>
    <n v="9.007325863510065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.22230000710319253"/>
  </r>
  <r>
    <n v="400"/>
    <s v="Separação de fibras, secagem e resfriamento DDGs"/>
    <s v="CHL-4001-PLC"/>
    <s v="CHILLER - Control Supply (Con.Transformer)"/>
    <m/>
    <m/>
    <m/>
    <m/>
    <m/>
    <m/>
    <m/>
    <m/>
    <m/>
    <s v="Painel Chiller 1"/>
    <s v="Direta"/>
    <n v="1.5"/>
    <n v="1.119"/>
    <m/>
    <n v="0.79"/>
    <n v="0.81599999999999995"/>
    <s v="Trifásico"/>
    <n v="440"/>
    <n v="2.2777157907133203"/>
    <n v="1.4164556962025316"/>
    <n v="13.666294744279922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.3917466752134442"/>
  </r>
  <r>
    <n v="400"/>
    <s v="Separação de fibras, secagem e resfriamento DDGs"/>
    <s v="CHL-4002-HP_ABSO"/>
    <s v="CHILLER - VAM - HP Absorbent Pump"/>
    <m/>
    <m/>
    <m/>
    <m/>
    <m/>
    <m/>
    <m/>
    <m/>
    <m/>
    <s v="Painel Chiller2"/>
    <s v="Direta"/>
    <n v="10"/>
    <n v="7.46"/>
    <m/>
    <n v="0.84"/>
    <n v="0.91"/>
    <s v="Trifásico"/>
    <n v="440"/>
    <n v="12.805744874633129"/>
    <n v="8.8809523809523814"/>
    <n v="76.834469247798779"/>
    <m/>
    <m/>
    <n v="120"/>
    <m/>
    <m/>
    <m/>
    <m/>
    <n v="120"/>
    <n v="1"/>
    <x v="7"/>
    <n v="120"/>
    <n v="0"/>
    <x v="0"/>
    <n v="0"/>
    <n v="0"/>
    <x v="6"/>
    <n v="0"/>
    <s v="132M"/>
    <s v="1&quot;"/>
    <n v="1"/>
    <m/>
    <m/>
    <m/>
    <m/>
    <m/>
    <m/>
    <m/>
    <m/>
    <m/>
    <m/>
    <m/>
    <m/>
    <n v="1.6407372765871995"/>
  </r>
  <r>
    <n v="400"/>
    <s v="Separação de fibras, secagem e resfriamento DDGs"/>
    <s v="CHL-4002-LP_ABSO"/>
    <s v="CHILLER - VAM - LP_Absorbent Pump"/>
    <m/>
    <m/>
    <m/>
    <m/>
    <m/>
    <m/>
    <m/>
    <m/>
    <m/>
    <s v="Painel Chiller2"/>
    <s v="Direta"/>
    <n v="3"/>
    <n v="2.238"/>
    <m/>
    <n v="0.83"/>
    <n v="0.85099999999999998"/>
    <s v="Trifásico"/>
    <n v="440"/>
    <n v="4.1575657478103292"/>
    <n v="2.6963855421686747"/>
    <n v="24.945394486861975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.55056113490915704"/>
  </r>
  <r>
    <n v="400"/>
    <s v="Separação de fibras, secagem e resfriamento DDGs"/>
    <s v="CHL-4002-PP"/>
    <s v="CHILLER - VAM - Refrigerant Pump"/>
    <m/>
    <m/>
    <m/>
    <m/>
    <m/>
    <m/>
    <m/>
    <m/>
    <m/>
    <s v="Painel Chiller2"/>
    <s v="Direta"/>
    <n v="0.5"/>
    <n v="0.373"/>
    <m/>
    <n v="0.69"/>
    <n v="0.7"/>
    <s v="Trifásico"/>
    <n v="440"/>
    <n v="1.0133241596448825"/>
    <n v="0.54057971014492756"/>
    <n v="6.0799449578692952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.23237932328500399"/>
  </r>
  <r>
    <n v="400"/>
    <s v="Separação de fibras, secagem e resfriamento DDGs"/>
    <s v="CHL-4002-PR"/>
    <s v="CHILLER - VAM - Vacuum Pump Motor"/>
    <m/>
    <m/>
    <m/>
    <m/>
    <m/>
    <m/>
    <m/>
    <m/>
    <m/>
    <s v="Painel Chiller2"/>
    <s v="Direta"/>
    <n v="1"/>
    <n v="0.746"/>
    <m/>
    <n v="0.81"/>
    <n v="0.80500000000000005"/>
    <s v="Trifásico"/>
    <n v="440"/>
    <n v="1.5012209772516776"/>
    <n v="0.92098765432098761"/>
    <n v="9.007325863510065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.22230000710319253"/>
  </r>
  <r>
    <n v="400"/>
    <s v="Separação de fibras, secagem e resfriamento DDGs"/>
    <s v="CHL-4002-PLC"/>
    <s v="CHILLER - Control Supply (Con.Transformer)"/>
    <m/>
    <m/>
    <m/>
    <m/>
    <m/>
    <m/>
    <m/>
    <m/>
    <m/>
    <s v="Painel Chiller2"/>
    <s v="Direta"/>
    <n v="1.5"/>
    <n v="1.119"/>
    <m/>
    <n v="0.79"/>
    <n v="0.81599999999999995"/>
    <s v="Trifásico"/>
    <n v="440"/>
    <n v="2.2777157907133203"/>
    <n v="1.4164556962025316"/>
    <n v="13.666294744279922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.3917466752134442"/>
  </r>
  <r>
    <n v="400"/>
    <s v="Separação de fibras, secagem e resfriamento DDGs"/>
    <s v="DCT-4001(M01)"/>
    <s v="DCT-401 - motor decanter bowl S100.01-M01"/>
    <m/>
    <m/>
    <m/>
    <m/>
    <m/>
    <m/>
    <m/>
    <m/>
    <m/>
    <s v="Disjuntor"/>
    <s v="Inversor"/>
    <n v="125"/>
    <n v="93.25"/>
    <m/>
    <n v="0.85"/>
    <n v="0.94900000000000007"/>
    <s v="Trifásico"/>
    <n v="440"/>
    <n v="151.68771124666156"/>
    <n v="109.70588235294117"/>
    <n v="227.53156686999233"/>
    <m/>
    <m/>
    <n v="120"/>
    <m/>
    <m/>
    <m/>
    <m/>
    <n v="120"/>
    <n v="3"/>
    <x v="8"/>
    <n v="360"/>
    <n v="0"/>
    <x v="0"/>
    <n v="0"/>
    <n v="1"/>
    <x v="8"/>
    <n v="120"/>
    <s v="200L"/>
    <s v="2&quot;"/>
    <n v="1"/>
    <m/>
    <m/>
    <m/>
    <m/>
    <m/>
    <m/>
    <m/>
    <m/>
    <m/>
    <m/>
    <m/>
    <m/>
    <n v="0"/>
  </r>
  <r>
    <n v="400"/>
    <s v="Separação de fibras, secagem e resfriamento DDGs"/>
    <s v="DCT-4001(M02)"/>
    <s v="DCT-401 - motor decanter scroll S100.01-M02"/>
    <m/>
    <m/>
    <m/>
    <m/>
    <m/>
    <m/>
    <m/>
    <m/>
    <m/>
    <s v="Disjuntor"/>
    <s v="Inversor"/>
    <n v="30"/>
    <n v="22.38"/>
    <m/>
    <n v="0.84"/>
    <n v="0.93"/>
    <s v="Trifásico"/>
    <n v="440"/>
    <n v="37.59105753521338"/>
    <n v="26.642857142857142"/>
    <n v="56.386586302820071"/>
    <m/>
    <m/>
    <n v="120"/>
    <m/>
    <m/>
    <m/>
    <m/>
    <n v="120"/>
    <n v="1"/>
    <x v="7"/>
    <n v="120"/>
    <n v="0"/>
    <x v="0"/>
    <n v="0"/>
    <n v="0"/>
    <x v="6"/>
    <n v="0"/>
    <s v="132M"/>
    <s v="1&quot;"/>
    <n v="1"/>
    <m/>
    <m/>
    <m/>
    <m/>
    <m/>
    <m/>
    <m/>
    <m/>
    <m/>
    <m/>
    <m/>
    <m/>
    <n v="0"/>
  </r>
  <r>
    <n v="400"/>
    <s v="Separação de fibras, secagem e resfriamento DDGs"/>
    <s v="DCT-4001(M03)"/>
    <s v="DCT-401 - motor automatic impeller S100.01-M03"/>
    <m/>
    <m/>
    <m/>
    <m/>
    <m/>
    <m/>
    <m/>
    <m/>
    <m/>
    <s v="Disjuntor"/>
    <s v="Direta"/>
    <n v="0.05"/>
    <n v="3.73E-2"/>
    <m/>
    <n v="0.84"/>
    <n v="0.93"/>
    <s v="Trifásico"/>
    <n v="440"/>
    <n v="6.2651762558688984E-2"/>
    <n v="4.4404761904761905E-2"/>
    <n v="0.3759105753521339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8.2036863829359971E-3"/>
  </r>
  <r>
    <n v="400"/>
    <s v="Separação de fibras, secagem e resfriamento DDGs"/>
    <s v="DCT-4001(M15)"/>
    <s v="DCT-401 - Actuator for solids gate valve S100.01-M15"/>
    <m/>
    <m/>
    <m/>
    <m/>
    <m/>
    <m/>
    <m/>
    <m/>
    <m/>
    <s v="Disjuntor"/>
    <s v="Direta"/>
    <n v="0.54"/>
    <n v="0.40284000000000003"/>
    <m/>
    <n v="0.84"/>
    <n v="0.93"/>
    <s v="Trifásico"/>
    <n v="440"/>
    <n v="0.67663903563384098"/>
    <n v="0.47957142857142865"/>
    <n v="4.0598342138030459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8.8599812935708733E-2"/>
  </r>
  <r>
    <n v="400"/>
    <s v="Separação de fibras, secagem e resfriamento DDGs"/>
    <s v="DCT-4002(M01)"/>
    <s v="DCT-402 - motor decanter bowl S200.01-M01"/>
    <m/>
    <m/>
    <m/>
    <m/>
    <m/>
    <m/>
    <m/>
    <m/>
    <m/>
    <s v="Disjuntor"/>
    <s v="Inversor"/>
    <n v="125"/>
    <n v="93.25"/>
    <m/>
    <n v="0.85"/>
    <n v="0.94900000000000007"/>
    <s v="Trifásico"/>
    <n v="440"/>
    <n v="151.68771124666156"/>
    <n v="109.70588235294117"/>
    <n v="227.53156686999233"/>
    <m/>
    <m/>
    <n v="120"/>
    <m/>
    <m/>
    <m/>
    <m/>
    <n v="120"/>
    <n v="3"/>
    <x v="8"/>
    <n v="360"/>
    <n v="0"/>
    <x v="0"/>
    <n v="0"/>
    <n v="1"/>
    <x v="8"/>
    <n v="120"/>
    <s v="200L"/>
    <s v="2&quot;"/>
    <n v="1"/>
    <m/>
    <m/>
    <m/>
    <m/>
    <m/>
    <m/>
    <m/>
    <m/>
    <m/>
    <m/>
    <m/>
    <m/>
    <n v="0"/>
  </r>
  <r>
    <n v="400"/>
    <s v="Separação de fibras, secagem e resfriamento DDGs"/>
    <s v="DCT-4002(M02)"/>
    <s v="DCT-402 - motor decanter scroll S200.01-M02"/>
    <m/>
    <m/>
    <m/>
    <m/>
    <m/>
    <m/>
    <m/>
    <m/>
    <m/>
    <s v="Disjuntor"/>
    <s v="Inversor"/>
    <n v="30"/>
    <n v="22.38"/>
    <m/>
    <n v="0.84"/>
    <n v="0.93"/>
    <s v="Trifásico"/>
    <n v="440"/>
    <n v="37.59105753521338"/>
    <n v="26.642857142857142"/>
    <n v="56.386586302820071"/>
    <m/>
    <m/>
    <n v="120"/>
    <m/>
    <m/>
    <m/>
    <m/>
    <n v="120"/>
    <n v="1"/>
    <x v="7"/>
    <n v="120"/>
    <n v="0"/>
    <x v="0"/>
    <n v="0"/>
    <n v="0"/>
    <x v="6"/>
    <n v="0"/>
    <s v="132M"/>
    <s v="1&quot;"/>
    <n v="1"/>
    <m/>
    <m/>
    <m/>
    <m/>
    <m/>
    <m/>
    <m/>
    <m/>
    <m/>
    <m/>
    <m/>
    <m/>
    <n v="0"/>
  </r>
  <r>
    <n v="400"/>
    <s v="Separação de fibras, secagem e resfriamento DDGs"/>
    <s v="DCT-4002(M03)"/>
    <s v="DCT-402 - motor automatic impeller S200.01-M03"/>
    <m/>
    <m/>
    <m/>
    <m/>
    <m/>
    <m/>
    <m/>
    <m/>
    <m/>
    <s v="Disjuntor"/>
    <s v="Direta"/>
    <n v="0.05"/>
    <n v="3.73E-2"/>
    <m/>
    <n v="0.84"/>
    <n v="0.93"/>
    <s v="Trifásico"/>
    <n v="440"/>
    <n v="6.2651762558688984E-2"/>
    <n v="4.4404761904761905E-2"/>
    <n v="0.3759105753521339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8.2036863829359971E-3"/>
  </r>
  <r>
    <n v="400"/>
    <s v="Separação de fibras, secagem e resfriamento DDGs"/>
    <s v="DCT-4002(M15)"/>
    <s v="DCT-402 - Actuator for solids gate valve S200.01-M15"/>
    <m/>
    <m/>
    <m/>
    <m/>
    <m/>
    <m/>
    <m/>
    <m/>
    <m/>
    <s v="Disjuntor"/>
    <s v="Direta"/>
    <n v="0.54"/>
    <n v="0.40284000000000003"/>
    <m/>
    <n v="0.84"/>
    <n v="0.93"/>
    <s v="Trifásico"/>
    <n v="440"/>
    <n v="0.67663903563384098"/>
    <n v="0.47957142857142865"/>
    <n v="4.0598342138030459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8.8599812935708733E-2"/>
  </r>
  <r>
    <n v="400"/>
    <s v="Separação de fibras, secagem e resfriamento DDGs"/>
    <s v="DCT-4003(M01)"/>
    <s v="DCT-403 - motor decanter bowl S300.01-M01"/>
    <m/>
    <m/>
    <m/>
    <m/>
    <m/>
    <m/>
    <m/>
    <m/>
    <m/>
    <s v="Disjuntor"/>
    <s v="Inversor"/>
    <n v="125"/>
    <n v="93.25"/>
    <m/>
    <n v="0.85"/>
    <n v="0.94900000000000007"/>
    <s v="Trifásico"/>
    <n v="440"/>
    <n v="151.68771124666156"/>
    <n v="109.70588235294117"/>
    <n v="227.53156686999233"/>
    <m/>
    <m/>
    <n v="120"/>
    <m/>
    <m/>
    <m/>
    <m/>
    <n v="120"/>
    <n v="3"/>
    <x v="8"/>
    <n v="360"/>
    <n v="0"/>
    <x v="0"/>
    <n v="0"/>
    <n v="1"/>
    <x v="8"/>
    <n v="120"/>
    <s v="200L"/>
    <s v="2&quot;"/>
    <n v="1"/>
    <m/>
    <m/>
    <m/>
    <m/>
    <m/>
    <m/>
    <m/>
    <m/>
    <m/>
    <m/>
    <m/>
    <m/>
    <n v="0"/>
  </r>
  <r>
    <n v="400"/>
    <s v="Separação de fibras, secagem e resfriamento DDGs"/>
    <s v="DCT-4003(M02)"/>
    <s v="DCT-403 - motor decanter scroll S300.01-M02"/>
    <m/>
    <m/>
    <m/>
    <m/>
    <m/>
    <m/>
    <m/>
    <m/>
    <m/>
    <s v="Disjuntor"/>
    <s v="Inversor"/>
    <n v="30"/>
    <n v="22.38"/>
    <m/>
    <n v="0.84"/>
    <n v="0.93"/>
    <s v="Trifásico"/>
    <n v="440"/>
    <n v="37.59105753521338"/>
    <n v="26.642857142857142"/>
    <n v="56.386586302820071"/>
    <m/>
    <m/>
    <n v="120"/>
    <m/>
    <m/>
    <m/>
    <m/>
    <n v="120"/>
    <n v="1"/>
    <x v="7"/>
    <n v="120"/>
    <n v="0"/>
    <x v="0"/>
    <n v="0"/>
    <n v="0"/>
    <x v="6"/>
    <n v="0"/>
    <s v="132M"/>
    <s v="1&quot;"/>
    <n v="1"/>
    <m/>
    <m/>
    <m/>
    <m/>
    <m/>
    <m/>
    <m/>
    <m/>
    <m/>
    <m/>
    <m/>
    <m/>
    <n v="0"/>
  </r>
  <r>
    <n v="400"/>
    <s v="Separação de fibras, secagem e resfriamento DDGs"/>
    <s v="DCT-4003(M03)"/>
    <s v="DCT-403 - motor automatic impeller S300.01-M03"/>
    <m/>
    <m/>
    <m/>
    <m/>
    <m/>
    <m/>
    <m/>
    <m/>
    <m/>
    <s v="Disjuntor"/>
    <s v="Direta"/>
    <n v="0.05"/>
    <n v="3.73E-2"/>
    <m/>
    <n v="0.84"/>
    <n v="0.93"/>
    <s v="Trifásico"/>
    <n v="440"/>
    <n v="6.2651762558688984E-2"/>
    <n v="4.4404761904761905E-2"/>
    <n v="0.3759105753521339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8.2036863829359971E-3"/>
  </r>
  <r>
    <n v="400"/>
    <s v="Separação de fibras, secagem e resfriamento DDGs"/>
    <s v="DCT-4003(M15)"/>
    <s v="DCT-403 - Actuator for solids gate valve S300.01-M15"/>
    <m/>
    <m/>
    <m/>
    <m/>
    <m/>
    <m/>
    <m/>
    <m/>
    <m/>
    <s v="Disjuntor"/>
    <s v="Direta"/>
    <n v="0.54"/>
    <n v="0.40284000000000003"/>
    <m/>
    <n v="0.84"/>
    <n v="0.93"/>
    <s v="Trifásico"/>
    <n v="440"/>
    <n v="0.67663903563384098"/>
    <n v="0.47957142857142865"/>
    <n v="4.0598342138030459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8.8599812935708733E-2"/>
  </r>
  <r>
    <n v="400"/>
    <s v="Separação de fibras, secagem e resfriamento DDGs"/>
    <s v="RED-4015"/>
    <s v="TRANSPORTADOR REDLER &quot;J&quot;"/>
    <m/>
    <m/>
    <m/>
    <m/>
    <m/>
    <m/>
    <m/>
    <m/>
    <m/>
    <m/>
    <s v="Inversor"/>
    <n v="7.5"/>
    <n v="5.5949999999999998"/>
    <m/>
    <n v="0.79"/>
    <n v="0.9"/>
    <s v="Trifásico"/>
    <n v="440"/>
    <n v="10.325644917900386"/>
    <n v="7.0822784810126578"/>
    <n v="15.488467376850579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400"/>
    <s v="Separação de fibras, secagem e resfriamento DDGs"/>
    <s v="MIS-4001 (11M-1150-01)"/>
    <s v="MIS-4001 - Double Shaft Mixer"/>
    <m/>
    <m/>
    <m/>
    <m/>
    <m/>
    <m/>
    <m/>
    <m/>
    <m/>
    <s v="Painel SCD-401"/>
    <s v="Inversor"/>
    <n v="60"/>
    <n v="44.76"/>
    <m/>
    <n v="0.86"/>
    <n v="0.94099999999999995"/>
    <s v="Trifásico"/>
    <n v="440"/>
    <n v="72.57527654031756"/>
    <n v="52.046511627906973"/>
    <n v="108.86291481047634"/>
    <m/>
    <m/>
    <n v="120"/>
    <m/>
    <m/>
    <m/>
    <m/>
    <n v="120"/>
    <n v="1"/>
    <x v="10"/>
    <n v="120"/>
    <n v="0"/>
    <x v="0"/>
    <n v="0"/>
    <n v="0"/>
    <x v="6"/>
    <n v="0"/>
    <s v="200M"/>
    <s v="2&quot;"/>
    <n v="1"/>
    <m/>
    <m/>
    <m/>
    <m/>
    <m/>
    <m/>
    <m/>
    <m/>
    <m/>
    <m/>
    <m/>
    <m/>
    <n v="0"/>
  </r>
  <r>
    <n v="400"/>
    <s v="Separação de fibras, secagem e resfriamento DDGs"/>
    <s v="RSC-4101 (11M-1180-01)"/>
    <s v="RSC-4101 - Feed Screw"/>
    <m/>
    <m/>
    <m/>
    <m/>
    <m/>
    <m/>
    <m/>
    <m/>
    <m/>
    <s v="Painel SCD-401"/>
    <s v="Soft"/>
    <n v="20"/>
    <n v="14.92"/>
    <m/>
    <n v="0.81"/>
    <n v="0.92400000000000004"/>
    <s v="Trifásico"/>
    <n v="440"/>
    <n v="26.15763823999135"/>
    <n v="18.419753086419753"/>
    <n v="78.472914719974057"/>
    <m/>
    <m/>
    <n v="120"/>
    <m/>
    <m/>
    <m/>
    <m/>
    <n v="120"/>
    <n v="1"/>
    <x v="7"/>
    <n v="120"/>
    <n v="0"/>
    <x v="0"/>
    <n v="0"/>
    <n v="0"/>
    <x v="6"/>
    <n v="0"/>
    <s v="132M"/>
    <s v="1&quot;"/>
    <n v="1"/>
    <m/>
    <m/>
    <m/>
    <m/>
    <m/>
    <m/>
    <m/>
    <m/>
    <m/>
    <m/>
    <m/>
    <m/>
    <n v="4.4460001420638564"/>
  </r>
  <r>
    <n v="400"/>
    <s v="Separação de fibras, secagem e resfriamento DDGs"/>
    <s v="SCD-4001 (11M-3010-01)"/>
    <s v="SCD-4001 - Tube Bundle Dryer"/>
    <m/>
    <m/>
    <m/>
    <m/>
    <m/>
    <m/>
    <m/>
    <m/>
    <m/>
    <s v="Painel SCD-401"/>
    <s v="Inversor"/>
    <n v="250"/>
    <n v="186.5"/>
    <m/>
    <n v="0.87"/>
    <n v="0.95700000000000007"/>
    <s v="Trifásico"/>
    <n v="440"/>
    <n v="293.92352124603838"/>
    <n v="214.36781609195401"/>
    <n v="440.88528186905756"/>
    <m/>
    <m/>
    <n v="120"/>
    <m/>
    <m/>
    <m/>
    <m/>
    <n v="120"/>
    <n v="3"/>
    <x v="11"/>
    <n v="360"/>
    <n v="0"/>
    <x v="0"/>
    <n v="0"/>
    <n v="1"/>
    <x v="9"/>
    <n v="120"/>
    <s v="315S/M"/>
    <s v="2 x 3&quot;"/>
    <n v="1"/>
    <m/>
    <m/>
    <m/>
    <m/>
    <m/>
    <m/>
    <m/>
    <m/>
    <m/>
    <m/>
    <m/>
    <m/>
    <n v="0"/>
  </r>
  <r>
    <n v="400"/>
    <s v="Separação de fibras, secagem e resfriamento DDGs"/>
    <s v="UHL-4101 (11M-3020-01)"/>
    <s v="SCD-4001 - Greasing Unit"/>
    <m/>
    <m/>
    <m/>
    <m/>
    <m/>
    <m/>
    <m/>
    <m/>
    <m/>
    <s v="Painel SCD-401"/>
    <s v="Direta"/>
    <n v="1"/>
    <n v="0.746"/>
    <m/>
    <n v="0.81"/>
    <n v="0.80500000000000005"/>
    <s v="Trifásico"/>
    <n v="440"/>
    <n v="1.5012209772516776"/>
    <n v="0.92098765432098761"/>
    <n v="9.007325863510065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.22230000710319253"/>
  </r>
  <r>
    <n v="400"/>
    <s v="Separação de fibras, secagem e resfriamento DDGs"/>
    <s v="VNT-4001 (11M-4050-01)"/>
    <s v="VNT-4001 - Vapour Fan"/>
    <m/>
    <m/>
    <m/>
    <m/>
    <m/>
    <m/>
    <m/>
    <m/>
    <m/>
    <s v="Painel SCD-401"/>
    <s v="Inversor"/>
    <n v="75"/>
    <n v="55.95"/>
    <m/>
    <n v="0.84"/>
    <n v="0.93"/>
    <s v="Trifásico"/>
    <n v="440"/>
    <n v="93.977643838033458"/>
    <n v="66.607142857142861"/>
    <n v="140.96646575705017"/>
    <m/>
    <m/>
    <n v="120"/>
    <m/>
    <m/>
    <m/>
    <m/>
    <n v="120"/>
    <n v="1"/>
    <x v="10"/>
    <n v="120"/>
    <n v="0"/>
    <x v="0"/>
    <n v="0"/>
    <n v="0"/>
    <x v="6"/>
    <n v="0"/>
    <s v="200M"/>
    <s v="2&quot;"/>
    <n v="1"/>
    <m/>
    <m/>
    <m/>
    <m/>
    <m/>
    <m/>
    <m/>
    <m/>
    <m/>
    <m/>
    <m/>
    <m/>
    <n v="0"/>
  </r>
  <r>
    <n v="400"/>
    <s v="Separação de fibras, secagem e resfriamento DDGs"/>
    <s v="RSC-4104 (11M-5010-01)"/>
    <s v="RSC-4104 - Haul Off Screw"/>
    <m/>
    <m/>
    <m/>
    <m/>
    <m/>
    <m/>
    <m/>
    <m/>
    <m/>
    <s v="Painel SCD-401"/>
    <s v="Direta"/>
    <n v="10"/>
    <n v="7.46"/>
    <m/>
    <n v="0.84"/>
    <n v="0.91"/>
    <s v="Trifásico"/>
    <n v="440"/>
    <n v="12.805744874633129"/>
    <n v="8.8809523809523814"/>
    <n v="76.834469247798779"/>
    <m/>
    <m/>
    <n v="120"/>
    <m/>
    <m/>
    <m/>
    <m/>
    <n v="120"/>
    <n v="1"/>
    <x v="7"/>
    <n v="120"/>
    <n v="0"/>
    <x v="0"/>
    <n v="0"/>
    <n v="0"/>
    <x v="6"/>
    <n v="0"/>
    <s v="132M"/>
    <s v="1&quot;"/>
    <n v="1"/>
    <m/>
    <m/>
    <m/>
    <m/>
    <m/>
    <m/>
    <m/>
    <m/>
    <m/>
    <m/>
    <m/>
    <m/>
    <n v="1.6407372765871995"/>
  </r>
  <r>
    <n v="400"/>
    <s v="Separação de fibras, secagem e resfriamento DDGs"/>
    <s v="RSC-4107 (11M-5020-01)"/>
    <s v="RSC-4107 - Discharge Screw"/>
    <m/>
    <m/>
    <m/>
    <m/>
    <m/>
    <m/>
    <m/>
    <m/>
    <m/>
    <s v="Painel SCD-401"/>
    <s v="Direta"/>
    <n v="15"/>
    <n v="11.19"/>
    <m/>
    <n v="0.85"/>
    <n v="0.91700000000000004"/>
    <s v="Trifásico"/>
    <n v="440"/>
    <n v="18.837727979029246"/>
    <n v="13.164705882352941"/>
    <n v="113.02636787417548"/>
    <m/>
    <m/>
    <n v="120"/>
    <m/>
    <m/>
    <m/>
    <m/>
    <n v="120"/>
    <n v="1"/>
    <x v="7"/>
    <n v="120"/>
    <n v="0"/>
    <x v="0"/>
    <n v="0"/>
    <n v="0"/>
    <x v="6"/>
    <n v="0"/>
    <s v="132M"/>
    <s v="1&quot;"/>
    <n v="1"/>
    <m/>
    <m/>
    <m/>
    <m/>
    <m/>
    <m/>
    <m/>
    <m/>
    <m/>
    <m/>
    <m/>
    <m/>
    <n v="2.1680191081665816"/>
  </r>
  <r>
    <n v="400"/>
    <s v="Separação de fibras, secagem e resfriamento DDGs"/>
    <s v="RSC-4110 (11M-5030-01-1)"/>
    <s v="RSC-4110 - Dosing Screw"/>
    <m/>
    <m/>
    <m/>
    <m/>
    <m/>
    <m/>
    <m/>
    <m/>
    <m/>
    <s v="Painel SCD-401"/>
    <s v="Inversor"/>
    <n v="7.5"/>
    <n v="5.5949999999999998"/>
    <m/>
    <n v="0.79"/>
    <n v="0.9"/>
    <s v="Trifásico"/>
    <n v="440"/>
    <n v="10.325644917900386"/>
    <n v="7.0822784810126578"/>
    <n v="15.488467376850579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400"/>
    <s v="Separação de fibras, secagem e resfriamento DDGs"/>
    <s v="RSC-4110 (11M-5030-01-2)"/>
    <s v="RSC-4110 - Dosing Screw"/>
    <m/>
    <m/>
    <m/>
    <m/>
    <m/>
    <m/>
    <m/>
    <m/>
    <m/>
    <s v="Painel SCD-401"/>
    <s v="Direta"/>
    <n v="0.5"/>
    <n v="0.373"/>
    <m/>
    <n v="0.69"/>
    <n v="0.7"/>
    <s v="Trifásico"/>
    <n v="440"/>
    <n v="1.0133241596448825"/>
    <n v="0.54057971014492756"/>
    <n v="6.0799449578692952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.23237932328500399"/>
  </r>
  <r>
    <n v="400"/>
    <s v="Separação de fibras, secagem e resfriamento DDGs"/>
    <s v="RSC-4113 (11M-5040-01)"/>
    <s v="RSC-4113 - Conveying Screw"/>
    <m/>
    <m/>
    <m/>
    <m/>
    <m/>
    <m/>
    <m/>
    <m/>
    <m/>
    <s v="Painel SCD-401"/>
    <s v="Direta"/>
    <n v="12.5"/>
    <n v="9.3249999999999993"/>
    <m/>
    <n v="0.84"/>
    <n v="0.91"/>
    <s v="Trifásico"/>
    <n v="440"/>
    <n v="16.007181093291411"/>
    <n v="11.101190476190476"/>
    <n v="96.043086559748474"/>
    <m/>
    <m/>
    <n v="120"/>
    <m/>
    <m/>
    <m/>
    <m/>
    <n v="120"/>
    <n v="1"/>
    <x v="7"/>
    <n v="120"/>
    <n v="0"/>
    <x v="0"/>
    <n v="0"/>
    <n v="0"/>
    <x v="6"/>
    <n v="0"/>
    <s v="132M"/>
    <s v="1&quot;"/>
    <n v="1"/>
    <m/>
    <m/>
    <m/>
    <m/>
    <m/>
    <m/>
    <m/>
    <m/>
    <m/>
    <m/>
    <m/>
    <m/>
    <n v="2.0509215957339983"/>
  </r>
  <r>
    <n v="400"/>
    <s v="Separação de fibras, secagem e resfriamento DDGs"/>
    <s v="VRT-4101 (11X-5090-01)"/>
    <s v="VRT-4101 - Product Rotary Valve"/>
    <m/>
    <m/>
    <m/>
    <m/>
    <m/>
    <m/>
    <m/>
    <m/>
    <m/>
    <s v="Painel SCD-401"/>
    <s v="Direta"/>
    <n v="2"/>
    <n v="1.492"/>
    <m/>
    <n v="0.78"/>
    <n v="0.84200000000000008"/>
    <s v="Trifásico"/>
    <n v="440"/>
    <n v="2.9809097332875214"/>
    <n v="1.9128205128205127"/>
    <n v="17.885458399725128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.56141455218969116"/>
  </r>
  <r>
    <n v="400"/>
    <s v="Separação de fibras, secagem e resfriamento DDGs"/>
    <s v="MIS-4002 (21M-1150-01)"/>
    <s v="MIS-4002 - Double Shaft Mixer"/>
    <m/>
    <m/>
    <m/>
    <m/>
    <m/>
    <m/>
    <m/>
    <m/>
    <m/>
    <s v="Painel SCD-402"/>
    <s v="Inversor"/>
    <n v="60"/>
    <n v="44.76"/>
    <m/>
    <n v="0.86"/>
    <n v="0.94099999999999995"/>
    <s v="Trifásico"/>
    <n v="440"/>
    <n v="72.57527654031756"/>
    <n v="52.046511627906973"/>
    <n v="108.86291481047634"/>
    <m/>
    <m/>
    <n v="120"/>
    <m/>
    <m/>
    <m/>
    <m/>
    <n v="120"/>
    <n v="1"/>
    <x v="10"/>
    <n v="120"/>
    <n v="0"/>
    <x v="0"/>
    <n v="0"/>
    <n v="0"/>
    <x v="6"/>
    <n v="0"/>
    <s v="200M"/>
    <s v="2&quot;"/>
    <n v="1"/>
    <m/>
    <m/>
    <m/>
    <m/>
    <m/>
    <m/>
    <m/>
    <m/>
    <m/>
    <m/>
    <m/>
    <m/>
    <n v="0"/>
  </r>
  <r>
    <n v="400"/>
    <s v="Separação de fibras, secagem e resfriamento DDGs"/>
    <s v="RSC-4102 (21M-1180-01)"/>
    <s v="RSC-4102 - Feed Screw"/>
    <m/>
    <m/>
    <m/>
    <m/>
    <m/>
    <m/>
    <m/>
    <m/>
    <m/>
    <s v="Painel SCD-402"/>
    <s v="Soft"/>
    <n v="20"/>
    <n v="14.92"/>
    <m/>
    <n v="0.81"/>
    <n v="0.92400000000000004"/>
    <s v="Trifásico"/>
    <n v="440"/>
    <n v="26.15763823999135"/>
    <n v="18.419753086419753"/>
    <n v="78.472914719974057"/>
    <m/>
    <m/>
    <n v="120"/>
    <m/>
    <m/>
    <m/>
    <m/>
    <n v="120"/>
    <n v="1"/>
    <x v="7"/>
    <n v="120"/>
    <n v="0"/>
    <x v="0"/>
    <n v="0"/>
    <n v="0"/>
    <x v="6"/>
    <n v="0"/>
    <s v="132M"/>
    <s v="1&quot;"/>
    <n v="1"/>
    <m/>
    <m/>
    <m/>
    <m/>
    <m/>
    <m/>
    <m/>
    <m/>
    <m/>
    <m/>
    <m/>
    <m/>
    <n v="4.4460001420638564"/>
  </r>
  <r>
    <n v="400"/>
    <s v="Separação de fibras, secagem e resfriamento DDGs"/>
    <s v="SCD-4002 (21M-3010-01)"/>
    <s v="SCD-4002 - Tube Bundle Dryer"/>
    <m/>
    <m/>
    <m/>
    <m/>
    <m/>
    <m/>
    <m/>
    <m/>
    <m/>
    <s v="Painel SCD-402"/>
    <s v="Inversor"/>
    <n v="250"/>
    <n v="186.5"/>
    <m/>
    <n v="0.87"/>
    <n v="0.95700000000000007"/>
    <s v="Trifásico"/>
    <n v="440"/>
    <n v="293.92352124603838"/>
    <n v="214.36781609195401"/>
    <n v="440.88528186905756"/>
    <m/>
    <m/>
    <n v="120"/>
    <m/>
    <m/>
    <m/>
    <m/>
    <n v="120"/>
    <n v="3"/>
    <x v="11"/>
    <n v="360"/>
    <n v="0"/>
    <x v="0"/>
    <n v="0"/>
    <n v="1"/>
    <x v="9"/>
    <n v="120"/>
    <s v="315S/M"/>
    <s v="2 x 3&quot;"/>
    <n v="1"/>
    <m/>
    <m/>
    <m/>
    <m/>
    <m/>
    <m/>
    <m/>
    <m/>
    <m/>
    <m/>
    <m/>
    <m/>
    <n v="0"/>
  </r>
  <r>
    <n v="400"/>
    <s v="Separação de fibras, secagem e resfriamento DDGs"/>
    <s v="UHL-4102 (21M-3020-01)"/>
    <s v="SCD-4002 - Greasing Unit"/>
    <m/>
    <m/>
    <m/>
    <m/>
    <m/>
    <m/>
    <m/>
    <m/>
    <m/>
    <s v="Painel SCD-402"/>
    <s v="Direta"/>
    <n v="1"/>
    <n v="0.746"/>
    <m/>
    <n v="0.81"/>
    <n v="0.80500000000000005"/>
    <s v="Trifásico"/>
    <n v="440"/>
    <n v="1.5012209772516776"/>
    <n v="0.92098765432098761"/>
    <n v="9.007325863510065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.22230000710319253"/>
  </r>
  <r>
    <n v="400"/>
    <s v="Separação de fibras, secagem e resfriamento DDGs"/>
    <s v="VNT-4002 (21M-4050-01)"/>
    <s v="VNT-4002 - Vapour Fan"/>
    <m/>
    <m/>
    <m/>
    <m/>
    <m/>
    <m/>
    <m/>
    <m/>
    <m/>
    <s v="Painel SCD-402"/>
    <s v="Inversor"/>
    <n v="75"/>
    <n v="55.95"/>
    <m/>
    <n v="0.84"/>
    <n v="0.93"/>
    <s v="Trifásico"/>
    <n v="440"/>
    <n v="93.977643838033458"/>
    <n v="66.607142857142861"/>
    <n v="140.96646575705017"/>
    <m/>
    <m/>
    <n v="120"/>
    <m/>
    <m/>
    <m/>
    <m/>
    <n v="120"/>
    <n v="1"/>
    <x v="10"/>
    <n v="120"/>
    <n v="0"/>
    <x v="0"/>
    <n v="0"/>
    <n v="0"/>
    <x v="6"/>
    <n v="0"/>
    <s v="200M"/>
    <s v="2&quot;"/>
    <n v="1"/>
    <m/>
    <m/>
    <m/>
    <m/>
    <m/>
    <m/>
    <m/>
    <m/>
    <m/>
    <m/>
    <m/>
    <m/>
    <n v="0"/>
  </r>
  <r>
    <n v="400"/>
    <s v="Separação de fibras, secagem e resfriamento DDGs"/>
    <s v="RSC-4105 (21M-5010-01)"/>
    <s v="RSC-4105 - Haul Off Screw"/>
    <m/>
    <m/>
    <m/>
    <m/>
    <m/>
    <m/>
    <m/>
    <m/>
    <m/>
    <s v="Painel SCD-402"/>
    <s v="Direta"/>
    <n v="10"/>
    <n v="7.46"/>
    <m/>
    <n v="0.84"/>
    <n v="0.91"/>
    <s v="Trifásico"/>
    <n v="440"/>
    <n v="12.805744874633129"/>
    <n v="8.8809523809523814"/>
    <n v="76.834469247798779"/>
    <m/>
    <m/>
    <n v="120"/>
    <m/>
    <m/>
    <m/>
    <m/>
    <n v="120"/>
    <n v="1"/>
    <x v="7"/>
    <n v="120"/>
    <n v="0"/>
    <x v="0"/>
    <n v="0"/>
    <n v="0"/>
    <x v="6"/>
    <n v="0"/>
    <s v="132M"/>
    <s v="1&quot;"/>
    <n v="1"/>
    <m/>
    <m/>
    <m/>
    <m/>
    <m/>
    <m/>
    <m/>
    <m/>
    <m/>
    <m/>
    <m/>
    <m/>
    <n v="1.6407372765871995"/>
  </r>
  <r>
    <n v="400"/>
    <s v="Separação de fibras, secagem e resfriamento DDGs"/>
    <s v="RSC-4108 (21M-5020-01)"/>
    <s v="RSC-4108 - Discharge Screw"/>
    <m/>
    <m/>
    <m/>
    <m/>
    <m/>
    <m/>
    <m/>
    <m/>
    <m/>
    <s v="Painel SCD-402"/>
    <s v="Direta"/>
    <n v="15"/>
    <n v="11.19"/>
    <m/>
    <n v="0.85"/>
    <n v="0.91700000000000004"/>
    <s v="Trifásico"/>
    <n v="440"/>
    <n v="18.837727979029246"/>
    <n v="13.164705882352941"/>
    <n v="113.02636787417548"/>
    <m/>
    <m/>
    <n v="120"/>
    <m/>
    <m/>
    <m/>
    <m/>
    <n v="120"/>
    <n v="1"/>
    <x v="7"/>
    <n v="120"/>
    <n v="0"/>
    <x v="0"/>
    <n v="0"/>
    <n v="0"/>
    <x v="6"/>
    <n v="0"/>
    <s v="132M"/>
    <s v="1&quot;"/>
    <n v="1"/>
    <m/>
    <m/>
    <m/>
    <m/>
    <m/>
    <m/>
    <m/>
    <m/>
    <m/>
    <m/>
    <m/>
    <m/>
    <n v="2.1680191081665816"/>
  </r>
  <r>
    <n v="400"/>
    <s v="Separação de fibras, secagem e resfriamento DDGs"/>
    <s v="RSC-4111 (21M-5030-01-1)"/>
    <s v="RSC-4111 - Dosing Screw"/>
    <m/>
    <m/>
    <m/>
    <m/>
    <m/>
    <m/>
    <m/>
    <m/>
    <m/>
    <s v="Painel SCD-402"/>
    <s v="Inversor"/>
    <n v="7.5"/>
    <n v="5.5949999999999998"/>
    <m/>
    <n v="0.79"/>
    <n v="0.9"/>
    <s v="Trifásico"/>
    <n v="440"/>
    <n v="10.325644917900386"/>
    <n v="7.0822784810126578"/>
    <n v="15.488467376850579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400"/>
    <s v="Separação de fibras, secagem e resfriamento DDGs"/>
    <s v="RSC-4111 (21M-5030-01-2)"/>
    <s v="RSC-4111 - Dosing Screw"/>
    <m/>
    <m/>
    <m/>
    <m/>
    <m/>
    <m/>
    <m/>
    <m/>
    <m/>
    <s v="Painel SCD-402"/>
    <s v="Direta"/>
    <n v="0.5"/>
    <n v="0.373"/>
    <m/>
    <n v="0.69"/>
    <n v="0.7"/>
    <s v="Trifásico"/>
    <n v="440"/>
    <n v="1.0133241596448825"/>
    <n v="0.54057971014492756"/>
    <n v="6.0799449578692952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.23237932328500399"/>
  </r>
  <r>
    <n v="400"/>
    <s v="Separação de fibras, secagem e resfriamento DDGs"/>
    <s v="RSC-4114 (21M-5040-01)"/>
    <s v="RSC-4114 - Conveying Screw"/>
    <m/>
    <m/>
    <m/>
    <m/>
    <m/>
    <m/>
    <m/>
    <m/>
    <m/>
    <s v="Painel SCD-402"/>
    <s v="Direta"/>
    <n v="12.5"/>
    <n v="9.3249999999999993"/>
    <m/>
    <n v="0.84"/>
    <n v="0.91"/>
    <s v="Trifásico"/>
    <n v="440"/>
    <n v="16.007181093291411"/>
    <n v="11.101190476190476"/>
    <n v="96.043086559748474"/>
    <m/>
    <m/>
    <n v="120"/>
    <m/>
    <m/>
    <m/>
    <m/>
    <n v="120"/>
    <n v="1"/>
    <x v="7"/>
    <n v="120"/>
    <n v="0"/>
    <x v="0"/>
    <n v="0"/>
    <n v="0"/>
    <x v="6"/>
    <n v="0"/>
    <s v="132M"/>
    <s v="1&quot;"/>
    <n v="1"/>
    <m/>
    <m/>
    <m/>
    <m/>
    <m/>
    <m/>
    <m/>
    <m/>
    <m/>
    <m/>
    <m/>
    <m/>
    <n v="2.0509215957339983"/>
  </r>
  <r>
    <n v="400"/>
    <s v="Separação de fibras, secagem e resfriamento DDGs"/>
    <s v="VRT-4102 (21X-5090-01)"/>
    <s v="VRT-4102 - Product Rotary Valve"/>
    <m/>
    <m/>
    <m/>
    <m/>
    <m/>
    <m/>
    <m/>
    <m/>
    <m/>
    <s v="Painel SCD-402"/>
    <s v="Direta"/>
    <n v="2"/>
    <n v="1.492"/>
    <m/>
    <n v="0.78"/>
    <n v="0.84200000000000008"/>
    <s v="Trifásico"/>
    <n v="440"/>
    <n v="2.9809097332875214"/>
    <n v="1.9128205128205127"/>
    <n v="17.885458399725128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.56141455218969116"/>
  </r>
  <r>
    <n v="400"/>
    <s v="Separação de fibras, secagem e resfriamento DDGs"/>
    <s v="DCT-4004(M01)"/>
    <s v="DCT-404 - motor decanter bowl S300.01-M01"/>
    <m/>
    <m/>
    <m/>
    <m/>
    <m/>
    <m/>
    <m/>
    <m/>
    <m/>
    <s v="Disjuntor"/>
    <s v="Inversor"/>
    <n v="125"/>
    <n v="93.25"/>
    <m/>
    <n v="0.85"/>
    <n v="0.94900000000000007"/>
    <s v="Trifásico"/>
    <n v="440"/>
    <n v="151.68771124666156"/>
    <n v="109.70588235294117"/>
    <n v="227.53156686999233"/>
    <m/>
    <m/>
    <n v="120"/>
    <m/>
    <m/>
    <m/>
    <m/>
    <n v="120"/>
    <n v="3"/>
    <x v="8"/>
    <n v="360"/>
    <n v="0"/>
    <x v="0"/>
    <n v="0"/>
    <n v="1"/>
    <x v="8"/>
    <n v="120"/>
    <s v="200L"/>
    <s v="2&quot;"/>
    <n v="1"/>
    <m/>
    <m/>
    <m/>
    <m/>
    <m/>
    <m/>
    <m/>
    <m/>
    <m/>
    <m/>
    <m/>
    <m/>
    <n v="0"/>
  </r>
  <r>
    <n v="400"/>
    <s v="Separação de fibras, secagem e resfriamento DDGs"/>
    <s v="DCT-4004(M02)"/>
    <s v="DCT-404 - motor decanter scroll S300.01-M02"/>
    <m/>
    <m/>
    <m/>
    <m/>
    <m/>
    <m/>
    <m/>
    <m/>
    <m/>
    <s v="Disjuntor"/>
    <s v="Inversor"/>
    <n v="30"/>
    <n v="22.38"/>
    <m/>
    <n v="0.84"/>
    <n v="0.93"/>
    <s v="Trifásico"/>
    <n v="440"/>
    <n v="37.59105753521338"/>
    <n v="26.642857142857142"/>
    <n v="56.386586302820071"/>
    <m/>
    <m/>
    <n v="120"/>
    <m/>
    <m/>
    <m/>
    <m/>
    <n v="120"/>
    <n v="1"/>
    <x v="7"/>
    <n v="120"/>
    <n v="0"/>
    <x v="0"/>
    <n v="0"/>
    <n v="0"/>
    <x v="6"/>
    <n v="0"/>
    <s v="132M"/>
    <s v="1&quot;"/>
    <n v="1"/>
    <m/>
    <m/>
    <m/>
    <m/>
    <m/>
    <m/>
    <m/>
    <m/>
    <m/>
    <m/>
    <m/>
    <m/>
    <n v="0"/>
  </r>
  <r>
    <n v="400"/>
    <s v="Separação de fibras, secagem e resfriamento DDGs"/>
    <s v="DCT-4004(M03)"/>
    <s v="DCT-404 - motor automatic impeller S300.01-M03"/>
    <m/>
    <m/>
    <m/>
    <m/>
    <m/>
    <m/>
    <m/>
    <m/>
    <m/>
    <s v="Disjuntor"/>
    <s v="Direta"/>
    <n v="0.05"/>
    <n v="3.73E-2"/>
    <m/>
    <n v="0.84"/>
    <n v="0.93"/>
    <s v="Trifásico"/>
    <n v="440"/>
    <n v="6.2651762558688984E-2"/>
    <n v="4.4404761904761905E-2"/>
    <n v="0.3759105753521339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8.2036863829359971E-3"/>
  </r>
  <r>
    <n v="400"/>
    <s v="Separação de fibras, secagem e resfriamento DDGs"/>
    <s v="DCT-4004(M15)"/>
    <s v="DCT-404 - Actuator for solids gate valve S300.01-M15"/>
    <m/>
    <m/>
    <m/>
    <m/>
    <m/>
    <m/>
    <m/>
    <m/>
    <m/>
    <s v="Disjuntor"/>
    <s v="Direta"/>
    <n v="0.54"/>
    <n v="0.40284000000000003"/>
    <m/>
    <n v="0.84"/>
    <n v="0.93"/>
    <s v="Trifásico"/>
    <n v="440"/>
    <n v="0.67663903563384098"/>
    <n v="0.47957142857142865"/>
    <n v="4.0598342138030459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8.8599812935708733E-2"/>
  </r>
  <r>
    <n v="400"/>
    <s v="Separação de fibras, secagem e resfriamento DDGs"/>
    <s v="MIS-4003 (31M-1150-01)"/>
    <s v="MIS-4003 - Double Shaft Mixer"/>
    <m/>
    <m/>
    <m/>
    <m/>
    <m/>
    <m/>
    <m/>
    <m/>
    <m/>
    <s v="Painel SCD-403"/>
    <s v="Inversor"/>
    <n v="60"/>
    <n v="44.76"/>
    <m/>
    <n v="0.86"/>
    <n v="0.94099999999999995"/>
    <s v="Trifásico"/>
    <n v="440"/>
    <n v="72.57527654031756"/>
    <n v="52.046511627906973"/>
    <n v="108.86291481047634"/>
    <m/>
    <m/>
    <n v="150"/>
    <m/>
    <m/>
    <m/>
    <m/>
    <n v="150"/>
    <n v="1"/>
    <x v="10"/>
    <n v="150"/>
    <n v="0"/>
    <x v="0"/>
    <n v="0"/>
    <n v="0"/>
    <x v="6"/>
    <n v="0"/>
    <s v="200M"/>
    <s v="2&quot;"/>
    <n v="1"/>
    <m/>
    <m/>
    <m/>
    <m/>
    <m/>
    <m/>
    <m/>
    <m/>
    <m/>
    <m/>
    <m/>
    <m/>
    <n v="0"/>
  </r>
  <r>
    <n v="400"/>
    <s v="Separação de fibras, secagem e resfriamento DDGs"/>
    <s v="RSC-4103 (31M-1180-01)"/>
    <s v="RSC-4103 - Feed Screw"/>
    <m/>
    <m/>
    <m/>
    <m/>
    <m/>
    <m/>
    <m/>
    <m/>
    <m/>
    <s v="Painel SCD-403"/>
    <s v="Soft"/>
    <n v="20"/>
    <n v="14.92"/>
    <m/>
    <n v="0.81"/>
    <n v="0.92400000000000004"/>
    <s v="Trifásico"/>
    <n v="440"/>
    <n v="26.15763823999135"/>
    <n v="18.419753086419753"/>
    <n v="78.472914719974057"/>
    <m/>
    <m/>
    <n v="150"/>
    <m/>
    <m/>
    <m/>
    <m/>
    <n v="150"/>
    <n v="1"/>
    <x v="7"/>
    <n v="150"/>
    <n v="0"/>
    <x v="0"/>
    <n v="0"/>
    <n v="0"/>
    <x v="6"/>
    <n v="0"/>
    <s v="132M"/>
    <s v="1&quot;"/>
    <n v="1"/>
    <m/>
    <m/>
    <m/>
    <m/>
    <m/>
    <m/>
    <m/>
    <m/>
    <m/>
    <m/>
    <m/>
    <m/>
    <n v="4.4460001420638564"/>
  </r>
  <r>
    <n v="400"/>
    <s v="Separação de fibras, secagem e resfriamento DDGs"/>
    <s v="SCD-4003 (31M-3010-01)"/>
    <s v="SCD-4003 - Tube Bundle Dryer"/>
    <m/>
    <m/>
    <m/>
    <m/>
    <m/>
    <m/>
    <m/>
    <m/>
    <m/>
    <s v="Painel SCD-403"/>
    <s v="Inversor"/>
    <n v="250"/>
    <n v="186.5"/>
    <m/>
    <n v="0.87"/>
    <n v="0.95700000000000007"/>
    <s v="Trifásico"/>
    <n v="440"/>
    <n v="293.92352124603838"/>
    <n v="214.36781609195401"/>
    <n v="440.88528186905756"/>
    <m/>
    <m/>
    <n v="150"/>
    <m/>
    <m/>
    <m/>
    <m/>
    <n v="150"/>
    <n v="3"/>
    <x v="11"/>
    <n v="450"/>
    <n v="0"/>
    <x v="0"/>
    <n v="0"/>
    <n v="1"/>
    <x v="9"/>
    <n v="150"/>
    <s v="315S/M"/>
    <s v="2 x 3&quot;"/>
    <n v="1"/>
    <m/>
    <m/>
    <m/>
    <m/>
    <m/>
    <m/>
    <m/>
    <m/>
    <m/>
    <m/>
    <m/>
    <m/>
    <n v="0"/>
  </r>
  <r>
    <n v="400"/>
    <s v="Separação de fibras, secagem e resfriamento DDGs"/>
    <s v="UHL-4103 (31M-3020-01)"/>
    <s v="SCD-4003 - Greasing Unit"/>
    <m/>
    <m/>
    <m/>
    <m/>
    <m/>
    <m/>
    <m/>
    <m/>
    <m/>
    <s v="Painel SCD-403"/>
    <s v="Direta"/>
    <n v="1"/>
    <n v="0.746"/>
    <m/>
    <n v="0.81"/>
    <n v="0.80500000000000005"/>
    <s v="Trifásico"/>
    <n v="440"/>
    <n v="1.5012209772516776"/>
    <n v="0.92098765432098761"/>
    <n v="9.007325863510065"/>
    <m/>
    <m/>
    <n v="150"/>
    <m/>
    <m/>
    <m/>
    <m/>
    <n v="150"/>
    <n v="1"/>
    <x v="5"/>
    <n v="150"/>
    <n v="0"/>
    <x v="0"/>
    <n v="0"/>
    <n v="0"/>
    <x v="6"/>
    <n v="0"/>
    <s v="100L"/>
    <s v="3/4&quot;"/>
    <n v="1"/>
    <m/>
    <m/>
    <m/>
    <m/>
    <m/>
    <m/>
    <m/>
    <m/>
    <m/>
    <m/>
    <m/>
    <m/>
    <n v="0.22230000710319253"/>
  </r>
  <r>
    <n v="400"/>
    <s v="Separação de fibras, secagem e resfriamento DDGs"/>
    <s v="VNT-4003 (31M-4050-01)"/>
    <s v="VNT-4003 - Vapour Fan"/>
    <m/>
    <m/>
    <m/>
    <m/>
    <m/>
    <m/>
    <m/>
    <m/>
    <m/>
    <s v="Painel SCD-403"/>
    <s v="Inversor"/>
    <n v="75"/>
    <n v="55.95"/>
    <m/>
    <n v="0.84"/>
    <n v="0.93"/>
    <s v="Trifásico"/>
    <n v="440"/>
    <n v="93.977643838033458"/>
    <n v="66.607142857142861"/>
    <n v="140.96646575705017"/>
    <m/>
    <m/>
    <n v="150"/>
    <m/>
    <m/>
    <m/>
    <m/>
    <n v="150"/>
    <n v="1"/>
    <x v="10"/>
    <n v="150"/>
    <n v="0"/>
    <x v="0"/>
    <n v="0"/>
    <n v="0"/>
    <x v="6"/>
    <n v="0"/>
    <s v="200M"/>
    <s v="2&quot;"/>
    <n v="1"/>
    <m/>
    <m/>
    <m/>
    <m/>
    <m/>
    <m/>
    <m/>
    <m/>
    <m/>
    <m/>
    <m/>
    <m/>
    <n v="0"/>
  </r>
  <r>
    <n v="400"/>
    <s v="Separação de fibras, secagem e resfriamento DDGs"/>
    <s v="RSC-4106 (31M-5010-01)"/>
    <s v="RSC-4106 - Haul Off Screw"/>
    <m/>
    <m/>
    <m/>
    <m/>
    <m/>
    <m/>
    <m/>
    <m/>
    <m/>
    <s v="Painel SCD-403"/>
    <s v="Direta"/>
    <n v="10"/>
    <n v="7.46"/>
    <m/>
    <n v="0.84"/>
    <n v="0.91"/>
    <s v="Trifásico"/>
    <n v="440"/>
    <n v="12.805744874633129"/>
    <n v="8.8809523809523814"/>
    <n v="76.834469247798779"/>
    <m/>
    <m/>
    <n v="150"/>
    <m/>
    <m/>
    <m/>
    <m/>
    <n v="150"/>
    <n v="1"/>
    <x v="7"/>
    <n v="150"/>
    <n v="0"/>
    <x v="0"/>
    <n v="0"/>
    <n v="0"/>
    <x v="6"/>
    <n v="0"/>
    <s v="132M"/>
    <s v="1&quot;"/>
    <n v="1"/>
    <m/>
    <m/>
    <m/>
    <m/>
    <m/>
    <m/>
    <m/>
    <m/>
    <m/>
    <m/>
    <m/>
    <m/>
    <n v="1.6407372765871995"/>
  </r>
  <r>
    <n v="400"/>
    <s v="Separação de fibras, secagem e resfriamento DDGs"/>
    <s v="RSC-4109 (31M-5020-01)"/>
    <s v="RSC-4109 - Discharge Screw"/>
    <m/>
    <m/>
    <m/>
    <m/>
    <m/>
    <m/>
    <m/>
    <m/>
    <m/>
    <s v="Painel SCD-403"/>
    <s v="Direta"/>
    <n v="15"/>
    <n v="11.19"/>
    <m/>
    <n v="0.85"/>
    <n v="0.91700000000000004"/>
    <s v="Trifásico"/>
    <n v="440"/>
    <n v="18.837727979029246"/>
    <n v="13.164705882352941"/>
    <n v="113.02636787417548"/>
    <m/>
    <m/>
    <n v="150"/>
    <m/>
    <m/>
    <m/>
    <m/>
    <n v="150"/>
    <n v="1"/>
    <x v="15"/>
    <n v="150"/>
    <n v="0"/>
    <x v="0"/>
    <n v="0"/>
    <n v="0"/>
    <x v="6"/>
    <n v="0"/>
    <s v="180L"/>
    <s v="1.1/2&quot;"/>
    <n v="1"/>
    <m/>
    <m/>
    <m/>
    <m/>
    <m/>
    <m/>
    <m/>
    <m/>
    <m/>
    <m/>
    <m/>
    <m/>
    <n v="2.1680191081665816"/>
  </r>
  <r>
    <n v="400"/>
    <s v="Separação de fibras, secagem e resfriamento DDGs"/>
    <s v="RSC-4112 (31M-5030-01-1)"/>
    <s v="RSC-4112 - Dosing Screw"/>
    <m/>
    <m/>
    <m/>
    <m/>
    <m/>
    <m/>
    <m/>
    <m/>
    <m/>
    <s v="Painel SCD-403"/>
    <s v="Inversor"/>
    <n v="7.5"/>
    <n v="5.5949999999999998"/>
    <m/>
    <n v="0.79"/>
    <n v="0.9"/>
    <s v="Trifásico"/>
    <n v="440"/>
    <n v="10.325644917900386"/>
    <n v="7.0822784810126578"/>
    <n v="15.488467376850579"/>
    <m/>
    <m/>
    <n v="150"/>
    <m/>
    <m/>
    <m/>
    <m/>
    <n v="150"/>
    <n v="1"/>
    <x v="13"/>
    <n v="15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400"/>
    <s v="Separação de fibras, secagem e resfriamento DDGs"/>
    <s v="RSC-4112 (31M-5030-01-2)"/>
    <s v="RSC-4112 - Dosing Screw"/>
    <m/>
    <m/>
    <m/>
    <m/>
    <m/>
    <m/>
    <m/>
    <m/>
    <m/>
    <s v="Painel SCD-403"/>
    <s v="Direta"/>
    <n v="0.5"/>
    <n v="0.373"/>
    <m/>
    <n v="0.69"/>
    <n v="0.7"/>
    <s v="Trifásico"/>
    <n v="440"/>
    <n v="1.0133241596448825"/>
    <n v="0.54057971014492756"/>
    <n v="6.0799449578692952"/>
    <m/>
    <m/>
    <n v="150"/>
    <m/>
    <m/>
    <m/>
    <m/>
    <n v="150"/>
    <n v="1"/>
    <x v="5"/>
    <n v="150"/>
    <n v="0"/>
    <x v="0"/>
    <n v="0"/>
    <n v="0"/>
    <x v="6"/>
    <n v="0"/>
    <s v="100L"/>
    <s v="3/4&quot;"/>
    <n v="1"/>
    <m/>
    <m/>
    <m/>
    <m/>
    <m/>
    <m/>
    <m/>
    <m/>
    <m/>
    <m/>
    <m/>
    <m/>
    <n v="0.23237932328500399"/>
  </r>
  <r>
    <n v="400"/>
    <s v="Separação de fibras, secagem e resfriamento DDGs"/>
    <s v="RSC-4115 (31M-5040-01)"/>
    <s v="RSC-4115 - Conveying Screw"/>
    <m/>
    <m/>
    <m/>
    <m/>
    <m/>
    <m/>
    <m/>
    <m/>
    <m/>
    <s v="Painel SCD-403"/>
    <s v="Direta"/>
    <n v="12.5"/>
    <n v="9.3249999999999993"/>
    <m/>
    <n v="0.84"/>
    <n v="0.91"/>
    <s v="Trifásico"/>
    <n v="440"/>
    <n v="16.007181093291411"/>
    <n v="11.101190476190476"/>
    <n v="96.043086559748474"/>
    <m/>
    <m/>
    <n v="150"/>
    <m/>
    <m/>
    <m/>
    <m/>
    <n v="150"/>
    <n v="1"/>
    <x v="15"/>
    <n v="150"/>
    <n v="0"/>
    <x v="0"/>
    <n v="0"/>
    <n v="0"/>
    <x v="6"/>
    <n v="0"/>
    <s v="180L"/>
    <s v="1.1/2&quot;"/>
    <n v="1"/>
    <m/>
    <m/>
    <m/>
    <m/>
    <m/>
    <m/>
    <m/>
    <m/>
    <m/>
    <m/>
    <m/>
    <m/>
    <n v="2.0509215957339983"/>
  </r>
  <r>
    <n v="400"/>
    <s v="Separação de fibras, secagem e resfriamento DDGs"/>
    <s v="VRT-4103 (31X-5090-01)"/>
    <s v="VRT-4103 - Product Rotary Valve"/>
    <m/>
    <m/>
    <m/>
    <m/>
    <m/>
    <m/>
    <m/>
    <m/>
    <m/>
    <s v="Painel SCD-403"/>
    <s v="Direta"/>
    <n v="2"/>
    <n v="1.492"/>
    <m/>
    <n v="0.78"/>
    <n v="0.84200000000000008"/>
    <s v="Trifásico"/>
    <n v="440"/>
    <n v="2.9809097332875214"/>
    <n v="1.9128205128205127"/>
    <n v="17.885458399725128"/>
    <m/>
    <m/>
    <n v="150"/>
    <m/>
    <m/>
    <m/>
    <m/>
    <n v="150"/>
    <n v="1"/>
    <x v="5"/>
    <n v="150"/>
    <n v="0"/>
    <x v="0"/>
    <n v="0"/>
    <n v="0"/>
    <x v="6"/>
    <n v="0"/>
    <s v="100L"/>
    <s v="3/4&quot;"/>
    <n v="1"/>
    <m/>
    <m/>
    <m/>
    <m/>
    <m/>
    <m/>
    <m/>
    <m/>
    <m/>
    <m/>
    <m/>
    <m/>
    <n v="0.56141455218969116"/>
  </r>
  <r>
    <n v="400"/>
    <s v="Separação de fibras, secagem e resfriamento DDGs"/>
    <s v="CHL-4003-HP_ABSO"/>
    <s v="CHILLER - VAM - HP Absorbent Pump"/>
    <m/>
    <m/>
    <m/>
    <m/>
    <m/>
    <m/>
    <m/>
    <m/>
    <m/>
    <s v="Painel Chiller 3"/>
    <s v="Direta"/>
    <n v="10"/>
    <n v="7.46"/>
    <m/>
    <n v="0.84"/>
    <n v="0.91"/>
    <s v="Trifásico"/>
    <n v="440"/>
    <n v="12.805744874633129"/>
    <n v="8.8809523809523814"/>
    <n v="76.834469247798779"/>
    <m/>
    <m/>
    <n v="120"/>
    <m/>
    <m/>
    <m/>
    <m/>
    <n v="120"/>
    <n v="1"/>
    <x v="7"/>
    <n v="120"/>
    <n v="0"/>
    <x v="0"/>
    <n v="0"/>
    <n v="0"/>
    <x v="6"/>
    <n v="0"/>
    <s v="132M"/>
    <s v="1&quot;"/>
    <n v="1"/>
    <m/>
    <m/>
    <m/>
    <m/>
    <m/>
    <m/>
    <m/>
    <m/>
    <m/>
    <m/>
    <m/>
    <m/>
    <n v="1.6407372765871995"/>
  </r>
  <r>
    <n v="400"/>
    <s v="Separação de fibras, secagem e resfriamento DDGs"/>
    <s v="CHL-4003-LP_ABSO"/>
    <s v="CHILLER - VAM - LP_Absorbent Pump"/>
    <m/>
    <m/>
    <m/>
    <m/>
    <m/>
    <m/>
    <m/>
    <m/>
    <m/>
    <s v="Painel Chiller 3"/>
    <s v="Direta"/>
    <n v="3"/>
    <n v="2.238"/>
    <m/>
    <n v="0.83"/>
    <n v="0.85099999999999998"/>
    <s v="Trifásico"/>
    <n v="440"/>
    <n v="4.1575657478103292"/>
    <n v="2.6963855421686747"/>
    <n v="24.945394486861975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.55056113490915704"/>
  </r>
  <r>
    <n v="400"/>
    <s v="Separação de fibras, secagem e resfriamento DDGs"/>
    <s v="CHL-4003-PP"/>
    <s v="CHILLER - VAM - Refrigerant Pump"/>
    <m/>
    <m/>
    <m/>
    <m/>
    <m/>
    <m/>
    <m/>
    <m/>
    <m/>
    <s v="Painel Chiller 3"/>
    <s v="Direta"/>
    <n v="0.5"/>
    <n v="0.373"/>
    <m/>
    <n v="0.69"/>
    <n v="0.7"/>
    <s v="Trifásico"/>
    <n v="440"/>
    <n v="1.0133241596448825"/>
    <n v="0.54057971014492756"/>
    <n v="6.0799449578692952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.23237932328500399"/>
  </r>
  <r>
    <n v="400"/>
    <s v="Separação de fibras, secagem e resfriamento DDGs"/>
    <s v="CHL-4003-PR"/>
    <s v="CHILLER - VAM - Vacuum Pump Motor"/>
    <m/>
    <m/>
    <m/>
    <m/>
    <m/>
    <m/>
    <m/>
    <m/>
    <m/>
    <s v="Painel Chiller 3"/>
    <s v="Direta"/>
    <n v="1"/>
    <n v="0.746"/>
    <m/>
    <n v="0.81"/>
    <n v="0.80500000000000005"/>
    <s v="Trifásico"/>
    <n v="440"/>
    <n v="1.5012209772516776"/>
    <n v="0.92098765432098761"/>
    <n v="9.007325863510065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.22230000710319253"/>
  </r>
  <r>
    <n v="400"/>
    <s v="Separação de fibras, secagem e resfriamento DDGs"/>
    <s v="CHL-4003-PLC"/>
    <s v="CHILLER - Control Supply (Con.Transformer)"/>
    <m/>
    <m/>
    <m/>
    <m/>
    <m/>
    <m/>
    <m/>
    <m/>
    <m/>
    <s v="Painel Chiller 3"/>
    <s v="Direta"/>
    <n v="1.5"/>
    <n v="1.119"/>
    <m/>
    <n v="0.79"/>
    <n v="0.81599999999999995"/>
    <s v="Trifásico"/>
    <n v="440"/>
    <n v="2.2777157907133203"/>
    <n v="1.4164556962025316"/>
    <n v="13.666294744279922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.3917466752134442"/>
  </r>
  <r>
    <n v="400"/>
    <s v="Separação de fibras, secagem e resfriamento DDGs"/>
    <s v="RFD-4001 (M01)"/>
    <s v="Motor resfriador DDGS M01 (RES-01)"/>
    <m/>
    <m/>
    <m/>
    <m/>
    <m/>
    <m/>
    <m/>
    <m/>
    <m/>
    <m/>
    <s v="Inversor"/>
    <n v="150"/>
    <n v="111.9"/>
    <m/>
    <n v="0.86"/>
    <n v="0.95200000000000007"/>
    <s v="Trifásico"/>
    <n v="440"/>
    <n v="179.34174166081624"/>
    <n v="130.11627906976744"/>
    <n v="269.01261249122433"/>
    <m/>
    <m/>
    <n v="120"/>
    <m/>
    <m/>
    <m/>
    <m/>
    <n v="120"/>
    <n v="3"/>
    <x v="4"/>
    <n v="360"/>
    <n v="0"/>
    <x v="0"/>
    <n v="0"/>
    <n v="1"/>
    <x v="5"/>
    <n v="120"/>
    <s v="200M"/>
    <s v="2&quot;"/>
    <n v="1"/>
    <m/>
    <m/>
    <m/>
    <m/>
    <m/>
    <m/>
    <m/>
    <m/>
    <m/>
    <m/>
    <m/>
    <m/>
    <n v="0"/>
  </r>
  <r>
    <n v="400"/>
    <s v="Separação de fibras, secagem e resfriamento DDGs"/>
    <s v="RFD-4001 (M02)"/>
    <s v="Motor Válvula Dosadora Rotativa M02 (VDR-01)"/>
    <m/>
    <m/>
    <m/>
    <m/>
    <m/>
    <m/>
    <m/>
    <m/>
    <m/>
    <m/>
    <s v="Inversor"/>
    <n v="1"/>
    <n v="0.746"/>
    <m/>
    <n v="0.81"/>
    <n v="0.80500000000000005"/>
    <s v="Trifásico"/>
    <n v="440"/>
    <n v="1.5012209772516776"/>
    <n v="0.92098765432098761"/>
    <n v="2.2518314658775163"/>
    <m/>
    <m/>
    <n v="120"/>
    <m/>
    <m/>
    <m/>
    <m/>
    <n v="120"/>
    <n v="1"/>
    <x v="5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400"/>
    <s v="Separação de fibras, secagem e resfriamento DDGs"/>
    <s v="RFD-4001 (M03)"/>
    <s v="Motor Redler Saída DDG Resf M03 (RDL-01)"/>
    <m/>
    <m/>
    <m/>
    <m/>
    <m/>
    <m/>
    <m/>
    <m/>
    <m/>
    <m/>
    <s v="Inversor"/>
    <n v="10"/>
    <n v="7.46"/>
    <m/>
    <n v="0.84"/>
    <n v="0.91"/>
    <s v="Trifásico"/>
    <n v="440"/>
    <n v="12.805744874633129"/>
    <n v="8.8809523809523814"/>
    <n v="19.208617311949695"/>
    <m/>
    <m/>
    <n v="120"/>
    <m/>
    <m/>
    <m/>
    <m/>
    <n v="120"/>
    <n v="1"/>
    <x v="13"/>
    <n v="12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400"/>
    <s v="Separação de fibras, secagem e resfriamento DDGs"/>
    <s v="RFD-4001 (M04)"/>
    <s v="Motor Exaustor do Filtro de Mangas M04 (EX-01)"/>
    <m/>
    <m/>
    <m/>
    <m/>
    <m/>
    <m/>
    <m/>
    <m/>
    <m/>
    <m/>
    <s v="Inversor"/>
    <n v="75"/>
    <n v="55.95"/>
    <m/>
    <n v="0.87"/>
    <n v="0.94400000000000006"/>
    <s v="Trifásico"/>
    <n v="440"/>
    <n v="89.391359056925452"/>
    <n v="64.310344827586206"/>
    <n v="134.08703858538817"/>
    <m/>
    <m/>
    <n v="120"/>
    <m/>
    <m/>
    <m/>
    <m/>
    <n v="120"/>
    <n v="1"/>
    <x v="10"/>
    <n v="120"/>
    <n v="0"/>
    <x v="0"/>
    <n v="0"/>
    <n v="0"/>
    <x v="6"/>
    <n v="0"/>
    <s v="200M"/>
    <s v="2&quot;"/>
    <n v="1"/>
    <m/>
    <m/>
    <m/>
    <m/>
    <m/>
    <m/>
    <m/>
    <m/>
    <m/>
    <m/>
    <m/>
    <m/>
    <n v="0"/>
  </r>
  <r>
    <n v="500"/>
    <s v="Concentrador de vinhaça"/>
    <s v="BCE - 5001 A"/>
    <s v="MOTO-BOMBA - BACKSET VINHAÇA FINAO AO PRÉ-MASHER"/>
    <m/>
    <m/>
    <m/>
    <m/>
    <m/>
    <m/>
    <m/>
    <m/>
    <m/>
    <s v="Painel Fornecido Pela Dedini"/>
    <s v="Direta"/>
    <n v="12.5"/>
    <n v="9.3249999999999993"/>
    <m/>
    <n v="0.84"/>
    <n v="0.91"/>
    <s v="Trifásico"/>
    <n v="440"/>
    <n v="16.007181093291411"/>
    <n v="11.101190476190476"/>
    <n v="96.043086559748474"/>
    <m/>
    <m/>
    <n v="0"/>
    <m/>
    <m/>
    <m/>
    <m/>
    <n v="0"/>
    <m/>
    <x v="2"/>
    <n v="0"/>
    <m/>
    <x v="1"/>
    <n v="0"/>
    <m/>
    <x v="1"/>
    <n v="0"/>
    <s v="132M/L"/>
    <s v="1&quot;"/>
    <n v="1"/>
    <m/>
    <m/>
    <m/>
    <m/>
    <m/>
    <m/>
    <m/>
    <m/>
    <m/>
    <m/>
    <m/>
    <m/>
    <n v="2.0509215957339983"/>
  </r>
  <r>
    <n v="500"/>
    <s v="Concentrador de vinhaça"/>
    <s v="BCE - 5001 B"/>
    <s v="MOTO-BOMBA - BACKSET VINHAÇA FINAO AO PRÉ-MASHER"/>
    <m/>
    <m/>
    <m/>
    <m/>
    <m/>
    <m/>
    <m/>
    <m/>
    <m/>
    <s v="Painel Fornecido Pela Dedini"/>
    <s v="Direta"/>
    <n v="12.5"/>
    <n v="9.3249999999999993"/>
    <m/>
    <n v="0.84"/>
    <n v="0.91"/>
    <s v="Trifásico"/>
    <n v="440"/>
    <n v="16.007181093291411"/>
    <n v="11.101190476190476"/>
    <n v="96.043086559748474"/>
    <m/>
    <m/>
    <n v="0"/>
    <m/>
    <m/>
    <m/>
    <m/>
    <n v="0"/>
    <m/>
    <x v="2"/>
    <n v="0"/>
    <m/>
    <x v="1"/>
    <n v="0"/>
    <m/>
    <x v="1"/>
    <n v="0"/>
    <s v="132M/L"/>
    <s v="1&quot;"/>
    <n v="1"/>
    <m/>
    <m/>
    <m/>
    <m/>
    <m/>
    <m/>
    <m/>
    <m/>
    <m/>
    <m/>
    <m/>
    <m/>
    <n v="2.0509215957339983"/>
  </r>
  <r>
    <n v="500"/>
    <s v="Concentrador de vinhaça"/>
    <s v="BCE - 5002 A"/>
    <s v="MOTO-BOMBA - VINHAÇA CONCENTRADA PARA O ENVIO AO TROCADOR/TRICANTER"/>
    <m/>
    <m/>
    <m/>
    <m/>
    <m/>
    <m/>
    <m/>
    <m/>
    <m/>
    <s v="Painel Fornecido Pela Dedini"/>
    <s v="Direta"/>
    <n v="5"/>
    <n v="3.73"/>
    <m/>
    <n v="0.8"/>
    <n v="0.88"/>
    <s v="Trifásico"/>
    <n v="440"/>
    <n v="6.9522097884727003"/>
    <n v="4.6624999999999996"/>
    <n v="41.713258730836202"/>
    <m/>
    <m/>
    <n v="0"/>
    <m/>
    <m/>
    <m/>
    <m/>
    <n v="0"/>
    <m/>
    <x v="2"/>
    <n v="0"/>
    <m/>
    <x v="1"/>
    <n v="0"/>
    <m/>
    <x v="1"/>
    <n v="0"/>
    <s v="100L"/>
    <s v="3/4&quot;"/>
    <n v="1"/>
    <m/>
    <m/>
    <m/>
    <m/>
    <m/>
    <m/>
    <m/>
    <m/>
    <m/>
    <m/>
    <m/>
    <m/>
    <n v="1.2085266538119559"/>
  </r>
  <r>
    <n v="500"/>
    <s v="Concentrador de vinhaça"/>
    <s v="BCE - 5002 B"/>
    <s v="MOTO-BOMBA - VINHAÇA CONCENTRADA PARA O ENVIO AO TROCADOR/TRICANTER"/>
    <m/>
    <m/>
    <m/>
    <m/>
    <m/>
    <m/>
    <m/>
    <m/>
    <m/>
    <s v="Painel Fornecido Pela Dedini"/>
    <s v="Direta"/>
    <n v="5"/>
    <n v="3.73"/>
    <m/>
    <n v="0.8"/>
    <n v="0.88"/>
    <s v="Trifásico"/>
    <n v="440"/>
    <n v="6.9522097884727003"/>
    <n v="4.6624999999999996"/>
    <n v="41.713258730836202"/>
    <m/>
    <m/>
    <n v="0"/>
    <m/>
    <m/>
    <m/>
    <m/>
    <n v="0"/>
    <m/>
    <x v="2"/>
    <n v="0"/>
    <m/>
    <x v="1"/>
    <n v="0"/>
    <m/>
    <x v="1"/>
    <n v="0"/>
    <s v="100L"/>
    <s v="3/4&quot;"/>
    <n v="1"/>
    <m/>
    <m/>
    <m/>
    <m/>
    <m/>
    <m/>
    <m/>
    <m/>
    <m/>
    <m/>
    <m/>
    <m/>
    <n v="1.2085266538119559"/>
  </r>
  <r>
    <n v="500"/>
    <s v="Concentrador de vinhaça"/>
    <s v="BCE - 5003 A"/>
    <s v="MOTO-BOMBA - CONDENSADO DE VAPOR DE ESCAPE CONCENTRAÇÃO DE VINHAÇA"/>
    <m/>
    <m/>
    <m/>
    <m/>
    <m/>
    <m/>
    <m/>
    <m/>
    <m/>
    <s v="Painel Fornecido Pela Dedini"/>
    <s v="Soft"/>
    <n v="25"/>
    <n v="18.649999999999999"/>
    <m/>
    <n v="0.81"/>
    <n v="0.92799999999999994"/>
    <s v="Trifásico"/>
    <n v="440"/>
    <n v="32.556112249127175"/>
    <n v="23.02469135802469"/>
    <n v="97.668336747381517"/>
    <m/>
    <m/>
    <n v="0"/>
    <m/>
    <m/>
    <m/>
    <m/>
    <n v="0"/>
    <m/>
    <x v="2"/>
    <n v="0"/>
    <m/>
    <x v="1"/>
    <n v="0"/>
    <m/>
    <x v="1"/>
    <n v="0"/>
    <s v="180L"/>
    <s v="1.1/2&quot;"/>
    <n v="1"/>
    <m/>
    <m/>
    <m/>
    <m/>
    <m/>
    <m/>
    <m/>
    <m/>
    <m/>
    <m/>
    <m/>
    <m/>
    <n v="5.5575001775798141"/>
  </r>
  <r>
    <n v="500"/>
    <s v="Concentrador de vinhaça"/>
    <s v="BCE - 5003 B"/>
    <s v="MOTO-BOMBA - CONDENSADO DE VAPOR DE ESCAPE CONCENTRAÇÃO DE VINHAÇA"/>
    <m/>
    <m/>
    <m/>
    <m/>
    <m/>
    <m/>
    <m/>
    <m/>
    <m/>
    <s v="Painel Fornecido Pela Dedini"/>
    <s v="Soft"/>
    <n v="25"/>
    <n v="18.649999999999999"/>
    <m/>
    <n v="0.81"/>
    <n v="0.92799999999999994"/>
    <s v="Trifásico"/>
    <n v="440"/>
    <n v="32.556112249127175"/>
    <n v="23.02469135802469"/>
    <n v="97.668336747381517"/>
    <m/>
    <m/>
    <n v="0"/>
    <m/>
    <m/>
    <m/>
    <m/>
    <n v="0"/>
    <m/>
    <x v="2"/>
    <n v="0"/>
    <m/>
    <x v="1"/>
    <n v="0"/>
    <m/>
    <x v="1"/>
    <n v="0"/>
    <s v="180L"/>
    <s v="1.1/2&quot;"/>
    <n v="1"/>
    <m/>
    <m/>
    <m/>
    <m/>
    <m/>
    <m/>
    <m/>
    <m/>
    <m/>
    <m/>
    <m/>
    <m/>
    <n v="5.5575001775798141"/>
  </r>
  <r>
    <n v="500"/>
    <s v="Concentrador de vinhaça"/>
    <s v="BCE - 5004 A"/>
    <s v="MOTO-BOMBA - CONDENSADO DE  VINHAÇA AO PRÉ-MASHER_x000a_/PROCESSO"/>
    <m/>
    <m/>
    <m/>
    <m/>
    <m/>
    <m/>
    <m/>
    <m/>
    <m/>
    <s v="Painel Fornecido Pela Dedini"/>
    <s v="Soft"/>
    <n v="30"/>
    <n v="22.38"/>
    <m/>
    <n v="0.84"/>
    <n v="0.93"/>
    <s v="Trifásico"/>
    <n v="440"/>
    <n v="37.59105753521338"/>
    <n v="26.642857142857142"/>
    <n v="112.77317260564014"/>
    <m/>
    <m/>
    <n v="0"/>
    <m/>
    <m/>
    <m/>
    <m/>
    <n v="0"/>
    <m/>
    <x v="2"/>
    <n v="0"/>
    <m/>
    <x v="1"/>
    <n v="0"/>
    <m/>
    <x v="1"/>
    <n v="0"/>
    <s v="180L"/>
    <s v="1.1/2&quot;"/>
    <n v="1"/>
    <m/>
    <m/>
    <m/>
    <m/>
    <m/>
    <m/>
    <m/>
    <m/>
    <m/>
    <m/>
    <m/>
    <m/>
    <n v="4.9222118297615935"/>
  </r>
  <r>
    <n v="500"/>
    <s v="Concentrador de vinhaça"/>
    <s v="BCE - 5004 B"/>
    <s v="MOTO-BOMBA - CONDENSADO DE  VINHAÇA AO PRÉ-MASHER_x000a_/PROCESSO"/>
    <m/>
    <m/>
    <m/>
    <m/>
    <m/>
    <m/>
    <m/>
    <m/>
    <m/>
    <s v="Painel Fornecido Pela Dedini"/>
    <s v="Soft"/>
    <n v="30"/>
    <n v="22.38"/>
    <m/>
    <n v="0.84"/>
    <n v="0.93"/>
    <s v="Trifásico"/>
    <n v="440"/>
    <n v="37.59105753521338"/>
    <n v="26.642857142857142"/>
    <n v="112.77317260564014"/>
    <m/>
    <m/>
    <n v="0"/>
    <m/>
    <m/>
    <m/>
    <m/>
    <n v="0"/>
    <m/>
    <x v="2"/>
    <n v="0"/>
    <m/>
    <x v="1"/>
    <n v="0"/>
    <m/>
    <x v="1"/>
    <n v="0"/>
    <s v="180L"/>
    <s v="1.1/2&quot;"/>
    <n v="1"/>
    <m/>
    <m/>
    <m/>
    <m/>
    <m/>
    <m/>
    <m/>
    <m/>
    <m/>
    <m/>
    <m/>
    <m/>
    <n v="4.9222118297615935"/>
  </r>
  <r>
    <n v="500"/>
    <s v="Concentrador de vinhaça"/>
    <s v="BCE - 5005 A"/>
    <s v="MOTO-BOMBA - VINHAÇA CONCENTRADA SEM ÓLEO PARA ENVIO AO SECADOR DE DDGS"/>
    <m/>
    <m/>
    <m/>
    <m/>
    <m/>
    <m/>
    <m/>
    <m/>
    <m/>
    <s v="Painel Fornecido Pela Dedini"/>
    <s v="Inversor"/>
    <n v="15"/>
    <n v="11.19"/>
    <m/>
    <n v="0.85"/>
    <n v="0.91700000000000004"/>
    <s v="Trifásico"/>
    <n v="440"/>
    <n v="18.837727979029246"/>
    <n v="13.164705882352941"/>
    <n v="28.256591968543869"/>
    <m/>
    <m/>
    <n v="0"/>
    <m/>
    <m/>
    <m/>
    <m/>
    <n v="0"/>
    <m/>
    <x v="2"/>
    <n v="0"/>
    <m/>
    <x v="1"/>
    <n v="0"/>
    <m/>
    <x v="1"/>
    <n v="0"/>
    <s v="132M/L"/>
    <s v="1&quot;"/>
    <n v="1"/>
    <m/>
    <m/>
    <m/>
    <m/>
    <m/>
    <m/>
    <m/>
    <m/>
    <m/>
    <m/>
    <m/>
    <m/>
    <n v="0"/>
  </r>
  <r>
    <n v="500"/>
    <s v="Concentrador de vinhaça"/>
    <s v="BCE - 5005 B"/>
    <s v="MOTO-BOMBA - VINHAÇA CONCENTRADA SEM ÓLEO PARA ENVIO AO SECADOR DE DDGS"/>
    <m/>
    <m/>
    <m/>
    <m/>
    <m/>
    <m/>
    <m/>
    <m/>
    <m/>
    <s v="Painel Fornecido Pela Dedini"/>
    <s v="Inversor"/>
    <n v="15"/>
    <n v="11.19"/>
    <m/>
    <n v="0.85"/>
    <n v="0.91700000000000004"/>
    <s v="Trifásico"/>
    <n v="440"/>
    <n v="18.837727979029246"/>
    <n v="13.164705882352941"/>
    <n v="28.256591968543869"/>
    <m/>
    <m/>
    <n v="0"/>
    <m/>
    <m/>
    <m/>
    <m/>
    <n v="0"/>
    <m/>
    <x v="2"/>
    <n v="0"/>
    <m/>
    <x v="1"/>
    <n v="0"/>
    <m/>
    <x v="1"/>
    <n v="0"/>
    <s v="132M/L"/>
    <s v="1&quot;"/>
    <n v="1"/>
    <m/>
    <m/>
    <m/>
    <m/>
    <m/>
    <m/>
    <m/>
    <m/>
    <m/>
    <m/>
    <m/>
    <m/>
    <n v="0"/>
  </r>
  <r>
    <n v="500"/>
    <s v="Concentrador de vinhaça"/>
    <s v="BCE - 5006 A"/>
    <s v="MOTO-BOMBA - ÓLEO BRUTO"/>
    <m/>
    <m/>
    <m/>
    <m/>
    <m/>
    <m/>
    <m/>
    <m/>
    <m/>
    <s v="Painel Fornecido Pela Dedini"/>
    <s v="Inversor"/>
    <n v="7.5"/>
    <n v="5.5949999999999998"/>
    <m/>
    <n v="0.79"/>
    <n v="0.9"/>
    <s v="Trifásico"/>
    <n v="440"/>
    <n v="10.325644917900386"/>
    <n v="7.0822784810126578"/>
    <n v="15.488467376850579"/>
    <m/>
    <m/>
    <n v="0"/>
    <m/>
    <m/>
    <m/>
    <m/>
    <n v="0"/>
    <m/>
    <x v="2"/>
    <n v="0"/>
    <m/>
    <x v="1"/>
    <n v="0"/>
    <m/>
    <x v="1"/>
    <n v="0"/>
    <s v="132M/L"/>
    <s v="1&quot;"/>
    <n v="1"/>
    <m/>
    <m/>
    <m/>
    <m/>
    <m/>
    <m/>
    <m/>
    <m/>
    <m/>
    <m/>
    <m/>
    <m/>
    <n v="0"/>
  </r>
  <r>
    <n v="500"/>
    <s v="Concentrador de vinhaça"/>
    <s v="BCE - 5006 B"/>
    <s v="MOTO-BOMBA - ÓLEO BRUTO"/>
    <m/>
    <m/>
    <m/>
    <m/>
    <m/>
    <m/>
    <m/>
    <m/>
    <m/>
    <s v="Painel Fornecido Pela Dedini"/>
    <s v="Inversor"/>
    <n v="7.5"/>
    <n v="5.5949999999999998"/>
    <m/>
    <n v="0.79"/>
    <n v="0.9"/>
    <s v="Trifásico"/>
    <n v="440"/>
    <n v="10.325644917900386"/>
    <n v="7.0822784810126578"/>
    <n v="15.488467376850579"/>
    <m/>
    <m/>
    <n v="0"/>
    <m/>
    <m/>
    <m/>
    <m/>
    <n v="0"/>
    <m/>
    <x v="2"/>
    <n v="0"/>
    <m/>
    <x v="1"/>
    <n v="0"/>
    <m/>
    <x v="1"/>
    <n v="0"/>
    <s v="132M/L"/>
    <s v="1&quot;"/>
    <n v="1"/>
    <m/>
    <m/>
    <m/>
    <m/>
    <m/>
    <m/>
    <m/>
    <m/>
    <m/>
    <m/>
    <m/>
    <m/>
    <n v="0"/>
  </r>
  <r>
    <n v="500"/>
    <s v="Concentrador de vinhaça"/>
    <s v="BCE - 507"/>
    <s v="MOTO-BOMBA - ÁGUA PARA SELO MOTO-BOMBAS (ÁREA 500)"/>
    <m/>
    <m/>
    <m/>
    <m/>
    <m/>
    <m/>
    <m/>
    <m/>
    <m/>
    <s v="Painel Fornecido Pela Dedini"/>
    <s v="Direta"/>
    <n v="10"/>
    <n v="7.46"/>
    <m/>
    <n v="0.84"/>
    <n v="0.91"/>
    <s v="Trifásico"/>
    <n v="440"/>
    <n v="12.805744874633129"/>
    <n v="8.8809523809523814"/>
    <n v="76.834469247798779"/>
    <m/>
    <m/>
    <n v="0"/>
    <m/>
    <m/>
    <m/>
    <m/>
    <n v="0"/>
    <m/>
    <x v="2"/>
    <n v="0"/>
    <m/>
    <x v="1"/>
    <n v="0"/>
    <m/>
    <x v="1"/>
    <n v="0"/>
    <s v="132M/L"/>
    <s v="1&quot;"/>
    <n v="1"/>
    <m/>
    <m/>
    <m/>
    <m/>
    <m/>
    <m/>
    <m/>
    <m/>
    <m/>
    <m/>
    <m/>
    <m/>
    <n v="1.6407372765871995"/>
  </r>
  <r>
    <n v="500"/>
    <s v="Concentrador de vinhaça"/>
    <s v="BCE - 508"/>
    <s v="MOTO-BOMBA - RECIRCULAÇÃO DE SOLUÇÃO DE CIP (DEDINI)"/>
    <m/>
    <m/>
    <m/>
    <m/>
    <m/>
    <m/>
    <m/>
    <m/>
    <m/>
    <s v="Painel Fornecido Pela Dedini"/>
    <s v="Inversor"/>
    <n v="40"/>
    <n v="29.84"/>
    <m/>
    <n v="0.85"/>
    <n v="0.93400000000000005"/>
    <s v="Trifásico"/>
    <n v="440"/>
    <n v="49.319619005766796"/>
    <n v="35.10588235294118"/>
    <n v="73.979428508650187"/>
    <m/>
    <m/>
    <n v="0"/>
    <m/>
    <m/>
    <m/>
    <m/>
    <n v="0"/>
    <m/>
    <x v="2"/>
    <n v="0"/>
    <m/>
    <x v="1"/>
    <n v="0"/>
    <m/>
    <x v="1"/>
    <n v="0"/>
    <s v="200M"/>
    <s v="2&quot;"/>
    <n v="1"/>
    <m/>
    <m/>
    <m/>
    <m/>
    <m/>
    <m/>
    <m/>
    <m/>
    <m/>
    <m/>
    <m/>
    <m/>
    <n v="0"/>
  </r>
  <r>
    <n v="500"/>
    <s v="Concentrador de vinhaça"/>
    <s v="BCE - 509"/>
    <s v="MOTO-BOMBA - RETORNO DE CIP (DEDINI)"/>
    <m/>
    <m/>
    <m/>
    <m/>
    <m/>
    <m/>
    <m/>
    <m/>
    <m/>
    <s v="Painel Fornecido Pela Dedini"/>
    <s v="Direta"/>
    <n v="10"/>
    <n v="7.46"/>
    <m/>
    <n v="0.84"/>
    <n v="0.91"/>
    <s v="Trifásico"/>
    <n v="440"/>
    <n v="12.805744874633129"/>
    <n v="8.8809523809523814"/>
    <n v="76.834469247798779"/>
    <m/>
    <m/>
    <n v="0"/>
    <m/>
    <m/>
    <m/>
    <m/>
    <n v="0"/>
    <m/>
    <x v="2"/>
    <n v="0"/>
    <m/>
    <x v="1"/>
    <n v="0"/>
    <m/>
    <x v="1"/>
    <n v="0"/>
    <s v="132M/L"/>
    <s v="1&quot;"/>
    <n v="1"/>
    <m/>
    <m/>
    <m/>
    <m/>
    <m/>
    <m/>
    <m/>
    <m/>
    <m/>
    <m/>
    <m/>
    <m/>
    <n v="1.6407372765871995"/>
  </r>
  <r>
    <n v="500"/>
    <s v="Concentrador de vinhaça"/>
    <s v="BCE - 5010 A"/>
    <s v="MOTO-BOMBA - VINHAÇA DO 1 AO 2 EFEITO (DEDINI)"/>
    <m/>
    <m/>
    <m/>
    <m/>
    <m/>
    <m/>
    <m/>
    <m/>
    <m/>
    <s v="Painel Fornecido Pela Dedini"/>
    <s v="Inversor"/>
    <n v="15"/>
    <n v="11.19"/>
    <m/>
    <n v="0.85"/>
    <n v="0.91700000000000004"/>
    <s v="Trifásico"/>
    <n v="440"/>
    <n v="18.837727979029246"/>
    <n v="13.164705882352941"/>
    <n v="28.256591968543869"/>
    <m/>
    <m/>
    <n v="0"/>
    <m/>
    <m/>
    <m/>
    <m/>
    <n v="0"/>
    <m/>
    <x v="2"/>
    <n v="0"/>
    <m/>
    <x v="1"/>
    <n v="0"/>
    <m/>
    <x v="1"/>
    <n v="0"/>
    <s v="132M/L"/>
    <s v="1&quot;"/>
    <n v="1"/>
    <m/>
    <m/>
    <m/>
    <m/>
    <m/>
    <m/>
    <m/>
    <m/>
    <m/>
    <m/>
    <m/>
    <m/>
    <n v="0"/>
  </r>
  <r>
    <n v="500"/>
    <s v="Concentrador de vinhaça"/>
    <s v="BCE - 5010 B"/>
    <s v="MOTO-BOMBA - VINHAÇA DO 1 AO 2 EFEITO (DEDINI)"/>
    <m/>
    <m/>
    <m/>
    <m/>
    <m/>
    <m/>
    <m/>
    <m/>
    <m/>
    <s v="Painel Fornecido Pela Dedini"/>
    <s v="Inversor"/>
    <n v="15"/>
    <n v="11.19"/>
    <m/>
    <n v="0.85"/>
    <n v="0.91700000000000004"/>
    <s v="Trifásico"/>
    <n v="440"/>
    <n v="18.837727979029246"/>
    <n v="13.164705882352941"/>
    <n v="28.256591968543869"/>
    <m/>
    <m/>
    <n v="0"/>
    <m/>
    <m/>
    <m/>
    <m/>
    <n v="0"/>
    <m/>
    <x v="2"/>
    <n v="0"/>
    <m/>
    <x v="1"/>
    <n v="0"/>
    <m/>
    <x v="1"/>
    <n v="0"/>
    <s v="132M/L"/>
    <s v="1&quot;"/>
    <n v="1"/>
    <m/>
    <m/>
    <m/>
    <m/>
    <m/>
    <m/>
    <m/>
    <m/>
    <m/>
    <m/>
    <m/>
    <m/>
    <n v="0"/>
  </r>
  <r>
    <n v="500"/>
    <s v="Concentrador de vinhaça"/>
    <s v="BCE - 5011 A"/>
    <s v="MOTO-BOMBA - VINHAÇA FINA PARA ENVIO A CONCENTRAÇÃO DE VINHAÇA"/>
    <m/>
    <m/>
    <m/>
    <m/>
    <m/>
    <m/>
    <m/>
    <m/>
    <m/>
    <s v="Painel Fornecido Pela Dedini"/>
    <s v="Inversor"/>
    <n v="60"/>
    <n v="44.76"/>
    <m/>
    <n v="0.86"/>
    <n v="0.94099999999999995"/>
    <s v="Trifásico"/>
    <n v="440"/>
    <n v="72.57527654031756"/>
    <n v="52.046511627906973"/>
    <n v="108.86291481047634"/>
    <m/>
    <m/>
    <n v="0"/>
    <m/>
    <m/>
    <m/>
    <m/>
    <n v="0"/>
    <m/>
    <x v="2"/>
    <n v="0"/>
    <m/>
    <x v="1"/>
    <n v="0"/>
    <m/>
    <x v="1"/>
    <n v="0"/>
    <s v="200M"/>
    <s v="2&quot;"/>
    <n v="1"/>
    <m/>
    <m/>
    <m/>
    <m/>
    <m/>
    <m/>
    <m/>
    <m/>
    <m/>
    <m/>
    <m/>
    <m/>
    <n v="0"/>
  </r>
  <r>
    <n v="500"/>
    <s v="Concentrador de vinhaça"/>
    <s v="BCE - 5011 B"/>
    <s v="MOTO-BOMBA - VINHAÇA FINA PARA ENVIO A CONCENTRAÇÃO DE VINHAÇA"/>
    <m/>
    <m/>
    <m/>
    <m/>
    <m/>
    <m/>
    <m/>
    <m/>
    <m/>
    <s v="Painel Fornecido Pela Dedini"/>
    <s v="Inversor"/>
    <n v="60"/>
    <n v="44.76"/>
    <m/>
    <n v="0.86"/>
    <n v="0.94099999999999995"/>
    <s v="Trifásico"/>
    <n v="440"/>
    <n v="72.57527654031756"/>
    <n v="52.046511627906973"/>
    <n v="108.86291481047634"/>
    <m/>
    <m/>
    <n v="0"/>
    <m/>
    <m/>
    <m/>
    <m/>
    <n v="0"/>
    <m/>
    <x v="2"/>
    <n v="0"/>
    <m/>
    <x v="1"/>
    <n v="0"/>
    <m/>
    <x v="1"/>
    <n v="0"/>
    <s v="200M"/>
    <s v="2&quot;"/>
    <n v="1"/>
    <m/>
    <m/>
    <m/>
    <m/>
    <m/>
    <m/>
    <m/>
    <m/>
    <m/>
    <m/>
    <m/>
    <m/>
    <n v="0"/>
  </r>
  <r>
    <n v="500"/>
    <s v="Concentrador de vinhaça"/>
    <s v="PRO-5001"/>
    <s v="PONTE ROLANTE - MOTOR ELEVAÇÃO"/>
    <m/>
    <m/>
    <m/>
    <m/>
    <m/>
    <m/>
    <m/>
    <m/>
    <m/>
    <s v="Painel Fornecido Pela Dedini"/>
    <s v="Inversor"/>
    <n v="25"/>
    <n v="18.649999999999999"/>
    <m/>
    <n v="0.81"/>
    <n v="0.92799999999999994"/>
    <s v="Trifásico"/>
    <n v="440"/>
    <n v="32.556112249127175"/>
    <n v="23.02469135802469"/>
    <n v="48.834168373690758"/>
    <m/>
    <m/>
    <n v="0"/>
    <m/>
    <m/>
    <m/>
    <m/>
    <n v="0"/>
    <m/>
    <x v="2"/>
    <n v="0"/>
    <m/>
    <x v="1"/>
    <n v="0"/>
    <m/>
    <x v="1"/>
    <n v="0"/>
    <s v="180L"/>
    <s v="1.1/2&quot;"/>
    <n v="1"/>
    <m/>
    <m/>
    <m/>
    <m/>
    <m/>
    <m/>
    <m/>
    <m/>
    <m/>
    <m/>
    <m/>
    <m/>
    <n v="0"/>
  </r>
  <r>
    <n v="500"/>
    <s v="Concentrador de vinhaça"/>
    <s v="PRO-5002"/>
    <s v="PONTE ROLANTE - MOTOR DIREÇÃO TROLE"/>
    <m/>
    <m/>
    <m/>
    <m/>
    <m/>
    <m/>
    <m/>
    <m/>
    <m/>
    <s v="Painel Fornecido Pela Dedini"/>
    <s v="Inversor"/>
    <n v="1"/>
    <n v="0.746"/>
    <m/>
    <n v="0.81"/>
    <n v="0.80500000000000005"/>
    <s v="Trifásico"/>
    <n v="440"/>
    <n v="1.5012209772516776"/>
    <n v="0.92098765432098761"/>
    <n v="2.2518314658775163"/>
    <m/>
    <m/>
    <n v="0"/>
    <m/>
    <m/>
    <m/>
    <m/>
    <n v="0"/>
    <m/>
    <x v="2"/>
    <n v="0"/>
    <m/>
    <x v="1"/>
    <n v="0"/>
    <m/>
    <x v="1"/>
    <n v="0"/>
    <s v="100L"/>
    <s v="3/4&quot;"/>
    <n v="1"/>
    <m/>
    <m/>
    <m/>
    <m/>
    <m/>
    <m/>
    <m/>
    <m/>
    <m/>
    <m/>
    <m/>
    <m/>
    <n v="0"/>
  </r>
  <r>
    <n v="500"/>
    <s v="Concentrador de vinhaça"/>
    <s v="PRO-5003"/>
    <s v="PONTE ROLANTE - MOTOR TRANSLAÇÃO"/>
    <m/>
    <m/>
    <m/>
    <m/>
    <m/>
    <m/>
    <m/>
    <m/>
    <m/>
    <s v="Painel Fornecido Pela Dedini"/>
    <s v="Inversor"/>
    <n v="0.75"/>
    <n v="0.5595"/>
    <m/>
    <n v="0.66"/>
    <n v="0.72"/>
    <s v="Trifásico"/>
    <n v="440"/>
    <n v="1.5449355085494896"/>
    <n v="0.84772727272727266"/>
    <n v="2.3174032628242345"/>
    <m/>
    <m/>
    <n v="0"/>
    <m/>
    <m/>
    <m/>
    <m/>
    <n v="0"/>
    <m/>
    <x v="2"/>
    <n v="0"/>
    <m/>
    <x v="1"/>
    <n v="0"/>
    <m/>
    <x v="1"/>
    <n v="0"/>
    <s v="100L"/>
    <s v="3/4&quot;"/>
    <n v="1"/>
    <m/>
    <m/>
    <m/>
    <m/>
    <m/>
    <m/>
    <m/>
    <m/>
    <m/>
    <m/>
    <m/>
    <m/>
    <n v="0"/>
  </r>
  <r>
    <n v="500"/>
    <s v="Concentrador de vinhaça"/>
    <s v="PRO-5003"/>
    <s v="PONTE ROLANTE - MOTOR TRANSLAÇÃO"/>
    <m/>
    <m/>
    <m/>
    <m/>
    <m/>
    <m/>
    <m/>
    <m/>
    <m/>
    <s v="Painel Fornecido Pela Dedini"/>
    <s v="Inversor"/>
    <n v="0.75"/>
    <n v="0.5595"/>
    <m/>
    <n v="0.66"/>
    <n v="0.72"/>
    <s v="Trifásico"/>
    <n v="440"/>
    <n v="1.5449355085494896"/>
    <n v="0.84772727272727266"/>
    <n v="2.3174032628242345"/>
    <m/>
    <m/>
    <n v="0"/>
    <m/>
    <m/>
    <m/>
    <m/>
    <n v="0"/>
    <m/>
    <x v="2"/>
    <n v="0"/>
    <m/>
    <x v="1"/>
    <n v="0"/>
    <m/>
    <x v="1"/>
    <n v="0"/>
    <s v="100L"/>
    <s v="3/4&quot;"/>
    <n v="1"/>
    <m/>
    <m/>
    <m/>
    <m/>
    <m/>
    <m/>
    <m/>
    <m/>
    <m/>
    <m/>
    <m/>
    <m/>
    <n v="0"/>
  </r>
  <r>
    <n v="500"/>
    <s v="Concentrador de vinhaça"/>
    <s v="M-5001"/>
    <s v="CABEÇOTE ROTATIVO TANQUE DE VINHAÇA"/>
    <m/>
    <m/>
    <m/>
    <m/>
    <m/>
    <m/>
    <m/>
    <m/>
    <m/>
    <m/>
    <m/>
    <m/>
    <n v="0"/>
    <m/>
    <s v=""/>
    <s v=""/>
    <s v="Trifásico"/>
    <n v="440"/>
    <n v="0"/>
    <n v="0"/>
    <n v="0"/>
    <m/>
    <m/>
    <n v="0"/>
    <m/>
    <m/>
    <m/>
    <m/>
    <n v="0"/>
    <m/>
    <x v="2"/>
    <n v="0"/>
    <m/>
    <x v="1"/>
    <n v="0"/>
    <m/>
    <x v="1"/>
    <n v="0"/>
    <m/>
    <s v="NA"/>
    <n v="1"/>
    <m/>
    <m/>
    <m/>
    <m/>
    <m/>
    <m/>
    <m/>
    <m/>
    <m/>
    <m/>
    <m/>
    <m/>
    <n v="0"/>
  </r>
  <r>
    <n v="500"/>
    <s v="Concentrador de vinhaça"/>
    <s v="BCE - 5012 A"/>
    <s v="MOTO-BOMBA CONDENSADO VINHAÇA DESTILARIA"/>
    <m/>
    <m/>
    <m/>
    <m/>
    <m/>
    <m/>
    <m/>
    <m/>
    <m/>
    <s v="Painel CCM-5.1"/>
    <s v="Inversor"/>
    <n v="15"/>
    <n v="11.19"/>
    <m/>
    <n v="0.85"/>
    <n v="0.91700000000000004"/>
    <s v="Trifásico"/>
    <n v="440"/>
    <n v="18.837727979029246"/>
    <n v="13.164705882352941"/>
    <n v="28.256591968543869"/>
    <m/>
    <m/>
    <n v="60"/>
    <m/>
    <m/>
    <m/>
    <m/>
    <n v="60"/>
    <n v="1"/>
    <x v="5"/>
    <n v="6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500"/>
    <s v="Concentrador de vinhaça"/>
    <s v="BCE - 5012 B"/>
    <s v="MOTO-BOMBA CONDENSADO VINHAÇA DESTILARIA"/>
    <m/>
    <m/>
    <m/>
    <m/>
    <m/>
    <m/>
    <m/>
    <m/>
    <m/>
    <s v="Painel CCM-5.1"/>
    <s v="Inversor"/>
    <n v="15"/>
    <n v="11.19"/>
    <m/>
    <n v="0.85"/>
    <n v="0.91700000000000004"/>
    <s v="Trifásico"/>
    <n v="440"/>
    <n v="18.837727979029246"/>
    <n v="13.164705882352941"/>
    <n v="28.256591968543869"/>
    <m/>
    <m/>
    <n v="60"/>
    <m/>
    <m/>
    <m/>
    <m/>
    <n v="60"/>
    <n v="1"/>
    <x v="5"/>
    <n v="6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500"/>
    <s v="Concentrador de vinhaça"/>
    <s v="TCT-5001 (M01)"/>
    <s v="TRICANTER (MOTOR)"/>
    <m/>
    <m/>
    <m/>
    <m/>
    <m/>
    <m/>
    <m/>
    <m/>
    <m/>
    <s v="Disjuntor"/>
    <s v="Inversor"/>
    <n v="60"/>
    <n v="44.76"/>
    <m/>
    <n v="0.86"/>
    <n v="0.94099999999999995"/>
    <s v="Trifásico"/>
    <n v="440"/>
    <n v="72.57527654031756"/>
    <n v="52.046511627906973"/>
    <n v="108.86291481047634"/>
    <m/>
    <m/>
    <n v="60"/>
    <m/>
    <m/>
    <m/>
    <m/>
    <n v="60"/>
    <n v="1"/>
    <x v="15"/>
    <n v="60"/>
    <n v="0"/>
    <x v="0"/>
    <n v="0"/>
    <n v="0"/>
    <x v="6"/>
    <n v="0"/>
    <s v="180L"/>
    <s v="1.1/2&quot;"/>
    <n v="1"/>
    <m/>
    <m/>
    <m/>
    <m/>
    <m/>
    <m/>
    <m/>
    <m/>
    <m/>
    <m/>
    <m/>
    <m/>
    <n v="0"/>
  </r>
  <r>
    <n v="500"/>
    <s v="Concentrador de vinhaça"/>
    <s v="TCT-5001 (M02)"/>
    <s v="TRICANTER (BACK DRIVE)"/>
    <m/>
    <m/>
    <m/>
    <m/>
    <m/>
    <m/>
    <m/>
    <m/>
    <m/>
    <s v="Disjuntor"/>
    <s v="Inversor"/>
    <n v="20"/>
    <n v="14.92"/>
    <m/>
    <n v="0.81"/>
    <n v="0.92400000000000004"/>
    <s v="Trifásico"/>
    <n v="440"/>
    <n v="26.15763823999135"/>
    <n v="18.419753086419753"/>
    <n v="39.236457359987028"/>
    <m/>
    <m/>
    <n v="60"/>
    <m/>
    <m/>
    <m/>
    <m/>
    <n v="60"/>
    <n v="1"/>
    <x v="13"/>
    <n v="6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700"/>
    <s v="Destilação e concentração de vinhaça"/>
    <s v="BCE - 7001"/>
    <s v="MOTO-BOMBA - SODA - CIP - CENTRIFUGAS (DECANTER, SEDICANTER E TRICANTER)"/>
    <m/>
    <m/>
    <m/>
    <m/>
    <m/>
    <m/>
    <m/>
    <m/>
    <m/>
    <s v="Painel CCM-4.2"/>
    <s v="Soft"/>
    <n v="60"/>
    <n v="44.76"/>
    <m/>
    <n v="0.86"/>
    <n v="0.94099999999999995"/>
    <s v="Trifásico"/>
    <n v="440"/>
    <n v="72.57527654031756"/>
    <n v="52.046511627906973"/>
    <n v="217.72582962095268"/>
    <m/>
    <m/>
    <n v="100"/>
    <m/>
    <m/>
    <m/>
    <m/>
    <n v="100"/>
    <n v="1"/>
    <x v="15"/>
    <n v="100"/>
    <n v="0"/>
    <x v="0"/>
    <n v="0"/>
    <n v="0"/>
    <x v="6"/>
    <n v="0"/>
    <s v="180L"/>
    <s v="1.1/2&quot;"/>
    <n v="1"/>
    <m/>
    <m/>
    <m/>
    <m/>
    <m/>
    <m/>
    <m/>
    <m/>
    <m/>
    <m/>
    <m/>
    <m/>
    <n v="7.4913441620442498"/>
  </r>
  <r>
    <n v="700"/>
    <s v="Destilação e concentração de vinhaça"/>
    <s v="BCE - 7002"/>
    <s v="MOTO-BOMBA - URÉIA"/>
    <m/>
    <m/>
    <m/>
    <m/>
    <m/>
    <m/>
    <m/>
    <m/>
    <m/>
    <s v="Painel CCM-4.2"/>
    <s v="Direta"/>
    <n v="7.5"/>
    <n v="5.5949999999999998"/>
    <m/>
    <n v="0.79"/>
    <n v="0.9"/>
    <s v="Trifásico"/>
    <n v="440"/>
    <n v="10.325644917900386"/>
    <n v="7.0822784810126578"/>
    <n v="61.953869507402317"/>
    <m/>
    <m/>
    <n v="100"/>
    <m/>
    <m/>
    <m/>
    <m/>
    <n v="100"/>
    <n v="1"/>
    <x v="12"/>
    <n v="100"/>
    <n v="0"/>
    <x v="0"/>
    <n v="0"/>
    <n v="0"/>
    <x v="6"/>
    <n v="0"/>
    <s v="132M/L"/>
    <s v="1&quot;"/>
    <n v="1"/>
    <m/>
    <m/>
    <m/>
    <m/>
    <m/>
    <m/>
    <m/>
    <m/>
    <m/>
    <m/>
    <m/>
    <m/>
    <n v="1.9587333760672192"/>
  </r>
  <r>
    <n v="700"/>
    <s v="Destilação e concentração de vinhaça"/>
    <s v="BCE-7004"/>
    <s v="MOTO-BOMBA - ANTIESPUMANTE"/>
    <m/>
    <m/>
    <m/>
    <m/>
    <m/>
    <m/>
    <m/>
    <m/>
    <m/>
    <s v="Painel CCM-4.2"/>
    <s v="Direta"/>
    <n v="6"/>
    <n v="4.476"/>
    <m/>
    <n v="0.81"/>
    <n v="0.88500000000000001"/>
    <s v="Trifásico"/>
    <n v="440"/>
    <n v="8.1931043165261048"/>
    <n v="5.5259259259259252"/>
    <n v="49.158625899156632"/>
    <m/>
    <m/>
    <n v="100"/>
    <m/>
    <m/>
    <m/>
    <m/>
    <n v="100"/>
    <n v="1"/>
    <x v="13"/>
    <n v="100"/>
    <n v="0"/>
    <x v="0"/>
    <n v="0"/>
    <n v="0"/>
    <x v="6"/>
    <n v="0"/>
    <s v="100L"/>
    <s v="3/4&quot;"/>
    <n v="1"/>
    <m/>
    <m/>
    <m/>
    <m/>
    <m/>
    <m/>
    <m/>
    <m/>
    <m/>
    <m/>
    <m/>
    <m/>
    <n v="1.3338000426191545"/>
  </r>
  <r>
    <n v="700"/>
    <s v="Destilação e concentração de vinhaça"/>
    <s v="BDO-7001"/>
    <s v="MOTO-BOMBA - ÁCIDO SÚLFURICO"/>
    <m/>
    <m/>
    <m/>
    <m/>
    <m/>
    <m/>
    <m/>
    <m/>
    <m/>
    <s v="Painel CCM-4.2"/>
    <s v="Direta"/>
    <n v="10"/>
    <n v="7.46"/>
    <m/>
    <n v="0.84"/>
    <n v="0.91"/>
    <s v="Trifásico"/>
    <n v="440"/>
    <n v="12.805744874633129"/>
    <n v="8.8809523809523814"/>
    <n v="76.834469247798779"/>
    <m/>
    <m/>
    <n v="100"/>
    <m/>
    <m/>
    <m/>
    <m/>
    <n v="100"/>
    <n v="1"/>
    <x v="12"/>
    <n v="100"/>
    <n v="0"/>
    <x v="0"/>
    <n v="0"/>
    <n v="0"/>
    <x v="6"/>
    <n v="0"/>
    <s v="132M/L"/>
    <s v="1&quot;"/>
    <n v="1"/>
    <m/>
    <m/>
    <m/>
    <m/>
    <m/>
    <m/>
    <m/>
    <m/>
    <m/>
    <m/>
    <m/>
    <m/>
    <n v="1.6407372765871995"/>
  </r>
  <r>
    <n v="700"/>
    <s v="Destilação e concentração de vinhaça"/>
    <s v="BDO-7002"/>
    <s v="MOTO-BOMBA - ÁCIDO FOSFÓRICO"/>
    <m/>
    <m/>
    <m/>
    <m/>
    <m/>
    <m/>
    <m/>
    <m/>
    <m/>
    <s v="Painel CCM-4.2"/>
    <s v="Direta"/>
    <n v="10"/>
    <n v="7.46"/>
    <m/>
    <n v="0.84"/>
    <n v="0.91"/>
    <s v="Trifásico"/>
    <n v="440"/>
    <n v="12.805744874633129"/>
    <n v="8.8809523809523814"/>
    <n v="76.834469247798779"/>
    <m/>
    <m/>
    <n v="100"/>
    <m/>
    <m/>
    <m/>
    <m/>
    <n v="100"/>
    <n v="1"/>
    <x v="12"/>
    <n v="100"/>
    <n v="0"/>
    <x v="0"/>
    <n v="0"/>
    <n v="0"/>
    <x v="6"/>
    <n v="0"/>
    <s v="132M/L"/>
    <s v="1&quot;"/>
    <n v="1"/>
    <m/>
    <m/>
    <m/>
    <m/>
    <m/>
    <m/>
    <m/>
    <m/>
    <m/>
    <m/>
    <m/>
    <m/>
    <n v="1.6407372765871995"/>
  </r>
  <r>
    <n v="700"/>
    <s v="Destilação e concentração de vinhaça"/>
    <s v="BDP-7001"/>
    <s v="MOTO-BOMBA - DISPERSANTE"/>
    <m/>
    <m/>
    <m/>
    <m/>
    <m/>
    <m/>
    <m/>
    <m/>
    <m/>
    <s v="Painel CCM-4.2"/>
    <s v="Direta"/>
    <n v="6"/>
    <n v="4.476"/>
    <m/>
    <n v="0.81"/>
    <n v="0.88500000000000001"/>
    <s v="Trifásico"/>
    <n v="440"/>
    <n v="8.1931043165261048"/>
    <n v="5.5259259259259252"/>
    <n v="49.158625899156632"/>
    <m/>
    <m/>
    <n v="100"/>
    <m/>
    <m/>
    <m/>
    <m/>
    <n v="100"/>
    <n v="1"/>
    <x v="13"/>
    <n v="100"/>
    <n v="0"/>
    <x v="0"/>
    <n v="0"/>
    <n v="0"/>
    <x v="6"/>
    <n v="0"/>
    <s v="100L"/>
    <s v="3/4&quot;"/>
    <n v="1"/>
    <m/>
    <m/>
    <m/>
    <m/>
    <m/>
    <m/>
    <m/>
    <m/>
    <m/>
    <m/>
    <m/>
    <m/>
    <n v="1.3338000426191545"/>
  </r>
  <r>
    <n v="700"/>
    <s v="Destilação e concentração de vinhaça"/>
    <s v="BCE-7007"/>
    <s v="MOTO-BOMBA - ÁGUA PARA SELO DAS MOTO-BOMBAS"/>
    <m/>
    <m/>
    <m/>
    <m/>
    <m/>
    <m/>
    <m/>
    <m/>
    <m/>
    <s v="Painel CCM-4.2"/>
    <s v="Direta"/>
    <n v="10"/>
    <n v="7.46"/>
    <m/>
    <n v="0.84"/>
    <n v="0.91"/>
    <s v="Trifásico"/>
    <n v="440"/>
    <n v="12.805744874633129"/>
    <n v="8.8809523809523814"/>
    <n v="76.834469247798779"/>
    <m/>
    <m/>
    <n v="100"/>
    <m/>
    <m/>
    <m/>
    <m/>
    <n v="100"/>
    <n v="1"/>
    <x v="12"/>
    <n v="100"/>
    <n v="0"/>
    <x v="0"/>
    <n v="0"/>
    <n v="0"/>
    <x v="6"/>
    <n v="0"/>
    <s v="132M/L"/>
    <s v="1&quot;"/>
    <n v="1"/>
    <m/>
    <m/>
    <m/>
    <m/>
    <m/>
    <m/>
    <m/>
    <m/>
    <m/>
    <m/>
    <m/>
    <m/>
    <n v="1.6407372765871995"/>
  </r>
  <r>
    <n v="700"/>
    <s v="Destilação e concentração de vinhaça"/>
    <s v="BCE-7003"/>
    <s v="MOTO-BOMBA - FLEGMAÇA - PRÉ-MASHER (DILUÍÇÃO)"/>
    <m/>
    <m/>
    <m/>
    <m/>
    <m/>
    <m/>
    <m/>
    <m/>
    <m/>
    <s v="Painel CCM-4.2"/>
    <s v="Soft"/>
    <n v="7.5"/>
    <n v="5.5949999999999998"/>
    <m/>
    <n v="0.79"/>
    <n v="0.9"/>
    <s v="Trifásico"/>
    <n v="440"/>
    <n v="10.325644917900386"/>
    <n v="7.0822784810126578"/>
    <n v="30.976934753701158"/>
    <m/>
    <m/>
    <n v="100"/>
    <m/>
    <m/>
    <m/>
    <m/>
    <n v="100"/>
    <n v="1"/>
    <x v="5"/>
    <n v="100"/>
    <n v="0"/>
    <x v="0"/>
    <n v="0"/>
    <n v="0"/>
    <x v="6"/>
    <n v="0"/>
    <s v="100L"/>
    <s v="3/4&quot;"/>
    <n v="1"/>
    <m/>
    <m/>
    <m/>
    <m/>
    <m/>
    <m/>
    <m/>
    <m/>
    <m/>
    <m/>
    <m/>
    <m/>
    <n v="1.9587333760672192"/>
  </r>
  <r>
    <n v="700"/>
    <s v="Destilação e concentração de vinhaça"/>
    <s v="BCE-7005"/>
    <s v="MOTO-BOMBA - FLEGMAÇA - CIP - DUPLO  ANEL DE MOSTO + TROCADORES (MOSTO X ÁGUA) E (MOSTO X VINHO)"/>
    <m/>
    <m/>
    <m/>
    <m/>
    <m/>
    <m/>
    <m/>
    <m/>
    <m/>
    <s v="Painel CCM-4.2"/>
    <s v="Soft"/>
    <n v="75"/>
    <n v="55.95"/>
    <m/>
    <n v="0.87"/>
    <n v="0.94400000000000006"/>
    <s v="Trifásico"/>
    <n v="440"/>
    <n v="89.391359056925452"/>
    <n v="64.310344827586206"/>
    <n v="268.17407717077634"/>
    <m/>
    <m/>
    <n v="100"/>
    <m/>
    <m/>
    <m/>
    <m/>
    <n v="100"/>
    <n v="1"/>
    <x v="10"/>
    <n v="100"/>
    <n v="0"/>
    <x v="0"/>
    <n v="0"/>
    <n v="0"/>
    <x v="6"/>
    <n v="0"/>
    <s v="200M"/>
    <s v="2&quot;"/>
    <n v="1"/>
    <m/>
    <m/>
    <m/>
    <m/>
    <m/>
    <m/>
    <m/>
    <m/>
    <m/>
    <m/>
    <m/>
    <m/>
    <n v="7.8737260298458942"/>
  </r>
  <r>
    <n v="700"/>
    <s v="Destilação e concentração de vinhaça"/>
    <s v="BCE-7006"/>
    <s v="MOTO-BOMBA - FLEGMAÇA - CIP - (LADO ÁGUA – TORCADOR DE_x000a_MOSTO X ÁGUA) E (LADO VINHO - TROCADOR MOSTO X VINHO)"/>
    <m/>
    <m/>
    <m/>
    <m/>
    <m/>
    <m/>
    <m/>
    <m/>
    <m/>
    <s v="Painel CCM-4.2"/>
    <s v="Soft"/>
    <n v="60"/>
    <n v="44.76"/>
    <m/>
    <n v="0.86"/>
    <n v="0.94099999999999995"/>
    <s v="Trifásico"/>
    <n v="440"/>
    <n v="72.57527654031756"/>
    <n v="52.046511627906973"/>
    <n v="217.72582962095268"/>
    <m/>
    <m/>
    <n v="100"/>
    <m/>
    <m/>
    <m/>
    <m/>
    <n v="100"/>
    <n v="1"/>
    <x v="15"/>
    <n v="100"/>
    <n v="0"/>
    <x v="0"/>
    <n v="0"/>
    <n v="0"/>
    <x v="6"/>
    <n v="0"/>
    <s v="180L"/>
    <s v="1.1/2&quot;"/>
    <n v="1"/>
    <m/>
    <m/>
    <m/>
    <m/>
    <m/>
    <m/>
    <m/>
    <m/>
    <m/>
    <m/>
    <m/>
    <m/>
    <n v="7.4913441620442498"/>
  </r>
  <r>
    <n v="700"/>
    <s v="Destilação e concentração de vinhaça"/>
    <s v="BCE-7008"/>
    <s v="MOTO-BOMBA - FLEGMAÇA - CIP - TROCADOR RECIRCULAÇÃO_x000a_FERMENTADOR LADO ÁGUA + TROCADOR PRÉ-FERMENTADOR - (LADO ÁGUA)"/>
    <m/>
    <m/>
    <m/>
    <m/>
    <m/>
    <m/>
    <m/>
    <m/>
    <m/>
    <s v="Painel CCM-4.2"/>
    <s v="Inversor"/>
    <n v="150"/>
    <n v="111.9"/>
    <m/>
    <n v="0.86"/>
    <n v="0.95200000000000007"/>
    <s v="Trifásico"/>
    <n v="440"/>
    <n v="179.34174166081624"/>
    <n v="130.11627906976744"/>
    <n v="269.01261249122433"/>
    <m/>
    <m/>
    <n v="100"/>
    <m/>
    <m/>
    <m/>
    <m/>
    <n v="100"/>
    <n v="3"/>
    <x v="4"/>
    <n v="300"/>
    <n v="0"/>
    <x v="0"/>
    <n v="0"/>
    <n v="1"/>
    <x v="5"/>
    <n v="100"/>
    <s v="200M"/>
    <s v="2&quot;"/>
    <n v="1"/>
    <m/>
    <m/>
    <m/>
    <m/>
    <m/>
    <m/>
    <m/>
    <m/>
    <m/>
    <m/>
    <m/>
    <m/>
    <n v="0"/>
  </r>
  <r>
    <n v="700"/>
    <s v="Destilação e concentração de vinhaça"/>
    <s v="BCE-7009"/>
    <s v="MOTO-BOMBA FLEGMAÇA - CABEÇOTES ROTATIVO"/>
    <m/>
    <m/>
    <m/>
    <m/>
    <m/>
    <m/>
    <m/>
    <m/>
    <m/>
    <s v="Painel CCM-4.2"/>
    <s v="Soft"/>
    <n v="75"/>
    <n v="55.95"/>
    <m/>
    <n v="0.87"/>
    <n v="0.94400000000000006"/>
    <s v="Trifásico"/>
    <n v="440"/>
    <n v="89.391359056925452"/>
    <n v="64.310344827586206"/>
    <n v="268.17407717077634"/>
    <m/>
    <m/>
    <n v="100"/>
    <m/>
    <m/>
    <m/>
    <m/>
    <n v="100"/>
    <n v="1"/>
    <x v="10"/>
    <n v="100"/>
    <n v="0"/>
    <x v="0"/>
    <n v="0"/>
    <n v="0"/>
    <x v="6"/>
    <n v="0"/>
    <s v="200M"/>
    <s v="2&quot;"/>
    <n v="1"/>
    <m/>
    <m/>
    <m/>
    <m/>
    <m/>
    <m/>
    <m/>
    <m/>
    <m/>
    <m/>
    <m/>
    <m/>
    <n v="7.8737260298458942"/>
  </r>
  <r>
    <n v="700"/>
    <s v="Destilação e concentração de vinhaça"/>
    <s v="BCE-7010"/>
    <s v="MOTO-BOMBA FLEGMAÇA CIP CENTRIFUGAS"/>
    <m/>
    <m/>
    <m/>
    <m/>
    <m/>
    <m/>
    <m/>
    <m/>
    <m/>
    <s v="Painel CCM-4.2"/>
    <s v="Soft"/>
    <n v="30"/>
    <n v="22.38"/>
    <m/>
    <n v="0.84"/>
    <n v="0.93"/>
    <s v="Trifásico"/>
    <n v="440"/>
    <n v="37.59105753521338"/>
    <n v="26.642857142857142"/>
    <n v="112.77317260564014"/>
    <m/>
    <m/>
    <n v="100"/>
    <m/>
    <m/>
    <m/>
    <m/>
    <n v="100"/>
    <n v="1"/>
    <x v="7"/>
    <n v="100"/>
    <n v="0"/>
    <x v="0"/>
    <n v="0"/>
    <n v="0"/>
    <x v="6"/>
    <n v="0"/>
    <s v="132M"/>
    <s v="1&quot;"/>
    <n v="1"/>
    <m/>
    <m/>
    <m/>
    <m/>
    <m/>
    <m/>
    <m/>
    <m/>
    <m/>
    <m/>
    <m/>
    <m/>
    <n v="4.9222118297615935"/>
  </r>
  <r>
    <n v="700"/>
    <s v="Destilação e concentração de vinhaça"/>
    <s v="AGT-7001"/>
    <s v="AGITADOR TANQUE DE  SODA"/>
    <m/>
    <m/>
    <m/>
    <m/>
    <m/>
    <m/>
    <m/>
    <m/>
    <m/>
    <s v="Painel CCM-4.2"/>
    <s v="Inversor"/>
    <n v="10"/>
    <n v="7.46"/>
    <m/>
    <n v="0.84"/>
    <n v="0.91"/>
    <s v="Trifásico"/>
    <n v="440"/>
    <n v="12.805744874633129"/>
    <n v="8.8809523809523814"/>
    <n v="19.208617311949695"/>
    <m/>
    <m/>
    <n v="100"/>
    <m/>
    <m/>
    <m/>
    <m/>
    <n v="100"/>
    <n v="1"/>
    <x v="13"/>
    <n v="10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700"/>
    <s v="Destilação e concentração de vinhaça"/>
    <s v="AGT-7002"/>
    <s v="AGITADOR TANQUE DE URÉIA"/>
    <m/>
    <m/>
    <m/>
    <m/>
    <m/>
    <m/>
    <m/>
    <m/>
    <m/>
    <s v="Painel CCM-4.2"/>
    <s v="Inversor"/>
    <n v="10"/>
    <n v="7.46"/>
    <m/>
    <n v="0.84"/>
    <n v="0.91"/>
    <s v="Trifásico"/>
    <n v="440"/>
    <n v="12.805744874633129"/>
    <n v="8.8809523809523814"/>
    <n v="19.208617311949695"/>
    <m/>
    <m/>
    <n v="100"/>
    <m/>
    <m/>
    <m/>
    <m/>
    <n v="100"/>
    <n v="1"/>
    <x v="13"/>
    <n v="10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700"/>
    <s v="Destilação e concentração de vinhaça"/>
    <s v="BCE-3018 A"/>
    <s v="MOTO-BOMBA -  ÁGUA ALCOÓLICA A COLUNA DE CO2"/>
    <m/>
    <m/>
    <m/>
    <m/>
    <m/>
    <m/>
    <m/>
    <m/>
    <m/>
    <s v="Painel CCM-4.2"/>
    <s v="Direta"/>
    <n v="10"/>
    <n v="7.46"/>
    <m/>
    <n v="0.84"/>
    <n v="0.91"/>
    <s v="Trifásico"/>
    <n v="440"/>
    <n v="12.805744874633129"/>
    <n v="8.8809523809523814"/>
    <n v="76.834469247798779"/>
    <m/>
    <m/>
    <n v="100"/>
    <m/>
    <m/>
    <m/>
    <m/>
    <n v="100"/>
    <n v="1"/>
    <x v="12"/>
    <n v="100"/>
    <n v="0"/>
    <x v="0"/>
    <n v="0"/>
    <n v="0"/>
    <x v="6"/>
    <n v="0"/>
    <s v="132M/L"/>
    <s v="1&quot;"/>
    <n v="1"/>
    <m/>
    <m/>
    <m/>
    <m/>
    <m/>
    <m/>
    <m/>
    <m/>
    <m/>
    <m/>
    <m/>
    <m/>
    <n v="1.6407372765871995"/>
  </r>
  <r>
    <n v="700"/>
    <s v="Destilação e concentração de vinhaça"/>
    <s v="BCE-3018 B"/>
    <s v="MOTO-BOMBA -  ÁGUA ALCOÓLICA A COLUNA DE CO2"/>
    <m/>
    <m/>
    <m/>
    <m/>
    <m/>
    <m/>
    <m/>
    <m/>
    <m/>
    <s v="Painel CCM-4.2"/>
    <s v="Direta"/>
    <n v="10"/>
    <n v="7.46"/>
    <m/>
    <n v="0.84"/>
    <n v="0.91"/>
    <s v="Trifásico"/>
    <n v="440"/>
    <n v="12.805744874633129"/>
    <n v="8.8809523809523814"/>
    <n v="76.834469247798779"/>
    <m/>
    <m/>
    <n v="100"/>
    <m/>
    <m/>
    <m/>
    <m/>
    <n v="100"/>
    <n v="1"/>
    <x v="12"/>
    <n v="100"/>
    <n v="0"/>
    <x v="0"/>
    <n v="0"/>
    <n v="0"/>
    <x v="6"/>
    <n v="0"/>
    <s v="132M/L"/>
    <s v="1&quot;"/>
    <n v="1"/>
    <m/>
    <m/>
    <m/>
    <m/>
    <m/>
    <m/>
    <m/>
    <m/>
    <m/>
    <m/>
    <m/>
    <m/>
    <n v="1.6407372765871995"/>
  </r>
  <r>
    <n v="700"/>
    <s v="Destilação e concentração de vinhaça"/>
    <s v="BDO-7007"/>
    <s v="MOTO-BOMBA - ALPHA AMILASE (DOSADORA)"/>
    <m/>
    <m/>
    <m/>
    <m/>
    <m/>
    <m/>
    <m/>
    <m/>
    <m/>
    <s v="Painel CCM-4.2"/>
    <s v="Inversor"/>
    <n v="1"/>
    <n v="0.746"/>
    <m/>
    <n v="0.81"/>
    <n v="0.80500000000000005"/>
    <s v="Trifásico"/>
    <n v="440"/>
    <n v="1.5012209772516776"/>
    <n v="0.92098765432098761"/>
    <n v="2.2518314658775163"/>
    <m/>
    <m/>
    <n v="100"/>
    <m/>
    <m/>
    <m/>
    <m/>
    <n v="100"/>
    <n v="1"/>
    <x v="5"/>
    <n v="10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n v="700"/>
    <s v="Destilação e concentração de vinhaça"/>
    <s v="BDO-7008"/>
    <s v="MOTO-BOMBA - GLUCO AMILASE (DOSADORA)"/>
    <m/>
    <m/>
    <m/>
    <m/>
    <m/>
    <m/>
    <m/>
    <m/>
    <m/>
    <s v="Painel CCM-4.2"/>
    <s v="Inversor"/>
    <n v="1"/>
    <n v="0.746"/>
    <m/>
    <n v="0.81"/>
    <n v="0.80500000000000005"/>
    <s v="Trifásico"/>
    <n v="440"/>
    <n v="1.5012209772516776"/>
    <n v="0.92098765432098761"/>
    <n v="2.2518314658775163"/>
    <m/>
    <m/>
    <n v="100"/>
    <m/>
    <m/>
    <m/>
    <m/>
    <n v="100"/>
    <n v="1"/>
    <x v="5"/>
    <n v="100"/>
    <n v="0"/>
    <x v="0"/>
    <n v="0"/>
    <n v="0"/>
    <x v="6"/>
    <n v="0"/>
    <s v="100L"/>
    <s v="3/4&quot;"/>
    <n v="1"/>
    <m/>
    <m/>
    <m/>
    <m/>
    <m/>
    <m/>
    <m/>
    <m/>
    <m/>
    <m/>
    <m/>
    <m/>
    <n v="0"/>
  </r>
  <r>
    <m/>
    <m/>
    <m/>
    <m/>
    <m/>
    <m/>
    <m/>
    <m/>
    <m/>
    <m/>
    <m/>
    <m/>
    <m/>
    <m/>
    <m/>
    <m/>
    <n v="0"/>
    <m/>
    <s v=""/>
    <s v=""/>
    <m/>
    <m/>
    <n v="0"/>
    <n v="0"/>
    <n v="0"/>
    <m/>
    <m/>
    <m/>
    <m/>
    <m/>
    <m/>
    <m/>
    <n v="0"/>
    <m/>
    <x v="2"/>
    <n v="0"/>
    <m/>
    <x v="1"/>
    <n v="0"/>
    <m/>
    <x v="1"/>
    <n v="0"/>
    <m/>
    <s v="NA"/>
    <m/>
    <m/>
    <m/>
    <m/>
    <m/>
    <m/>
    <m/>
    <m/>
    <m/>
    <m/>
    <m/>
    <m/>
    <m/>
    <n v="0"/>
  </r>
  <r>
    <m/>
    <m/>
    <m/>
    <m/>
    <m/>
    <m/>
    <m/>
    <m/>
    <m/>
    <m/>
    <m/>
    <m/>
    <m/>
    <m/>
    <m/>
    <m/>
    <n v="0"/>
    <m/>
    <s v=""/>
    <s v=""/>
    <m/>
    <m/>
    <n v="0"/>
    <n v="0"/>
    <n v="0"/>
    <m/>
    <m/>
    <m/>
    <m/>
    <m/>
    <m/>
    <m/>
    <n v="0"/>
    <m/>
    <x v="2"/>
    <n v="0"/>
    <m/>
    <x v="1"/>
    <n v="0"/>
    <m/>
    <x v="1"/>
    <n v="0"/>
    <m/>
    <s v="NA"/>
    <m/>
    <m/>
    <m/>
    <m/>
    <m/>
    <m/>
    <m/>
    <m/>
    <m/>
    <m/>
    <m/>
    <m/>
    <m/>
    <n v="0"/>
  </r>
  <r>
    <m/>
    <m/>
    <m/>
    <m/>
    <m/>
    <m/>
    <m/>
    <m/>
    <m/>
    <m/>
    <m/>
    <m/>
    <m/>
    <m/>
    <m/>
    <m/>
    <n v="0"/>
    <m/>
    <s v=""/>
    <s v=""/>
    <m/>
    <m/>
    <n v="0"/>
    <n v="0"/>
    <n v="0"/>
    <m/>
    <m/>
    <m/>
    <m/>
    <m/>
    <m/>
    <m/>
    <n v="0"/>
    <m/>
    <x v="2"/>
    <n v="0"/>
    <m/>
    <x v="1"/>
    <n v="0"/>
    <m/>
    <x v="1"/>
    <n v="0"/>
    <m/>
    <s v="NA"/>
    <m/>
    <m/>
    <m/>
    <m/>
    <m/>
    <m/>
    <m/>
    <m/>
    <m/>
    <m/>
    <m/>
    <m/>
    <m/>
    <n v="0"/>
  </r>
  <r>
    <m/>
    <m/>
    <m/>
    <m/>
    <m/>
    <m/>
    <m/>
    <m/>
    <m/>
    <m/>
    <m/>
    <m/>
    <m/>
    <m/>
    <m/>
    <m/>
    <n v="0"/>
    <m/>
    <s v=""/>
    <s v=""/>
    <m/>
    <m/>
    <n v="0"/>
    <n v="0"/>
    <n v="0"/>
    <m/>
    <m/>
    <m/>
    <m/>
    <m/>
    <m/>
    <m/>
    <n v="0"/>
    <m/>
    <x v="2"/>
    <n v="0"/>
    <m/>
    <x v="1"/>
    <n v="0"/>
    <m/>
    <x v="1"/>
    <n v="0"/>
    <m/>
    <s v="NA"/>
    <m/>
    <m/>
    <m/>
    <m/>
    <m/>
    <m/>
    <m/>
    <m/>
    <m/>
    <m/>
    <m/>
    <m/>
    <m/>
    <n v="0"/>
  </r>
  <r>
    <m/>
    <m/>
    <m/>
    <m/>
    <m/>
    <m/>
    <m/>
    <m/>
    <m/>
    <m/>
    <m/>
    <m/>
    <m/>
    <m/>
    <m/>
    <m/>
    <n v="0"/>
    <m/>
    <s v=""/>
    <s v=""/>
    <m/>
    <m/>
    <n v="0"/>
    <n v="0"/>
    <n v="0"/>
    <m/>
    <m/>
    <m/>
    <m/>
    <m/>
    <m/>
    <m/>
    <n v="0"/>
    <m/>
    <x v="2"/>
    <n v="0"/>
    <m/>
    <x v="1"/>
    <n v="0"/>
    <m/>
    <x v="1"/>
    <n v="0"/>
    <m/>
    <s v="NA"/>
    <m/>
    <m/>
    <m/>
    <m/>
    <m/>
    <m/>
    <m/>
    <m/>
    <m/>
    <m/>
    <m/>
    <m/>
    <m/>
    <n v="0"/>
  </r>
  <r>
    <m/>
    <m/>
    <m/>
    <m/>
    <m/>
    <m/>
    <m/>
    <m/>
    <m/>
    <m/>
    <m/>
    <m/>
    <m/>
    <m/>
    <m/>
    <m/>
    <n v="0"/>
    <m/>
    <s v=""/>
    <s v=""/>
    <m/>
    <m/>
    <n v="0"/>
    <n v="0"/>
    <n v="0"/>
    <m/>
    <m/>
    <m/>
    <m/>
    <m/>
    <m/>
    <m/>
    <n v="0"/>
    <m/>
    <x v="2"/>
    <n v="0"/>
    <m/>
    <x v="1"/>
    <n v="0"/>
    <m/>
    <x v="1"/>
    <n v="0"/>
    <m/>
    <s v="NA"/>
    <m/>
    <m/>
    <m/>
    <m/>
    <m/>
    <m/>
    <m/>
    <m/>
    <m/>
    <m/>
    <m/>
    <m/>
    <m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9"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NA"/>
    <x v="0"/>
    <n v="1"/>
  </r>
  <r>
    <s v="132M/L"/>
    <x v="1"/>
    <n v="1"/>
  </r>
  <r>
    <s v="100L"/>
    <x v="2"/>
    <n v="1"/>
  </r>
  <r>
    <s v="100L"/>
    <x v="2"/>
    <n v="1"/>
  </r>
  <r>
    <s v="100L"/>
    <x v="2"/>
    <n v="1"/>
  </r>
  <r>
    <s v="315S/M"/>
    <x v="3"/>
    <n v="1"/>
  </r>
  <r>
    <s v="132M"/>
    <x v="1"/>
    <n v="1"/>
  </r>
  <r>
    <s v="100L"/>
    <x v="2"/>
    <n v="1"/>
  </r>
  <r>
    <s v="100L"/>
    <x v="2"/>
    <n v="1"/>
  </r>
  <r>
    <s v="100L"/>
    <x v="2"/>
    <n v="1"/>
  </r>
  <r>
    <s v="315S/M"/>
    <x v="3"/>
    <n v="1"/>
  </r>
  <r>
    <s v="132M"/>
    <x v="1"/>
    <n v="1"/>
  </r>
  <r>
    <s v="100L"/>
    <x v="2"/>
    <n v="1"/>
  </r>
  <r>
    <s v="100L"/>
    <x v="2"/>
    <n v="1"/>
  </r>
  <r>
    <s v="100L"/>
    <x v="2"/>
    <n v="1"/>
  </r>
  <r>
    <s v="132M"/>
    <x v="1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315S/M"/>
    <x v="3"/>
    <n v="1"/>
  </r>
  <r>
    <s v="132M"/>
    <x v="1"/>
    <n v="1"/>
  </r>
  <r>
    <s v="100L"/>
    <x v="2"/>
    <n v="1"/>
  </r>
  <r>
    <s v="100L"/>
    <x v="2"/>
    <n v="1"/>
  </r>
  <r>
    <s v="180L"/>
    <x v="4"/>
    <n v="1"/>
  </r>
  <r>
    <s v="180L"/>
    <x v="4"/>
    <n v="1"/>
  </r>
  <r>
    <s v="180L"/>
    <x v="4"/>
    <n v="1"/>
  </r>
  <r>
    <s v="180L"/>
    <x v="4"/>
    <n v="1"/>
  </r>
  <r>
    <s v="132M/L"/>
    <x v="1"/>
    <n v="1"/>
  </r>
  <r>
    <s v="200L"/>
    <x v="5"/>
    <n v="1"/>
  </r>
  <r>
    <s v="100L"/>
    <x v="2"/>
    <n v="1"/>
  </r>
  <r>
    <s v="132M"/>
    <x v="1"/>
    <n v="1"/>
  </r>
  <r>
    <s v="132M"/>
    <x v="1"/>
    <n v="1"/>
  </r>
  <r>
    <s v="132M"/>
    <x v="1"/>
    <n v="1"/>
  </r>
  <r>
    <s v="132M"/>
    <x v="1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200M"/>
    <x v="5"/>
    <n v="1"/>
  </r>
  <r>
    <s v="200M"/>
    <x v="5"/>
    <n v="1"/>
  </r>
  <r>
    <s v="200M"/>
    <x v="5"/>
    <n v="1"/>
  </r>
  <r>
    <s v="200M"/>
    <x v="5"/>
    <n v="1"/>
  </r>
  <r>
    <s v="200M"/>
    <x v="5"/>
    <n v="1"/>
  </r>
  <r>
    <s v="200M"/>
    <x v="5"/>
    <n v="1"/>
  </r>
  <r>
    <s v="200M"/>
    <x v="5"/>
    <n v="1"/>
  </r>
  <r>
    <s v="200M"/>
    <x v="5"/>
    <n v="1"/>
  </r>
  <r>
    <s v="132M"/>
    <x v="1"/>
    <n v="1"/>
  </r>
  <r>
    <s v="132M"/>
    <x v="1"/>
    <n v="1"/>
  </r>
  <r>
    <s v="132M"/>
    <x v="1"/>
    <n v="1"/>
  </r>
  <r>
    <s v="180L"/>
    <x v="4"/>
    <n v="1"/>
  </r>
  <r>
    <s v="180L"/>
    <x v="4"/>
    <n v="1"/>
  </r>
  <r>
    <s v="180L"/>
    <x v="4"/>
    <n v="1"/>
  </r>
  <r>
    <s v="180L"/>
    <x v="4"/>
    <n v="1"/>
  </r>
  <r>
    <s v="180L"/>
    <x v="4"/>
    <n v="1"/>
  </r>
  <r>
    <s v="200M"/>
    <x v="5"/>
    <n v="1"/>
  </r>
  <r>
    <s v="200M"/>
    <x v="5"/>
    <n v="1"/>
  </r>
  <r>
    <s v="132M/L"/>
    <x v="1"/>
    <n v="1"/>
  </r>
  <r>
    <s v="200M"/>
    <x v="5"/>
    <n v="1"/>
  </r>
  <r>
    <s v="200M"/>
    <x v="5"/>
    <n v="1"/>
  </r>
  <r>
    <s v="200M"/>
    <x v="5"/>
    <n v="1"/>
  </r>
  <r>
    <s v="180L"/>
    <x v="4"/>
    <n v="1"/>
  </r>
  <r>
    <s v="180L"/>
    <x v="4"/>
    <n v="1"/>
  </r>
  <r>
    <s v="180L"/>
    <x v="4"/>
    <n v="1"/>
  </r>
  <r>
    <s v="180L"/>
    <x v="4"/>
    <n v="1"/>
  </r>
  <r>
    <s v="180L"/>
    <x v="4"/>
    <n v="1"/>
  </r>
  <r>
    <s v="180L"/>
    <x v="4"/>
    <n v="1"/>
  </r>
  <r>
    <s v="180L"/>
    <x v="4"/>
    <n v="1"/>
  </r>
  <r>
    <s v="180L"/>
    <x v="4"/>
    <n v="1"/>
  </r>
  <r>
    <s v="132M"/>
    <x v="1"/>
    <n v="1"/>
  </r>
  <r>
    <s v="132M"/>
    <x v="1"/>
    <n v="1"/>
  </r>
  <r>
    <s v="132M"/>
    <x v="1"/>
    <n v="1"/>
  </r>
  <r>
    <s v="132M"/>
    <x v="1"/>
    <n v="1"/>
  </r>
  <r>
    <s v="132M/L"/>
    <x v="1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32M"/>
    <x v="1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80M"/>
    <x v="4"/>
    <n v="1"/>
  </r>
  <r>
    <s v="132M/L"/>
    <x v="1"/>
    <n v="1"/>
  </r>
  <r>
    <s v="100L"/>
    <x v="2"/>
    <n v="1"/>
  </r>
  <r>
    <s v="180M"/>
    <x v="4"/>
    <n v="1"/>
  </r>
  <r>
    <s v="132M/L"/>
    <x v="1"/>
    <n v="1"/>
  </r>
  <r>
    <s v="100L"/>
    <x v="2"/>
    <n v="1"/>
  </r>
  <r>
    <s v="180M"/>
    <x v="4"/>
    <n v="1"/>
  </r>
  <r>
    <s v="132M/L"/>
    <x v="1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80M"/>
    <x v="4"/>
    <n v="1"/>
  </r>
  <r>
    <s v="132M/L"/>
    <x v="1"/>
    <n v="1"/>
  </r>
  <r>
    <s v="100L"/>
    <x v="2"/>
    <n v="1"/>
  </r>
  <r>
    <m/>
    <x v="6"/>
    <n v="1"/>
  </r>
  <r>
    <m/>
    <x v="6"/>
    <n v="1"/>
  </r>
  <r>
    <m/>
    <x v="6"/>
    <n v="1"/>
  </r>
  <r>
    <m/>
    <x v="6"/>
    <n v="1"/>
  </r>
  <r>
    <s v="180L"/>
    <x v="4"/>
    <n v="1"/>
  </r>
  <r>
    <s v="180L"/>
    <x v="4"/>
    <n v="1"/>
  </r>
  <r>
    <s v="132M/L"/>
    <x v="1"/>
    <n v="1"/>
  </r>
  <r>
    <s v="132M/L"/>
    <x v="1"/>
    <n v="1"/>
  </r>
  <r>
    <s v="180L"/>
    <x v="4"/>
    <n v="1"/>
  </r>
  <r>
    <s v="180L"/>
    <x v="4"/>
    <n v="1"/>
  </r>
  <r>
    <s v="180L"/>
    <x v="4"/>
    <n v="1"/>
  </r>
  <r>
    <s v="180L"/>
    <x v="4"/>
    <n v="1"/>
  </r>
  <r>
    <s v="132M/L"/>
    <x v="1"/>
    <n v="1"/>
  </r>
  <r>
    <s v="132M/L"/>
    <x v="1"/>
    <n v="1"/>
  </r>
  <r>
    <s v="132M/L"/>
    <x v="1"/>
    <n v="1"/>
  </r>
  <r>
    <s v="132M/L"/>
    <x v="1"/>
    <n v="1"/>
  </r>
  <r>
    <s v="315S/M"/>
    <x v="3"/>
    <n v="1"/>
  </r>
  <r>
    <s v="315S/M"/>
    <x v="3"/>
    <n v="1"/>
  </r>
  <r>
    <s v="315S/M"/>
    <x v="3"/>
    <n v="1"/>
  </r>
  <r>
    <s v="132M"/>
    <x v="1"/>
    <n v="1"/>
  </r>
  <r>
    <s v="200M"/>
    <x v="5"/>
    <n v="1"/>
  </r>
  <r>
    <s v="200M"/>
    <x v="5"/>
    <n v="1"/>
  </r>
  <r>
    <s v="200M"/>
    <x v="5"/>
    <n v="1"/>
  </r>
  <r>
    <s v="200M"/>
    <x v="5"/>
    <n v="1"/>
  </r>
  <r>
    <s v="100L"/>
    <x v="2"/>
    <n v="1"/>
  </r>
  <r>
    <s v="100L"/>
    <x v="2"/>
    <n v="1"/>
  </r>
  <r>
    <s v="100L"/>
    <x v="2"/>
    <n v="1"/>
  </r>
  <r>
    <s v="180L"/>
    <x v="4"/>
    <n v="1"/>
  </r>
  <r>
    <s v="180L"/>
    <x v="4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32M/L"/>
    <x v="1"/>
    <n v="1"/>
  </r>
  <r>
    <s v="132M/L"/>
    <x v="1"/>
    <n v="1"/>
  </r>
  <r>
    <s v="100L"/>
    <x v="2"/>
    <n v="1"/>
  </r>
  <r>
    <s v="132M"/>
    <x v="1"/>
    <n v="1"/>
  </r>
  <r>
    <s v="180L"/>
    <x v="4"/>
    <n v="1"/>
  </r>
  <r>
    <s v="180L"/>
    <x v="4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32M"/>
    <x v="1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132M"/>
    <x v="1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200L"/>
    <x v="5"/>
    <n v="1"/>
  </r>
  <r>
    <s v="132M"/>
    <x v="1"/>
    <n v="1"/>
  </r>
  <r>
    <s v="100L"/>
    <x v="2"/>
    <n v="1"/>
  </r>
  <r>
    <s v="100L"/>
    <x v="2"/>
    <n v="1"/>
  </r>
  <r>
    <s v="200L"/>
    <x v="5"/>
    <n v="1"/>
  </r>
  <r>
    <s v="132M"/>
    <x v="1"/>
    <n v="1"/>
  </r>
  <r>
    <s v="100L"/>
    <x v="2"/>
    <n v="1"/>
  </r>
  <r>
    <s v="100L"/>
    <x v="2"/>
    <n v="1"/>
  </r>
  <r>
    <s v="200L"/>
    <x v="5"/>
    <n v="1"/>
  </r>
  <r>
    <s v="132M"/>
    <x v="1"/>
    <n v="1"/>
  </r>
  <r>
    <s v="100L"/>
    <x v="2"/>
    <n v="1"/>
  </r>
  <r>
    <s v="100L"/>
    <x v="2"/>
    <n v="1"/>
  </r>
  <r>
    <s v="100L"/>
    <x v="2"/>
    <n v="1"/>
  </r>
  <r>
    <s v="200M"/>
    <x v="5"/>
    <n v="1"/>
  </r>
  <r>
    <s v="132M"/>
    <x v="1"/>
    <n v="1"/>
  </r>
  <r>
    <s v="315S/M"/>
    <x v="3"/>
    <n v="1"/>
  </r>
  <r>
    <s v="100L"/>
    <x v="2"/>
    <n v="1"/>
  </r>
  <r>
    <s v="200M"/>
    <x v="5"/>
    <n v="1"/>
  </r>
  <r>
    <s v="132M"/>
    <x v="1"/>
    <n v="1"/>
  </r>
  <r>
    <s v="132M"/>
    <x v="1"/>
    <n v="1"/>
  </r>
  <r>
    <s v="100L"/>
    <x v="2"/>
    <n v="1"/>
  </r>
  <r>
    <s v="100L"/>
    <x v="2"/>
    <n v="1"/>
  </r>
  <r>
    <s v="132M"/>
    <x v="1"/>
    <n v="1"/>
  </r>
  <r>
    <s v="100L"/>
    <x v="2"/>
    <n v="1"/>
  </r>
  <r>
    <s v="200M"/>
    <x v="5"/>
    <n v="1"/>
  </r>
  <r>
    <s v="132M"/>
    <x v="1"/>
    <n v="1"/>
  </r>
  <r>
    <s v="315S/M"/>
    <x v="3"/>
    <n v="1"/>
  </r>
  <r>
    <s v="100L"/>
    <x v="2"/>
    <n v="1"/>
  </r>
  <r>
    <s v="200M"/>
    <x v="5"/>
    <n v="1"/>
  </r>
  <r>
    <s v="132M"/>
    <x v="1"/>
    <n v="1"/>
  </r>
  <r>
    <s v="132M"/>
    <x v="1"/>
    <n v="1"/>
  </r>
  <r>
    <s v="100L"/>
    <x v="2"/>
    <n v="1"/>
  </r>
  <r>
    <s v="100L"/>
    <x v="2"/>
    <n v="1"/>
  </r>
  <r>
    <s v="132M"/>
    <x v="1"/>
    <n v="1"/>
  </r>
  <r>
    <s v="100L"/>
    <x v="2"/>
    <n v="1"/>
  </r>
  <r>
    <s v="200L"/>
    <x v="5"/>
    <n v="1"/>
  </r>
  <r>
    <s v="132M"/>
    <x v="1"/>
    <n v="1"/>
  </r>
  <r>
    <s v="100L"/>
    <x v="2"/>
    <n v="1"/>
  </r>
  <r>
    <s v="100L"/>
    <x v="2"/>
    <n v="1"/>
  </r>
  <r>
    <s v="200M"/>
    <x v="5"/>
    <n v="1"/>
  </r>
  <r>
    <s v="132M"/>
    <x v="1"/>
    <n v="1"/>
  </r>
  <r>
    <s v="315S/M"/>
    <x v="3"/>
    <n v="1"/>
  </r>
  <r>
    <s v="100L"/>
    <x v="2"/>
    <n v="1"/>
  </r>
  <r>
    <s v="200M"/>
    <x v="5"/>
    <n v="1"/>
  </r>
  <r>
    <s v="132M"/>
    <x v="1"/>
    <n v="1"/>
  </r>
  <r>
    <s v="180L"/>
    <x v="4"/>
    <n v="1"/>
  </r>
  <r>
    <s v="100L"/>
    <x v="2"/>
    <n v="1"/>
  </r>
  <r>
    <s v="100L"/>
    <x v="2"/>
    <n v="1"/>
  </r>
  <r>
    <s v="180L"/>
    <x v="4"/>
    <n v="1"/>
  </r>
  <r>
    <s v="100L"/>
    <x v="2"/>
    <n v="1"/>
  </r>
  <r>
    <s v="132M"/>
    <x v="1"/>
    <n v="1"/>
  </r>
  <r>
    <s v="100L"/>
    <x v="2"/>
    <n v="1"/>
  </r>
  <r>
    <s v="100L"/>
    <x v="2"/>
    <n v="1"/>
  </r>
  <r>
    <s v="100L"/>
    <x v="2"/>
    <n v="1"/>
  </r>
  <r>
    <s v="100L"/>
    <x v="2"/>
    <n v="1"/>
  </r>
  <r>
    <s v="200M"/>
    <x v="5"/>
    <n v="1"/>
  </r>
  <r>
    <s v="100L"/>
    <x v="2"/>
    <n v="1"/>
  </r>
  <r>
    <s v="100L"/>
    <x v="2"/>
    <n v="1"/>
  </r>
  <r>
    <s v="200M"/>
    <x v="5"/>
    <n v="1"/>
  </r>
  <r>
    <s v="132M/L"/>
    <x v="1"/>
    <n v="1"/>
  </r>
  <r>
    <s v="132M/L"/>
    <x v="1"/>
    <n v="1"/>
  </r>
  <r>
    <s v="100L"/>
    <x v="2"/>
    <n v="1"/>
  </r>
  <r>
    <s v="100L"/>
    <x v="2"/>
    <n v="1"/>
  </r>
  <r>
    <s v="180L"/>
    <x v="4"/>
    <n v="1"/>
  </r>
  <r>
    <s v="180L"/>
    <x v="4"/>
    <n v="1"/>
  </r>
  <r>
    <s v="180L"/>
    <x v="4"/>
    <n v="1"/>
  </r>
  <r>
    <s v="180L"/>
    <x v="4"/>
    <n v="1"/>
  </r>
  <r>
    <s v="132M/L"/>
    <x v="1"/>
    <n v="1"/>
  </r>
  <r>
    <s v="132M/L"/>
    <x v="1"/>
    <n v="1"/>
  </r>
  <r>
    <s v="132M/L"/>
    <x v="1"/>
    <n v="1"/>
  </r>
  <r>
    <s v="132M/L"/>
    <x v="1"/>
    <n v="1"/>
  </r>
  <r>
    <s v="132M/L"/>
    <x v="1"/>
    <n v="1"/>
  </r>
  <r>
    <s v="200M"/>
    <x v="5"/>
    <n v="1"/>
  </r>
  <r>
    <s v="132M/L"/>
    <x v="1"/>
    <n v="1"/>
  </r>
  <r>
    <s v="132M/L"/>
    <x v="1"/>
    <n v="1"/>
  </r>
  <r>
    <s v="132M/L"/>
    <x v="1"/>
    <n v="1"/>
  </r>
  <r>
    <s v="200M"/>
    <x v="5"/>
    <n v="1"/>
  </r>
  <r>
    <s v="200M"/>
    <x v="5"/>
    <n v="1"/>
  </r>
  <r>
    <s v="180L"/>
    <x v="4"/>
    <n v="1"/>
  </r>
  <r>
    <s v="100L"/>
    <x v="2"/>
    <n v="1"/>
  </r>
  <r>
    <s v="100L"/>
    <x v="2"/>
    <n v="1"/>
  </r>
  <r>
    <s v="100L"/>
    <x v="2"/>
    <n v="1"/>
  </r>
  <r>
    <m/>
    <x v="6"/>
    <n v="1"/>
  </r>
  <r>
    <s v="100L"/>
    <x v="2"/>
    <n v="1"/>
  </r>
  <r>
    <s v="100L"/>
    <x v="2"/>
    <n v="1"/>
  </r>
  <r>
    <s v="180L"/>
    <x v="4"/>
    <n v="1"/>
  </r>
  <r>
    <s v="100L"/>
    <x v="2"/>
    <n v="1"/>
  </r>
  <r>
    <s v="180L"/>
    <x v="4"/>
    <n v="1"/>
  </r>
  <r>
    <s v="132M/L"/>
    <x v="1"/>
    <n v="1"/>
  </r>
  <r>
    <s v="100L"/>
    <x v="2"/>
    <n v="1"/>
  </r>
  <r>
    <s v="132M/L"/>
    <x v="1"/>
    <n v="1"/>
  </r>
  <r>
    <s v="132M/L"/>
    <x v="1"/>
    <n v="1"/>
  </r>
  <r>
    <s v="100L"/>
    <x v="2"/>
    <n v="1"/>
  </r>
  <r>
    <s v="132M/L"/>
    <x v="1"/>
    <n v="1"/>
  </r>
  <r>
    <s v="100L"/>
    <x v="2"/>
    <n v="1"/>
  </r>
  <r>
    <s v="200M"/>
    <x v="5"/>
    <n v="1"/>
  </r>
  <r>
    <s v="180L"/>
    <x v="4"/>
    <n v="1"/>
  </r>
  <r>
    <s v="200M"/>
    <x v="5"/>
    <n v="1"/>
  </r>
  <r>
    <s v="200M"/>
    <x v="5"/>
    <n v="1"/>
  </r>
  <r>
    <s v="132M"/>
    <x v="1"/>
    <n v="1"/>
  </r>
  <r>
    <s v="100L"/>
    <x v="2"/>
    <n v="1"/>
  </r>
  <r>
    <s v="100L"/>
    <x v="2"/>
    <n v="1"/>
  </r>
  <r>
    <s v="132M/L"/>
    <x v="1"/>
    <n v="1"/>
  </r>
  <r>
    <s v="132M/L"/>
    <x v="1"/>
    <n v="1"/>
  </r>
  <r>
    <s v="100L"/>
    <x v="2"/>
    <n v="1"/>
  </r>
  <r>
    <s v="100L"/>
    <x v="2"/>
    <n v="1"/>
  </r>
  <r>
    <m/>
    <x v="6"/>
    <m/>
  </r>
  <r>
    <m/>
    <x v="6"/>
    <m/>
  </r>
  <r>
    <m/>
    <x v="6"/>
    <m/>
  </r>
  <r>
    <m/>
    <x v="6"/>
    <m/>
  </r>
  <r>
    <m/>
    <x v="6"/>
    <m/>
  </r>
  <r>
    <m/>
    <x v="6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n v="54"/>
  </r>
  <r>
    <x v="1"/>
    <n v="12"/>
  </r>
  <r>
    <x v="2"/>
    <n v="30"/>
  </r>
  <r>
    <x v="3"/>
    <n v="342"/>
  </r>
  <r>
    <x v="4"/>
    <n v="30"/>
  </r>
  <r>
    <x v="5"/>
    <n v="42"/>
  </r>
  <r>
    <x v="6"/>
    <n v="54"/>
  </r>
  <r>
    <x v="6"/>
    <n v="120"/>
  </r>
  <r>
    <x v="7"/>
    <n v="12"/>
  </r>
  <r>
    <x v="8"/>
    <n v="204"/>
  </r>
  <r>
    <x v="9"/>
    <n v="304"/>
  </r>
  <r>
    <x v="10"/>
    <n v="248"/>
  </r>
  <r>
    <x v="8"/>
    <n v="616"/>
  </r>
  <r>
    <x v="11"/>
    <n v="136"/>
  </r>
  <r>
    <x v="8"/>
    <n v="96"/>
  </r>
  <r>
    <x v="12"/>
    <n v="176"/>
  </r>
  <r>
    <x v="0"/>
    <n v="16"/>
  </r>
  <r>
    <x v="1"/>
    <n v="12"/>
  </r>
  <r>
    <x v="2"/>
    <n v="2"/>
  </r>
  <r>
    <x v="3"/>
    <n v="66"/>
  </r>
  <r>
    <x v="11"/>
    <n v="24"/>
  </r>
  <r>
    <x v="4"/>
    <n v="40"/>
  </r>
  <r>
    <x v="5"/>
    <n v="4"/>
  </r>
  <r>
    <x v="6"/>
    <n v="14"/>
  </r>
  <r>
    <x v="7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E83C3A-F8D6-42B8-97FB-7C5C07E92E66}" name="Tabela dinâmica8" cacheId="9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W2:X16" firstHeaderRow="1" firstDataRow="1" firstDataCol="1"/>
  <pivotFields count="2">
    <pivotField axis="axisRow" showAll="0">
      <items count="14">
        <item x="9"/>
        <item x="0"/>
        <item x="1"/>
        <item x="10"/>
        <item x="2"/>
        <item x="8"/>
        <item x="3"/>
        <item x="11"/>
        <item x="4"/>
        <item x="5"/>
        <item x="12"/>
        <item x="6"/>
        <item x="7"/>
        <item t="default"/>
      </items>
    </pivotField>
    <pivotField dataField="1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TOTAL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8D5083-D248-4DBA-B467-AF7C034D0814}" name="Tabela dinâmica6" cacheId="93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R2:S14" firstHeaderRow="1" firstDataRow="1" firstDataCol="1"/>
  <pivotFields count="5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2">
        <item x="2"/>
        <item x="4"/>
        <item x="3"/>
        <item x="0"/>
        <item x="8"/>
        <item x="5"/>
        <item x="7"/>
        <item x="9"/>
        <item x="10"/>
        <item x="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Nº Cabos Terra PE/PEN" fld="3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62CB99-0F7B-486B-A64E-73FB4BD4FDA0}" name="Tabela dinâmica3" cacheId="93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G2:H14" firstHeaderRow="1" firstDataRow="1" firstDataCol="1"/>
  <pivotFields count="5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1"/>
        <item x="0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</pivotFields>
  <rowFields count="1">
    <field x="4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Total Cabos Terra (m)" fld="4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95F1D7-1C21-47EB-9186-F1153B3C6B3F}" name="Tabela dinâmica5" cacheId="93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M2:N20" firstHeaderRow="1" firstDataRow="1" firstDataCol="1"/>
  <pivotFields count="5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8">
        <item x="11"/>
        <item x="14"/>
        <item x="3"/>
        <item x="1"/>
        <item x="9"/>
        <item x="8"/>
        <item x="0"/>
        <item x="4"/>
        <item x="6"/>
        <item x="16"/>
        <item x="7"/>
        <item x="15"/>
        <item x="5"/>
        <item x="10"/>
        <item x="13"/>
        <item x="12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4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oma de Nº Cabos Fase" fld="3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4EA275-1EA6-45B3-84C2-3E5EF71DCCEB}" name="Tabela dinâmica4" cacheId="9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2:K10" firstHeaderRow="1" firstDataRow="1" firstDataCol="1"/>
  <pivotFields count="3">
    <pivotField showAll="0"/>
    <pivotField axis="axisRow" showAll="0">
      <items count="8">
        <item x="1"/>
        <item x="4"/>
        <item x="3"/>
        <item x="5"/>
        <item x="2"/>
        <item x="6"/>
        <item x="0"/>
        <item t="default"/>
      </items>
    </pivotField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QTD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CF5AB6-AEEB-4872-86B5-B6ADB003ACF0}" name="Tabela dinâmica2" cacheId="93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D2:E5" firstHeaderRow="1" firstDataRow="1" firstDataCol="1"/>
  <pivotFields count="5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</pivotFields>
  <rowFields count="1">
    <field x="37"/>
  </rowFields>
  <rowItems count="3">
    <i>
      <x/>
    </i>
    <i>
      <x v="1"/>
    </i>
    <i t="grand">
      <x/>
    </i>
  </rowItems>
  <colItems count="1">
    <i/>
  </colItems>
  <dataFields count="1">
    <dataField name="Soma de Total Cabos Neutro (m)" fld="3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EBA59E-8ECE-4B3F-A792-B81F54537D7C}" name="Tabela dinâmica1" cacheId="93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2:B20" firstHeaderRow="1" firstDataRow="1" firstDataCol="1"/>
  <pivotFields count="5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2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</pivotFields>
  <rowFields count="1">
    <field x="34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oma de Total Cabos Fase (m)" fld="3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 filterMode="1">
    <pageSetUpPr fitToPage="1"/>
  </sheetPr>
  <dimension ref="A1:BJ550"/>
  <sheetViews>
    <sheetView showGridLines="0" tabSelected="1" topLeftCell="Q1" zoomScale="90" zoomScaleNormal="90" zoomScaleSheetLayoutView="80" workbookViewId="0">
      <pane ySplit="1" topLeftCell="A48" activePane="bottomLeft" state="frozen"/>
      <selection pane="bottomLeft" activeCell="AB48" sqref="AB48:AB334"/>
    </sheetView>
  </sheetViews>
  <sheetFormatPr defaultColWidth="9.140625" defaultRowHeight="12.75" x14ac:dyDescent="0.2"/>
  <cols>
    <col min="1" max="1" width="9.85546875" style="7" customWidth="1"/>
    <col min="2" max="2" width="42.42578125" style="7" hidden="1" customWidth="1"/>
    <col min="3" max="3" width="22.7109375" style="7" bestFit="1" customWidth="1"/>
    <col min="4" max="4" width="61.85546875" style="28" customWidth="1"/>
    <col min="5" max="5" width="8.28515625" style="28" hidden="1" customWidth="1"/>
    <col min="6" max="6" width="12.42578125" style="7" hidden="1" customWidth="1"/>
    <col min="7" max="13" width="11.7109375" style="7" hidden="1" customWidth="1"/>
    <col min="14" max="14" width="26.85546875" style="8" bestFit="1" customWidth="1"/>
    <col min="15" max="15" width="17.85546875" style="7" bestFit="1" customWidth="1"/>
    <col min="16" max="16" width="9.7109375" style="5" customWidth="1"/>
    <col min="17" max="17" width="9.85546875" style="37" customWidth="1"/>
    <col min="18" max="19" width="7.5703125" style="5" customWidth="1"/>
    <col min="20" max="20" width="11.7109375" style="5" customWidth="1"/>
    <col min="21" max="21" width="15.85546875" style="5" customWidth="1"/>
    <col min="22" max="22" width="11.140625" style="5" customWidth="1"/>
    <col min="23" max="23" width="8.42578125" style="5" customWidth="1"/>
    <col min="24" max="24" width="10.85546875" style="5" customWidth="1"/>
    <col min="25" max="26" width="13.5703125" style="5" customWidth="1"/>
    <col min="27" max="27" width="12" style="5" customWidth="1"/>
    <col min="28" max="28" width="8.42578125" style="5" customWidth="1"/>
    <col min="29" max="29" width="8.140625" style="5" customWidth="1"/>
    <col min="30" max="30" width="8.42578125" style="5" customWidth="1"/>
    <col min="31" max="31" width="8.28515625" style="5" customWidth="1"/>
    <col min="32" max="32" width="9" style="5" customWidth="1"/>
    <col min="33" max="33" width="10.7109375" style="5" customWidth="1"/>
    <col min="34" max="34" width="8.85546875" style="5" customWidth="1"/>
    <col min="35" max="35" width="39.42578125" style="7" customWidth="1"/>
    <col min="36" max="36" width="12.7109375" style="5" customWidth="1"/>
    <col min="37" max="37" width="11" style="5" hidden="1" customWidth="1"/>
    <col min="38" max="38" width="29.140625" style="5" hidden="1" customWidth="1"/>
    <col min="39" max="39" width="11.42578125" style="5" hidden="1" customWidth="1"/>
    <col min="40" max="40" width="13" style="5" hidden="1" customWidth="1"/>
    <col min="41" max="41" width="36.7109375" style="5" customWidth="1"/>
    <col min="42" max="43" width="11.42578125" style="5" customWidth="1"/>
    <col min="44" max="44" width="13" style="5" customWidth="1"/>
    <col min="45" max="45" width="13.85546875" style="5" customWidth="1"/>
    <col min="46" max="46" width="12.7109375" style="5" customWidth="1"/>
    <col min="47" max="47" width="9.7109375" style="5" customWidth="1"/>
    <col min="48" max="48" width="19.140625" style="5" customWidth="1"/>
    <col min="49" max="49" width="12.42578125" style="5" customWidth="1"/>
    <col min="50" max="50" width="23.28515625" style="5" customWidth="1"/>
    <col min="51" max="51" width="20.28515625" style="5" bestFit="1" customWidth="1"/>
    <col min="52" max="52" width="19.42578125" style="5" customWidth="1"/>
    <col min="53" max="53" width="22" style="5" customWidth="1"/>
    <col min="54" max="54" width="18.42578125" style="5" bestFit="1" customWidth="1"/>
    <col min="55" max="55" width="17.42578125" style="5" customWidth="1"/>
    <col min="56" max="56" width="21.5703125" style="5" customWidth="1"/>
    <col min="57" max="57" width="23.85546875" style="5" customWidth="1"/>
    <col min="58" max="58" width="17" style="5" customWidth="1"/>
    <col min="59" max="59" width="16.5703125" style="5" customWidth="1"/>
    <col min="60" max="16384" width="9.140625" style="5"/>
  </cols>
  <sheetData>
    <row r="1" spans="1:62" s="4" customFormat="1" ht="25.5" customHeight="1" x14ac:dyDescent="0.2">
      <c r="A1" s="3" t="s">
        <v>52</v>
      </c>
      <c r="B1" s="3" t="s">
        <v>51</v>
      </c>
      <c r="C1" s="3" t="s">
        <v>46</v>
      </c>
      <c r="D1" s="3" t="s">
        <v>119</v>
      </c>
      <c r="E1" s="3" t="s">
        <v>32</v>
      </c>
      <c r="F1" s="3" t="s">
        <v>120</v>
      </c>
      <c r="G1" s="3" t="s">
        <v>53</v>
      </c>
      <c r="H1" s="3" t="s">
        <v>22</v>
      </c>
      <c r="I1" s="3" t="s">
        <v>114</v>
      </c>
      <c r="J1" s="3" t="s">
        <v>115</v>
      </c>
      <c r="K1" s="3" t="s">
        <v>24</v>
      </c>
      <c r="L1" s="3" t="s">
        <v>446</v>
      </c>
      <c r="M1" s="3" t="s">
        <v>121</v>
      </c>
      <c r="N1" s="3" t="s">
        <v>116</v>
      </c>
      <c r="O1" s="3" t="s">
        <v>117</v>
      </c>
      <c r="P1" s="3" t="s">
        <v>132</v>
      </c>
      <c r="Q1" s="33" t="s">
        <v>133</v>
      </c>
      <c r="R1" s="3" t="s">
        <v>463</v>
      </c>
      <c r="S1" s="3" t="s">
        <v>134</v>
      </c>
      <c r="T1" s="3" t="s">
        <v>0</v>
      </c>
      <c r="U1" s="3" t="s">
        <v>123</v>
      </c>
      <c r="V1" s="3" t="s">
        <v>122</v>
      </c>
      <c r="W1" s="3" t="s">
        <v>129</v>
      </c>
      <c r="X1" s="3" t="s">
        <v>130</v>
      </c>
      <c r="Y1" s="3" t="s">
        <v>131</v>
      </c>
      <c r="Z1" s="3" t="s">
        <v>135</v>
      </c>
      <c r="AA1" s="3" t="s">
        <v>2</v>
      </c>
      <c r="AB1" s="3" t="s">
        <v>124</v>
      </c>
      <c r="AC1" s="3" t="s">
        <v>125</v>
      </c>
      <c r="AD1" s="3" t="s">
        <v>126</v>
      </c>
      <c r="AE1" s="3" t="s">
        <v>127</v>
      </c>
      <c r="AF1" s="3" t="s">
        <v>128</v>
      </c>
      <c r="AG1" s="3" t="s">
        <v>136</v>
      </c>
      <c r="AH1" s="3" t="s">
        <v>142</v>
      </c>
      <c r="AI1" s="3" t="s">
        <v>143</v>
      </c>
      <c r="AJ1" s="3" t="s">
        <v>432</v>
      </c>
      <c r="AK1" s="3" t="s">
        <v>144</v>
      </c>
      <c r="AL1" s="3" t="s">
        <v>145</v>
      </c>
      <c r="AM1" s="3" t="s">
        <v>433</v>
      </c>
      <c r="AN1" s="3" t="s">
        <v>146</v>
      </c>
      <c r="AO1" s="3" t="s">
        <v>435</v>
      </c>
      <c r="AP1" s="3" t="s">
        <v>434</v>
      </c>
      <c r="AQ1" s="3" t="s">
        <v>1</v>
      </c>
      <c r="AR1" s="3" t="s">
        <v>3</v>
      </c>
      <c r="AS1" s="3" t="s">
        <v>1081</v>
      </c>
      <c r="AT1" s="3" t="s">
        <v>39</v>
      </c>
      <c r="AU1" s="3" t="s">
        <v>4</v>
      </c>
      <c r="AV1" s="3" t="s">
        <v>5</v>
      </c>
      <c r="AW1" s="3" t="s">
        <v>38</v>
      </c>
      <c r="AX1" s="3" t="s">
        <v>50</v>
      </c>
      <c r="AY1" s="3" t="s">
        <v>6</v>
      </c>
      <c r="AZ1" s="3" t="s">
        <v>137</v>
      </c>
      <c r="BA1" s="3" t="s">
        <v>7</v>
      </c>
      <c r="BB1" s="3" t="s">
        <v>8</v>
      </c>
      <c r="BC1" s="3" t="s">
        <v>139</v>
      </c>
      <c r="BD1" s="3" t="s">
        <v>138</v>
      </c>
      <c r="BE1" s="3" t="s">
        <v>9</v>
      </c>
      <c r="BF1" s="3" t="s">
        <v>10</v>
      </c>
      <c r="BG1" s="3" t="s">
        <v>63</v>
      </c>
      <c r="BH1" s="3">
        <v>0.92</v>
      </c>
      <c r="BI1" s="3" t="s">
        <v>462</v>
      </c>
      <c r="BJ1" s="43">
        <v>0</v>
      </c>
    </row>
    <row r="2" spans="1:62" ht="12.75" hidden="1" customHeight="1" x14ac:dyDescent="0.2">
      <c r="A2" s="19" t="s">
        <v>959</v>
      </c>
      <c r="B2" s="19" t="s">
        <v>960</v>
      </c>
      <c r="C2" s="19" t="s">
        <v>1070</v>
      </c>
      <c r="D2" s="20" t="s">
        <v>1073</v>
      </c>
      <c r="E2" s="20"/>
      <c r="F2" s="21"/>
      <c r="G2" s="21"/>
      <c r="H2" s="21"/>
      <c r="I2" s="21"/>
      <c r="J2" s="21"/>
      <c r="K2" s="21"/>
      <c r="L2" s="21"/>
      <c r="M2" s="21"/>
      <c r="N2" s="32"/>
      <c r="O2" s="22" t="s">
        <v>447</v>
      </c>
      <c r="P2" s="23">
        <v>9249.3297587131383</v>
      </c>
      <c r="Q2" s="34">
        <f t="shared" ref="Q2:Q8" si="0">P2*0.746</f>
        <v>6900.0000000000009</v>
      </c>
      <c r="R2" s="39"/>
      <c r="S2" s="39">
        <f>IF(O2="","",IF(O2="NA","",IF(O2="Mini disjuntor + DR",0.92,IF(O2="Mini disjuntor",0.92,IF(O2="Disjuntor Motor",0.92,IF(O2="Disjuntor C.M.",0.92,IF(O2="Disjuntor C.A.",0.92,IFERROR(VLOOKUP('Lista de Cargas'!P2,Motores!$B$9:$T$48,19,FALSE),"Erro"))))))))</f>
        <v>0.92</v>
      </c>
      <c r="T2" s="40">
        <f>IF(O2="","",IF(O2="NA","",IF(O2="Mini disjuntor + DR",100%,IF(O2="Mini disjuntor",100%,IF(O2="Disjuntor Motor",0.92,IF(O2="Disjuntor C.M.",100%,IF(O2="Disjuntor C.A.",100%,IFERROR(VLOOKUP('Lista de Cargas'!P2,Motores!$B$9:$T$48,16,FALSE)/100,"Erro"))))))))</f>
        <v>1</v>
      </c>
      <c r="U2" s="40" t="s">
        <v>445</v>
      </c>
      <c r="V2" s="39">
        <v>13800</v>
      </c>
      <c r="W2" s="2">
        <f t="shared" ref="W2:W33" si="1">IFERROR(IF(U2=$U$344,(P2*746)/(SQRT(3)*S2*T2*V2),(P2*746)/(S2*T2*V2)),0)</f>
        <v>313.77732021175319</v>
      </c>
      <c r="X2" s="2">
        <f t="shared" ref="X2:X8" si="2">IFERROR(Q2/S2,0)</f>
        <v>7500.0000000000009</v>
      </c>
      <c r="Y2" s="2">
        <f t="shared" ref="Y2:Y33" si="3">IFERROR(IF(O2=$O$344,6*W2,IF(O2=$O$345,6*W2,IF(O2=$O$346,3*W2,IF(O2=$O$347,1.5*W2,W2)))),0)</f>
        <v>313.77732021175319</v>
      </c>
      <c r="Z2" s="1"/>
      <c r="AA2" s="1"/>
      <c r="AB2" s="1">
        <v>600</v>
      </c>
      <c r="AC2" s="1"/>
      <c r="AD2" s="1"/>
      <c r="AE2" s="1"/>
      <c r="AF2" s="1"/>
      <c r="AG2" s="1">
        <f t="shared" ref="AG2:AG8" si="4">SUM(AB2:AF2)</f>
        <v>600</v>
      </c>
      <c r="AH2" s="1">
        <v>6</v>
      </c>
      <c r="AI2" s="1" t="s">
        <v>303</v>
      </c>
      <c r="AJ2" s="1">
        <f t="shared" ref="AJ2:AJ8" si="5">$AG2*AH2*(1+$BJ$1)</f>
        <v>3600</v>
      </c>
      <c r="AK2" s="1">
        <v>0</v>
      </c>
      <c r="AL2" s="1" t="s">
        <v>118</v>
      </c>
      <c r="AM2" s="1"/>
      <c r="AN2" s="1">
        <v>4</v>
      </c>
      <c r="AO2" s="1" t="s">
        <v>1047</v>
      </c>
      <c r="AP2" s="1">
        <f t="shared" ref="AP2:AP8" si="6">$AG2*AN2*(1+$BJ$1)</f>
        <v>2400</v>
      </c>
      <c r="AQ2" s="1" t="s">
        <v>118</v>
      </c>
      <c r="AR2" s="1"/>
      <c r="AS2" s="1">
        <v>1</v>
      </c>
      <c r="AT2" s="1"/>
      <c r="AU2" s="1"/>
      <c r="AV2" s="17"/>
      <c r="AW2" s="2"/>
      <c r="AX2" s="2"/>
      <c r="AY2" s="2"/>
      <c r="AZ2" s="17"/>
      <c r="BA2" s="1"/>
      <c r="BB2" s="1"/>
      <c r="BC2" s="1"/>
      <c r="BD2" s="1"/>
      <c r="BE2" s="18"/>
      <c r="BF2" s="2"/>
      <c r="BG2" s="6"/>
      <c r="BH2" s="6"/>
    </row>
    <row r="3" spans="1:62" ht="12.75" hidden="1" customHeight="1" x14ac:dyDescent="0.2">
      <c r="A3" s="19" t="s">
        <v>959</v>
      </c>
      <c r="B3" s="19" t="s">
        <v>960</v>
      </c>
      <c r="C3" s="19" t="s">
        <v>1071</v>
      </c>
      <c r="D3" s="20" t="s">
        <v>1072</v>
      </c>
      <c r="E3" s="20"/>
      <c r="F3" s="21"/>
      <c r="G3" s="21"/>
      <c r="H3" s="21"/>
      <c r="I3" s="21"/>
      <c r="J3" s="21"/>
      <c r="K3" s="21"/>
      <c r="L3" s="21"/>
      <c r="M3" s="21"/>
      <c r="N3" s="32"/>
      <c r="O3" s="22" t="s">
        <v>447</v>
      </c>
      <c r="P3" s="23">
        <v>3083.1099195710453</v>
      </c>
      <c r="Q3" s="34">
        <f t="shared" si="0"/>
        <v>2300</v>
      </c>
      <c r="R3" s="39"/>
      <c r="S3" s="39">
        <f>IF(O3="","",IF(O3="NA","",IF(O3="Mini disjuntor + DR",0.92,IF(O3="Mini disjuntor",0.92,IF(O3="Disjuntor Motor",0.92,IF(O3="Disjuntor C.M.",0.92,IF(O3="Disjuntor C.A.",0.92,IFERROR(VLOOKUP('Lista de Cargas'!P3,Motores!$B$9:$T$48,19,FALSE),"Erro"))))))))</f>
        <v>0.92</v>
      </c>
      <c r="T3" s="40">
        <f>IF(O3="","",IF(O3="NA","",IF(O3="Mini disjuntor + DR",100%,IF(O3="Mini disjuntor",100%,IF(O3="Disjuntor Motor",0.92,IF(O3="Disjuntor C.M.",100%,IF(O3="Disjuntor C.A.",100%,IFERROR(VLOOKUP('Lista de Cargas'!P3,Motores!$B$9:$T$48,16,FALSE)/100,"Erro"))))))))</f>
        <v>1</v>
      </c>
      <c r="U3" s="40" t="s">
        <v>445</v>
      </c>
      <c r="V3" s="39">
        <v>13800</v>
      </c>
      <c r="W3" s="2">
        <f t="shared" si="1"/>
        <v>104.59244007058439</v>
      </c>
      <c r="X3" s="2">
        <f t="shared" si="2"/>
        <v>2500</v>
      </c>
      <c r="Y3" s="2">
        <f t="shared" si="3"/>
        <v>104.59244007058439</v>
      </c>
      <c r="Z3" s="1"/>
      <c r="AA3" s="1"/>
      <c r="AB3" s="1">
        <v>20</v>
      </c>
      <c r="AC3" s="1"/>
      <c r="AD3" s="1"/>
      <c r="AE3" s="1"/>
      <c r="AF3" s="1"/>
      <c r="AG3" s="1">
        <f t="shared" si="4"/>
        <v>20</v>
      </c>
      <c r="AH3" s="1">
        <v>3</v>
      </c>
      <c r="AI3" s="1" t="s">
        <v>303</v>
      </c>
      <c r="AJ3" s="1">
        <f t="shared" si="5"/>
        <v>60</v>
      </c>
      <c r="AK3" s="1"/>
      <c r="AL3" s="1"/>
      <c r="AM3" s="1"/>
      <c r="AN3" s="1"/>
      <c r="AO3" s="1"/>
      <c r="AP3" s="1">
        <f t="shared" si="6"/>
        <v>0</v>
      </c>
      <c r="AQ3" s="1" t="s">
        <v>118</v>
      </c>
      <c r="AR3" s="1"/>
      <c r="AS3" s="1">
        <v>1</v>
      </c>
      <c r="AT3" s="1"/>
      <c r="AU3" s="1"/>
      <c r="AV3" s="17"/>
      <c r="AW3" s="2"/>
      <c r="AX3" s="2"/>
      <c r="AY3" s="2"/>
      <c r="AZ3" s="17"/>
      <c r="BA3" s="1"/>
      <c r="BB3" s="1"/>
      <c r="BC3" s="1"/>
      <c r="BD3" s="1"/>
      <c r="BE3" s="18"/>
      <c r="BF3" s="2"/>
      <c r="BG3" s="6"/>
      <c r="BH3" s="6"/>
    </row>
    <row r="4" spans="1:62" ht="12.75" hidden="1" customHeight="1" x14ac:dyDescent="0.2">
      <c r="A4" s="19" t="s">
        <v>959</v>
      </c>
      <c r="B4" s="19" t="s">
        <v>960</v>
      </c>
      <c r="C4" s="19" t="s">
        <v>1076</v>
      </c>
      <c r="D4" s="20" t="s">
        <v>1074</v>
      </c>
      <c r="E4" s="20"/>
      <c r="F4" s="21"/>
      <c r="G4" s="21"/>
      <c r="H4" s="21"/>
      <c r="I4" s="21"/>
      <c r="J4" s="21"/>
      <c r="K4" s="21"/>
      <c r="L4" s="21"/>
      <c r="M4" s="21"/>
      <c r="N4" s="32"/>
      <c r="O4" s="22" t="s">
        <v>447</v>
      </c>
      <c r="P4" s="23">
        <v>3083.1099195710453</v>
      </c>
      <c r="Q4" s="34">
        <f t="shared" si="0"/>
        <v>2300</v>
      </c>
      <c r="R4" s="39"/>
      <c r="S4" s="39">
        <f>IF(O4="","",IF(O4="NA","",IF(O4="Mini disjuntor + DR",0.92,IF(O4="Mini disjuntor",0.92,IF(O4="Disjuntor Motor",0.92,IF(O4="Disjuntor C.M.",0.92,IF(O4="Disjuntor C.A.",0.92,IFERROR(VLOOKUP('Lista de Cargas'!P4,Motores!$B$9:$T$48,19,FALSE),"Erro"))))))))</f>
        <v>0.92</v>
      </c>
      <c r="T4" s="40">
        <f>IF(O4="","",IF(O4="NA","",IF(O4="Mini disjuntor + DR",100%,IF(O4="Mini disjuntor",100%,IF(O4="Disjuntor Motor",0.92,IF(O4="Disjuntor C.M.",100%,IF(O4="Disjuntor C.A.",100%,IFERROR(VLOOKUP('Lista de Cargas'!P4,Motores!$B$9:$T$48,16,FALSE)/100,"Erro"))))))))</f>
        <v>1</v>
      </c>
      <c r="U4" s="40" t="s">
        <v>445</v>
      </c>
      <c r="V4" s="39">
        <v>13800</v>
      </c>
      <c r="W4" s="2">
        <f t="shared" si="1"/>
        <v>104.59244007058439</v>
      </c>
      <c r="X4" s="2">
        <f t="shared" si="2"/>
        <v>2500</v>
      </c>
      <c r="Y4" s="2">
        <f t="shared" si="3"/>
        <v>104.59244007058439</v>
      </c>
      <c r="Z4" s="1"/>
      <c r="AA4" s="1"/>
      <c r="AB4" s="1">
        <v>20</v>
      </c>
      <c r="AC4" s="1"/>
      <c r="AD4" s="1"/>
      <c r="AE4" s="1"/>
      <c r="AF4" s="1"/>
      <c r="AG4" s="1">
        <f t="shared" si="4"/>
        <v>20</v>
      </c>
      <c r="AH4" s="1">
        <v>3</v>
      </c>
      <c r="AI4" s="1" t="s">
        <v>303</v>
      </c>
      <c r="AJ4" s="1">
        <f t="shared" si="5"/>
        <v>60</v>
      </c>
      <c r="AK4" s="1">
        <v>0</v>
      </c>
      <c r="AL4" s="1" t="s">
        <v>118</v>
      </c>
      <c r="AM4" s="1"/>
      <c r="AN4" s="1">
        <v>1</v>
      </c>
      <c r="AO4" s="1" t="s">
        <v>1048</v>
      </c>
      <c r="AP4" s="1">
        <f t="shared" si="6"/>
        <v>20</v>
      </c>
      <c r="AQ4" s="1" t="s">
        <v>118</v>
      </c>
      <c r="AR4" s="1"/>
      <c r="AS4" s="1">
        <v>1</v>
      </c>
      <c r="AT4" s="1"/>
      <c r="AU4" s="1"/>
      <c r="AV4" s="17"/>
      <c r="AW4" s="2"/>
      <c r="AX4" s="2"/>
      <c r="AY4" s="2"/>
      <c r="AZ4" s="17"/>
      <c r="BA4" s="1"/>
      <c r="BB4" s="1"/>
      <c r="BC4" s="1"/>
      <c r="BD4" s="1"/>
      <c r="BE4" s="18"/>
      <c r="BF4" s="2"/>
      <c r="BG4" s="6"/>
      <c r="BH4" s="6"/>
    </row>
    <row r="5" spans="1:62" ht="12.75" hidden="1" customHeight="1" x14ac:dyDescent="0.2">
      <c r="A5" s="19" t="s">
        <v>959</v>
      </c>
      <c r="B5" s="19" t="s">
        <v>960</v>
      </c>
      <c r="C5" s="19" t="s">
        <v>1077</v>
      </c>
      <c r="D5" s="20" t="s">
        <v>1075</v>
      </c>
      <c r="E5" s="20"/>
      <c r="F5" s="21"/>
      <c r="G5" s="21"/>
      <c r="H5" s="21"/>
      <c r="I5" s="21"/>
      <c r="J5" s="21"/>
      <c r="K5" s="21"/>
      <c r="L5" s="21"/>
      <c r="M5" s="21"/>
      <c r="N5" s="32"/>
      <c r="O5" s="22" t="s">
        <v>447</v>
      </c>
      <c r="P5" s="23">
        <v>3083.1099195710453</v>
      </c>
      <c r="Q5" s="34">
        <f t="shared" si="0"/>
        <v>2300</v>
      </c>
      <c r="R5" s="39"/>
      <c r="S5" s="39">
        <f>IF(O5="","",IF(O5="NA","",IF(O5="Mini disjuntor + DR",0.92,IF(O5="Mini disjuntor",0.92,IF(O5="Disjuntor Motor",0.92,IF(O5="Disjuntor C.M.",0.92,IF(O5="Disjuntor C.A.",0.92,IFERROR(VLOOKUP('Lista de Cargas'!P5,Motores!$B$9:$T$48,19,FALSE),"Erro"))))))))</f>
        <v>0.92</v>
      </c>
      <c r="T5" s="40">
        <f>IF(O5="","",IF(O5="NA","",IF(O5="Mini disjuntor + DR",100%,IF(O5="Mini disjuntor",100%,IF(O5="Disjuntor Motor",0.92,IF(O5="Disjuntor C.M.",100%,IF(O5="Disjuntor C.A.",100%,IFERROR(VLOOKUP('Lista de Cargas'!P5,Motores!$B$9:$T$48,16,FALSE)/100,"Erro"))))))))</f>
        <v>1</v>
      </c>
      <c r="U5" s="40" t="s">
        <v>445</v>
      </c>
      <c r="V5" s="39">
        <v>13800</v>
      </c>
      <c r="W5" s="2">
        <f t="shared" si="1"/>
        <v>104.59244007058439</v>
      </c>
      <c r="X5" s="2">
        <f t="shared" si="2"/>
        <v>2500</v>
      </c>
      <c r="Y5" s="2">
        <f t="shared" si="3"/>
        <v>104.59244007058439</v>
      </c>
      <c r="Z5" s="1"/>
      <c r="AA5" s="1"/>
      <c r="AB5" s="1">
        <v>20</v>
      </c>
      <c r="AC5" s="1"/>
      <c r="AD5" s="1"/>
      <c r="AE5" s="1"/>
      <c r="AF5" s="1"/>
      <c r="AG5" s="1">
        <f t="shared" si="4"/>
        <v>20</v>
      </c>
      <c r="AH5" s="1">
        <v>3</v>
      </c>
      <c r="AI5" s="1" t="s">
        <v>303</v>
      </c>
      <c r="AJ5" s="1">
        <f t="shared" si="5"/>
        <v>60</v>
      </c>
      <c r="AK5" s="1">
        <v>0</v>
      </c>
      <c r="AL5" s="1" t="s">
        <v>118</v>
      </c>
      <c r="AM5" s="1"/>
      <c r="AN5" s="1">
        <v>1</v>
      </c>
      <c r="AO5" s="1" t="s">
        <v>1048</v>
      </c>
      <c r="AP5" s="1">
        <f t="shared" si="6"/>
        <v>20</v>
      </c>
      <c r="AQ5" s="1" t="s">
        <v>118</v>
      </c>
      <c r="AR5" s="1"/>
      <c r="AS5" s="1">
        <v>1</v>
      </c>
      <c r="AT5" s="1"/>
      <c r="AU5" s="1"/>
      <c r="AV5" s="17"/>
      <c r="AW5" s="2"/>
      <c r="AX5" s="2"/>
      <c r="AY5" s="2"/>
      <c r="AZ5" s="17"/>
      <c r="BA5" s="1"/>
      <c r="BB5" s="1"/>
      <c r="BC5" s="1"/>
      <c r="BD5" s="1"/>
      <c r="BE5" s="18"/>
      <c r="BF5" s="2"/>
      <c r="BG5" s="6"/>
      <c r="BH5" s="6"/>
    </row>
    <row r="6" spans="1:62" ht="12.75" hidden="1" customHeight="1" x14ac:dyDescent="0.2">
      <c r="A6" s="19" t="s">
        <v>961</v>
      </c>
      <c r="B6" s="19" t="s">
        <v>960</v>
      </c>
      <c r="C6" s="19" t="s">
        <v>1070</v>
      </c>
      <c r="D6" s="20" t="s">
        <v>1073</v>
      </c>
      <c r="E6" s="20"/>
      <c r="F6" s="21"/>
      <c r="G6" s="21"/>
      <c r="H6" s="21"/>
      <c r="I6" s="21"/>
      <c r="J6" s="21"/>
      <c r="K6" s="21"/>
      <c r="L6" s="21"/>
      <c r="M6" s="21"/>
      <c r="N6" s="32"/>
      <c r="O6" s="22" t="s">
        <v>447</v>
      </c>
      <c r="P6" s="23">
        <v>6166.2198391420916</v>
      </c>
      <c r="Q6" s="34">
        <f t="shared" si="0"/>
        <v>4600</v>
      </c>
      <c r="R6" s="39"/>
      <c r="S6" s="39">
        <f>IF(O6="","",IF(O6="NA","",IF(O6="Mini disjuntor + DR",0.92,IF(O6="Mini disjuntor",0.92,IF(O6="Disjuntor Motor",0.92,IF(O6="Disjuntor C.M.",0.92,IF(O6="Disjuntor C.A.",0.92,IFERROR(VLOOKUP('Lista de Cargas'!P6,Motores!$B$9:$T$48,19,FALSE),"Erro"))))))))</f>
        <v>0.92</v>
      </c>
      <c r="T6" s="40">
        <f>IF(O6="","",IF(O6="NA","",IF(O6="Mini disjuntor + DR",100%,IF(O6="Mini disjuntor",100%,IF(O6="Disjuntor Motor",0.92,IF(O6="Disjuntor C.M.",100%,IF(O6="Disjuntor C.A.",100%,IFERROR(VLOOKUP('Lista de Cargas'!P6,Motores!$B$9:$T$48,16,FALSE)/100,"Erro"))))))))</f>
        <v>1</v>
      </c>
      <c r="U6" s="40" t="s">
        <v>445</v>
      </c>
      <c r="V6" s="39">
        <v>13800</v>
      </c>
      <c r="W6" s="2">
        <f t="shared" si="1"/>
        <v>209.18488014116878</v>
      </c>
      <c r="X6" s="2">
        <f t="shared" si="2"/>
        <v>5000</v>
      </c>
      <c r="Y6" s="2">
        <f t="shared" si="3"/>
        <v>209.18488014116878</v>
      </c>
      <c r="Z6" s="1"/>
      <c r="AA6" s="1"/>
      <c r="AB6" s="1">
        <v>400</v>
      </c>
      <c r="AC6" s="1"/>
      <c r="AD6" s="1"/>
      <c r="AE6" s="1"/>
      <c r="AF6" s="1"/>
      <c r="AG6" s="1">
        <f t="shared" si="4"/>
        <v>400</v>
      </c>
      <c r="AH6" s="1">
        <v>3</v>
      </c>
      <c r="AI6" s="1" t="s">
        <v>303</v>
      </c>
      <c r="AJ6" s="1">
        <f t="shared" si="5"/>
        <v>1200</v>
      </c>
      <c r="AK6" s="1">
        <v>0</v>
      </c>
      <c r="AL6" s="1" t="s">
        <v>118</v>
      </c>
      <c r="AM6" s="1"/>
      <c r="AN6" s="1">
        <v>1</v>
      </c>
      <c r="AO6" s="1" t="s">
        <v>1048</v>
      </c>
      <c r="AP6" s="1">
        <f t="shared" si="6"/>
        <v>400</v>
      </c>
      <c r="AQ6" s="1" t="s">
        <v>118</v>
      </c>
      <c r="AR6" s="1"/>
      <c r="AS6" s="1">
        <v>1</v>
      </c>
      <c r="AT6" s="1"/>
      <c r="AU6" s="1"/>
      <c r="AV6" s="17"/>
      <c r="AW6" s="2"/>
      <c r="AX6" s="2"/>
      <c r="AY6" s="2"/>
      <c r="AZ6" s="17"/>
      <c r="BA6" s="1"/>
      <c r="BB6" s="1"/>
      <c r="BC6" s="1"/>
      <c r="BD6" s="1"/>
      <c r="BE6" s="18"/>
      <c r="BF6" s="2"/>
      <c r="BG6" s="6"/>
      <c r="BH6" s="6"/>
    </row>
    <row r="7" spans="1:62" ht="12.75" hidden="1" customHeight="1" x14ac:dyDescent="0.2">
      <c r="A7" s="19" t="s">
        <v>961</v>
      </c>
      <c r="B7" s="19" t="s">
        <v>960</v>
      </c>
      <c r="C7" s="19" t="s">
        <v>1071</v>
      </c>
      <c r="D7" s="20" t="s">
        <v>1072</v>
      </c>
      <c r="E7" s="20"/>
      <c r="F7" s="21"/>
      <c r="G7" s="21"/>
      <c r="H7" s="21"/>
      <c r="I7" s="21"/>
      <c r="J7" s="21"/>
      <c r="K7" s="21"/>
      <c r="L7" s="21"/>
      <c r="M7" s="21"/>
      <c r="N7" s="32"/>
      <c r="O7" s="22" t="s">
        <v>447</v>
      </c>
      <c r="P7" s="23">
        <v>3083.1099195710453</v>
      </c>
      <c r="Q7" s="34">
        <f t="shared" ref="Q7" si="7">P7*0.746</f>
        <v>2300</v>
      </c>
      <c r="R7" s="39"/>
      <c r="S7" s="39">
        <f>IF(O7="","",IF(O7="NA","",IF(O7="Mini disjuntor + DR",0.92,IF(O7="Mini disjuntor",0.92,IF(O7="Disjuntor Motor",0.92,IF(O7="Disjuntor C.M.",0.92,IF(O7="Disjuntor C.A.",0.92,IFERROR(VLOOKUP('Lista de Cargas'!P7,Motores!$B$9:$T$48,19,FALSE),"Erro"))))))))</f>
        <v>0.92</v>
      </c>
      <c r="T7" s="40">
        <f>IF(O7="","",IF(O7="NA","",IF(O7="Mini disjuntor + DR",100%,IF(O7="Mini disjuntor",100%,IF(O7="Disjuntor Motor",0.92,IF(O7="Disjuntor C.M.",100%,IF(O7="Disjuntor C.A.",100%,IFERROR(VLOOKUP('Lista de Cargas'!P7,Motores!$B$9:$T$48,16,FALSE)/100,"Erro"))))))))</f>
        <v>1</v>
      </c>
      <c r="U7" s="40" t="s">
        <v>445</v>
      </c>
      <c r="V7" s="39">
        <v>13800</v>
      </c>
      <c r="W7" s="2">
        <f t="shared" si="1"/>
        <v>104.59244007058439</v>
      </c>
      <c r="X7" s="2">
        <f t="shared" ref="X7" si="8">IFERROR(Q7/S7,0)</f>
        <v>2500</v>
      </c>
      <c r="Y7" s="2">
        <f t="shared" si="3"/>
        <v>104.59244007058439</v>
      </c>
      <c r="Z7" s="1"/>
      <c r="AA7" s="1"/>
      <c r="AB7" s="1">
        <v>20</v>
      </c>
      <c r="AC7" s="1"/>
      <c r="AD7" s="1"/>
      <c r="AE7" s="1"/>
      <c r="AF7" s="1"/>
      <c r="AG7" s="1">
        <f t="shared" ref="AG7" si="9">SUM(AB7:AF7)</f>
        <v>20</v>
      </c>
      <c r="AH7" s="1">
        <v>3</v>
      </c>
      <c r="AI7" s="1" t="s">
        <v>303</v>
      </c>
      <c r="AJ7" s="1">
        <f t="shared" ref="AJ7" si="10">$AG7*AH7*(1+$BJ$1)</f>
        <v>60</v>
      </c>
      <c r="AK7" s="1">
        <v>0</v>
      </c>
      <c r="AL7" s="1" t="s">
        <v>118</v>
      </c>
      <c r="AM7" s="1"/>
      <c r="AN7" s="1">
        <v>1</v>
      </c>
      <c r="AO7" s="1" t="s">
        <v>1047</v>
      </c>
      <c r="AP7" s="1">
        <f t="shared" ref="AP7" si="11">$AG7*AN7*(1+$BJ$1)</f>
        <v>20</v>
      </c>
      <c r="AQ7" s="1" t="s">
        <v>118</v>
      </c>
      <c r="AR7" s="1"/>
      <c r="AS7" s="1">
        <v>1</v>
      </c>
      <c r="AT7" s="1"/>
      <c r="AU7" s="1"/>
      <c r="AV7" s="17"/>
      <c r="AW7" s="2"/>
      <c r="AX7" s="2"/>
      <c r="AY7" s="2"/>
      <c r="AZ7" s="17"/>
      <c r="BA7" s="1"/>
      <c r="BB7" s="1"/>
      <c r="BC7" s="1"/>
      <c r="BD7" s="1"/>
      <c r="BE7" s="18"/>
      <c r="BF7" s="2"/>
      <c r="BG7" s="6"/>
      <c r="BH7" s="6"/>
    </row>
    <row r="8" spans="1:62" ht="12.75" hidden="1" customHeight="1" x14ac:dyDescent="0.2">
      <c r="A8" s="19" t="s">
        <v>961</v>
      </c>
      <c r="B8" s="19" t="s">
        <v>960</v>
      </c>
      <c r="C8" s="19" t="s">
        <v>1076</v>
      </c>
      <c r="D8" s="20" t="s">
        <v>1074</v>
      </c>
      <c r="E8" s="20"/>
      <c r="F8" s="21"/>
      <c r="G8" s="21"/>
      <c r="H8" s="21"/>
      <c r="I8" s="21"/>
      <c r="J8" s="21"/>
      <c r="K8" s="21"/>
      <c r="L8" s="21"/>
      <c r="M8" s="21"/>
      <c r="N8" s="32"/>
      <c r="O8" s="22" t="s">
        <v>447</v>
      </c>
      <c r="P8" s="23">
        <v>3083.1099195710453</v>
      </c>
      <c r="Q8" s="34">
        <f t="shared" si="0"/>
        <v>2300</v>
      </c>
      <c r="R8" s="39"/>
      <c r="S8" s="39">
        <f>IF(O8="","",IF(O8="NA","",IF(O8="Mini disjuntor + DR",0.92,IF(O8="Mini disjuntor",0.92,IF(O8="Disjuntor Motor",0.92,IF(O8="Disjuntor C.M.",0.92,IF(O8="Disjuntor C.A.",0.92,IFERROR(VLOOKUP('Lista de Cargas'!P8,Motores!$B$9:$T$48,19,FALSE),"Erro"))))))))</f>
        <v>0.92</v>
      </c>
      <c r="T8" s="40">
        <f>IF(O8="","",IF(O8="NA","",IF(O8="Mini disjuntor + DR",100%,IF(O8="Mini disjuntor",100%,IF(O8="Disjuntor Motor",0.92,IF(O8="Disjuntor C.M.",100%,IF(O8="Disjuntor C.A.",100%,IFERROR(VLOOKUP('Lista de Cargas'!P8,Motores!$B$9:$T$48,16,FALSE)/100,"Erro"))))))))</f>
        <v>1</v>
      </c>
      <c r="U8" s="40" t="s">
        <v>445</v>
      </c>
      <c r="V8" s="39">
        <v>13800</v>
      </c>
      <c r="W8" s="2">
        <f t="shared" si="1"/>
        <v>104.59244007058439</v>
      </c>
      <c r="X8" s="2">
        <f t="shared" si="2"/>
        <v>2500</v>
      </c>
      <c r="Y8" s="2">
        <f t="shared" si="3"/>
        <v>104.59244007058439</v>
      </c>
      <c r="Z8" s="1"/>
      <c r="AA8" s="1"/>
      <c r="AB8" s="1">
        <v>20</v>
      </c>
      <c r="AC8" s="1"/>
      <c r="AD8" s="1"/>
      <c r="AE8" s="1"/>
      <c r="AF8" s="1"/>
      <c r="AG8" s="1">
        <f t="shared" si="4"/>
        <v>20</v>
      </c>
      <c r="AH8" s="1">
        <v>3</v>
      </c>
      <c r="AI8" s="1" t="s">
        <v>303</v>
      </c>
      <c r="AJ8" s="1">
        <f t="shared" si="5"/>
        <v>60</v>
      </c>
      <c r="AK8" s="1">
        <v>0</v>
      </c>
      <c r="AL8" s="1" t="s">
        <v>118</v>
      </c>
      <c r="AM8" s="1"/>
      <c r="AN8" s="1">
        <v>1</v>
      </c>
      <c r="AO8" s="1" t="s">
        <v>1047</v>
      </c>
      <c r="AP8" s="1">
        <f t="shared" si="6"/>
        <v>20</v>
      </c>
      <c r="AQ8" s="1" t="s">
        <v>118</v>
      </c>
      <c r="AR8" s="1"/>
      <c r="AS8" s="1">
        <v>1</v>
      </c>
      <c r="AT8" s="1"/>
      <c r="AU8" s="1"/>
      <c r="AV8" s="17"/>
      <c r="AW8" s="2"/>
      <c r="AX8" s="2"/>
      <c r="AY8" s="2"/>
      <c r="AZ8" s="17"/>
      <c r="BA8" s="1"/>
      <c r="BB8" s="1"/>
      <c r="BC8" s="1"/>
      <c r="BD8" s="1"/>
      <c r="BE8" s="18"/>
      <c r="BF8" s="2"/>
      <c r="BG8" s="6"/>
      <c r="BH8" s="6"/>
    </row>
    <row r="9" spans="1:62" ht="12.75" hidden="1" customHeight="1" x14ac:dyDescent="0.2">
      <c r="A9" s="19" t="s">
        <v>1078</v>
      </c>
      <c r="B9" s="19" t="s">
        <v>960</v>
      </c>
      <c r="C9" s="19" t="s">
        <v>1079</v>
      </c>
      <c r="D9" s="20" t="s">
        <v>1080</v>
      </c>
      <c r="E9" s="20"/>
      <c r="F9" s="21"/>
      <c r="G9" s="21"/>
      <c r="H9" s="21"/>
      <c r="I9" s="21"/>
      <c r="J9" s="21"/>
      <c r="K9" s="21"/>
      <c r="L9" s="21"/>
      <c r="M9" s="21"/>
      <c r="N9" s="32"/>
      <c r="O9" s="22" t="s">
        <v>447</v>
      </c>
      <c r="P9" s="23">
        <v>3083.1099195710453</v>
      </c>
      <c r="Q9" s="34">
        <f t="shared" ref="Q9" si="12">P9*0.746</f>
        <v>2300</v>
      </c>
      <c r="R9" s="39"/>
      <c r="S9" s="39">
        <f>IF(O9="","",IF(O9="NA","",IF(O9="Mini disjuntor + DR",0.92,IF(O9="Mini disjuntor",0.92,IF(O9="Disjuntor Motor",0.92,IF(O9="Disjuntor C.M.",0.92,IF(O9="Disjuntor C.A.",0.92,IFERROR(VLOOKUP('Lista de Cargas'!P9,Motores!$B$9:$T$48,19,FALSE),"Erro"))))))))</f>
        <v>0.92</v>
      </c>
      <c r="T9" s="40">
        <f>IF(O9="","",IF(O9="NA","",IF(O9="Mini disjuntor + DR",100%,IF(O9="Mini disjuntor",100%,IF(O9="Disjuntor Motor",0.92,IF(O9="Disjuntor C.M.",100%,IF(O9="Disjuntor C.A.",100%,IFERROR(VLOOKUP('Lista de Cargas'!P9,Motores!$B$9:$T$48,16,FALSE)/100,"Erro"))))))))</f>
        <v>1</v>
      </c>
      <c r="U9" s="40" t="s">
        <v>445</v>
      </c>
      <c r="V9" s="39">
        <v>13800</v>
      </c>
      <c r="W9" s="2">
        <f t="shared" si="1"/>
        <v>104.59244007058439</v>
      </c>
      <c r="X9" s="2">
        <f t="shared" ref="X9" si="13">IFERROR(Q9/S9,0)</f>
        <v>2500</v>
      </c>
      <c r="Y9" s="2">
        <f t="shared" si="3"/>
        <v>104.59244007058439</v>
      </c>
      <c r="Z9" s="1"/>
      <c r="AA9" s="1"/>
      <c r="AB9" s="1">
        <v>50</v>
      </c>
      <c r="AC9" s="1"/>
      <c r="AD9" s="1"/>
      <c r="AE9" s="1"/>
      <c r="AF9" s="1"/>
      <c r="AG9" s="1">
        <f t="shared" ref="AG9" si="14">SUM(AB9:AF9)</f>
        <v>50</v>
      </c>
      <c r="AH9" s="1">
        <v>3</v>
      </c>
      <c r="AI9" s="1" t="s">
        <v>303</v>
      </c>
      <c r="AJ9" s="1">
        <f t="shared" ref="AJ9" si="15">$AG9*AH9*(1+$BJ$1)</f>
        <v>150</v>
      </c>
      <c r="AK9" s="1">
        <v>0</v>
      </c>
      <c r="AL9" s="1" t="s">
        <v>118</v>
      </c>
      <c r="AM9" s="1"/>
      <c r="AN9" s="1">
        <v>1</v>
      </c>
      <c r="AO9" s="1" t="s">
        <v>1048</v>
      </c>
      <c r="AP9" s="1">
        <f t="shared" ref="AP9" si="16">$AG9*AN9*(1+$BJ$1)</f>
        <v>50</v>
      </c>
      <c r="AQ9" s="1" t="s">
        <v>118</v>
      </c>
      <c r="AR9" s="1"/>
      <c r="AS9" s="1">
        <v>1</v>
      </c>
      <c r="AT9" s="1"/>
      <c r="AU9" s="1"/>
      <c r="AV9" s="17"/>
      <c r="AW9" s="2"/>
      <c r="AX9" s="2"/>
      <c r="AY9" s="2"/>
      <c r="AZ9" s="17"/>
      <c r="BA9" s="1"/>
      <c r="BB9" s="1"/>
      <c r="BC9" s="1"/>
      <c r="BD9" s="1"/>
      <c r="BE9" s="18"/>
      <c r="BF9" s="2"/>
      <c r="BG9" s="6"/>
      <c r="BH9" s="6"/>
    </row>
    <row r="10" spans="1:62" ht="12.75" hidden="1" customHeight="1" x14ac:dyDescent="0.2">
      <c r="A10" s="19" t="s">
        <v>959</v>
      </c>
      <c r="B10" s="19" t="s">
        <v>960</v>
      </c>
      <c r="C10" s="19" t="s">
        <v>962</v>
      </c>
      <c r="D10" s="20" t="s">
        <v>965</v>
      </c>
      <c r="E10" s="20"/>
      <c r="F10" s="21"/>
      <c r="G10" s="21"/>
      <c r="H10" s="21"/>
      <c r="I10" s="21"/>
      <c r="J10" s="21"/>
      <c r="K10" s="21"/>
      <c r="L10" s="21"/>
      <c r="M10" s="21"/>
      <c r="N10" s="32"/>
      <c r="O10" s="22" t="s">
        <v>447</v>
      </c>
      <c r="P10" s="23">
        <v>3007.5460242525751</v>
      </c>
      <c r="Q10" s="34">
        <f t="shared" ref="Q10:Q47" si="17">P10*0.746</f>
        <v>2243.6293340924208</v>
      </c>
      <c r="R10" s="39"/>
      <c r="S10" s="39">
        <f>IF(O10="","",IF(O10="NA","",IF(O10="Mini disjuntor + DR",0.92,IF(O10="Mini disjuntor",0.92,IF(O10="Disjuntor Motor",0.92,IF(O10="Disjuntor C.M.",0.92,IF(O10="Disjuntor C.A.",0.92,IFERROR(VLOOKUP('Lista de Cargas'!P10,Motores!$B$9:$T$48,19,FALSE),"Erro"))))))))</f>
        <v>0.92</v>
      </c>
      <c r="T10" s="40">
        <f>IF(O10="","",IF(O10="NA","",IF(O10="Mini disjuntor + DR",100%,IF(O10="Mini disjuntor",100%,IF(O10="Disjuntor Motor",0.92,IF(O10="Disjuntor C.M.",100%,IF(O10="Disjuntor C.A.",100%,IFERROR(VLOOKUP('Lista de Cargas'!P10,Motores!$B$9:$T$48,16,FALSE)/100,"Erro"))))))))</f>
        <v>1</v>
      </c>
      <c r="U10" s="40" t="s">
        <v>445</v>
      </c>
      <c r="V10" s="39">
        <v>440</v>
      </c>
      <c r="W10" s="2">
        <f t="shared" si="1"/>
        <v>3200.0000000000005</v>
      </c>
      <c r="X10" s="2">
        <f t="shared" ref="X10:X36" si="18">IFERROR(Q10/S10,0)</f>
        <v>2438.7275370569791</v>
      </c>
      <c r="Y10" s="2">
        <f t="shared" si="3"/>
        <v>3200.0000000000005</v>
      </c>
      <c r="Z10" s="1"/>
      <c r="AA10" s="1"/>
      <c r="AB10" s="1">
        <v>20</v>
      </c>
      <c r="AC10" s="1"/>
      <c r="AD10" s="1"/>
      <c r="AE10" s="1"/>
      <c r="AF10" s="1"/>
      <c r="AG10" s="1">
        <f t="shared" ref="AG10:AG47" si="19">SUM(AB10:AF10)</f>
        <v>20</v>
      </c>
      <c r="AH10" s="1">
        <v>21</v>
      </c>
      <c r="AI10" s="1" t="s">
        <v>1046</v>
      </c>
      <c r="AJ10" s="1">
        <f t="shared" ref="AJ10:AJ47" si="20">$AG10*AH10*(1+$BJ$1)</f>
        <v>420</v>
      </c>
      <c r="AK10" s="1">
        <v>0</v>
      </c>
      <c r="AL10" s="1" t="s">
        <v>118</v>
      </c>
      <c r="AM10" s="1"/>
      <c r="AN10" s="1">
        <v>4</v>
      </c>
      <c r="AO10" s="1" t="s">
        <v>1047</v>
      </c>
      <c r="AP10" s="1">
        <f t="shared" ref="AP10:AP47" si="21">$AG10*AN10*(1+$BJ$1)</f>
        <v>80</v>
      </c>
      <c r="AQ10" s="1" t="s">
        <v>118</v>
      </c>
      <c r="AR10" s="1"/>
      <c r="AS10" s="1">
        <v>1</v>
      </c>
      <c r="AT10" s="1"/>
      <c r="AU10" s="1"/>
      <c r="AV10" s="17"/>
      <c r="AW10" s="2"/>
      <c r="AX10" s="2"/>
      <c r="AY10" s="2"/>
      <c r="AZ10" s="17"/>
      <c r="BA10" s="1"/>
      <c r="BB10" s="1"/>
      <c r="BC10" s="1"/>
      <c r="BD10" s="1"/>
      <c r="BE10" s="18"/>
      <c r="BF10" s="2"/>
      <c r="BG10" s="6"/>
      <c r="BH10" s="6"/>
    </row>
    <row r="11" spans="1:62" ht="12.75" hidden="1" customHeight="1" x14ac:dyDescent="0.2">
      <c r="A11" s="19" t="s">
        <v>959</v>
      </c>
      <c r="B11" s="19" t="s">
        <v>960</v>
      </c>
      <c r="C11" s="19" t="s">
        <v>963</v>
      </c>
      <c r="D11" s="20" t="s">
        <v>964</v>
      </c>
      <c r="E11" s="20"/>
      <c r="F11" s="21"/>
      <c r="G11" s="21"/>
      <c r="H11" s="21"/>
      <c r="I11" s="21"/>
      <c r="J11" s="21"/>
      <c r="K11" s="21"/>
      <c r="L11" s="21"/>
      <c r="M11" s="21"/>
      <c r="N11" s="32"/>
      <c r="O11" s="22" t="s">
        <v>448</v>
      </c>
      <c r="P11" s="23">
        <v>499.72256909221687</v>
      </c>
      <c r="Q11" s="34">
        <f t="shared" si="17"/>
        <v>372.7930365427938</v>
      </c>
      <c r="R11" s="39"/>
      <c r="S11" s="39">
        <f>IF(O11="","",IF(O11="NA","",IF(O11="Mini disjuntor + DR",0.92,IF(O11="Mini disjuntor",0.92,IF(O11="Disjuntor Motor",0.92,IF(O11="Disjuntor C.M.",0.92,IF(O11="Disjuntor C.A.",0.92,IFERROR(VLOOKUP('Lista de Cargas'!P11,Motores!$B$9:$T$48,19,FALSE),"Erro"))))))))</f>
        <v>0.92</v>
      </c>
      <c r="T11" s="40">
        <f>IF(O11="","",IF(O11="NA","",IF(O11="Mini disjuntor + DR",100%,IF(O11="Mini disjuntor",100%,IF(O11="Disjuntor Motor",0.92,IF(O11="Disjuntor C.M.",100%,IF(O11="Disjuntor C.A.",100%,IFERROR(VLOOKUP('Lista de Cargas'!P11,Motores!$B$9:$T$48,16,FALSE)/100,"Erro"))))))))</f>
        <v>1</v>
      </c>
      <c r="U11" s="40" t="s">
        <v>445</v>
      </c>
      <c r="V11" s="39">
        <v>440</v>
      </c>
      <c r="W11" s="2">
        <f t="shared" si="1"/>
        <v>531.70000000000005</v>
      </c>
      <c r="X11" s="2">
        <f t="shared" si="18"/>
        <v>405.20982232912365</v>
      </c>
      <c r="Y11" s="2">
        <f t="shared" si="3"/>
        <v>531.70000000000005</v>
      </c>
      <c r="Z11" s="1"/>
      <c r="AA11" s="1"/>
      <c r="AB11" s="1">
        <v>0</v>
      </c>
      <c r="AC11" s="1"/>
      <c r="AD11" s="1"/>
      <c r="AE11" s="1"/>
      <c r="AF11" s="1"/>
      <c r="AG11" s="1">
        <f t="shared" si="19"/>
        <v>0</v>
      </c>
      <c r="AH11" s="1"/>
      <c r="AI11" s="1"/>
      <c r="AJ11" s="1">
        <f t="shared" si="20"/>
        <v>0</v>
      </c>
      <c r="AK11" s="1"/>
      <c r="AL11" s="1"/>
      <c r="AM11" s="1"/>
      <c r="AN11" s="1"/>
      <c r="AO11" s="1"/>
      <c r="AP11" s="1">
        <f t="shared" si="21"/>
        <v>0</v>
      </c>
      <c r="AQ11" s="1" t="s">
        <v>118</v>
      </c>
      <c r="AR11" s="1"/>
      <c r="AS11" s="1">
        <v>1</v>
      </c>
      <c r="AT11" s="1"/>
      <c r="AU11" s="1"/>
      <c r="AV11" s="17"/>
      <c r="AW11" s="2"/>
      <c r="AX11" s="2"/>
      <c r="AY11" s="2"/>
      <c r="AZ11" s="17"/>
      <c r="BA11" s="1"/>
      <c r="BB11" s="1"/>
      <c r="BC11" s="1"/>
      <c r="BD11" s="1"/>
      <c r="BE11" s="18"/>
      <c r="BF11" s="2"/>
      <c r="BG11" s="6"/>
      <c r="BH11" s="6"/>
    </row>
    <row r="12" spans="1:62" ht="12.75" hidden="1" customHeight="1" x14ac:dyDescent="0.2">
      <c r="A12" s="19" t="s">
        <v>959</v>
      </c>
      <c r="B12" s="19" t="s">
        <v>960</v>
      </c>
      <c r="C12" s="19" t="s">
        <v>966</v>
      </c>
      <c r="D12" s="20" t="s">
        <v>967</v>
      </c>
      <c r="E12" s="20"/>
      <c r="F12" s="21"/>
      <c r="G12" s="21"/>
      <c r="H12" s="21"/>
      <c r="I12" s="21"/>
      <c r="J12" s="21"/>
      <c r="K12" s="21"/>
      <c r="L12" s="21"/>
      <c r="M12" s="21"/>
      <c r="N12" s="32"/>
      <c r="O12" s="22" t="s">
        <v>448</v>
      </c>
      <c r="P12" s="23">
        <v>555.83209960717898</v>
      </c>
      <c r="Q12" s="34">
        <f t="shared" si="17"/>
        <v>414.65074630695551</v>
      </c>
      <c r="R12" s="39"/>
      <c r="S12" s="39">
        <f>IF(O12="","",IF(O12="NA","",IF(O12="Mini disjuntor + DR",0.92,IF(O12="Mini disjuntor",0.92,IF(O12="Disjuntor Motor",0.92,IF(O12="Disjuntor C.M.",0.92,IF(O12="Disjuntor C.A.",0.92,IFERROR(VLOOKUP('Lista de Cargas'!P12,Motores!$B$9:$T$48,19,FALSE),"Erro"))))))))</f>
        <v>0.92</v>
      </c>
      <c r="T12" s="40">
        <f>IF(O12="","",IF(O12="NA","",IF(O12="Mini disjuntor + DR",100%,IF(O12="Mini disjuntor",100%,IF(O12="Disjuntor Motor",0.92,IF(O12="Disjuntor C.M.",100%,IF(O12="Disjuntor C.A.",100%,IFERROR(VLOOKUP('Lista de Cargas'!P12,Motores!$B$9:$T$48,16,FALSE)/100,"Erro"))))))))</f>
        <v>1</v>
      </c>
      <c r="U12" s="40" t="s">
        <v>445</v>
      </c>
      <c r="V12" s="39">
        <v>440</v>
      </c>
      <c r="W12" s="2">
        <f t="shared" si="1"/>
        <v>591.40000000000009</v>
      </c>
      <c r="X12" s="2">
        <f t="shared" si="18"/>
        <v>450.70733294234293</v>
      </c>
      <c r="Y12" s="2">
        <f t="shared" si="3"/>
        <v>591.40000000000009</v>
      </c>
      <c r="Z12" s="1"/>
      <c r="AA12" s="1"/>
      <c r="AB12" s="1">
        <v>20</v>
      </c>
      <c r="AC12" s="1"/>
      <c r="AD12" s="1"/>
      <c r="AE12" s="1"/>
      <c r="AF12" s="1"/>
      <c r="AG12" s="1">
        <f t="shared" si="19"/>
        <v>20</v>
      </c>
      <c r="AH12" s="1">
        <v>3</v>
      </c>
      <c r="AI12" s="1" t="s">
        <v>1046</v>
      </c>
      <c r="AJ12" s="1">
        <f t="shared" si="20"/>
        <v>60</v>
      </c>
      <c r="AK12" s="1">
        <v>0</v>
      </c>
      <c r="AL12" s="1" t="s">
        <v>118</v>
      </c>
      <c r="AM12" s="1"/>
      <c r="AN12" s="1">
        <v>1</v>
      </c>
      <c r="AO12" s="1" t="s">
        <v>1048</v>
      </c>
      <c r="AP12" s="1">
        <f t="shared" si="21"/>
        <v>20</v>
      </c>
      <c r="AQ12" s="1" t="s">
        <v>118</v>
      </c>
      <c r="AR12" s="1"/>
      <c r="AS12" s="1">
        <v>1</v>
      </c>
      <c r="AT12" s="1"/>
      <c r="AU12" s="1"/>
      <c r="AV12" s="17"/>
      <c r="AW12" s="2"/>
      <c r="AX12" s="2"/>
      <c r="AY12" s="2"/>
      <c r="AZ12" s="17"/>
      <c r="BA12" s="1"/>
      <c r="BB12" s="1"/>
      <c r="BC12" s="1"/>
      <c r="BD12" s="1"/>
      <c r="BE12" s="18"/>
      <c r="BF12" s="2"/>
      <c r="BG12" s="6"/>
      <c r="BH12" s="6"/>
    </row>
    <row r="13" spans="1:62" ht="12.75" hidden="1" customHeight="1" x14ac:dyDescent="0.2">
      <c r="A13" s="19" t="s">
        <v>959</v>
      </c>
      <c r="B13" s="19" t="s">
        <v>960</v>
      </c>
      <c r="C13" s="19" t="s">
        <v>968</v>
      </c>
      <c r="D13" s="20" t="s">
        <v>970</v>
      </c>
      <c r="E13" s="20"/>
      <c r="F13" s="21"/>
      <c r="G13" s="21"/>
      <c r="H13" s="21"/>
      <c r="I13" s="21"/>
      <c r="J13" s="21"/>
      <c r="K13" s="21"/>
      <c r="L13" s="21"/>
      <c r="M13" s="21"/>
      <c r="N13" s="32"/>
      <c r="O13" s="22" t="s">
        <v>448</v>
      </c>
      <c r="P13" s="23">
        <v>555.83209960717898</v>
      </c>
      <c r="Q13" s="34">
        <f t="shared" si="17"/>
        <v>414.65074630695551</v>
      </c>
      <c r="R13" s="39"/>
      <c r="S13" s="39">
        <f>IF(O13="","",IF(O13="NA","",IF(O13="Mini disjuntor + DR",0.92,IF(O13="Mini disjuntor",0.92,IF(O13="Disjuntor Motor",0.92,IF(O13="Disjuntor C.M.",0.92,IF(O13="Disjuntor C.A.",0.92,IFERROR(VLOOKUP('Lista de Cargas'!P13,Motores!$B$9:$T$48,19,FALSE),"Erro"))))))))</f>
        <v>0.92</v>
      </c>
      <c r="T13" s="40">
        <f>IF(O13="","",IF(O13="NA","",IF(O13="Mini disjuntor + DR",100%,IF(O13="Mini disjuntor",100%,IF(O13="Disjuntor Motor",0.92,IF(O13="Disjuntor C.M.",100%,IF(O13="Disjuntor C.A.",100%,IFERROR(VLOOKUP('Lista de Cargas'!P13,Motores!$B$9:$T$48,16,FALSE)/100,"Erro"))))))))</f>
        <v>1</v>
      </c>
      <c r="U13" s="40" t="s">
        <v>445</v>
      </c>
      <c r="V13" s="39">
        <v>440</v>
      </c>
      <c r="W13" s="2">
        <f t="shared" si="1"/>
        <v>591.40000000000009</v>
      </c>
      <c r="X13" s="2">
        <f t="shared" si="18"/>
        <v>450.70733294234293</v>
      </c>
      <c r="Y13" s="2">
        <f t="shared" si="3"/>
        <v>591.40000000000009</v>
      </c>
      <c r="Z13" s="1"/>
      <c r="AA13" s="1"/>
      <c r="AB13" s="1">
        <v>20</v>
      </c>
      <c r="AC13" s="1"/>
      <c r="AD13" s="1"/>
      <c r="AE13" s="1"/>
      <c r="AF13" s="1"/>
      <c r="AG13" s="1">
        <f t="shared" si="19"/>
        <v>20</v>
      </c>
      <c r="AH13" s="1">
        <v>3</v>
      </c>
      <c r="AI13" s="1" t="s">
        <v>1046</v>
      </c>
      <c r="AJ13" s="1">
        <f t="shared" si="20"/>
        <v>60</v>
      </c>
      <c r="AK13" s="1">
        <v>0</v>
      </c>
      <c r="AL13" s="1" t="s">
        <v>118</v>
      </c>
      <c r="AM13" s="1"/>
      <c r="AN13" s="1">
        <v>1</v>
      </c>
      <c r="AO13" s="1" t="s">
        <v>1048</v>
      </c>
      <c r="AP13" s="1">
        <f t="shared" si="21"/>
        <v>20</v>
      </c>
      <c r="AQ13" s="1" t="s">
        <v>118</v>
      </c>
      <c r="AR13" s="1"/>
      <c r="AS13" s="1">
        <v>1</v>
      </c>
      <c r="AT13" s="1"/>
      <c r="AU13" s="1"/>
      <c r="AV13" s="17"/>
      <c r="AW13" s="2"/>
      <c r="AX13" s="2"/>
      <c r="AY13" s="2"/>
      <c r="AZ13" s="17"/>
      <c r="BA13" s="1"/>
      <c r="BB13" s="1"/>
      <c r="BC13" s="1"/>
      <c r="BD13" s="1"/>
      <c r="BE13" s="18"/>
      <c r="BF13" s="2"/>
      <c r="BG13" s="6"/>
      <c r="BH13" s="6"/>
    </row>
    <row r="14" spans="1:62" ht="12.75" hidden="1" customHeight="1" x14ac:dyDescent="0.2">
      <c r="A14" s="19" t="s">
        <v>959</v>
      </c>
      <c r="B14" s="19" t="s">
        <v>960</v>
      </c>
      <c r="C14" s="19" t="s">
        <v>969</v>
      </c>
      <c r="D14" s="20" t="s">
        <v>971</v>
      </c>
      <c r="E14" s="20"/>
      <c r="F14" s="21"/>
      <c r="G14" s="21"/>
      <c r="H14" s="21"/>
      <c r="I14" s="21"/>
      <c r="J14" s="21"/>
      <c r="K14" s="21"/>
      <c r="L14" s="21"/>
      <c r="M14" s="21"/>
      <c r="N14" s="32"/>
      <c r="O14" s="22" t="s">
        <v>448</v>
      </c>
      <c r="P14" s="23">
        <v>555.83209960717898</v>
      </c>
      <c r="Q14" s="34">
        <f t="shared" si="17"/>
        <v>414.65074630695551</v>
      </c>
      <c r="R14" s="39"/>
      <c r="S14" s="39">
        <f>IF(O14="","",IF(O14="NA","",IF(O14="Mini disjuntor + DR",0.92,IF(O14="Mini disjuntor",0.92,IF(O14="Disjuntor Motor",0.92,IF(O14="Disjuntor C.M.",0.92,IF(O14="Disjuntor C.A.",0.92,IFERROR(VLOOKUP('Lista de Cargas'!P14,Motores!$B$9:$T$48,19,FALSE),"Erro"))))))))</f>
        <v>0.92</v>
      </c>
      <c r="T14" s="40">
        <f>IF(O14="","",IF(O14="NA","",IF(O14="Mini disjuntor + DR",100%,IF(O14="Mini disjuntor",100%,IF(O14="Disjuntor Motor",0.92,IF(O14="Disjuntor C.M.",100%,IF(O14="Disjuntor C.A.",100%,IFERROR(VLOOKUP('Lista de Cargas'!P14,Motores!$B$9:$T$48,16,FALSE)/100,"Erro"))))))))</f>
        <v>1</v>
      </c>
      <c r="U14" s="40" t="s">
        <v>445</v>
      </c>
      <c r="V14" s="39">
        <v>440</v>
      </c>
      <c r="W14" s="2">
        <f t="shared" si="1"/>
        <v>591.40000000000009</v>
      </c>
      <c r="X14" s="2">
        <f t="shared" si="18"/>
        <v>450.70733294234293</v>
      </c>
      <c r="Y14" s="2">
        <f t="shared" si="3"/>
        <v>591.40000000000009</v>
      </c>
      <c r="Z14" s="1"/>
      <c r="AA14" s="1"/>
      <c r="AB14" s="1">
        <v>20</v>
      </c>
      <c r="AC14" s="1"/>
      <c r="AD14" s="1"/>
      <c r="AE14" s="1"/>
      <c r="AF14" s="1"/>
      <c r="AG14" s="1">
        <f t="shared" si="19"/>
        <v>20</v>
      </c>
      <c r="AH14" s="1">
        <v>3</v>
      </c>
      <c r="AI14" s="1" t="s">
        <v>1046</v>
      </c>
      <c r="AJ14" s="1">
        <f t="shared" si="20"/>
        <v>60</v>
      </c>
      <c r="AK14" s="1">
        <v>0</v>
      </c>
      <c r="AL14" s="1" t="s">
        <v>118</v>
      </c>
      <c r="AM14" s="1"/>
      <c r="AN14" s="1">
        <v>1</v>
      </c>
      <c r="AO14" s="1" t="s">
        <v>1048</v>
      </c>
      <c r="AP14" s="1">
        <f t="shared" si="21"/>
        <v>20</v>
      </c>
      <c r="AQ14" s="1" t="s">
        <v>118</v>
      </c>
      <c r="AR14" s="1"/>
      <c r="AS14" s="1">
        <v>1</v>
      </c>
      <c r="AT14" s="1"/>
      <c r="AU14" s="1"/>
      <c r="AV14" s="17"/>
      <c r="AW14" s="2"/>
      <c r="AX14" s="2"/>
      <c r="AY14" s="2"/>
      <c r="AZ14" s="17"/>
      <c r="BA14" s="1"/>
      <c r="BB14" s="1"/>
      <c r="BC14" s="1"/>
      <c r="BD14" s="1"/>
      <c r="BE14" s="18"/>
      <c r="BF14" s="2"/>
      <c r="BG14" s="6"/>
      <c r="BH14" s="6"/>
    </row>
    <row r="15" spans="1:62" ht="12.75" hidden="1" customHeight="1" x14ac:dyDescent="0.2">
      <c r="A15" s="19" t="s">
        <v>959</v>
      </c>
      <c r="B15" s="19" t="s">
        <v>960</v>
      </c>
      <c r="C15" s="19" t="s">
        <v>972</v>
      </c>
      <c r="D15" s="20" t="s">
        <v>973</v>
      </c>
      <c r="E15" s="20"/>
      <c r="F15" s="21"/>
      <c r="G15" s="21"/>
      <c r="H15" s="21"/>
      <c r="I15" s="21"/>
      <c r="J15" s="21"/>
      <c r="K15" s="21"/>
      <c r="L15" s="21"/>
      <c r="M15" s="21"/>
      <c r="N15" s="32"/>
      <c r="O15" s="22" t="s">
        <v>448</v>
      </c>
      <c r="P15" s="23">
        <v>925.9482322167612</v>
      </c>
      <c r="Q15" s="34">
        <f t="shared" si="17"/>
        <v>690.75738123370388</v>
      </c>
      <c r="R15" s="39"/>
      <c r="S15" s="39">
        <f>IF(O15="","",IF(O15="NA","",IF(O15="Mini disjuntor + DR",0.92,IF(O15="Mini disjuntor",0.92,IF(O15="Disjuntor Motor",0.92,IF(O15="Disjuntor C.M.",0.92,IF(O15="Disjuntor C.A.",0.92,IFERROR(VLOOKUP('Lista de Cargas'!P15,Motores!$B$9:$T$48,19,FALSE),"Erro"))))))))</f>
        <v>0.92</v>
      </c>
      <c r="T15" s="40">
        <f>IF(O15="","",IF(O15="NA","",IF(O15="Mini disjuntor + DR",100%,IF(O15="Mini disjuntor",100%,IF(O15="Disjuntor Motor",0.92,IF(O15="Disjuntor C.M.",100%,IF(O15="Disjuntor C.A.",100%,IFERROR(VLOOKUP('Lista de Cargas'!P15,Motores!$B$9:$T$48,16,FALSE)/100,"Erro"))))))))</f>
        <v>1</v>
      </c>
      <c r="U15" s="40" t="s">
        <v>445</v>
      </c>
      <c r="V15" s="39">
        <v>440</v>
      </c>
      <c r="W15" s="2">
        <f t="shared" si="1"/>
        <v>985.1999999999997</v>
      </c>
      <c r="X15" s="2">
        <f t="shared" si="18"/>
        <v>750.82324047141719</v>
      </c>
      <c r="Y15" s="2">
        <f t="shared" si="3"/>
        <v>985.1999999999997</v>
      </c>
      <c r="Z15" s="1"/>
      <c r="AA15" s="1"/>
      <c r="AB15" s="1">
        <v>20</v>
      </c>
      <c r="AC15" s="1"/>
      <c r="AD15" s="1"/>
      <c r="AE15" s="1"/>
      <c r="AF15" s="1"/>
      <c r="AG15" s="1">
        <f t="shared" si="19"/>
        <v>20</v>
      </c>
      <c r="AH15" s="1">
        <v>6</v>
      </c>
      <c r="AI15" s="1" t="s">
        <v>1046</v>
      </c>
      <c r="AJ15" s="1">
        <f t="shared" si="20"/>
        <v>120</v>
      </c>
      <c r="AK15" s="1">
        <v>0</v>
      </c>
      <c r="AL15" s="1" t="s">
        <v>118</v>
      </c>
      <c r="AM15" s="1"/>
      <c r="AN15" s="1">
        <v>1</v>
      </c>
      <c r="AO15" s="1" t="s">
        <v>1047</v>
      </c>
      <c r="AP15" s="1">
        <f t="shared" si="21"/>
        <v>20</v>
      </c>
      <c r="AQ15" s="1" t="s">
        <v>118</v>
      </c>
      <c r="AR15" s="1"/>
      <c r="AS15" s="1">
        <v>1</v>
      </c>
      <c r="AT15" s="1"/>
      <c r="AU15" s="1"/>
      <c r="AV15" s="17"/>
      <c r="AW15" s="2"/>
      <c r="AX15" s="2"/>
      <c r="AY15" s="2"/>
      <c r="AZ15" s="17"/>
      <c r="BA15" s="1"/>
      <c r="BB15" s="1"/>
      <c r="BC15" s="1"/>
      <c r="BD15" s="1"/>
      <c r="BE15" s="18"/>
      <c r="BF15" s="2"/>
      <c r="BG15" s="6"/>
      <c r="BH15" s="6"/>
    </row>
    <row r="16" spans="1:62" ht="12.75" hidden="1" customHeight="1" x14ac:dyDescent="0.2">
      <c r="A16" s="19" t="s">
        <v>959</v>
      </c>
      <c r="B16" s="19" t="s">
        <v>974</v>
      </c>
      <c r="C16" s="19" t="s">
        <v>962</v>
      </c>
      <c r="D16" s="20" t="s">
        <v>965</v>
      </c>
      <c r="E16" s="20"/>
      <c r="F16" s="21"/>
      <c r="G16" s="21"/>
      <c r="H16" s="21"/>
      <c r="I16" s="21"/>
      <c r="J16" s="21"/>
      <c r="K16" s="21"/>
      <c r="L16" s="21"/>
      <c r="M16" s="21"/>
      <c r="N16" s="32"/>
      <c r="O16" s="22" t="s">
        <v>447</v>
      </c>
      <c r="P16" s="23">
        <v>3007.5460242525751</v>
      </c>
      <c r="Q16" s="34">
        <f t="shared" si="17"/>
        <v>2243.6293340924208</v>
      </c>
      <c r="R16" s="39"/>
      <c r="S16" s="39">
        <f>IF(O16="","",IF(O16="NA","",IF(O16="Mini disjuntor + DR",0.92,IF(O16="Mini disjuntor",0.92,IF(O16="Disjuntor Motor",0.92,IF(O16="Disjuntor C.M.",0.92,IF(O16="Disjuntor C.A.",0.92,IFERROR(VLOOKUP('Lista de Cargas'!P16,Motores!$B$9:$T$48,19,FALSE),"Erro"))))))))</f>
        <v>0.92</v>
      </c>
      <c r="T16" s="40">
        <f>IF(O16="","",IF(O16="NA","",IF(O16="Mini disjuntor + DR",100%,IF(O16="Mini disjuntor",100%,IF(O16="Disjuntor Motor",0.92,IF(O16="Disjuntor C.M.",100%,IF(O16="Disjuntor C.A.",100%,IFERROR(VLOOKUP('Lista de Cargas'!P16,Motores!$B$9:$T$48,16,FALSE)/100,"Erro"))))))))</f>
        <v>1</v>
      </c>
      <c r="U16" s="40" t="s">
        <v>445</v>
      </c>
      <c r="V16" s="39">
        <v>440</v>
      </c>
      <c r="W16" s="2">
        <f t="shared" si="1"/>
        <v>3200.0000000000005</v>
      </c>
      <c r="X16" s="2">
        <f t="shared" ref="X16" si="22">IFERROR(Q16/S16,0)</f>
        <v>2438.7275370569791</v>
      </c>
      <c r="Y16" s="2">
        <f t="shared" si="3"/>
        <v>3200.0000000000005</v>
      </c>
      <c r="Z16" s="1"/>
      <c r="AA16" s="1"/>
      <c r="AB16" s="1">
        <v>20</v>
      </c>
      <c r="AC16" s="1"/>
      <c r="AD16" s="1"/>
      <c r="AE16" s="1"/>
      <c r="AF16" s="1"/>
      <c r="AG16" s="1">
        <f t="shared" si="19"/>
        <v>20</v>
      </c>
      <c r="AH16" s="1">
        <v>21</v>
      </c>
      <c r="AI16" s="1" t="s">
        <v>1046</v>
      </c>
      <c r="AJ16" s="1">
        <f t="shared" si="20"/>
        <v>420</v>
      </c>
      <c r="AK16" s="1">
        <v>0</v>
      </c>
      <c r="AL16" s="1" t="s">
        <v>118</v>
      </c>
      <c r="AM16" s="1"/>
      <c r="AN16" s="1">
        <v>4</v>
      </c>
      <c r="AO16" s="1" t="s">
        <v>1047</v>
      </c>
      <c r="AP16" s="1">
        <f t="shared" si="21"/>
        <v>80</v>
      </c>
      <c r="AQ16" s="1" t="s">
        <v>118</v>
      </c>
      <c r="AR16" s="1"/>
      <c r="AS16" s="1">
        <v>1</v>
      </c>
      <c r="AT16" s="1"/>
      <c r="AU16" s="1"/>
      <c r="AV16" s="17"/>
      <c r="AW16" s="2"/>
      <c r="AX16" s="2"/>
      <c r="AY16" s="2"/>
      <c r="AZ16" s="17"/>
      <c r="BA16" s="1"/>
      <c r="BB16" s="1"/>
      <c r="BC16" s="1"/>
      <c r="BD16" s="1"/>
      <c r="BE16" s="18"/>
      <c r="BF16" s="2"/>
      <c r="BG16" s="6"/>
      <c r="BH16" s="6"/>
    </row>
    <row r="17" spans="1:60" ht="12.75" hidden="1" customHeight="1" x14ac:dyDescent="0.2">
      <c r="A17" s="19" t="s">
        <v>959</v>
      </c>
      <c r="B17" s="19" t="s">
        <v>974</v>
      </c>
      <c r="C17" s="19" t="s">
        <v>975</v>
      </c>
      <c r="D17" s="20" t="s">
        <v>976</v>
      </c>
      <c r="E17" s="20"/>
      <c r="F17" s="21"/>
      <c r="G17" s="21"/>
      <c r="H17" s="21"/>
      <c r="I17" s="21"/>
      <c r="J17" s="21"/>
      <c r="K17" s="21"/>
      <c r="L17" s="21"/>
      <c r="M17" s="21"/>
      <c r="N17" s="32"/>
      <c r="O17" s="22" t="s">
        <v>448</v>
      </c>
      <c r="P17" s="23">
        <v>850.00769510438352</v>
      </c>
      <c r="Q17" s="34">
        <f t="shared" si="17"/>
        <v>634.10574054787014</v>
      </c>
      <c r="R17" s="39"/>
      <c r="S17" s="39">
        <f>IF(O17="","",IF(O17="NA","",IF(O17="Mini disjuntor + DR",0.92,IF(O17="Mini disjuntor",0.92,IF(O17="Disjuntor Motor",0.92,IF(O17="Disjuntor C.M.",0.92,IF(O17="Disjuntor C.A.",0.92,IFERROR(VLOOKUP('Lista de Cargas'!P17,Motores!$B$9:$T$48,19,FALSE),"Erro"))))))))</f>
        <v>0.92</v>
      </c>
      <c r="T17" s="40">
        <f>IF(O17="","",IF(O17="NA","",IF(O17="Mini disjuntor + DR",100%,IF(O17="Mini disjuntor",100%,IF(O17="Disjuntor Motor",0.92,IF(O17="Disjuntor C.M.",100%,IF(O17="Disjuntor C.A.",100%,IFERROR(VLOOKUP('Lista de Cargas'!P17,Motores!$B$9:$T$48,16,FALSE)/100,"Erro"))))))))</f>
        <v>1</v>
      </c>
      <c r="U17" s="40" t="s">
        <v>445</v>
      </c>
      <c r="V17" s="39">
        <v>440</v>
      </c>
      <c r="W17" s="2">
        <f t="shared" si="1"/>
        <v>904.39999999999952</v>
      </c>
      <c r="X17" s="2">
        <f t="shared" si="18"/>
        <v>689.24537016072838</v>
      </c>
      <c r="Y17" s="2">
        <f t="shared" si="3"/>
        <v>904.39999999999952</v>
      </c>
      <c r="Z17" s="1"/>
      <c r="AA17" s="1"/>
      <c r="AB17" s="1">
        <v>20</v>
      </c>
      <c r="AC17" s="1"/>
      <c r="AD17" s="1"/>
      <c r="AE17" s="1"/>
      <c r="AF17" s="1"/>
      <c r="AG17" s="1">
        <f t="shared" si="19"/>
        <v>20</v>
      </c>
      <c r="AH17" s="1">
        <v>6</v>
      </c>
      <c r="AI17" s="1" t="s">
        <v>1049</v>
      </c>
      <c r="AJ17" s="1">
        <f t="shared" si="20"/>
        <v>120</v>
      </c>
      <c r="AK17" s="1">
        <v>0</v>
      </c>
      <c r="AL17" s="1" t="s">
        <v>118</v>
      </c>
      <c r="AM17" s="1"/>
      <c r="AN17" s="1">
        <v>1</v>
      </c>
      <c r="AO17" s="1" t="s">
        <v>1050</v>
      </c>
      <c r="AP17" s="1">
        <f t="shared" si="21"/>
        <v>20</v>
      </c>
      <c r="AQ17" s="1" t="s">
        <v>118</v>
      </c>
      <c r="AR17" s="1"/>
      <c r="AS17" s="1">
        <v>1</v>
      </c>
      <c r="AT17" s="1"/>
      <c r="AU17" s="1"/>
      <c r="AV17" s="17"/>
      <c r="AW17" s="2"/>
      <c r="AX17" s="2"/>
      <c r="AY17" s="2"/>
      <c r="AZ17" s="17"/>
      <c r="BA17" s="1"/>
      <c r="BB17" s="1"/>
      <c r="BC17" s="1"/>
      <c r="BD17" s="1"/>
      <c r="BE17" s="18"/>
      <c r="BF17" s="2"/>
      <c r="BG17" s="6"/>
      <c r="BH17" s="6"/>
    </row>
    <row r="18" spans="1:60" ht="12.75" hidden="1" customHeight="1" x14ac:dyDescent="0.2">
      <c r="A18" s="19" t="s">
        <v>959</v>
      </c>
      <c r="B18" s="19" t="s">
        <v>974</v>
      </c>
      <c r="C18" s="19" t="s">
        <v>977</v>
      </c>
      <c r="D18" s="20" t="s">
        <v>978</v>
      </c>
      <c r="E18" s="20"/>
      <c r="F18" s="21"/>
      <c r="G18" s="21"/>
      <c r="H18" s="21"/>
      <c r="I18" s="21"/>
      <c r="J18" s="21"/>
      <c r="K18" s="21"/>
      <c r="L18" s="21"/>
      <c r="M18" s="21"/>
      <c r="N18" s="32"/>
      <c r="O18" s="22" t="s">
        <v>448</v>
      </c>
      <c r="P18" s="23">
        <v>2349.6453314473238</v>
      </c>
      <c r="Q18" s="34">
        <f t="shared" si="17"/>
        <v>1752.8354172597035</v>
      </c>
      <c r="R18" s="39"/>
      <c r="S18" s="39">
        <f>IF(O18="","",IF(O18="NA","",IF(O18="Mini disjuntor + DR",0.92,IF(O18="Mini disjuntor",0.92,IF(O18="Disjuntor Motor",0.92,IF(O18="Disjuntor C.M.",0.92,IF(O18="Disjuntor C.A.",0.92,IFERROR(VLOOKUP('Lista de Cargas'!P18,Motores!$B$9:$T$48,19,FALSE),"Erro"))))))))</f>
        <v>0.92</v>
      </c>
      <c r="T18" s="40">
        <f>IF(O18="","",IF(O18="NA","",IF(O18="Mini disjuntor + DR",100%,IF(O18="Mini disjuntor",100%,IF(O18="Disjuntor Motor",0.92,IF(O18="Disjuntor C.M.",100%,IF(O18="Disjuntor C.A.",100%,IFERROR(VLOOKUP('Lista de Cargas'!P18,Motores!$B$9:$T$48,16,FALSE)/100,"Erro"))))))))</f>
        <v>1</v>
      </c>
      <c r="U18" s="40" t="s">
        <v>445</v>
      </c>
      <c r="V18" s="39">
        <v>440</v>
      </c>
      <c r="W18" s="2">
        <f t="shared" si="1"/>
        <v>2500</v>
      </c>
      <c r="X18" s="2">
        <f t="shared" si="18"/>
        <v>1905.2558883257645</v>
      </c>
      <c r="Y18" s="2">
        <f t="shared" si="3"/>
        <v>2500</v>
      </c>
      <c r="Z18" s="1"/>
      <c r="AA18" s="1"/>
      <c r="AB18" s="1">
        <v>20</v>
      </c>
      <c r="AC18" s="1"/>
      <c r="AD18" s="1"/>
      <c r="AE18" s="1"/>
      <c r="AF18" s="1"/>
      <c r="AG18" s="1">
        <f t="shared" si="19"/>
        <v>20</v>
      </c>
      <c r="AH18" s="1">
        <v>15</v>
      </c>
      <c r="AI18" s="1" t="s">
        <v>1046</v>
      </c>
      <c r="AJ18" s="1">
        <f t="shared" si="20"/>
        <v>300</v>
      </c>
      <c r="AK18" s="1">
        <v>0</v>
      </c>
      <c r="AL18" s="1" t="s">
        <v>118</v>
      </c>
      <c r="AM18" s="1"/>
      <c r="AN18" s="1">
        <v>4</v>
      </c>
      <c r="AO18" s="1" t="s">
        <v>1051</v>
      </c>
      <c r="AP18" s="1">
        <f t="shared" si="21"/>
        <v>80</v>
      </c>
      <c r="AQ18" s="1" t="s">
        <v>118</v>
      </c>
      <c r="AR18" s="1"/>
      <c r="AS18" s="1">
        <v>1</v>
      </c>
      <c r="AT18" s="1"/>
      <c r="AU18" s="1"/>
      <c r="AV18" s="17"/>
      <c r="AW18" s="2"/>
      <c r="AX18" s="2"/>
      <c r="AY18" s="2"/>
      <c r="AZ18" s="17"/>
      <c r="BA18" s="1"/>
      <c r="BB18" s="1"/>
      <c r="BC18" s="1"/>
      <c r="BD18" s="1"/>
      <c r="BE18" s="18"/>
      <c r="BF18" s="2"/>
      <c r="BG18" s="6"/>
      <c r="BH18" s="6"/>
    </row>
    <row r="19" spans="1:60" ht="12.75" hidden="1" customHeight="1" x14ac:dyDescent="0.2">
      <c r="A19" s="19" t="s">
        <v>959</v>
      </c>
      <c r="B19" s="19" t="s">
        <v>974</v>
      </c>
      <c r="C19" s="19" t="s">
        <v>980</v>
      </c>
      <c r="D19" s="20" t="s">
        <v>979</v>
      </c>
      <c r="E19" s="20"/>
      <c r="F19" s="21"/>
      <c r="G19" s="21"/>
      <c r="H19" s="21"/>
      <c r="I19" s="21"/>
      <c r="J19" s="21"/>
      <c r="K19" s="21"/>
      <c r="L19" s="21"/>
      <c r="M19" s="21"/>
      <c r="N19" s="32"/>
      <c r="O19" s="22" t="s">
        <v>448</v>
      </c>
      <c r="P19" s="23">
        <v>925.9482322167612</v>
      </c>
      <c r="Q19" s="34">
        <f t="shared" si="17"/>
        <v>690.75738123370388</v>
      </c>
      <c r="R19" s="39"/>
      <c r="S19" s="39">
        <f>IF(O19="","",IF(O19="NA","",IF(O19="Mini disjuntor + DR",0.92,IF(O19="Mini disjuntor",0.92,IF(O19="Disjuntor Motor",0.92,IF(O19="Disjuntor C.M.",0.92,IF(O19="Disjuntor C.A.",0.92,IFERROR(VLOOKUP('Lista de Cargas'!P19,Motores!$B$9:$T$48,19,FALSE),"Erro"))))))))</f>
        <v>0.92</v>
      </c>
      <c r="T19" s="40">
        <f>IF(O19="","",IF(O19="NA","",IF(O19="Mini disjuntor + DR",100%,IF(O19="Mini disjuntor",100%,IF(O19="Disjuntor Motor",0.92,IF(O19="Disjuntor C.M.",100%,IF(O19="Disjuntor C.A.",100%,IFERROR(VLOOKUP('Lista de Cargas'!P19,Motores!$B$9:$T$48,16,FALSE)/100,"Erro"))))))))</f>
        <v>1</v>
      </c>
      <c r="U19" s="40" t="s">
        <v>445</v>
      </c>
      <c r="V19" s="39">
        <v>440</v>
      </c>
      <c r="W19" s="2">
        <f t="shared" si="1"/>
        <v>985.1999999999997</v>
      </c>
      <c r="X19" s="2">
        <f t="shared" ref="X19:X20" si="23">IFERROR(Q19/S19,0)</f>
        <v>750.82324047141719</v>
      </c>
      <c r="Y19" s="2">
        <f t="shared" si="3"/>
        <v>985.1999999999997</v>
      </c>
      <c r="Z19" s="1"/>
      <c r="AA19" s="1"/>
      <c r="AB19" s="1">
        <v>20</v>
      </c>
      <c r="AC19" s="1"/>
      <c r="AD19" s="1"/>
      <c r="AE19" s="1"/>
      <c r="AF19" s="1"/>
      <c r="AG19" s="1">
        <f t="shared" si="19"/>
        <v>20</v>
      </c>
      <c r="AH19" s="1">
        <v>6</v>
      </c>
      <c r="AI19" s="1" t="s">
        <v>1046</v>
      </c>
      <c r="AJ19" s="1">
        <f t="shared" si="20"/>
        <v>120</v>
      </c>
      <c r="AK19" s="1">
        <v>0</v>
      </c>
      <c r="AL19" s="1" t="s">
        <v>118</v>
      </c>
      <c r="AM19" s="1"/>
      <c r="AN19" s="1">
        <v>1</v>
      </c>
      <c r="AO19" s="1" t="s">
        <v>1047</v>
      </c>
      <c r="AP19" s="1">
        <f t="shared" si="21"/>
        <v>20</v>
      </c>
      <c r="AQ19" s="1" t="s">
        <v>118</v>
      </c>
      <c r="AR19" s="1"/>
      <c r="AS19" s="1">
        <v>1</v>
      </c>
      <c r="AT19" s="1"/>
      <c r="AU19" s="1"/>
      <c r="AV19" s="17"/>
      <c r="AW19" s="2"/>
      <c r="AX19" s="2"/>
      <c r="AY19" s="2"/>
      <c r="AZ19" s="17"/>
      <c r="BA19" s="1"/>
      <c r="BB19" s="1"/>
      <c r="BC19" s="1"/>
      <c r="BD19" s="1"/>
      <c r="BE19" s="18"/>
      <c r="BF19" s="2"/>
      <c r="BG19" s="6"/>
      <c r="BH19" s="6"/>
    </row>
    <row r="20" spans="1:60" ht="12.75" hidden="1" customHeight="1" x14ac:dyDescent="0.2">
      <c r="A20" s="19" t="s">
        <v>959</v>
      </c>
      <c r="B20" s="19" t="s">
        <v>981</v>
      </c>
      <c r="C20" s="19" t="s">
        <v>962</v>
      </c>
      <c r="D20" s="20" t="s">
        <v>965</v>
      </c>
      <c r="E20" s="20"/>
      <c r="F20" s="21"/>
      <c r="G20" s="21"/>
      <c r="H20" s="21"/>
      <c r="I20" s="21"/>
      <c r="J20" s="21"/>
      <c r="K20" s="21"/>
      <c r="L20" s="21"/>
      <c r="M20" s="21"/>
      <c r="N20" s="32"/>
      <c r="O20" s="22" t="s">
        <v>448</v>
      </c>
      <c r="P20" s="23">
        <v>3007.5460242525751</v>
      </c>
      <c r="Q20" s="34">
        <f t="shared" si="17"/>
        <v>2243.6293340924208</v>
      </c>
      <c r="R20" s="39"/>
      <c r="S20" s="39">
        <f>IF(O20="","",IF(O20="NA","",IF(O20="Mini disjuntor + DR",0.92,IF(O20="Mini disjuntor",0.92,IF(O20="Disjuntor Motor",0.92,IF(O20="Disjuntor C.M.",0.92,IF(O20="Disjuntor C.A.",0.92,IFERROR(VLOOKUP('Lista de Cargas'!P20,Motores!$B$9:$T$48,19,FALSE),"Erro"))))))))</f>
        <v>0.92</v>
      </c>
      <c r="T20" s="40">
        <f>IF(O20="","",IF(O20="NA","",IF(O20="Mini disjuntor + DR",100%,IF(O20="Mini disjuntor",100%,IF(O20="Disjuntor Motor",0.92,IF(O20="Disjuntor C.M.",100%,IF(O20="Disjuntor C.A.",100%,IFERROR(VLOOKUP('Lista de Cargas'!P20,Motores!$B$9:$T$48,16,FALSE)/100,"Erro"))))))))</f>
        <v>1</v>
      </c>
      <c r="U20" s="40" t="s">
        <v>445</v>
      </c>
      <c r="V20" s="39">
        <v>440</v>
      </c>
      <c r="W20" s="2">
        <f t="shared" si="1"/>
        <v>3200.0000000000005</v>
      </c>
      <c r="X20" s="2">
        <f t="shared" si="23"/>
        <v>2438.7275370569791</v>
      </c>
      <c r="Y20" s="2">
        <f t="shared" si="3"/>
        <v>3200.0000000000005</v>
      </c>
      <c r="Z20" s="1"/>
      <c r="AA20" s="1"/>
      <c r="AB20" s="1">
        <v>20</v>
      </c>
      <c r="AC20" s="1"/>
      <c r="AD20" s="1"/>
      <c r="AE20" s="1"/>
      <c r="AF20" s="1"/>
      <c r="AG20" s="1">
        <f t="shared" si="19"/>
        <v>20</v>
      </c>
      <c r="AH20" s="1">
        <v>21</v>
      </c>
      <c r="AI20" s="1" t="s">
        <v>1046</v>
      </c>
      <c r="AJ20" s="1">
        <f t="shared" si="20"/>
        <v>420</v>
      </c>
      <c r="AK20" s="1">
        <v>0</v>
      </c>
      <c r="AL20" s="1" t="s">
        <v>118</v>
      </c>
      <c r="AM20" s="1"/>
      <c r="AN20" s="1">
        <v>4</v>
      </c>
      <c r="AO20" s="1" t="s">
        <v>1047</v>
      </c>
      <c r="AP20" s="1">
        <f t="shared" si="21"/>
        <v>80</v>
      </c>
      <c r="AQ20" s="1" t="s">
        <v>118</v>
      </c>
      <c r="AR20" s="1"/>
      <c r="AS20" s="1">
        <v>1</v>
      </c>
      <c r="AT20" s="1"/>
      <c r="AU20" s="1"/>
      <c r="AV20" s="17"/>
      <c r="AW20" s="2"/>
      <c r="AX20" s="2"/>
      <c r="AY20" s="2"/>
      <c r="AZ20" s="17"/>
      <c r="BA20" s="1"/>
      <c r="BB20" s="1"/>
      <c r="BC20" s="1"/>
      <c r="BD20" s="1"/>
      <c r="BE20" s="18"/>
      <c r="BF20" s="2"/>
      <c r="BG20" s="6"/>
      <c r="BH20" s="6"/>
    </row>
    <row r="21" spans="1:60" ht="12.75" hidden="1" customHeight="1" x14ac:dyDescent="0.2">
      <c r="A21" s="19" t="s">
        <v>959</v>
      </c>
      <c r="B21" s="19" t="s">
        <v>981</v>
      </c>
      <c r="C21" s="19" t="s">
        <v>982</v>
      </c>
      <c r="D21" s="20" t="s">
        <v>983</v>
      </c>
      <c r="E21" s="20"/>
      <c r="F21" s="21"/>
      <c r="G21" s="21"/>
      <c r="H21" s="21"/>
      <c r="I21" s="21"/>
      <c r="J21" s="21"/>
      <c r="K21" s="21"/>
      <c r="L21" s="21"/>
      <c r="M21" s="21"/>
      <c r="N21" s="32"/>
      <c r="O21" s="22" t="s">
        <v>448</v>
      </c>
      <c r="P21" s="23">
        <v>234.96453314473237</v>
      </c>
      <c r="Q21" s="34">
        <f t="shared" si="17"/>
        <v>175.28354172597034</v>
      </c>
      <c r="R21" s="39"/>
      <c r="S21" s="39">
        <f>IF(O21="","",IF(O21="NA","",IF(O21="Mini disjuntor + DR",0.92,IF(O21="Mini disjuntor",0.92,IF(O21="Disjuntor Motor",0.92,IF(O21="Disjuntor C.M.",0.92,IF(O21="Disjuntor C.A.",0.92,IFERROR(VLOOKUP('Lista de Cargas'!P21,Motores!$B$9:$T$48,19,FALSE),"Erro"))))))))</f>
        <v>0.92</v>
      </c>
      <c r="T21" s="40">
        <f>IF(O21="","",IF(O21="NA","",IF(O21="Mini disjuntor + DR",100%,IF(O21="Mini disjuntor",100%,IF(O21="Disjuntor Motor",0.92,IF(O21="Disjuntor C.M.",100%,IF(O21="Disjuntor C.A.",100%,IFERROR(VLOOKUP('Lista de Cargas'!P21,Motores!$B$9:$T$48,16,FALSE)/100,"Erro"))))))))</f>
        <v>1</v>
      </c>
      <c r="U21" s="40" t="s">
        <v>445</v>
      </c>
      <c r="V21" s="39">
        <v>440</v>
      </c>
      <c r="W21" s="2">
        <f t="shared" si="1"/>
        <v>249.99999999999997</v>
      </c>
      <c r="X21" s="2">
        <f t="shared" si="18"/>
        <v>190.52558883257643</v>
      </c>
      <c r="Y21" s="2">
        <f t="shared" si="3"/>
        <v>249.99999999999997</v>
      </c>
      <c r="Z21" s="1"/>
      <c r="AA21" s="1"/>
      <c r="AB21" s="1">
        <v>20</v>
      </c>
      <c r="AC21" s="1"/>
      <c r="AD21" s="1"/>
      <c r="AE21" s="1"/>
      <c r="AF21" s="1"/>
      <c r="AG21" s="1">
        <f t="shared" si="19"/>
        <v>20</v>
      </c>
      <c r="AH21" s="1">
        <v>3</v>
      </c>
      <c r="AI21" s="1" t="s">
        <v>1052</v>
      </c>
      <c r="AJ21" s="1">
        <f t="shared" si="20"/>
        <v>60</v>
      </c>
      <c r="AK21" s="1">
        <v>0</v>
      </c>
      <c r="AL21" s="1" t="s">
        <v>118</v>
      </c>
      <c r="AM21" s="1"/>
      <c r="AN21" s="1">
        <v>1</v>
      </c>
      <c r="AO21" s="1" t="s">
        <v>1053</v>
      </c>
      <c r="AP21" s="1">
        <f t="shared" si="21"/>
        <v>20</v>
      </c>
      <c r="AQ21" s="1" t="s">
        <v>118</v>
      </c>
      <c r="AR21" s="1"/>
      <c r="AS21" s="1">
        <v>1</v>
      </c>
      <c r="AT21" s="1"/>
      <c r="AU21" s="1"/>
      <c r="AV21" s="17"/>
      <c r="AW21" s="2"/>
      <c r="AX21" s="2"/>
      <c r="AY21" s="2"/>
      <c r="AZ21" s="17"/>
      <c r="BA21" s="1"/>
      <c r="BB21" s="1"/>
      <c r="BC21" s="1"/>
      <c r="BD21" s="1"/>
      <c r="BE21" s="18"/>
      <c r="BF21" s="2"/>
      <c r="BG21" s="6"/>
      <c r="BH21" s="6"/>
    </row>
    <row r="22" spans="1:60" ht="12.75" hidden="1" customHeight="1" x14ac:dyDescent="0.2">
      <c r="A22" s="19" t="s">
        <v>959</v>
      </c>
      <c r="B22" s="19" t="s">
        <v>981</v>
      </c>
      <c r="C22" s="19" t="s">
        <v>984</v>
      </c>
      <c r="D22" s="20" t="s">
        <v>986</v>
      </c>
      <c r="E22" s="20"/>
      <c r="F22" s="21"/>
      <c r="G22" s="21"/>
      <c r="H22" s="21"/>
      <c r="I22" s="21"/>
      <c r="J22" s="21"/>
      <c r="K22" s="21"/>
      <c r="L22" s="21"/>
      <c r="M22" s="21"/>
      <c r="N22" s="32"/>
      <c r="O22" s="22" t="s">
        <v>448</v>
      </c>
      <c r="P22" s="23">
        <v>234.96453314473237</v>
      </c>
      <c r="Q22" s="34">
        <f t="shared" si="17"/>
        <v>175.28354172597034</v>
      </c>
      <c r="R22" s="39"/>
      <c r="S22" s="39">
        <f>IF(O22="","",IF(O22="NA","",IF(O22="Mini disjuntor + DR",0.92,IF(O22="Mini disjuntor",0.92,IF(O22="Disjuntor Motor",0.92,IF(O22="Disjuntor C.M.",0.92,IF(O22="Disjuntor C.A.",0.92,IFERROR(VLOOKUP('Lista de Cargas'!P22,Motores!$B$9:$T$48,19,FALSE),"Erro"))))))))</f>
        <v>0.92</v>
      </c>
      <c r="T22" s="40">
        <f>IF(O22="","",IF(O22="NA","",IF(O22="Mini disjuntor + DR",100%,IF(O22="Mini disjuntor",100%,IF(O22="Disjuntor Motor",0.92,IF(O22="Disjuntor C.M.",100%,IF(O22="Disjuntor C.A.",100%,IFERROR(VLOOKUP('Lista de Cargas'!P22,Motores!$B$9:$T$48,16,FALSE)/100,"Erro"))))))))</f>
        <v>1</v>
      </c>
      <c r="U22" s="40" t="s">
        <v>445</v>
      </c>
      <c r="V22" s="39">
        <v>440</v>
      </c>
      <c r="W22" s="2">
        <f t="shared" si="1"/>
        <v>249.99999999999997</v>
      </c>
      <c r="X22" s="2">
        <f t="shared" ref="X22:X24" si="24">IFERROR(Q22/S22,0)</f>
        <v>190.52558883257643</v>
      </c>
      <c r="Y22" s="2">
        <f t="shared" si="3"/>
        <v>249.99999999999997</v>
      </c>
      <c r="Z22" s="1"/>
      <c r="AA22" s="1"/>
      <c r="AB22" s="1">
        <v>20</v>
      </c>
      <c r="AC22" s="1"/>
      <c r="AD22" s="1"/>
      <c r="AE22" s="1"/>
      <c r="AF22" s="1"/>
      <c r="AG22" s="1">
        <f t="shared" si="19"/>
        <v>20</v>
      </c>
      <c r="AH22" s="1">
        <v>3</v>
      </c>
      <c r="AI22" s="1" t="s">
        <v>1052</v>
      </c>
      <c r="AJ22" s="1">
        <f t="shared" si="20"/>
        <v>60</v>
      </c>
      <c r="AK22" s="1">
        <v>0</v>
      </c>
      <c r="AL22" s="1" t="s">
        <v>118</v>
      </c>
      <c r="AM22" s="1"/>
      <c r="AN22" s="1">
        <v>1</v>
      </c>
      <c r="AO22" s="1" t="s">
        <v>1053</v>
      </c>
      <c r="AP22" s="1">
        <f t="shared" si="21"/>
        <v>20</v>
      </c>
      <c r="AQ22" s="1" t="s">
        <v>118</v>
      </c>
      <c r="AR22" s="1"/>
      <c r="AS22" s="1">
        <v>1</v>
      </c>
      <c r="AT22" s="1"/>
      <c r="AU22" s="1"/>
      <c r="AV22" s="17"/>
      <c r="AW22" s="2"/>
      <c r="AX22" s="2"/>
      <c r="AY22" s="2"/>
      <c r="AZ22" s="17"/>
      <c r="BA22" s="1"/>
      <c r="BB22" s="1"/>
      <c r="BC22" s="1"/>
      <c r="BD22" s="1"/>
      <c r="BE22" s="18"/>
      <c r="BF22" s="2"/>
      <c r="BG22" s="6"/>
      <c r="BH22" s="6"/>
    </row>
    <row r="23" spans="1:60" ht="12.75" hidden="1" customHeight="1" x14ac:dyDescent="0.2">
      <c r="A23" s="19" t="s">
        <v>959</v>
      </c>
      <c r="B23" s="19" t="s">
        <v>981</v>
      </c>
      <c r="C23" s="19" t="s">
        <v>985</v>
      </c>
      <c r="D23" s="20" t="s">
        <v>987</v>
      </c>
      <c r="E23" s="20"/>
      <c r="F23" s="21"/>
      <c r="G23" s="21"/>
      <c r="H23" s="21"/>
      <c r="I23" s="21"/>
      <c r="J23" s="21"/>
      <c r="K23" s="21"/>
      <c r="L23" s="21"/>
      <c r="M23" s="21"/>
      <c r="N23" s="32"/>
      <c r="O23" s="22" t="s">
        <v>448</v>
      </c>
      <c r="P23" s="23">
        <v>234.96453314473237</v>
      </c>
      <c r="Q23" s="34">
        <f t="shared" si="17"/>
        <v>175.28354172597034</v>
      </c>
      <c r="R23" s="39"/>
      <c r="S23" s="39">
        <f>IF(O23="","",IF(O23="NA","",IF(O23="Mini disjuntor + DR",0.92,IF(O23="Mini disjuntor",0.92,IF(O23="Disjuntor Motor",0.92,IF(O23="Disjuntor C.M.",0.92,IF(O23="Disjuntor C.A.",0.92,IFERROR(VLOOKUP('Lista de Cargas'!P23,Motores!$B$9:$T$48,19,FALSE),"Erro"))))))))</f>
        <v>0.92</v>
      </c>
      <c r="T23" s="40">
        <f>IF(O23="","",IF(O23="NA","",IF(O23="Mini disjuntor + DR",100%,IF(O23="Mini disjuntor",100%,IF(O23="Disjuntor Motor",0.92,IF(O23="Disjuntor C.M.",100%,IF(O23="Disjuntor C.A.",100%,IFERROR(VLOOKUP('Lista de Cargas'!P23,Motores!$B$9:$T$48,16,FALSE)/100,"Erro"))))))))</f>
        <v>1</v>
      </c>
      <c r="U23" s="40" t="s">
        <v>445</v>
      </c>
      <c r="V23" s="39">
        <v>440</v>
      </c>
      <c r="W23" s="2">
        <f t="shared" si="1"/>
        <v>249.99999999999997</v>
      </c>
      <c r="X23" s="2">
        <f t="shared" si="24"/>
        <v>190.52558883257643</v>
      </c>
      <c r="Y23" s="2">
        <f t="shared" si="3"/>
        <v>249.99999999999997</v>
      </c>
      <c r="Z23" s="1"/>
      <c r="AA23" s="1"/>
      <c r="AB23" s="1">
        <v>20</v>
      </c>
      <c r="AC23" s="1"/>
      <c r="AD23" s="1"/>
      <c r="AE23" s="1"/>
      <c r="AF23" s="1"/>
      <c r="AG23" s="1">
        <f t="shared" si="19"/>
        <v>20</v>
      </c>
      <c r="AH23" s="1">
        <v>3</v>
      </c>
      <c r="AI23" s="1" t="s">
        <v>1052</v>
      </c>
      <c r="AJ23" s="1">
        <f t="shared" si="20"/>
        <v>60</v>
      </c>
      <c r="AK23" s="1">
        <v>0</v>
      </c>
      <c r="AL23" s="1" t="s">
        <v>118</v>
      </c>
      <c r="AM23" s="1"/>
      <c r="AN23" s="1">
        <v>1</v>
      </c>
      <c r="AO23" s="1" t="s">
        <v>1053</v>
      </c>
      <c r="AP23" s="1">
        <f t="shared" si="21"/>
        <v>20</v>
      </c>
      <c r="AQ23" s="1" t="s">
        <v>118</v>
      </c>
      <c r="AR23" s="1"/>
      <c r="AS23" s="1">
        <v>1</v>
      </c>
      <c r="AT23" s="1"/>
      <c r="AU23" s="1"/>
      <c r="AV23" s="17"/>
      <c r="AW23" s="2"/>
      <c r="AX23" s="2"/>
      <c r="AY23" s="2"/>
      <c r="AZ23" s="17"/>
      <c r="BA23" s="1"/>
      <c r="BB23" s="1"/>
      <c r="BC23" s="1"/>
      <c r="BD23" s="1"/>
      <c r="BE23" s="18"/>
      <c r="BF23" s="2"/>
      <c r="BG23" s="6"/>
      <c r="BH23" s="6"/>
    </row>
    <row r="24" spans="1:60" ht="12.75" hidden="1" customHeight="1" x14ac:dyDescent="0.2">
      <c r="A24" s="19" t="s">
        <v>959</v>
      </c>
      <c r="B24" s="19" t="s">
        <v>981</v>
      </c>
      <c r="C24" s="19" t="s">
        <v>982</v>
      </c>
      <c r="D24" s="20" t="s">
        <v>988</v>
      </c>
      <c r="E24" s="20"/>
      <c r="F24" s="21"/>
      <c r="G24" s="21"/>
      <c r="H24" s="21"/>
      <c r="I24" s="21"/>
      <c r="J24" s="21"/>
      <c r="K24" s="21"/>
      <c r="L24" s="21"/>
      <c r="M24" s="21"/>
      <c r="N24" s="32"/>
      <c r="O24" s="22" t="s">
        <v>448</v>
      </c>
      <c r="P24" s="23">
        <v>234.96453314473237</v>
      </c>
      <c r="Q24" s="34">
        <f t="shared" si="17"/>
        <v>175.28354172597034</v>
      </c>
      <c r="R24" s="39"/>
      <c r="S24" s="39">
        <f>IF(O24="","",IF(O24="NA","",IF(O24="Mini disjuntor + DR",0.92,IF(O24="Mini disjuntor",0.92,IF(O24="Disjuntor Motor",0.92,IF(O24="Disjuntor C.M.",0.92,IF(O24="Disjuntor C.A.",0.92,IFERROR(VLOOKUP('Lista de Cargas'!P24,Motores!$B$9:$T$48,19,FALSE),"Erro"))))))))</f>
        <v>0.92</v>
      </c>
      <c r="T24" s="40">
        <f>IF(O24="","",IF(O24="NA","",IF(O24="Mini disjuntor + DR",100%,IF(O24="Mini disjuntor",100%,IF(O24="Disjuntor Motor",0.92,IF(O24="Disjuntor C.M.",100%,IF(O24="Disjuntor C.A.",100%,IFERROR(VLOOKUP('Lista de Cargas'!P24,Motores!$B$9:$T$48,16,FALSE)/100,"Erro"))))))))</f>
        <v>1</v>
      </c>
      <c r="U24" s="40" t="s">
        <v>445</v>
      </c>
      <c r="V24" s="39">
        <v>440</v>
      </c>
      <c r="W24" s="2">
        <f t="shared" si="1"/>
        <v>249.99999999999997</v>
      </c>
      <c r="X24" s="2">
        <f t="shared" si="24"/>
        <v>190.52558883257643</v>
      </c>
      <c r="Y24" s="2">
        <f t="shared" si="3"/>
        <v>249.99999999999997</v>
      </c>
      <c r="Z24" s="1"/>
      <c r="AA24" s="1"/>
      <c r="AB24" s="1">
        <v>20</v>
      </c>
      <c r="AC24" s="1"/>
      <c r="AD24" s="1"/>
      <c r="AE24" s="1"/>
      <c r="AF24" s="1"/>
      <c r="AG24" s="1">
        <f t="shared" si="19"/>
        <v>20</v>
      </c>
      <c r="AH24" s="1">
        <v>3</v>
      </c>
      <c r="AI24" s="1" t="s">
        <v>1052</v>
      </c>
      <c r="AJ24" s="1">
        <f t="shared" si="20"/>
        <v>60</v>
      </c>
      <c r="AK24" s="1">
        <v>0</v>
      </c>
      <c r="AL24" s="1" t="s">
        <v>118</v>
      </c>
      <c r="AM24" s="1"/>
      <c r="AN24" s="1">
        <v>1</v>
      </c>
      <c r="AO24" s="1" t="s">
        <v>1053</v>
      </c>
      <c r="AP24" s="1">
        <f t="shared" si="21"/>
        <v>20</v>
      </c>
      <c r="AQ24" s="1" t="s">
        <v>118</v>
      </c>
      <c r="AR24" s="1"/>
      <c r="AS24" s="1">
        <v>1</v>
      </c>
      <c r="AT24" s="1"/>
      <c r="AU24" s="1"/>
      <c r="AV24" s="17"/>
      <c r="AW24" s="2"/>
      <c r="AX24" s="2"/>
      <c r="AY24" s="2"/>
      <c r="AZ24" s="17"/>
      <c r="BA24" s="1"/>
      <c r="BB24" s="1"/>
      <c r="BC24" s="1"/>
      <c r="BD24" s="1"/>
      <c r="BE24" s="18"/>
      <c r="BF24" s="2"/>
      <c r="BG24" s="6"/>
      <c r="BH24" s="6"/>
    </row>
    <row r="25" spans="1:60" ht="12.75" hidden="1" customHeight="1" x14ac:dyDescent="0.2">
      <c r="A25" s="19" t="s">
        <v>959</v>
      </c>
      <c r="B25" s="19" t="s">
        <v>981</v>
      </c>
      <c r="C25" s="19" t="s">
        <v>989</v>
      </c>
      <c r="D25" s="20" t="s">
        <v>990</v>
      </c>
      <c r="E25" s="20"/>
      <c r="F25" s="21"/>
      <c r="G25" s="21"/>
      <c r="H25" s="21"/>
      <c r="I25" s="21"/>
      <c r="J25" s="21"/>
      <c r="K25" s="21"/>
      <c r="L25" s="21"/>
      <c r="M25" s="21"/>
      <c r="N25" s="32"/>
      <c r="O25" s="22" t="s">
        <v>448</v>
      </c>
      <c r="P25" s="23">
        <v>25.470155392888991</v>
      </c>
      <c r="Q25" s="34">
        <f t="shared" si="17"/>
        <v>19.000735923095188</v>
      </c>
      <c r="R25" s="39"/>
      <c r="S25" s="39">
        <f>IF(O25="","",IF(O25="NA","",IF(O25="Mini disjuntor + DR",0.92,IF(O25="Mini disjuntor",0.92,IF(O25="Disjuntor Motor",0.92,IF(O25="Disjuntor C.M.",0.92,IF(O25="Disjuntor C.A.",0.92,IFERROR(VLOOKUP('Lista de Cargas'!P25,Motores!$B$9:$T$48,19,FALSE),"Erro"))))))))</f>
        <v>0.92</v>
      </c>
      <c r="T25" s="40">
        <f>IF(O25="","",IF(O25="NA","",IF(O25="Mini disjuntor + DR",100%,IF(O25="Mini disjuntor",100%,IF(O25="Disjuntor Motor",0.92,IF(O25="Disjuntor C.M.",100%,IF(O25="Disjuntor C.A.",100%,IFERROR(VLOOKUP('Lista de Cargas'!P25,Motores!$B$9:$T$48,16,FALSE)/100,"Erro"))))))))</f>
        <v>1</v>
      </c>
      <c r="U25" s="40" t="s">
        <v>445</v>
      </c>
      <c r="V25" s="39">
        <v>440</v>
      </c>
      <c r="W25" s="2">
        <f t="shared" si="1"/>
        <v>27.1</v>
      </c>
      <c r="X25" s="2">
        <f t="shared" si="18"/>
        <v>20.652973829451291</v>
      </c>
      <c r="Y25" s="2">
        <f t="shared" si="3"/>
        <v>27.1</v>
      </c>
      <c r="Z25" s="1"/>
      <c r="AA25" s="1"/>
      <c r="AB25" s="1">
        <v>20</v>
      </c>
      <c r="AC25" s="1"/>
      <c r="AD25" s="1"/>
      <c r="AE25" s="1"/>
      <c r="AF25" s="1"/>
      <c r="AG25" s="1">
        <f t="shared" si="19"/>
        <v>20</v>
      </c>
      <c r="AH25" s="1">
        <v>1</v>
      </c>
      <c r="AI25" s="1" t="s">
        <v>1054</v>
      </c>
      <c r="AJ25" s="1">
        <f t="shared" si="20"/>
        <v>20</v>
      </c>
      <c r="AK25" s="1">
        <v>0</v>
      </c>
      <c r="AL25" s="1" t="s">
        <v>118</v>
      </c>
      <c r="AM25" s="1"/>
      <c r="AN25" s="1">
        <v>0</v>
      </c>
      <c r="AO25" s="1"/>
      <c r="AP25" s="1">
        <f t="shared" si="21"/>
        <v>0</v>
      </c>
      <c r="AQ25" s="1" t="s">
        <v>118</v>
      </c>
      <c r="AR25" s="1"/>
      <c r="AS25" s="1">
        <v>1</v>
      </c>
      <c r="AT25" s="1"/>
      <c r="AU25" s="1"/>
      <c r="AV25" s="17"/>
      <c r="AW25" s="2"/>
      <c r="AX25" s="2"/>
      <c r="AY25" s="2"/>
      <c r="AZ25" s="17"/>
      <c r="BA25" s="1"/>
      <c r="BB25" s="1"/>
      <c r="BC25" s="1"/>
      <c r="BD25" s="1"/>
      <c r="BE25" s="18"/>
      <c r="BF25" s="2"/>
      <c r="BG25" s="6"/>
      <c r="BH25" s="6"/>
    </row>
    <row r="26" spans="1:60" ht="12.75" hidden="1" customHeight="1" x14ac:dyDescent="0.2">
      <c r="A26" s="19" t="s">
        <v>959</v>
      </c>
      <c r="B26" s="19" t="s">
        <v>981</v>
      </c>
      <c r="C26" s="19" t="s">
        <v>991</v>
      </c>
      <c r="D26" s="20" t="s">
        <v>993</v>
      </c>
      <c r="E26" s="20"/>
      <c r="F26" s="21"/>
      <c r="G26" s="21"/>
      <c r="H26" s="21"/>
      <c r="I26" s="21"/>
      <c r="J26" s="21"/>
      <c r="K26" s="21"/>
      <c r="L26" s="21"/>
      <c r="M26" s="21"/>
      <c r="N26" s="32"/>
      <c r="O26" s="22" t="s">
        <v>448</v>
      </c>
      <c r="P26" s="23">
        <v>25.470155392888991</v>
      </c>
      <c r="Q26" s="34">
        <f t="shared" si="17"/>
        <v>19.000735923095188</v>
      </c>
      <c r="R26" s="39"/>
      <c r="S26" s="39">
        <f>IF(O26="","",IF(O26="NA","",IF(O26="Mini disjuntor + DR",0.92,IF(O26="Mini disjuntor",0.92,IF(O26="Disjuntor Motor",0.92,IF(O26="Disjuntor C.M.",0.92,IF(O26="Disjuntor C.A.",0.92,IFERROR(VLOOKUP('Lista de Cargas'!P26,Motores!$B$9:$T$48,19,FALSE),"Erro"))))))))</f>
        <v>0.92</v>
      </c>
      <c r="T26" s="40">
        <f>IF(O26="","",IF(O26="NA","",IF(O26="Mini disjuntor + DR",100%,IF(O26="Mini disjuntor",100%,IF(O26="Disjuntor Motor",0.92,IF(O26="Disjuntor C.M.",100%,IF(O26="Disjuntor C.A.",100%,IFERROR(VLOOKUP('Lista de Cargas'!P26,Motores!$B$9:$T$48,16,FALSE)/100,"Erro"))))))))</f>
        <v>1</v>
      </c>
      <c r="U26" s="40" t="s">
        <v>445</v>
      </c>
      <c r="V26" s="39">
        <v>440</v>
      </c>
      <c r="W26" s="2">
        <f t="shared" si="1"/>
        <v>27.1</v>
      </c>
      <c r="X26" s="2">
        <f t="shared" ref="X26:X27" si="25">IFERROR(Q26/S26,0)</f>
        <v>20.652973829451291</v>
      </c>
      <c r="Y26" s="2">
        <f t="shared" si="3"/>
        <v>27.1</v>
      </c>
      <c r="Z26" s="1"/>
      <c r="AA26" s="1"/>
      <c r="AB26" s="1">
        <v>20</v>
      </c>
      <c r="AC26" s="1"/>
      <c r="AD26" s="1"/>
      <c r="AE26" s="1"/>
      <c r="AF26" s="1"/>
      <c r="AG26" s="1">
        <f t="shared" si="19"/>
        <v>20</v>
      </c>
      <c r="AH26" s="1">
        <v>1</v>
      </c>
      <c r="AI26" s="1" t="s">
        <v>1054</v>
      </c>
      <c r="AJ26" s="1">
        <f t="shared" si="20"/>
        <v>20</v>
      </c>
      <c r="AK26" s="1">
        <v>0</v>
      </c>
      <c r="AL26" s="1" t="s">
        <v>118</v>
      </c>
      <c r="AM26" s="1"/>
      <c r="AN26" s="1">
        <v>0</v>
      </c>
      <c r="AO26" s="1" t="s">
        <v>118</v>
      </c>
      <c r="AP26" s="1">
        <f t="shared" si="21"/>
        <v>0</v>
      </c>
      <c r="AQ26" s="1" t="s">
        <v>118</v>
      </c>
      <c r="AR26" s="1"/>
      <c r="AS26" s="1">
        <v>1</v>
      </c>
      <c r="AT26" s="1"/>
      <c r="AU26" s="1"/>
      <c r="AV26" s="17"/>
      <c r="AW26" s="2"/>
      <c r="AX26" s="2"/>
      <c r="AY26" s="2"/>
      <c r="AZ26" s="17"/>
      <c r="BA26" s="1"/>
      <c r="BB26" s="1"/>
      <c r="BC26" s="1"/>
      <c r="BD26" s="1"/>
      <c r="BE26" s="18"/>
      <c r="BF26" s="2"/>
      <c r="BG26" s="6"/>
      <c r="BH26" s="6"/>
    </row>
    <row r="27" spans="1:60" ht="12.75" hidden="1" customHeight="1" x14ac:dyDescent="0.2">
      <c r="A27" s="19" t="s">
        <v>959</v>
      </c>
      <c r="B27" s="19" t="s">
        <v>981</v>
      </c>
      <c r="C27" s="19" t="s">
        <v>992</v>
      </c>
      <c r="D27" s="20" t="s">
        <v>994</v>
      </c>
      <c r="E27" s="20"/>
      <c r="F27" s="21"/>
      <c r="G27" s="21"/>
      <c r="H27" s="21"/>
      <c r="I27" s="21"/>
      <c r="J27" s="21"/>
      <c r="K27" s="21"/>
      <c r="L27" s="21"/>
      <c r="M27" s="21"/>
      <c r="N27" s="32"/>
      <c r="O27" s="22" t="s">
        <v>448</v>
      </c>
      <c r="P27" s="23">
        <v>25.470155392888991</v>
      </c>
      <c r="Q27" s="34">
        <f t="shared" si="17"/>
        <v>19.000735923095188</v>
      </c>
      <c r="R27" s="39"/>
      <c r="S27" s="39">
        <f>IF(O27="","",IF(O27="NA","",IF(O27="Mini disjuntor + DR",0.92,IF(O27="Mini disjuntor",0.92,IF(O27="Disjuntor Motor",0.92,IF(O27="Disjuntor C.M.",0.92,IF(O27="Disjuntor C.A.",0.92,IFERROR(VLOOKUP('Lista de Cargas'!P27,Motores!$B$9:$T$48,19,FALSE),"Erro"))))))))</f>
        <v>0.92</v>
      </c>
      <c r="T27" s="40">
        <f>IF(O27="","",IF(O27="NA","",IF(O27="Mini disjuntor + DR",100%,IF(O27="Mini disjuntor",100%,IF(O27="Disjuntor Motor",0.92,IF(O27="Disjuntor C.M.",100%,IF(O27="Disjuntor C.A.",100%,IFERROR(VLOOKUP('Lista de Cargas'!P27,Motores!$B$9:$T$48,16,FALSE)/100,"Erro"))))))))</f>
        <v>1</v>
      </c>
      <c r="U27" s="40" t="s">
        <v>445</v>
      </c>
      <c r="V27" s="39">
        <v>440</v>
      </c>
      <c r="W27" s="2">
        <f t="shared" si="1"/>
        <v>27.1</v>
      </c>
      <c r="X27" s="2">
        <f t="shared" si="25"/>
        <v>20.652973829451291</v>
      </c>
      <c r="Y27" s="2">
        <f t="shared" si="3"/>
        <v>27.1</v>
      </c>
      <c r="Z27" s="1"/>
      <c r="AA27" s="1"/>
      <c r="AB27" s="1">
        <v>20</v>
      </c>
      <c r="AC27" s="1"/>
      <c r="AD27" s="1"/>
      <c r="AE27" s="1"/>
      <c r="AF27" s="1"/>
      <c r="AG27" s="1">
        <f t="shared" si="19"/>
        <v>20</v>
      </c>
      <c r="AH27" s="1">
        <v>1</v>
      </c>
      <c r="AI27" s="1" t="s">
        <v>1054</v>
      </c>
      <c r="AJ27" s="1">
        <f t="shared" si="20"/>
        <v>20</v>
      </c>
      <c r="AK27" s="1">
        <v>0</v>
      </c>
      <c r="AL27" s="1" t="s">
        <v>118</v>
      </c>
      <c r="AM27" s="1"/>
      <c r="AN27" s="1">
        <v>0</v>
      </c>
      <c r="AO27" s="1" t="s">
        <v>118</v>
      </c>
      <c r="AP27" s="1">
        <f t="shared" si="21"/>
        <v>0</v>
      </c>
      <c r="AQ27" s="1" t="s">
        <v>118</v>
      </c>
      <c r="AR27" s="1"/>
      <c r="AS27" s="1">
        <v>1</v>
      </c>
      <c r="AT27" s="1"/>
      <c r="AU27" s="1"/>
      <c r="AV27" s="17"/>
      <c r="AW27" s="2"/>
      <c r="AX27" s="2"/>
      <c r="AY27" s="2"/>
      <c r="AZ27" s="17"/>
      <c r="BA27" s="1"/>
      <c r="BB27" s="1"/>
      <c r="BC27" s="1"/>
      <c r="BD27" s="1"/>
      <c r="BE27" s="18"/>
      <c r="BF27" s="2"/>
      <c r="BG27" s="6"/>
      <c r="BH27" s="6"/>
    </row>
    <row r="28" spans="1:60" ht="12.75" hidden="1" customHeight="1" x14ac:dyDescent="0.2">
      <c r="A28" s="19" t="s">
        <v>959</v>
      </c>
      <c r="B28" s="19" t="s">
        <v>981</v>
      </c>
      <c r="C28" s="19" t="s">
        <v>995</v>
      </c>
      <c r="D28" s="20" t="s">
        <v>996</v>
      </c>
      <c r="E28" s="20"/>
      <c r="F28" s="21"/>
      <c r="G28" s="21"/>
      <c r="H28" s="21"/>
      <c r="I28" s="21"/>
      <c r="J28" s="21"/>
      <c r="K28" s="21"/>
      <c r="L28" s="21"/>
      <c r="M28" s="21"/>
      <c r="N28" s="32"/>
      <c r="O28" s="22" t="s">
        <v>448</v>
      </c>
      <c r="P28" s="23">
        <v>301.69446055783641</v>
      </c>
      <c r="Q28" s="34">
        <f t="shared" si="17"/>
        <v>225.06406757614596</v>
      </c>
      <c r="R28" s="39"/>
      <c r="S28" s="39">
        <f>IF(O28="","",IF(O28="NA","",IF(O28="Mini disjuntor + DR",0.92,IF(O28="Mini disjuntor",0.92,IF(O28="Disjuntor Motor",0.92,IF(O28="Disjuntor C.M.",0.92,IF(O28="Disjuntor C.A.",0.92,IFERROR(VLOOKUP('Lista de Cargas'!P28,Motores!$B$9:$T$48,19,FALSE),"Erro"))))))))</f>
        <v>0.92</v>
      </c>
      <c r="T28" s="40">
        <f>IF(O28="","",IF(O28="NA","",IF(O28="Mini disjuntor + DR",100%,IF(O28="Mini disjuntor",100%,IF(O28="Disjuntor Motor",0.92,IF(O28="Disjuntor C.M.",100%,IF(O28="Disjuntor C.A.",100%,IFERROR(VLOOKUP('Lista de Cargas'!P28,Motores!$B$9:$T$48,16,FALSE)/100,"Erro"))))))))</f>
        <v>1</v>
      </c>
      <c r="U28" s="40" t="s">
        <v>445</v>
      </c>
      <c r="V28" s="39">
        <v>440</v>
      </c>
      <c r="W28" s="2">
        <f t="shared" si="1"/>
        <v>321</v>
      </c>
      <c r="X28" s="2">
        <f t="shared" si="18"/>
        <v>244.63485606102822</v>
      </c>
      <c r="Y28" s="2">
        <f t="shared" si="3"/>
        <v>321</v>
      </c>
      <c r="Z28" s="1"/>
      <c r="AA28" s="1"/>
      <c r="AB28" s="1">
        <v>20</v>
      </c>
      <c r="AC28" s="1"/>
      <c r="AD28" s="1"/>
      <c r="AE28" s="1"/>
      <c r="AF28" s="1"/>
      <c r="AG28" s="1">
        <f t="shared" si="19"/>
        <v>20</v>
      </c>
      <c r="AH28" s="1">
        <v>3</v>
      </c>
      <c r="AI28" s="1" t="s">
        <v>1055</v>
      </c>
      <c r="AJ28" s="1">
        <f t="shared" si="20"/>
        <v>60</v>
      </c>
      <c r="AK28" s="1">
        <v>0</v>
      </c>
      <c r="AL28" s="1" t="s">
        <v>118</v>
      </c>
      <c r="AM28" s="1"/>
      <c r="AN28" s="1">
        <v>1</v>
      </c>
      <c r="AO28" s="1" t="s">
        <v>1056</v>
      </c>
      <c r="AP28" s="1">
        <f t="shared" si="21"/>
        <v>20</v>
      </c>
      <c r="AQ28" s="1" t="s">
        <v>118</v>
      </c>
      <c r="AR28" s="1"/>
      <c r="AS28" s="1">
        <v>1</v>
      </c>
      <c r="AT28" s="1"/>
      <c r="AU28" s="1"/>
      <c r="AV28" s="17"/>
      <c r="AW28" s="2"/>
      <c r="AX28" s="2"/>
      <c r="AY28" s="2"/>
      <c r="AZ28" s="17"/>
      <c r="BA28" s="1"/>
      <c r="BB28" s="1"/>
      <c r="BC28" s="1"/>
      <c r="BD28" s="1"/>
      <c r="BE28" s="18"/>
      <c r="BF28" s="2"/>
      <c r="BG28" s="6"/>
      <c r="BH28" s="6"/>
    </row>
    <row r="29" spans="1:60" ht="12.75" hidden="1" customHeight="1" x14ac:dyDescent="0.2">
      <c r="A29" s="19" t="s">
        <v>959</v>
      </c>
      <c r="B29" s="19" t="s">
        <v>981</v>
      </c>
      <c r="C29" s="19" t="s">
        <v>997</v>
      </c>
      <c r="D29" s="20" t="s">
        <v>998</v>
      </c>
      <c r="E29" s="20"/>
      <c r="F29" s="21"/>
      <c r="G29" s="21"/>
      <c r="H29" s="21"/>
      <c r="I29" s="21"/>
      <c r="J29" s="21"/>
      <c r="K29" s="21"/>
      <c r="L29" s="21"/>
      <c r="M29" s="21"/>
      <c r="N29" s="32"/>
      <c r="O29" s="22" t="s">
        <v>448</v>
      </c>
      <c r="P29" s="23">
        <v>34.304821839130923</v>
      </c>
      <c r="Q29" s="34">
        <f t="shared" si="17"/>
        <v>25.59139709199167</v>
      </c>
      <c r="R29" s="39"/>
      <c r="S29" s="39">
        <f>IF(O29="","",IF(O29="NA","",IF(O29="Mini disjuntor + DR",0.92,IF(O29="Mini disjuntor",0.92,IF(O29="Disjuntor Motor",0.92,IF(O29="Disjuntor C.M.",0.92,IF(O29="Disjuntor C.A.",0.92,IFERROR(VLOOKUP('Lista de Cargas'!P29,Motores!$B$9:$T$48,19,FALSE),"Erro"))))))))</f>
        <v>0.92</v>
      </c>
      <c r="T29" s="40">
        <f>IF(O29="","",IF(O29="NA","",IF(O29="Mini disjuntor + DR",100%,IF(O29="Mini disjuntor",100%,IF(O29="Disjuntor Motor",0.92,IF(O29="Disjuntor C.M.",100%,IF(O29="Disjuntor C.A.",100%,IFERROR(VLOOKUP('Lista de Cargas'!P29,Motores!$B$9:$T$48,16,FALSE)/100,"Erro"))))))))</f>
        <v>1</v>
      </c>
      <c r="U29" s="40" t="s">
        <v>445</v>
      </c>
      <c r="V29" s="39">
        <v>440</v>
      </c>
      <c r="W29" s="2">
        <f t="shared" si="1"/>
        <v>36.499999999999993</v>
      </c>
      <c r="X29" s="2">
        <f t="shared" si="18"/>
        <v>27.816735969556163</v>
      </c>
      <c r="Y29" s="2">
        <f t="shared" si="3"/>
        <v>36.499999999999993</v>
      </c>
      <c r="Z29" s="1"/>
      <c r="AA29" s="1"/>
      <c r="AB29" s="1">
        <v>100</v>
      </c>
      <c r="AC29" s="1"/>
      <c r="AD29" s="1"/>
      <c r="AE29" s="1"/>
      <c r="AF29" s="1"/>
      <c r="AG29" s="1">
        <f t="shared" si="19"/>
        <v>100</v>
      </c>
      <c r="AH29" s="1">
        <v>1</v>
      </c>
      <c r="AI29" s="1" t="s">
        <v>1057</v>
      </c>
      <c r="AJ29" s="1">
        <f t="shared" si="20"/>
        <v>100</v>
      </c>
      <c r="AK29" s="1">
        <v>0</v>
      </c>
      <c r="AL29" s="1" t="s">
        <v>118</v>
      </c>
      <c r="AM29" s="1"/>
      <c r="AN29" s="1">
        <v>0</v>
      </c>
      <c r="AO29" s="1" t="s">
        <v>118</v>
      </c>
      <c r="AP29" s="1">
        <f t="shared" si="21"/>
        <v>0</v>
      </c>
      <c r="AQ29" s="1" t="s">
        <v>118</v>
      </c>
      <c r="AR29" s="1"/>
      <c r="AS29" s="1">
        <v>1</v>
      </c>
      <c r="AT29" s="1"/>
      <c r="AU29" s="1"/>
      <c r="AV29" s="17"/>
      <c r="AW29" s="2"/>
      <c r="AX29" s="2"/>
      <c r="AY29" s="2"/>
      <c r="AZ29" s="17"/>
      <c r="BA29" s="1"/>
      <c r="BB29" s="1"/>
      <c r="BC29" s="1"/>
      <c r="BD29" s="1"/>
      <c r="BE29" s="18"/>
      <c r="BF29" s="2"/>
      <c r="BG29" s="6"/>
      <c r="BH29" s="6"/>
    </row>
    <row r="30" spans="1:60" ht="12.75" hidden="1" customHeight="1" x14ac:dyDescent="0.2">
      <c r="A30" s="19" t="s">
        <v>959</v>
      </c>
      <c r="B30" s="19" t="s">
        <v>981</v>
      </c>
      <c r="C30" s="19" t="s">
        <v>999</v>
      </c>
      <c r="D30" s="20" t="s">
        <v>1000</v>
      </c>
      <c r="E30" s="20"/>
      <c r="F30" s="21"/>
      <c r="G30" s="21"/>
      <c r="H30" s="21"/>
      <c r="I30" s="21"/>
      <c r="J30" s="21"/>
      <c r="K30" s="21"/>
      <c r="L30" s="21"/>
      <c r="M30" s="21"/>
      <c r="N30" s="32"/>
      <c r="O30" s="22" t="s">
        <v>448</v>
      </c>
      <c r="P30" s="23">
        <v>185.1990450246781</v>
      </c>
      <c r="Q30" s="34">
        <f t="shared" si="17"/>
        <v>138.15848758840986</v>
      </c>
      <c r="R30" s="39"/>
      <c r="S30" s="39">
        <f>IF(O30="","",IF(O30="NA","",IF(O30="Mini disjuntor + DR",0.92,IF(O30="Mini disjuntor",0.92,IF(O30="Disjuntor Motor",0.92,IF(O30="Disjuntor C.M.",0.92,IF(O30="Disjuntor C.A.",0.92,IFERROR(VLOOKUP('Lista de Cargas'!P30,Motores!$B$9:$T$48,19,FALSE),"Erro"))))))))</f>
        <v>0.92</v>
      </c>
      <c r="T30" s="40">
        <f>IF(O30="","",IF(O30="NA","",IF(O30="Mini disjuntor + DR",100%,IF(O30="Mini disjuntor",100%,IF(O30="Disjuntor Motor",0.92,IF(O30="Disjuntor C.M.",100%,IF(O30="Disjuntor C.A.",100%,IFERROR(VLOOKUP('Lista de Cargas'!P30,Motores!$B$9:$T$48,16,FALSE)/100,"Erro"))))))))</f>
        <v>1</v>
      </c>
      <c r="U30" s="40" t="s">
        <v>445</v>
      </c>
      <c r="V30" s="39">
        <v>440</v>
      </c>
      <c r="W30" s="2">
        <f t="shared" si="1"/>
        <v>197.05</v>
      </c>
      <c r="X30" s="2">
        <f t="shared" si="18"/>
        <v>150.17226911783681</v>
      </c>
      <c r="Y30" s="2">
        <f t="shared" si="3"/>
        <v>197.05</v>
      </c>
      <c r="Z30" s="1"/>
      <c r="AA30" s="1"/>
      <c r="AB30" s="1">
        <v>20</v>
      </c>
      <c r="AC30" s="1"/>
      <c r="AD30" s="1"/>
      <c r="AE30" s="1"/>
      <c r="AF30" s="1"/>
      <c r="AG30" s="1">
        <f t="shared" si="19"/>
        <v>20</v>
      </c>
      <c r="AH30" s="1">
        <v>3</v>
      </c>
      <c r="AI30" s="1" t="s">
        <v>1058</v>
      </c>
      <c r="AJ30" s="1">
        <f t="shared" si="20"/>
        <v>60</v>
      </c>
      <c r="AK30" s="1">
        <v>0</v>
      </c>
      <c r="AL30" s="1" t="s">
        <v>118</v>
      </c>
      <c r="AM30" s="1"/>
      <c r="AN30" s="1">
        <v>1</v>
      </c>
      <c r="AO30" s="1" t="s">
        <v>1059</v>
      </c>
      <c r="AP30" s="1">
        <f t="shared" si="21"/>
        <v>20</v>
      </c>
      <c r="AQ30" s="1" t="s">
        <v>118</v>
      </c>
      <c r="AR30" s="1"/>
      <c r="AS30" s="1">
        <v>1</v>
      </c>
      <c r="AT30" s="1"/>
      <c r="AU30" s="1"/>
      <c r="AV30" s="17"/>
      <c r="AW30" s="2"/>
      <c r="AX30" s="2"/>
      <c r="AY30" s="2"/>
      <c r="AZ30" s="17"/>
      <c r="BA30" s="1"/>
      <c r="BB30" s="1"/>
      <c r="BC30" s="1"/>
      <c r="BD30" s="1"/>
      <c r="BE30" s="18"/>
      <c r="BF30" s="2"/>
      <c r="BG30" s="6"/>
      <c r="BH30" s="6"/>
    </row>
    <row r="31" spans="1:60" ht="12.75" hidden="1" customHeight="1" x14ac:dyDescent="0.2">
      <c r="A31" s="19" t="s">
        <v>959</v>
      </c>
      <c r="B31" s="19" t="s">
        <v>981</v>
      </c>
      <c r="C31" s="19" t="s">
        <v>1001</v>
      </c>
      <c r="D31" s="20" t="s">
        <v>1002</v>
      </c>
      <c r="E31" s="20"/>
      <c r="F31" s="21"/>
      <c r="G31" s="21"/>
      <c r="H31" s="21"/>
      <c r="I31" s="21"/>
      <c r="J31" s="21"/>
      <c r="K31" s="21"/>
      <c r="L31" s="21"/>
      <c r="M31" s="21"/>
      <c r="N31" s="32"/>
      <c r="O31" s="22" t="s">
        <v>448</v>
      </c>
      <c r="P31" s="23">
        <v>925.94823221676131</v>
      </c>
      <c r="Q31" s="34">
        <f t="shared" si="17"/>
        <v>690.75738123370388</v>
      </c>
      <c r="R31" s="39"/>
      <c r="S31" s="39">
        <f>IF(O31="","",IF(O31="NA","",IF(O31="Mini disjuntor + DR",0.92,IF(O31="Mini disjuntor",0.92,IF(O31="Disjuntor Motor",0.92,IF(O31="Disjuntor C.M.",0.92,IF(O31="Disjuntor C.A.",0.92,IFERROR(VLOOKUP('Lista de Cargas'!P31,Motores!$B$9:$T$48,19,FALSE),"Erro"))))))))</f>
        <v>0.92</v>
      </c>
      <c r="T31" s="40">
        <f>IF(O31="","",IF(O31="NA","",IF(O31="Mini disjuntor + DR",100%,IF(O31="Mini disjuntor",100%,IF(O31="Disjuntor Motor",0.92,IF(O31="Disjuntor C.M.",100%,IF(O31="Disjuntor C.A.",100%,IFERROR(VLOOKUP('Lista de Cargas'!P31,Motores!$B$9:$T$48,16,FALSE)/100,"Erro"))))))))</f>
        <v>1</v>
      </c>
      <c r="U31" s="40" t="s">
        <v>445</v>
      </c>
      <c r="V31" s="39">
        <v>440</v>
      </c>
      <c r="W31" s="2">
        <f t="shared" si="1"/>
        <v>985.19999999999982</v>
      </c>
      <c r="X31" s="2">
        <f t="shared" si="18"/>
        <v>750.82324047141719</v>
      </c>
      <c r="Y31" s="2">
        <f t="shared" si="3"/>
        <v>985.19999999999982</v>
      </c>
      <c r="Z31" s="1"/>
      <c r="AA31" s="1"/>
      <c r="AB31" s="1">
        <v>20</v>
      </c>
      <c r="AC31" s="1"/>
      <c r="AD31" s="1"/>
      <c r="AE31" s="1"/>
      <c r="AF31" s="1"/>
      <c r="AG31" s="1">
        <f t="shared" si="19"/>
        <v>20</v>
      </c>
      <c r="AH31" s="1">
        <v>6</v>
      </c>
      <c r="AI31" s="1" t="s">
        <v>1046</v>
      </c>
      <c r="AJ31" s="1">
        <f t="shared" si="20"/>
        <v>120</v>
      </c>
      <c r="AK31" s="1">
        <v>0</v>
      </c>
      <c r="AL31" s="1" t="s">
        <v>118</v>
      </c>
      <c r="AM31" s="1"/>
      <c r="AN31" s="1">
        <v>1</v>
      </c>
      <c r="AO31" s="1" t="s">
        <v>1047</v>
      </c>
      <c r="AP31" s="1">
        <f t="shared" si="21"/>
        <v>20</v>
      </c>
      <c r="AQ31" s="1" t="s">
        <v>118</v>
      </c>
      <c r="AR31" s="1"/>
      <c r="AS31" s="1">
        <v>1</v>
      </c>
      <c r="AT31" s="1"/>
      <c r="AU31" s="1"/>
      <c r="AV31" s="17"/>
      <c r="AW31" s="2"/>
      <c r="AX31" s="2"/>
      <c r="AY31" s="2"/>
      <c r="AZ31" s="17"/>
      <c r="BA31" s="1"/>
      <c r="BB31" s="1"/>
      <c r="BC31" s="1"/>
      <c r="BD31" s="1"/>
      <c r="BE31" s="18"/>
      <c r="BF31" s="2"/>
      <c r="BG31" s="6"/>
      <c r="BH31" s="6"/>
    </row>
    <row r="32" spans="1:60" ht="12.75" hidden="1" customHeight="1" x14ac:dyDescent="0.2">
      <c r="A32" s="19" t="s">
        <v>961</v>
      </c>
      <c r="B32" s="19" t="s">
        <v>1003</v>
      </c>
      <c r="C32" s="19" t="s">
        <v>962</v>
      </c>
      <c r="D32" s="20" t="s">
        <v>965</v>
      </c>
      <c r="E32" s="20"/>
      <c r="F32" s="21"/>
      <c r="G32" s="21"/>
      <c r="H32" s="21"/>
      <c r="I32" s="21"/>
      <c r="J32" s="21"/>
      <c r="K32" s="21"/>
      <c r="L32" s="21"/>
      <c r="M32" s="21"/>
      <c r="N32" s="32"/>
      <c r="O32" s="22" t="s">
        <v>447</v>
      </c>
      <c r="P32" s="23">
        <v>3007.5460242525751</v>
      </c>
      <c r="Q32" s="34">
        <f t="shared" si="17"/>
        <v>2243.6293340924208</v>
      </c>
      <c r="R32" s="39"/>
      <c r="S32" s="39">
        <f>IF(O32="","",IF(O32="NA","",IF(O32="Mini disjuntor + DR",0.92,IF(O32="Mini disjuntor",0.92,IF(O32="Disjuntor Motor",0.92,IF(O32="Disjuntor C.M.",0.92,IF(O32="Disjuntor C.A.",0.92,IFERROR(VLOOKUP('Lista de Cargas'!P32,Motores!$B$9:$T$48,19,FALSE),"Erro"))))))))</f>
        <v>0.92</v>
      </c>
      <c r="T32" s="40">
        <f>IF(O32="","",IF(O32="NA","",IF(O32="Mini disjuntor + DR",100%,IF(O32="Mini disjuntor",100%,IF(O32="Disjuntor Motor",0.92,IF(O32="Disjuntor C.M.",100%,IF(O32="Disjuntor C.A.",100%,IFERROR(VLOOKUP('Lista de Cargas'!P32,Motores!$B$9:$T$48,16,FALSE)/100,"Erro"))))))))</f>
        <v>1</v>
      </c>
      <c r="U32" s="40" t="s">
        <v>445</v>
      </c>
      <c r="V32" s="39">
        <v>440</v>
      </c>
      <c r="W32" s="2">
        <f t="shared" si="1"/>
        <v>3200.0000000000005</v>
      </c>
      <c r="X32" s="2">
        <f t="shared" ref="X32" si="26">IFERROR(Q32/S32,0)</f>
        <v>2438.7275370569791</v>
      </c>
      <c r="Y32" s="2">
        <f t="shared" si="3"/>
        <v>3200.0000000000005</v>
      </c>
      <c r="Z32" s="1"/>
      <c r="AA32" s="1"/>
      <c r="AB32" s="1">
        <v>20</v>
      </c>
      <c r="AC32" s="1"/>
      <c r="AD32" s="1"/>
      <c r="AE32" s="1"/>
      <c r="AF32" s="1"/>
      <c r="AG32" s="1">
        <f t="shared" si="19"/>
        <v>20</v>
      </c>
      <c r="AH32" s="1">
        <v>21</v>
      </c>
      <c r="AI32" s="1" t="s">
        <v>1046</v>
      </c>
      <c r="AJ32" s="1">
        <f t="shared" si="20"/>
        <v>420</v>
      </c>
      <c r="AK32" s="1">
        <v>0</v>
      </c>
      <c r="AL32" s="1" t="s">
        <v>118</v>
      </c>
      <c r="AM32" s="1"/>
      <c r="AN32" s="1">
        <v>4</v>
      </c>
      <c r="AO32" s="1" t="s">
        <v>1047</v>
      </c>
      <c r="AP32" s="1">
        <f t="shared" si="21"/>
        <v>80</v>
      </c>
      <c r="AQ32" s="1" t="s">
        <v>118</v>
      </c>
      <c r="AR32" s="1"/>
      <c r="AS32" s="1">
        <v>1</v>
      </c>
      <c r="AT32" s="1"/>
      <c r="AU32" s="1"/>
      <c r="AV32" s="17"/>
      <c r="AW32" s="2"/>
      <c r="AX32" s="2"/>
      <c r="AY32" s="2"/>
      <c r="AZ32" s="17"/>
      <c r="BA32" s="1"/>
      <c r="BB32" s="1"/>
      <c r="BC32" s="1"/>
      <c r="BD32" s="1"/>
      <c r="BE32" s="18"/>
      <c r="BF32" s="2"/>
      <c r="BG32" s="6"/>
      <c r="BH32" s="6"/>
    </row>
    <row r="33" spans="1:60" ht="12.75" hidden="1" customHeight="1" x14ac:dyDescent="0.2">
      <c r="A33" s="19" t="s">
        <v>961</v>
      </c>
      <c r="B33" s="19" t="s">
        <v>1003</v>
      </c>
      <c r="C33" s="19" t="s">
        <v>1004</v>
      </c>
      <c r="D33" s="20" t="s">
        <v>672</v>
      </c>
      <c r="E33" s="20"/>
      <c r="F33" s="21"/>
      <c r="G33" s="21"/>
      <c r="H33" s="21"/>
      <c r="I33" s="21"/>
      <c r="J33" s="21"/>
      <c r="K33" s="21"/>
      <c r="L33" s="21"/>
      <c r="M33" s="21"/>
      <c r="N33" s="32"/>
      <c r="O33" s="22" t="s">
        <v>448</v>
      </c>
      <c r="P33" s="23">
        <v>141.1666915133552</v>
      </c>
      <c r="Q33" s="34">
        <f t="shared" si="17"/>
        <v>105.31035186896298</v>
      </c>
      <c r="R33" s="39"/>
      <c r="S33" s="39">
        <f>IF(O33="","",IF(O33="NA","",IF(O33="Mini disjuntor + DR",0.92,IF(O33="Mini disjuntor",0.92,IF(O33="Disjuntor Motor",0.92,IF(O33="Disjuntor C.M.",0.92,IF(O33="Disjuntor C.A.",0.92,IFERROR(VLOOKUP('Lista de Cargas'!P33,Motores!$B$9:$T$48,19,FALSE),"Erro"))))))))</f>
        <v>0.92</v>
      </c>
      <c r="T33" s="40">
        <f>IF(O33="","",IF(O33="NA","",IF(O33="Mini disjuntor + DR",100%,IF(O33="Mini disjuntor",100%,IF(O33="Disjuntor Motor",0.92,IF(O33="Disjuntor C.M.",100%,IF(O33="Disjuntor C.A.",100%,IFERROR(VLOOKUP('Lista de Cargas'!P33,Motores!$B$9:$T$48,16,FALSE)/100,"Erro"))))))))</f>
        <v>1</v>
      </c>
      <c r="U33" s="40" t="s">
        <v>445</v>
      </c>
      <c r="V33" s="39">
        <v>440</v>
      </c>
      <c r="W33" s="2">
        <f t="shared" si="1"/>
        <v>150.19999999999999</v>
      </c>
      <c r="X33" s="2">
        <f t="shared" si="18"/>
        <v>114.46777377061193</v>
      </c>
      <c r="Y33" s="2">
        <f t="shared" si="3"/>
        <v>150.19999999999999</v>
      </c>
      <c r="Z33" s="1"/>
      <c r="AA33" s="1"/>
      <c r="AB33" s="1">
        <v>20</v>
      </c>
      <c r="AC33" s="1"/>
      <c r="AD33" s="1"/>
      <c r="AE33" s="1"/>
      <c r="AF33" s="1"/>
      <c r="AG33" s="1">
        <f t="shared" si="19"/>
        <v>20</v>
      </c>
      <c r="AH33" s="1">
        <v>3</v>
      </c>
      <c r="AI33" s="1" t="s">
        <v>1060</v>
      </c>
      <c r="AJ33" s="1">
        <f t="shared" si="20"/>
        <v>60</v>
      </c>
      <c r="AK33" s="1">
        <v>0</v>
      </c>
      <c r="AL33" s="1" t="s">
        <v>118</v>
      </c>
      <c r="AM33" s="1"/>
      <c r="AN33" s="1">
        <v>1</v>
      </c>
      <c r="AO33" s="1" t="s">
        <v>1059</v>
      </c>
      <c r="AP33" s="1">
        <f t="shared" si="21"/>
        <v>20</v>
      </c>
      <c r="AQ33" s="1" t="s">
        <v>118</v>
      </c>
      <c r="AR33" s="1"/>
      <c r="AS33" s="1">
        <v>1</v>
      </c>
      <c r="AT33" s="1"/>
      <c r="AU33" s="1"/>
      <c r="AV33" s="17"/>
      <c r="AW33" s="2"/>
      <c r="AX33" s="2"/>
      <c r="AY33" s="2"/>
      <c r="AZ33" s="17"/>
      <c r="BA33" s="1"/>
      <c r="BB33" s="1"/>
      <c r="BC33" s="1"/>
      <c r="BD33" s="1"/>
      <c r="BE33" s="18"/>
      <c r="BF33" s="2"/>
      <c r="BG33" s="6"/>
      <c r="BH33" s="6"/>
    </row>
    <row r="34" spans="1:60" ht="12.75" hidden="1" customHeight="1" x14ac:dyDescent="0.2">
      <c r="A34" s="19" t="s">
        <v>961</v>
      </c>
      <c r="B34" s="19" t="s">
        <v>1003</v>
      </c>
      <c r="C34" s="19" t="s">
        <v>1005</v>
      </c>
      <c r="D34" s="20" t="s">
        <v>1006</v>
      </c>
      <c r="E34" s="20"/>
      <c r="F34" s="21"/>
      <c r="G34" s="21"/>
      <c r="H34" s="21"/>
      <c r="I34" s="21"/>
      <c r="J34" s="21"/>
      <c r="K34" s="21"/>
      <c r="L34" s="21"/>
      <c r="M34" s="21"/>
      <c r="N34" s="32"/>
      <c r="O34" s="22" t="s">
        <v>448</v>
      </c>
      <c r="P34" s="23">
        <v>273.02878751417904</v>
      </c>
      <c r="Q34" s="34">
        <f t="shared" si="17"/>
        <v>203.67947548557757</v>
      </c>
      <c r="R34" s="39"/>
      <c r="S34" s="39">
        <f>IF(O34="","",IF(O34="NA","",IF(O34="Mini disjuntor + DR",0.92,IF(O34="Mini disjuntor",0.92,IF(O34="Disjuntor Motor",0.92,IF(O34="Disjuntor C.M.",0.92,IF(O34="Disjuntor C.A.",0.92,IFERROR(VLOOKUP('Lista de Cargas'!P34,Motores!$B$9:$T$48,19,FALSE),"Erro"))))))))</f>
        <v>0.92</v>
      </c>
      <c r="T34" s="40">
        <f>IF(O34="","",IF(O34="NA","",IF(O34="Mini disjuntor + DR",100%,IF(O34="Mini disjuntor",100%,IF(O34="Disjuntor Motor",0.92,IF(O34="Disjuntor C.M.",100%,IF(O34="Disjuntor C.A.",100%,IFERROR(VLOOKUP('Lista de Cargas'!P34,Motores!$B$9:$T$48,16,FALSE)/100,"Erro"))))))))</f>
        <v>1</v>
      </c>
      <c r="U34" s="40" t="s">
        <v>445</v>
      </c>
      <c r="V34" s="39">
        <v>440</v>
      </c>
      <c r="W34" s="2">
        <f t="shared" ref="W34:W65" si="27">IFERROR(IF(U34=$U$344,(P34*746)/(SQRT(3)*S34*T34*V34),(P34*746)/(S34*T34*V34)),0)</f>
        <v>290.5</v>
      </c>
      <c r="X34" s="2">
        <f t="shared" si="18"/>
        <v>221.39073422345388</v>
      </c>
      <c r="Y34" s="2">
        <f t="shared" ref="Y34:Y65" si="28">IFERROR(IF(O34=$O$344,6*W34,IF(O34=$O$345,6*W34,IF(O34=$O$346,3*W34,IF(O34=$O$347,1.5*W34,W34)))),0)</f>
        <v>290.5</v>
      </c>
      <c r="Z34" s="1"/>
      <c r="AA34" s="1"/>
      <c r="AB34" s="1">
        <v>20</v>
      </c>
      <c r="AC34" s="1"/>
      <c r="AD34" s="1"/>
      <c r="AE34" s="1"/>
      <c r="AF34" s="1"/>
      <c r="AG34" s="1">
        <f t="shared" si="19"/>
        <v>20</v>
      </c>
      <c r="AH34" s="1">
        <v>3</v>
      </c>
      <c r="AI34" s="1" t="s">
        <v>1055</v>
      </c>
      <c r="AJ34" s="1">
        <f t="shared" si="20"/>
        <v>60</v>
      </c>
      <c r="AK34" s="1">
        <v>0</v>
      </c>
      <c r="AL34" s="1" t="s">
        <v>118</v>
      </c>
      <c r="AM34" s="1"/>
      <c r="AN34" s="1">
        <v>1</v>
      </c>
      <c r="AO34" s="1" t="s">
        <v>1056</v>
      </c>
      <c r="AP34" s="1">
        <f t="shared" si="21"/>
        <v>20</v>
      </c>
      <c r="AQ34" s="1" t="s">
        <v>118</v>
      </c>
      <c r="AR34" s="1"/>
      <c r="AS34" s="1">
        <v>1</v>
      </c>
      <c r="AT34" s="1"/>
      <c r="AU34" s="1"/>
      <c r="AV34" s="17"/>
      <c r="AW34" s="2"/>
      <c r="AX34" s="2"/>
      <c r="AY34" s="2"/>
      <c r="AZ34" s="17"/>
      <c r="BA34" s="1"/>
      <c r="BB34" s="1"/>
      <c r="BC34" s="1"/>
      <c r="BD34" s="1"/>
      <c r="BE34" s="18"/>
      <c r="BF34" s="2"/>
      <c r="BG34" s="6"/>
      <c r="BH34" s="6"/>
    </row>
    <row r="35" spans="1:60" ht="12.75" hidden="1" customHeight="1" x14ac:dyDescent="0.2">
      <c r="A35" s="19" t="s">
        <v>961</v>
      </c>
      <c r="B35" s="19" t="s">
        <v>1003</v>
      </c>
      <c r="C35" s="19" t="s">
        <v>1007</v>
      </c>
      <c r="D35" s="20" t="s">
        <v>1008</v>
      </c>
      <c r="E35" s="20"/>
      <c r="F35" s="21"/>
      <c r="G35" s="21"/>
      <c r="H35" s="21"/>
      <c r="I35" s="21"/>
      <c r="J35" s="21"/>
      <c r="K35" s="21"/>
      <c r="L35" s="21"/>
      <c r="M35" s="21"/>
      <c r="N35" s="32"/>
      <c r="O35" s="22" t="s">
        <v>448</v>
      </c>
      <c r="P35" s="23">
        <v>1748.2301124100668</v>
      </c>
      <c r="Q35" s="34">
        <f t="shared" si="17"/>
        <v>1304.1796638579099</v>
      </c>
      <c r="R35" s="39"/>
      <c r="S35" s="39">
        <f>IF(O35="","",IF(O35="NA","",IF(O35="Mini disjuntor + DR",0.92,IF(O35="Mini disjuntor",0.92,IF(O35="Disjuntor Motor",0.92,IF(O35="Disjuntor C.M.",0.92,IF(O35="Disjuntor C.A.",0.92,IFERROR(VLOOKUP('Lista de Cargas'!P35,Motores!$B$9:$T$48,19,FALSE),"Erro"))))))))</f>
        <v>0.92</v>
      </c>
      <c r="T35" s="40">
        <f>IF(O35="","",IF(O35="NA","",IF(O35="Mini disjuntor + DR",100%,IF(O35="Mini disjuntor",100%,IF(O35="Disjuntor Motor",0.92,IF(O35="Disjuntor C.M.",100%,IF(O35="Disjuntor C.A.",100%,IFERROR(VLOOKUP('Lista de Cargas'!P35,Motores!$B$9:$T$48,16,FALSE)/100,"Erro"))))))))</f>
        <v>1</v>
      </c>
      <c r="U35" s="40" t="s">
        <v>445</v>
      </c>
      <c r="V35" s="39">
        <v>440</v>
      </c>
      <c r="W35" s="2">
        <f t="shared" si="27"/>
        <v>1860.1</v>
      </c>
      <c r="X35" s="2">
        <f t="shared" si="18"/>
        <v>1417.586591149902</v>
      </c>
      <c r="Y35" s="2">
        <f t="shared" si="28"/>
        <v>1860.1</v>
      </c>
      <c r="Z35" s="1"/>
      <c r="AA35" s="1"/>
      <c r="AB35" s="1">
        <v>20</v>
      </c>
      <c r="AC35" s="1"/>
      <c r="AD35" s="1"/>
      <c r="AE35" s="1"/>
      <c r="AF35" s="1"/>
      <c r="AG35" s="1">
        <f t="shared" si="19"/>
        <v>20</v>
      </c>
      <c r="AH35" s="1">
        <v>12</v>
      </c>
      <c r="AI35" s="1" t="s">
        <v>1046</v>
      </c>
      <c r="AJ35" s="1">
        <f t="shared" si="20"/>
        <v>240</v>
      </c>
      <c r="AK35" s="1">
        <v>0</v>
      </c>
      <c r="AL35" s="1" t="s">
        <v>118</v>
      </c>
      <c r="AM35" s="1"/>
      <c r="AN35" s="1">
        <v>2</v>
      </c>
      <c r="AO35" s="1" t="s">
        <v>1047</v>
      </c>
      <c r="AP35" s="1">
        <f t="shared" si="21"/>
        <v>40</v>
      </c>
      <c r="AQ35" s="1" t="s">
        <v>118</v>
      </c>
      <c r="AR35" s="1"/>
      <c r="AS35" s="1">
        <v>1</v>
      </c>
      <c r="AT35" s="1"/>
      <c r="AU35" s="1"/>
      <c r="AV35" s="17"/>
      <c r="AW35" s="2"/>
      <c r="AX35" s="2"/>
      <c r="AY35" s="2"/>
      <c r="AZ35" s="17"/>
      <c r="BA35" s="1"/>
      <c r="BB35" s="1"/>
      <c r="BC35" s="1"/>
      <c r="BD35" s="1"/>
      <c r="BE35" s="18"/>
      <c r="BF35" s="2"/>
      <c r="BG35" s="6"/>
      <c r="BH35" s="6"/>
    </row>
    <row r="36" spans="1:60" ht="12.75" hidden="1" customHeight="1" x14ac:dyDescent="0.2">
      <c r="A36" s="19" t="s">
        <v>961</v>
      </c>
      <c r="B36" s="19" t="s">
        <v>1003</v>
      </c>
      <c r="C36" s="19" t="s">
        <v>1009</v>
      </c>
      <c r="D36" s="20" t="s">
        <v>1045</v>
      </c>
      <c r="E36" s="20"/>
      <c r="F36" s="21"/>
      <c r="G36" s="21"/>
      <c r="H36" s="21"/>
      <c r="I36" s="21"/>
      <c r="J36" s="21"/>
      <c r="K36" s="21"/>
      <c r="L36" s="21"/>
      <c r="M36" s="21"/>
      <c r="N36" s="32"/>
      <c r="O36" s="22" t="s">
        <v>448</v>
      </c>
      <c r="P36" s="23">
        <v>127.1628053379292</v>
      </c>
      <c r="Q36" s="34">
        <f t="shared" si="17"/>
        <v>94.86345278209518</v>
      </c>
      <c r="R36" s="39"/>
      <c r="S36" s="39">
        <f>IF(O36="","",IF(O36="NA","",IF(O36="Mini disjuntor + DR",0.92,IF(O36="Mini disjuntor",0.92,IF(O36="Disjuntor Motor",0.92,IF(O36="Disjuntor C.M.",0.92,IF(O36="Disjuntor C.A.",0.92,IFERROR(VLOOKUP('Lista de Cargas'!P36,Motores!$B$9:$T$48,19,FALSE),"Erro"))))))))</f>
        <v>0.92</v>
      </c>
      <c r="T36" s="40">
        <f>IF(O36="","",IF(O36="NA","",IF(O36="Mini disjuntor + DR",100%,IF(O36="Mini disjuntor",100%,IF(O36="Disjuntor Motor",0.92,IF(O36="Disjuntor C.M.",100%,IF(O36="Disjuntor C.A.",100%,IFERROR(VLOOKUP('Lista de Cargas'!P36,Motores!$B$9:$T$48,16,FALSE)/100,"Erro"))))))))</f>
        <v>1</v>
      </c>
      <c r="U36" s="40" t="s">
        <v>445</v>
      </c>
      <c r="V36" s="39">
        <v>440</v>
      </c>
      <c r="W36" s="2">
        <f t="shared" si="27"/>
        <v>135.30000000000001</v>
      </c>
      <c r="X36" s="2">
        <f t="shared" si="18"/>
        <v>103.11244867619041</v>
      </c>
      <c r="Y36" s="2">
        <f t="shared" si="28"/>
        <v>135.30000000000001</v>
      </c>
      <c r="Z36" s="1"/>
      <c r="AA36" s="1"/>
      <c r="AB36" s="1">
        <v>20</v>
      </c>
      <c r="AC36" s="1"/>
      <c r="AD36" s="1"/>
      <c r="AE36" s="1"/>
      <c r="AF36" s="1"/>
      <c r="AG36" s="1">
        <f t="shared" si="19"/>
        <v>20</v>
      </c>
      <c r="AH36" s="1">
        <v>1</v>
      </c>
      <c r="AI36" s="1" t="s">
        <v>1069</v>
      </c>
      <c r="AJ36" s="1">
        <f t="shared" si="20"/>
        <v>20</v>
      </c>
      <c r="AK36" s="1">
        <v>0</v>
      </c>
      <c r="AL36" s="1" t="s">
        <v>118</v>
      </c>
      <c r="AM36" s="1"/>
      <c r="AN36" s="1">
        <v>0</v>
      </c>
      <c r="AO36" s="1" t="s">
        <v>118</v>
      </c>
      <c r="AP36" s="1">
        <f t="shared" si="21"/>
        <v>0</v>
      </c>
      <c r="AQ36" s="1" t="s">
        <v>118</v>
      </c>
      <c r="AR36" s="1"/>
      <c r="AS36" s="1">
        <v>1</v>
      </c>
      <c r="AT36" s="1"/>
      <c r="AU36" s="1"/>
      <c r="AV36" s="17"/>
      <c r="AW36" s="2"/>
      <c r="AX36" s="2"/>
      <c r="AY36" s="2"/>
      <c r="AZ36" s="17"/>
      <c r="BA36" s="1"/>
      <c r="BB36" s="1"/>
      <c r="BC36" s="1"/>
      <c r="BD36" s="1"/>
      <c r="BE36" s="18"/>
      <c r="BF36" s="2"/>
      <c r="BG36" s="6"/>
      <c r="BH36" s="6"/>
    </row>
    <row r="37" spans="1:60" ht="12.75" hidden="1" customHeight="1" x14ac:dyDescent="0.2">
      <c r="A37" s="19" t="s">
        <v>961</v>
      </c>
      <c r="B37" s="19" t="s">
        <v>1003</v>
      </c>
      <c r="C37" s="19" t="s">
        <v>1010</v>
      </c>
      <c r="D37" s="20" t="s">
        <v>998</v>
      </c>
      <c r="E37" s="20"/>
      <c r="F37" s="21"/>
      <c r="G37" s="21"/>
      <c r="H37" s="21"/>
      <c r="I37" s="21"/>
      <c r="J37" s="21"/>
      <c r="K37" s="21"/>
      <c r="L37" s="21"/>
      <c r="M37" s="21"/>
      <c r="N37" s="32"/>
      <c r="O37" s="22" t="s">
        <v>448</v>
      </c>
      <c r="P37" s="23">
        <v>34.304821839130923</v>
      </c>
      <c r="Q37" s="34">
        <f t="shared" si="17"/>
        <v>25.59139709199167</v>
      </c>
      <c r="R37" s="39"/>
      <c r="S37" s="39">
        <f>IF(O37="","",IF(O37="NA","",IF(O37="Mini disjuntor + DR",0.92,IF(O37="Mini disjuntor",0.92,IF(O37="Disjuntor Motor",0.92,IF(O37="Disjuntor C.M.",0.92,IF(O37="Disjuntor C.A.",0.92,IFERROR(VLOOKUP('Lista de Cargas'!P37,Motores!$B$9:$T$48,19,FALSE),"Erro"))))))))</f>
        <v>0.92</v>
      </c>
      <c r="T37" s="40">
        <f>IF(O37="","",IF(O37="NA","",IF(O37="Mini disjuntor + DR",100%,IF(O37="Mini disjuntor",100%,IF(O37="Disjuntor Motor",0.92,IF(O37="Disjuntor C.M.",100%,IF(O37="Disjuntor C.A.",100%,IFERROR(VLOOKUP('Lista de Cargas'!P37,Motores!$B$9:$T$48,16,FALSE)/100,"Erro"))))))))</f>
        <v>1</v>
      </c>
      <c r="U37" s="40" t="s">
        <v>445</v>
      </c>
      <c r="V37" s="39">
        <v>440</v>
      </c>
      <c r="W37" s="2">
        <f t="shared" si="27"/>
        <v>36.499999999999993</v>
      </c>
      <c r="X37" s="2">
        <f t="shared" ref="X37:X40" si="29">IFERROR(Q37/S37,0)</f>
        <v>27.816735969556163</v>
      </c>
      <c r="Y37" s="2">
        <f t="shared" si="28"/>
        <v>36.499999999999993</v>
      </c>
      <c r="Z37" s="1"/>
      <c r="AA37" s="1"/>
      <c r="AB37" s="1">
        <v>100</v>
      </c>
      <c r="AC37" s="1"/>
      <c r="AD37" s="1"/>
      <c r="AE37" s="1"/>
      <c r="AF37" s="1"/>
      <c r="AG37" s="1">
        <f t="shared" si="19"/>
        <v>100</v>
      </c>
      <c r="AH37" s="1">
        <v>1</v>
      </c>
      <c r="AI37" s="1" t="s">
        <v>1057</v>
      </c>
      <c r="AJ37" s="1">
        <f t="shared" si="20"/>
        <v>100</v>
      </c>
      <c r="AK37" s="1">
        <v>0</v>
      </c>
      <c r="AL37" s="1" t="s">
        <v>118</v>
      </c>
      <c r="AM37" s="1"/>
      <c r="AN37" s="1">
        <v>0</v>
      </c>
      <c r="AO37" s="1" t="s">
        <v>118</v>
      </c>
      <c r="AP37" s="1">
        <f t="shared" si="21"/>
        <v>0</v>
      </c>
      <c r="AQ37" s="1" t="s">
        <v>118</v>
      </c>
      <c r="AR37" s="1"/>
      <c r="AS37" s="1">
        <v>1</v>
      </c>
      <c r="AT37" s="1"/>
      <c r="AU37" s="1"/>
      <c r="AV37" s="17"/>
      <c r="AW37" s="2"/>
      <c r="AX37" s="2"/>
      <c r="AY37" s="2"/>
      <c r="AZ37" s="17"/>
      <c r="BA37" s="1"/>
      <c r="BB37" s="1"/>
      <c r="BC37" s="1"/>
      <c r="BD37" s="1"/>
      <c r="BE37" s="18"/>
      <c r="BF37" s="2"/>
      <c r="BG37" s="6"/>
      <c r="BH37" s="6"/>
    </row>
    <row r="38" spans="1:60" ht="12.75" hidden="1" customHeight="1" x14ac:dyDescent="0.2">
      <c r="A38" s="19" t="s">
        <v>961</v>
      </c>
      <c r="B38" s="19" t="s">
        <v>1003</v>
      </c>
      <c r="C38" s="19" t="s">
        <v>1011</v>
      </c>
      <c r="D38" s="20" t="s">
        <v>1000</v>
      </c>
      <c r="E38" s="20"/>
      <c r="F38" s="21"/>
      <c r="G38" s="21"/>
      <c r="H38" s="21"/>
      <c r="I38" s="21"/>
      <c r="J38" s="21"/>
      <c r="K38" s="21"/>
      <c r="L38" s="21"/>
      <c r="M38" s="21"/>
      <c r="N38" s="32"/>
      <c r="O38" s="22" t="s">
        <v>448</v>
      </c>
      <c r="P38" s="23">
        <v>185.1990450246781</v>
      </c>
      <c r="Q38" s="34">
        <f t="shared" si="17"/>
        <v>138.15848758840986</v>
      </c>
      <c r="R38" s="39"/>
      <c r="S38" s="39">
        <f>IF(O38="","",IF(O38="NA","",IF(O38="Mini disjuntor + DR",0.92,IF(O38="Mini disjuntor",0.92,IF(O38="Disjuntor Motor",0.92,IF(O38="Disjuntor C.M.",0.92,IF(O38="Disjuntor C.A.",0.92,IFERROR(VLOOKUP('Lista de Cargas'!P38,Motores!$B$9:$T$48,19,FALSE),"Erro"))))))))</f>
        <v>0.92</v>
      </c>
      <c r="T38" s="40">
        <f>IF(O38="","",IF(O38="NA","",IF(O38="Mini disjuntor + DR",100%,IF(O38="Mini disjuntor",100%,IF(O38="Disjuntor Motor",0.92,IF(O38="Disjuntor C.M.",100%,IF(O38="Disjuntor C.A.",100%,IFERROR(VLOOKUP('Lista de Cargas'!P38,Motores!$B$9:$T$48,16,FALSE)/100,"Erro"))))))))</f>
        <v>1</v>
      </c>
      <c r="U38" s="40" t="s">
        <v>445</v>
      </c>
      <c r="V38" s="39">
        <v>440</v>
      </c>
      <c r="W38" s="2">
        <f t="shared" si="27"/>
        <v>197.05</v>
      </c>
      <c r="X38" s="2">
        <f t="shared" si="29"/>
        <v>150.17226911783681</v>
      </c>
      <c r="Y38" s="2">
        <f t="shared" si="28"/>
        <v>197.05</v>
      </c>
      <c r="Z38" s="1"/>
      <c r="AA38" s="1"/>
      <c r="AB38" s="1">
        <v>20</v>
      </c>
      <c r="AC38" s="1"/>
      <c r="AD38" s="1"/>
      <c r="AE38" s="1"/>
      <c r="AF38" s="1"/>
      <c r="AG38" s="1">
        <f t="shared" si="19"/>
        <v>20</v>
      </c>
      <c r="AH38" s="1">
        <v>3</v>
      </c>
      <c r="AI38" s="1" t="s">
        <v>1058</v>
      </c>
      <c r="AJ38" s="1">
        <f t="shared" si="20"/>
        <v>60</v>
      </c>
      <c r="AK38" s="1">
        <v>0</v>
      </c>
      <c r="AL38" s="1" t="s">
        <v>118</v>
      </c>
      <c r="AM38" s="1"/>
      <c r="AN38" s="1">
        <v>1</v>
      </c>
      <c r="AO38" s="1" t="s">
        <v>1059</v>
      </c>
      <c r="AP38" s="1">
        <f t="shared" si="21"/>
        <v>20</v>
      </c>
      <c r="AQ38" s="1" t="s">
        <v>118</v>
      </c>
      <c r="AR38" s="1"/>
      <c r="AS38" s="1">
        <v>1</v>
      </c>
      <c r="AT38" s="1"/>
      <c r="AU38" s="1"/>
      <c r="AV38" s="17"/>
      <c r="AW38" s="2"/>
      <c r="AX38" s="2"/>
      <c r="AY38" s="2"/>
      <c r="AZ38" s="17"/>
      <c r="BA38" s="1"/>
      <c r="BB38" s="1"/>
      <c r="BC38" s="1"/>
      <c r="BD38" s="1"/>
      <c r="BE38" s="18"/>
      <c r="BF38" s="2"/>
      <c r="BG38" s="6"/>
      <c r="BH38" s="6"/>
    </row>
    <row r="39" spans="1:60" ht="12.75" hidden="1" customHeight="1" x14ac:dyDescent="0.2">
      <c r="A39" s="19" t="s">
        <v>961</v>
      </c>
      <c r="B39" s="19" t="s">
        <v>1003</v>
      </c>
      <c r="C39" s="19" t="s">
        <v>1012</v>
      </c>
      <c r="D39" s="20" t="s">
        <v>1013</v>
      </c>
      <c r="E39" s="20"/>
      <c r="F39" s="21"/>
      <c r="G39" s="21"/>
      <c r="H39" s="21"/>
      <c r="I39" s="21"/>
      <c r="J39" s="21"/>
      <c r="K39" s="21"/>
      <c r="L39" s="21"/>
      <c r="M39" s="21"/>
      <c r="N39" s="32"/>
      <c r="O39" s="22" t="s">
        <v>448</v>
      </c>
      <c r="P39" s="23">
        <v>925.94823221676131</v>
      </c>
      <c r="Q39" s="34">
        <f t="shared" si="17"/>
        <v>690.75738123370388</v>
      </c>
      <c r="R39" s="39"/>
      <c r="S39" s="39">
        <f>IF(O39="","",IF(O39="NA","",IF(O39="Mini disjuntor + DR",0.92,IF(O39="Mini disjuntor",0.92,IF(O39="Disjuntor Motor",0.92,IF(O39="Disjuntor C.M.",0.92,IF(O39="Disjuntor C.A.",0.92,IFERROR(VLOOKUP('Lista de Cargas'!P39,Motores!$B$9:$T$48,19,FALSE),"Erro"))))))))</f>
        <v>0.92</v>
      </c>
      <c r="T39" s="40">
        <f>IF(O39="","",IF(O39="NA","",IF(O39="Mini disjuntor + DR",100%,IF(O39="Mini disjuntor",100%,IF(O39="Disjuntor Motor",0.92,IF(O39="Disjuntor C.M.",100%,IF(O39="Disjuntor C.A.",100%,IFERROR(VLOOKUP('Lista de Cargas'!P39,Motores!$B$9:$T$48,16,FALSE)/100,"Erro"))))))))</f>
        <v>1</v>
      </c>
      <c r="U39" s="40" t="s">
        <v>445</v>
      </c>
      <c r="V39" s="39">
        <v>440</v>
      </c>
      <c r="W39" s="2">
        <f t="shared" si="27"/>
        <v>985.19999999999982</v>
      </c>
      <c r="X39" s="2">
        <f t="shared" si="29"/>
        <v>750.82324047141719</v>
      </c>
      <c r="Y39" s="2">
        <f t="shared" si="28"/>
        <v>985.19999999999982</v>
      </c>
      <c r="Z39" s="1"/>
      <c r="AA39" s="1"/>
      <c r="AB39" s="1">
        <v>20</v>
      </c>
      <c r="AC39" s="1"/>
      <c r="AD39" s="1"/>
      <c r="AE39" s="1"/>
      <c r="AF39" s="1"/>
      <c r="AG39" s="1">
        <f t="shared" si="19"/>
        <v>20</v>
      </c>
      <c r="AH39" s="1">
        <v>6</v>
      </c>
      <c r="AI39" s="1" t="s">
        <v>1046</v>
      </c>
      <c r="AJ39" s="1">
        <f t="shared" si="20"/>
        <v>120</v>
      </c>
      <c r="AK39" s="1">
        <v>0</v>
      </c>
      <c r="AL39" s="1" t="s">
        <v>118</v>
      </c>
      <c r="AM39" s="1"/>
      <c r="AN39" s="1">
        <v>1</v>
      </c>
      <c r="AO39" s="1" t="s">
        <v>1047</v>
      </c>
      <c r="AP39" s="1">
        <f t="shared" si="21"/>
        <v>20</v>
      </c>
      <c r="AQ39" s="1" t="s">
        <v>118</v>
      </c>
      <c r="AR39" s="1"/>
      <c r="AS39" s="1">
        <v>1</v>
      </c>
      <c r="AT39" s="1"/>
      <c r="AU39" s="1"/>
      <c r="AV39" s="17"/>
      <c r="AW39" s="2"/>
      <c r="AX39" s="2"/>
      <c r="AY39" s="2"/>
      <c r="AZ39" s="17"/>
      <c r="BA39" s="1"/>
      <c r="BB39" s="1"/>
      <c r="BC39" s="1"/>
      <c r="BD39" s="1"/>
      <c r="BE39" s="18"/>
      <c r="BF39" s="2"/>
      <c r="BG39" s="6"/>
      <c r="BH39" s="6"/>
    </row>
    <row r="40" spans="1:60" ht="12.75" hidden="1" customHeight="1" x14ac:dyDescent="0.2">
      <c r="A40" s="19" t="s">
        <v>961</v>
      </c>
      <c r="B40" s="19" t="s">
        <v>1014</v>
      </c>
      <c r="C40" s="19" t="s">
        <v>962</v>
      </c>
      <c r="D40" s="20" t="s">
        <v>965</v>
      </c>
      <c r="E40" s="20"/>
      <c r="F40" s="21"/>
      <c r="G40" s="21"/>
      <c r="H40" s="21"/>
      <c r="I40" s="21"/>
      <c r="J40" s="21"/>
      <c r="K40" s="21"/>
      <c r="L40" s="21"/>
      <c r="M40" s="21"/>
      <c r="N40" s="32"/>
      <c r="O40" s="22" t="s">
        <v>447</v>
      </c>
      <c r="P40" s="23">
        <v>3007.5460242525751</v>
      </c>
      <c r="Q40" s="34">
        <f t="shared" si="17"/>
        <v>2243.6293340924208</v>
      </c>
      <c r="R40" s="39"/>
      <c r="S40" s="39">
        <f>IF(O40="","",IF(O40="NA","",IF(O40="Mini disjuntor + DR",0.92,IF(O40="Mini disjuntor",0.92,IF(O40="Disjuntor Motor",0.92,IF(O40="Disjuntor C.M.",0.92,IF(O40="Disjuntor C.A.",0.92,IFERROR(VLOOKUP('Lista de Cargas'!P40,Motores!$B$9:$T$48,19,FALSE),"Erro"))))))))</f>
        <v>0.92</v>
      </c>
      <c r="T40" s="40">
        <f>IF(O40="","",IF(O40="NA","",IF(O40="Mini disjuntor + DR",100%,IF(O40="Mini disjuntor",100%,IF(O40="Disjuntor Motor",0.92,IF(O40="Disjuntor C.M.",100%,IF(O40="Disjuntor C.A.",100%,IFERROR(VLOOKUP('Lista de Cargas'!P40,Motores!$B$9:$T$48,16,FALSE)/100,"Erro"))))))))</f>
        <v>1</v>
      </c>
      <c r="U40" s="40" t="s">
        <v>445</v>
      </c>
      <c r="V40" s="39">
        <v>440</v>
      </c>
      <c r="W40" s="2">
        <f t="shared" si="27"/>
        <v>3200.0000000000005</v>
      </c>
      <c r="X40" s="2">
        <f t="shared" si="29"/>
        <v>2438.7275370569791</v>
      </c>
      <c r="Y40" s="2">
        <f t="shared" si="28"/>
        <v>3200.0000000000005</v>
      </c>
      <c r="Z40" s="1"/>
      <c r="AA40" s="1"/>
      <c r="AB40" s="1">
        <v>20</v>
      </c>
      <c r="AC40" s="1"/>
      <c r="AD40" s="1"/>
      <c r="AE40" s="1"/>
      <c r="AF40" s="1"/>
      <c r="AG40" s="1">
        <f t="shared" si="19"/>
        <v>20</v>
      </c>
      <c r="AH40" s="1">
        <v>21</v>
      </c>
      <c r="AI40" s="1" t="s">
        <v>1046</v>
      </c>
      <c r="AJ40" s="1">
        <f t="shared" si="20"/>
        <v>420</v>
      </c>
      <c r="AK40" s="1">
        <v>0</v>
      </c>
      <c r="AL40" s="1" t="s">
        <v>118</v>
      </c>
      <c r="AM40" s="1"/>
      <c r="AN40" s="1">
        <v>4</v>
      </c>
      <c r="AO40" s="1" t="s">
        <v>1047</v>
      </c>
      <c r="AP40" s="1">
        <f t="shared" si="21"/>
        <v>80</v>
      </c>
      <c r="AQ40" s="1" t="s">
        <v>118</v>
      </c>
      <c r="AR40" s="1"/>
      <c r="AS40" s="1">
        <v>1</v>
      </c>
      <c r="AT40" s="1"/>
      <c r="AU40" s="1"/>
      <c r="AV40" s="17"/>
      <c r="AW40" s="2"/>
      <c r="AX40" s="2"/>
      <c r="AY40" s="2"/>
      <c r="AZ40" s="17"/>
      <c r="BA40" s="1"/>
      <c r="BB40" s="1"/>
      <c r="BC40" s="1"/>
      <c r="BD40" s="1"/>
      <c r="BE40" s="18"/>
      <c r="BF40" s="2"/>
      <c r="BG40" s="6"/>
      <c r="BH40" s="6"/>
    </row>
    <row r="41" spans="1:60" ht="12.75" hidden="1" customHeight="1" x14ac:dyDescent="0.2">
      <c r="A41" s="19" t="s">
        <v>961</v>
      </c>
      <c r="B41" s="19" t="s">
        <v>1014</v>
      </c>
      <c r="C41" s="19" t="s">
        <v>1015</v>
      </c>
      <c r="D41" s="20" t="s">
        <v>1016</v>
      </c>
      <c r="E41" s="20"/>
      <c r="F41" s="21"/>
      <c r="G41" s="21"/>
      <c r="H41" s="21"/>
      <c r="I41" s="21"/>
      <c r="J41" s="21"/>
      <c r="K41" s="21"/>
      <c r="L41" s="21"/>
      <c r="M41" s="21"/>
      <c r="N41" s="32"/>
      <c r="O41" s="22" t="s">
        <v>448</v>
      </c>
      <c r="P41" s="23">
        <v>131.29818112127646</v>
      </c>
      <c r="Q41" s="34">
        <f t="shared" si="17"/>
        <v>97.948443116472234</v>
      </c>
      <c r="R41" s="39"/>
      <c r="S41" s="39">
        <f>IF(O41="","",IF(O41="NA","",IF(O41="Mini disjuntor + DR",0.92,IF(O41="Mini disjuntor",0.92,IF(O41="Disjuntor Motor",0.92,IF(O41="Disjuntor C.M.",0.92,IF(O41="Disjuntor C.A.",0.92,IFERROR(VLOOKUP('Lista de Cargas'!P41,Motores!$B$9:$T$48,19,FALSE),"Erro"))))))))</f>
        <v>0.92</v>
      </c>
      <c r="T41" s="40">
        <f>IF(O41="","",IF(O41="NA","",IF(O41="Mini disjuntor + DR",100%,IF(O41="Mini disjuntor",100%,IF(O41="Disjuntor Motor",0.92,IF(O41="Disjuntor C.M.",100%,IF(O41="Disjuntor C.A.",100%,IFERROR(VLOOKUP('Lista de Cargas'!P41,Motores!$B$9:$T$48,16,FALSE)/100,"Erro"))))))))</f>
        <v>1</v>
      </c>
      <c r="U41" s="40" t="s">
        <v>445</v>
      </c>
      <c r="V41" s="39">
        <v>440</v>
      </c>
      <c r="W41" s="2">
        <f t="shared" si="27"/>
        <v>139.69999999999999</v>
      </c>
      <c r="X41" s="2">
        <f t="shared" ref="X41:X47" si="30">IFERROR(Q41/S41,0)</f>
        <v>106.46569903964372</v>
      </c>
      <c r="Y41" s="2">
        <f t="shared" si="28"/>
        <v>139.69999999999999</v>
      </c>
      <c r="Z41" s="1"/>
      <c r="AA41" s="1"/>
      <c r="AB41" s="1">
        <v>20</v>
      </c>
      <c r="AC41" s="1"/>
      <c r="AD41" s="1"/>
      <c r="AE41" s="1"/>
      <c r="AF41" s="1"/>
      <c r="AG41" s="1">
        <f t="shared" si="19"/>
        <v>20</v>
      </c>
      <c r="AH41" s="1">
        <v>1</v>
      </c>
      <c r="AI41" s="1" t="s">
        <v>1069</v>
      </c>
      <c r="AJ41" s="1">
        <f t="shared" si="20"/>
        <v>20</v>
      </c>
      <c r="AK41" s="1">
        <v>0</v>
      </c>
      <c r="AL41" s="1" t="s">
        <v>118</v>
      </c>
      <c r="AM41" s="1"/>
      <c r="AN41" s="1">
        <v>0</v>
      </c>
      <c r="AO41" s="1" t="s">
        <v>118</v>
      </c>
      <c r="AP41" s="1">
        <f t="shared" si="21"/>
        <v>0</v>
      </c>
      <c r="AQ41" s="1" t="s">
        <v>118</v>
      </c>
      <c r="AR41" s="1"/>
      <c r="AS41" s="1">
        <v>1</v>
      </c>
      <c r="AT41" s="1"/>
      <c r="AU41" s="1"/>
      <c r="AV41" s="17"/>
      <c r="AW41" s="2"/>
      <c r="AX41" s="2"/>
      <c r="AY41" s="2"/>
      <c r="AZ41" s="17"/>
      <c r="BA41" s="1"/>
      <c r="BB41" s="1"/>
      <c r="BC41" s="1"/>
      <c r="BD41" s="1"/>
      <c r="BE41" s="18"/>
      <c r="BF41" s="2"/>
      <c r="BG41" s="6"/>
      <c r="BH41" s="6"/>
    </row>
    <row r="42" spans="1:60" ht="12.75" hidden="1" customHeight="1" x14ac:dyDescent="0.2">
      <c r="A42" s="19" t="s">
        <v>961</v>
      </c>
      <c r="B42" s="19" t="s">
        <v>1014</v>
      </c>
      <c r="C42" s="19" t="s">
        <v>1017</v>
      </c>
      <c r="D42" s="20" t="s">
        <v>1020</v>
      </c>
      <c r="E42" s="20"/>
      <c r="F42" s="21"/>
      <c r="G42" s="21"/>
      <c r="H42" s="21"/>
      <c r="I42" s="21"/>
      <c r="J42" s="21"/>
      <c r="K42" s="21"/>
      <c r="L42" s="21"/>
      <c r="M42" s="21"/>
      <c r="N42" s="32"/>
      <c r="O42" s="22" t="s">
        <v>448</v>
      </c>
      <c r="P42" s="23">
        <v>131.29818112127646</v>
      </c>
      <c r="Q42" s="34">
        <f t="shared" si="17"/>
        <v>97.948443116472234</v>
      </c>
      <c r="R42" s="39"/>
      <c r="S42" s="39">
        <f>IF(O42="","",IF(O42="NA","",IF(O42="Mini disjuntor + DR",0.92,IF(O42="Mini disjuntor",0.92,IF(O42="Disjuntor Motor",0.92,IF(O42="Disjuntor C.M.",0.92,IF(O42="Disjuntor C.A.",0.92,IFERROR(VLOOKUP('Lista de Cargas'!P42,Motores!$B$9:$T$48,19,FALSE),"Erro"))))))))</f>
        <v>0.92</v>
      </c>
      <c r="T42" s="40">
        <f>IF(O42="","",IF(O42="NA","",IF(O42="Mini disjuntor + DR",100%,IF(O42="Mini disjuntor",100%,IF(O42="Disjuntor Motor",0.92,IF(O42="Disjuntor C.M.",100%,IF(O42="Disjuntor C.A.",100%,IFERROR(VLOOKUP('Lista de Cargas'!P42,Motores!$B$9:$T$48,16,FALSE)/100,"Erro"))))))))</f>
        <v>1</v>
      </c>
      <c r="U42" s="40" t="s">
        <v>445</v>
      </c>
      <c r="V42" s="39">
        <v>440</v>
      </c>
      <c r="W42" s="2">
        <f t="shared" si="27"/>
        <v>139.69999999999999</v>
      </c>
      <c r="X42" s="2">
        <f t="shared" ref="X42:X44" si="31">IFERROR(Q42/S42,0)</f>
        <v>106.46569903964372</v>
      </c>
      <c r="Y42" s="2">
        <f t="shared" si="28"/>
        <v>139.69999999999999</v>
      </c>
      <c r="Z42" s="1"/>
      <c r="AA42" s="1"/>
      <c r="AB42" s="1">
        <v>20</v>
      </c>
      <c r="AC42" s="1"/>
      <c r="AD42" s="1"/>
      <c r="AE42" s="1"/>
      <c r="AF42" s="1"/>
      <c r="AG42" s="1">
        <f t="shared" si="19"/>
        <v>20</v>
      </c>
      <c r="AH42" s="1">
        <v>1</v>
      </c>
      <c r="AI42" s="1" t="s">
        <v>1069</v>
      </c>
      <c r="AJ42" s="1">
        <f t="shared" si="20"/>
        <v>20</v>
      </c>
      <c r="AK42" s="1">
        <v>0</v>
      </c>
      <c r="AL42" s="1" t="s">
        <v>118</v>
      </c>
      <c r="AM42" s="1"/>
      <c r="AN42" s="1">
        <v>0</v>
      </c>
      <c r="AO42" s="1" t="s">
        <v>118</v>
      </c>
      <c r="AP42" s="1">
        <f t="shared" si="21"/>
        <v>0</v>
      </c>
      <c r="AQ42" s="1" t="s">
        <v>118</v>
      </c>
      <c r="AR42" s="1"/>
      <c r="AS42" s="1">
        <v>1</v>
      </c>
      <c r="AT42" s="1"/>
      <c r="AU42" s="1"/>
      <c r="AV42" s="17"/>
      <c r="AW42" s="2"/>
      <c r="AX42" s="2"/>
      <c r="AY42" s="2"/>
      <c r="AZ42" s="17"/>
      <c r="BA42" s="1"/>
      <c r="BB42" s="1"/>
      <c r="BC42" s="1"/>
      <c r="BD42" s="1"/>
      <c r="BE42" s="18"/>
      <c r="BF42" s="2"/>
      <c r="BG42" s="6"/>
      <c r="BH42" s="6"/>
    </row>
    <row r="43" spans="1:60" ht="12.75" hidden="1" customHeight="1" x14ac:dyDescent="0.2">
      <c r="A43" s="19" t="s">
        <v>961</v>
      </c>
      <c r="B43" s="19" t="s">
        <v>1014</v>
      </c>
      <c r="C43" s="19" t="s">
        <v>1018</v>
      </c>
      <c r="D43" s="20" t="s">
        <v>1021</v>
      </c>
      <c r="E43" s="20"/>
      <c r="F43" s="21"/>
      <c r="G43" s="21"/>
      <c r="H43" s="21"/>
      <c r="I43" s="21"/>
      <c r="J43" s="21"/>
      <c r="K43" s="21"/>
      <c r="L43" s="21"/>
      <c r="M43" s="21"/>
      <c r="N43" s="32"/>
      <c r="O43" s="22" t="s">
        <v>448</v>
      </c>
      <c r="P43" s="23">
        <v>131.29818112127646</v>
      </c>
      <c r="Q43" s="34">
        <f t="shared" si="17"/>
        <v>97.948443116472234</v>
      </c>
      <c r="R43" s="39"/>
      <c r="S43" s="39">
        <f>IF(O43="","",IF(O43="NA","",IF(O43="Mini disjuntor + DR",0.92,IF(O43="Mini disjuntor",0.92,IF(O43="Disjuntor Motor",0.92,IF(O43="Disjuntor C.M.",0.92,IF(O43="Disjuntor C.A.",0.92,IFERROR(VLOOKUP('Lista de Cargas'!P43,Motores!$B$9:$T$48,19,FALSE),"Erro"))))))))</f>
        <v>0.92</v>
      </c>
      <c r="T43" s="40">
        <f>IF(O43="","",IF(O43="NA","",IF(O43="Mini disjuntor + DR",100%,IF(O43="Mini disjuntor",100%,IF(O43="Disjuntor Motor",0.92,IF(O43="Disjuntor C.M.",100%,IF(O43="Disjuntor C.A.",100%,IFERROR(VLOOKUP('Lista de Cargas'!P43,Motores!$B$9:$T$48,16,FALSE)/100,"Erro"))))))))</f>
        <v>1</v>
      </c>
      <c r="U43" s="40" t="s">
        <v>445</v>
      </c>
      <c r="V43" s="39">
        <v>440</v>
      </c>
      <c r="W43" s="2">
        <f t="shared" si="27"/>
        <v>139.69999999999999</v>
      </c>
      <c r="X43" s="2">
        <f t="shared" si="31"/>
        <v>106.46569903964372</v>
      </c>
      <c r="Y43" s="2">
        <f t="shared" si="28"/>
        <v>139.69999999999999</v>
      </c>
      <c r="Z43" s="1"/>
      <c r="AA43" s="1"/>
      <c r="AB43" s="1">
        <v>20</v>
      </c>
      <c r="AC43" s="1"/>
      <c r="AD43" s="1"/>
      <c r="AE43" s="1"/>
      <c r="AF43" s="1"/>
      <c r="AG43" s="1">
        <f t="shared" si="19"/>
        <v>20</v>
      </c>
      <c r="AH43" s="1">
        <v>1</v>
      </c>
      <c r="AI43" s="1" t="s">
        <v>1069</v>
      </c>
      <c r="AJ43" s="1">
        <f t="shared" si="20"/>
        <v>20</v>
      </c>
      <c r="AK43" s="1">
        <v>0</v>
      </c>
      <c r="AL43" s="1" t="s">
        <v>118</v>
      </c>
      <c r="AM43" s="1"/>
      <c r="AN43" s="1">
        <v>0</v>
      </c>
      <c r="AO43" s="1" t="s">
        <v>118</v>
      </c>
      <c r="AP43" s="1">
        <f t="shared" si="21"/>
        <v>0</v>
      </c>
      <c r="AQ43" s="1" t="s">
        <v>118</v>
      </c>
      <c r="AR43" s="1"/>
      <c r="AS43" s="1">
        <v>1</v>
      </c>
      <c r="AT43" s="1"/>
      <c r="AU43" s="1"/>
      <c r="AV43" s="17"/>
      <c r="AW43" s="2"/>
      <c r="AX43" s="2"/>
      <c r="AY43" s="2"/>
      <c r="AZ43" s="17"/>
      <c r="BA43" s="1"/>
      <c r="BB43" s="1"/>
      <c r="BC43" s="1"/>
      <c r="BD43" s="1"/>
      <c r="BE43" s="18"/>
      <c r="BF43" s="2"/>
      <c r="BG43" s="6"/>
      <c r="BH43" s="6"/>
    </row>
    <row r="44" spans="1:60" ht="12.75" hidden="1" customHeight="1" x14ac:dyDescent="0.2">
      <c r="A44" s="19" t="s">
        <v>961</v>
      </c>
      <c r="B44" s="19" t="s">
        <v>1014</v>
      </c>
      <c r="C44" s="19" t="s">
        <v>1019</v>
      </c>
      <c r="D44" s="20" t="s">
        <v>1022</v>
      </c>
      <c r="E44" s="20"/>
      <c r="F44" s="21"/>
      <c r="G44" s="21"/>
      <c r="H44" s="21"/>
      <c r="I44" s="21"/>
      <c r="J44" s="21"/>
      <c r="K44" s="21"/>
      <c r="L44" s="21"/>
      <c r="M44" s="21"/>
      <c r="N44" s="32"/>
      <c r="O44" s="22" t="s">
        <v>448</v>
      </c>
      <c r="P44" s="23">
        <v>131.29818112127646</v>
      </c>
      <c r="Q44" s="34">
        <f t="shared" si="17"/>
        <v>97.948443116472234</v>
      </c>
      <c r="R44" s="39"/>
      <c r="S44" s="39">
        <f>IF(O44="","",IF(O44="NA","",IF(O44="Mini disjuntor + DR",0.92,IF(O44="Mini disjuntor",0.92,IF(O44="Disjuntor Motor",0.92,IF(O44="Disjuntor C.M.",0.92,IF(O44="Disjuntor C.A.",0.92,IFERROR(VLOOKUP('Lista de Cargas'!P44,Motores!$B$9:$T$48,19,FALSE),"Erro"))))))))</f>
        <v>0.92</v>
      </c>
      <c r="T44" s="40">
        <f>IF(O44="","",IF(O44="NA","",IF(O44="Mini disjuntor + DR",100%,IF(O44="Mini disjuntor",100%,IF(O44="Disjuntor Motor",0.92,IF(O44="Disjuntor C.M.",100%,IF(O44="Disjuntor C.A.",100%,IFERROR(VLOOKUP('Lista de Cargas'!P44,Motores!$B$9:$T$48,16,FALSE)/100,"Erro"))))))))</f>
        <v>1</v>
      </c>
      <c r="U44" s="40" t="s">
        <v>445</v>
      </c>
      <c r="V44" s="39">
        <v>440</v>
      </c>
      <c r="W44" s="2">
        <f t="shared" si="27"/>
        <v>139.69999999999999</v>
      </c>
      <c r="X44" s="2">
        <f t="shared" si="31"/>
        <v>106.46569903964372</v>
      </c>
      <c r="Y44" s="2">
        <f t="shared" si="28"/>
        <v>139.69999999999999</v>
      </c>
      <c r="Z44" s="1"/>
      <c r="AA44" s="1"/>
      <c r="AB44" s="1">
        <v>20</v>
      </c>
      <c r="AC44" s="1"/>
      <c r="AD44" s="1"/>
      <c r="AE44" s="1"/>
      <c r="AF44" s="1"/>
      <c r="AG44" s="1">
        <f t="shared" si="19"/>
        <v>20</v>
      </c>
      <c r="AH44" s="1">
        <v>1</v>
      </c>
      <c r="AI44" s="1" t="s">
        <v>1069</v>
      </c>
      <c r="AJ44" s="1">
        <f t="shared" si="20"/>
        <v>20</v>
      </c>
      <c r="AK44" s="1">
        <v>0</v>
      </c>
      <c r="AL44" s="1" t="s">
        <v>118</v>
      </c>
      <c r="AM44" s="1"/>
      <c r="AN44" s="1">
        <v>0</v>
      </c>
      <c r="AO44" s="1" t="s">
        <v>118</v>
      </c>
      <c r="AP44" s="1">
        <f t="shared" si="21"/>
        <v>0</v>
      </c>
      <c r="AQ44" s="1" t="s">
        <v>118</v>
      </c>
      <c r="AR44" s="1"/>
      <c r="AS44" s="1">
        <v>1</v>
      </c>
      <c r="AT44" s="1"/>
      <c r="AU44" s="1"/>
      <c r="AV44" s="17"/>
      <c r="AW44" s="2"/>
      <c r="AX44" s="2"/>
      <c r="AY44" s="2"/>
      <c r="AZ44" s="17"/>
      <c r="BA44" s="1"/>
      <c r="BB44" s="1"/>
      <c r="BC44" s="1"/>
      <c r="BD44" s="1"/>
      <c r="BE44" s="18"/>
      <c r="BF44" s="2"/>
      <c r="BG44" s="6"/>
      <c r="BH44" s="6"/>
    </row>
    <row r="45" spans="1:60" ht="12.75" hidden="1" customHeight="1" x14ac:dyDescent="0.2">
      <c r="A45" s="19" t="s">
        <v>961</v>
      </c>
      <c r="B45" s="19" t="s">
        <v>1014</v>
      </c>
      <c r="C45" s="19" t="s">
        <v>1023</v>
      </c>
      <c r="D45" s="20" t="s">
        <v>1024</v>
      </c>
      <c r="E45" s="20"/>
      <c r="F45" s="21"/>
      <c r="G45" s="21"/>
      <c r="H45" s="21"/>
      <c r="I45" s="21"/>
      <c r="J45" s="21"/>
      <c r="K45" s="21"/>
      <c r="L45" s="21"/>
      <c r="M45" s="21"/>
      <c r="N45" s="32"/>
      <c r="O45" s="22" t="s">
        <v>448</v>
      </c>
      <c r="P45" s="23">
        <v>1139.4839999386941</v>
      </c>
      <c r="Q45" s="34">
        <f t="shared" si="17"/>
        <v>850.05506395426573</v>
      </c>
      <c r="R45" s="39"/>
      <c r="S45" s="39">
        <f>IF(O45="","",IF(O45="NA","",IF(O45="Mini disjuntor + DR",0.92,IF(O45="Mini disjuntor",0.92,IF(O45="Disjuntor Motor",0.92,IF(O45="Disjuntor C.M.",0.92,IF(O45="Disjuntor C.A.",0.92,IFERROR(VLOOKUP('Lista de Cargas'!P45,Motores!$B$9:$T$48,19,FALSE),"Erro"))))))))</f>
        <v>0.92</v>
      </c>
      <c r="T45" s="40">
        <f>IF(O45="","",IF(O45="NA","",IF(O45="Mini disjuntor + DR",100%,IF(O45="Mini disjuntor",100%,IF(O45="Disjuntor Motor",0.92,IF(O45="Disjuntor C.M.",100%,IF(O45="Disjuntor C.A.",100%,IFERROR(VLOOKUP('Lista de Cargas'!P45,Motores!$B$9:$T$48,16,FALSE)/100,"Erro"))))))))</f>
        <v>1</v>
      </c>
      <c r="U45" s="40" t="s">
        <v>445</v>
      </c>
      <c r="V45" s="39">
        <v>440</v>
      </c>
      <c r="W45" s="2">
        <f t="shared" si="27"/>
        <v>1212.3999999999999</v>
      </c>
      <c r="X45" s="2">
        <f t="shared" si="30"/>
        <v>923.9728956024627</v>
      </c>
      <c r="Y45" s="2">
        <f t="shared" si="28"/>
        <v>1212.3999999999999</v>
      </c>
      <c r="Z45" s="1"/>
      <c r="AA45" s="1"/>
      <c r="AB45" s="1">
        <v>20</v>
      </c>
      <c r="AC45" s="1"/>
      <c r="AD45" s="1"/>
      <c r="AE45" s="1"/>
      <c r="AF45" s="1"/>
      <c r="AG45" s="1">
        <f t="shared" si="19"/>
        <v>20</v>
      </c>
      <c r="AH45" s="1">
        <v>9</v>
      </c>
      <c r="AI45" s="1" t="s">
        <v>1049</v>
      </c>
      <c r="AJ45" s="1">
        <f t="shared" si="20"/>
        <v>180</v>
      </c>
      <c r="AK45" s="1">
        <v>0</v>
      </c>
      <c r="AL45" s="1" t="s">
        <v>118</v>
      </c>
      <c r="AM45" s="1"/>
      <c r="AN45" s="1">
        <v>2</v>
      </c>
      <c r="AO45" s="1" t="s">
        <v>1051</v>
      </c>
      <c r="AP45" s="1">
        <f t="shared" si="21"/>
        <v>40</v>
      </c>
      <c r="AQ45" s="1" t="s">
        <v>118</v>
      </c>
      <c r="AR45" s="1"/>
      <c r="AS45" s="1">
        <v>1</v>
      </c>
      <c r="AT45" s="1"/>
      <c r="AU45" s="1"/>
      <c r="AV45" s="17"/>
      <c r="AW45" s="2"/>
      <c r="AX45" s="2"/>
      <c r="AY45" s="2"/>
      <c r="AZ45" s="17"/>
      <c r="BA45" s="1"/>
      <c r="BB45" s="1"/>
      <c r="BC45" s="1"/>
      <c r="BD45" s="1"/>
      <c r="BE45" s="18"/>
      <c r="BF45" s="2"/>
      <c r="BG45" s="6"/>
      <c r="BH45" s="6"/>
    </row>
    <row r="46" spans="1:60" ht="12.75" hidden="1" customHeight="1" x14ac:dyDescent="0.2">
      <c r="A46" s="19" t="s">
        <v>961</v>
      </c>
      <c r="B46" s="19" t="s">
        <v>1014</v>
      </c>
      <c r="C46" s="19" t="s">
        <v>1025</v>
      </c>
      <c r="D46" s="20" t="s">
        <v>1026</v>
      </c>
      <c r="E46" s="20"/>
      <c r="F46" s="21"/>
      <c r="G46" s="21"/>
      <c r="H46" s="21"/>
      <c r="I46" s="21"/>
      <c r="J46" s="21"/>
      <c r="K46" s="21"/>
      <c r="L46" s="21"/>
      <c r="M46" s="21"/>
      <c r="N46" s="32"/>
      <c r="O46" s="22" t="s">
        <v>448</v>
      </c>
      <c r="P46" s="23">
        <v>609.31002735091988</v>
      </c>
      <c r="Q46" s="34">
        <f t="shared" si="17"/>
        <v>454.54528040378625</v>
      </c>
      <c r="R46" s="39"/>
      <c r="S46" s="39">
        <f>IF(O46="","",IF(O46="NA","",IF(O46="Mini disjuntor + DR",0.92,IF(O46="Mini disjuntor",0.92,IF(O46="Disjuntor Motor",0.92,IF(O46="Disjuntor C.M.",0.92,IF(O46="Disjuntor C.A.",0.92,IFERROR(VLOOKUP('Lista de Cargas'!P46,Motores!$B$9:$T$48,19,FALSE),"Erro"))))))))</f>
        <v>0.92</v>
      </c>
      <c r="T46" s="40">
        <f>IF(O46="","",IF(O46="NA","",IF(O46="Mini disjuntor + DR",100%,IF(O46="Mini disjuntor",100%,IF(O46="Disjuntor Motor",0.92,IF(O46="Disjuntor C.M.",100%,IF(O46="Disjuntor C.A.",100%,IFERROR(VLOOKUP('Lista de Cargas'!P46,Motores!$B$9:$T$48,16,FALSE)/100,"Erro"))))))))</f>
        <v>1</v>
      </c>
      <c r="U46" s="40" t="s">
        <v>445</v>
      </c>
      <c r="V46" s="39">
        <v>440</v>
      </c>
      <c r="W46" s="2">
        <f t="shared" si="27"/>
        <v>648.29999999999984</v>
      </c>
      <c r="X46" s="2">
        <f t="shared" si="30"/>
        <v>494.0709569606372</v>
      </c>
      <c r="Y46" s="2">
        <f t="shared" si="28"/>
        <v>648.29999999999984</v>
      </c>
      <c r="Z46" s="1"/>
      <c r="AA46" s="1"/>
      <c r="AB46" s="1">
        <v>20</v>
      </c>
      <c r="AC46" s="1"/>
      <c r="AD46" s="1"/>
      <c r="AE46" s="1"/>
      <c r="AF46" s="1"/>
      <c r="AG46" s="1">
        <f t="shared" si="19"/>
        <v>20</v>
      </c>
      <c r="AH46" s="1">
        <v>6</v>
      </c>
      <c r="AI46" s="1" t="s">
        <v>1061</v>
      </c>
      <c r="AJ46" s="1">
        <f t="shared" si="20"/>
        <v>120</v>
      </c>
      <c r="AK46" s="1">
        <v>0</v>
      </c>
      <c r="AL46" s="1" t="s">
        <v>118</v>
      </c>
      <c r="AM46" s="1"/>
      <c r="AN46" s="1">
        <v>1</v>
      </c>
      <c r="AO46" s="1" t="s">
        <v>1048</v>
      </c>
      <c r="AP46" s="1">
        <f t="shared" si="21"/>
        <v>20</v>
      </c>
      <c r="AQ46" s="1" t="s">
        <v>118</v>
      </c>
      <c r="AR46" s="1"/>
      <c r="AS46" s="1">
        <v>1</v>
      </c>
      <c r="AT46" s="1"/>
      <c r="AU46" s="1"/>
      <c r="AV46" s="17"/>
      <c r="AW46" s="2"/>
      <c r="AX46" s="2"/>
      <c r="AY46" s="2"/>
      <c r="AZ46" s="17"/>
      <c r="BA46" s="1"/>
      <c r="BB46" s="1"/>
      <c r="BC46" s="1"/>
      <c r="BD46" s="1"/>
      <c r="BE46" s="18"/>
      <c r="BF46" s="2"/>
      <c r="BG46" s="6"/>
      <c r="BH46" s="6"/>
    </row>
    <row r="47" spans="1:60" ht="12.75" hidden="1" customHeight="1" x14ac:dyDescent="0.2">
      <c r="A47" s="19" t="s">
        <v>961</v>
      </c>
      <c r="B47" s="19" t="s">
        <v>1014</v>
      </c>
      <c r="C47" s="19" t="s">
        <v>1027</v>
      </c>
      <c r="D47" s="20" t="s">
        <v>1028</v>
      </c>
      <c r="E47" s="20"/>
      <c r="F47" s="21"/>
      <c r="G47" s="21"/>
      <c r="H47" s="21"/>
      <c r="I47" s="21"/>
      <c r="J47" s="21"/>
      <c r="K47" s="21"/>
      <c r="L47" s="21"/>
      <c r="M47" s="21"/>
      <c r="N47" s="32"/>
      <c r="O47" s="22" t="s">
        <v>448</v>
      </c>
      <c r="P47" s="23">
        <v>925.94823221676131</v>
      </c>
      <c r="Q47" s="34">
        <f t="shared" si="17"/>
        <v>690.75738123370388</v>
      </c>
      <c r="R47" s="39"/>
      <c r="S47" s="39">
        <f>IF(O47="","",IF(O47="NA","",IF(O47="Mini disjuntor + DR",0.92,IF(O47="Mini disjuntor",0.92,IF(O47="Disjuntor Motor",0.92,IF(O47="Disjuntor C.M.",0.92,IF(O47="Disjuntor C.A.",0.92,IFERROR(VLOOKUP('Lista de Cargas'!P47,Motores!$B$9:$T$48,19,FALSE),"Erro"))))))))</f>
        <v>0.92</v>
      </c>
      <c r="T47" s="40">
        <f>IF(O47="","",IF(O47="NA","",IF(O47="Mini disjuntor + DR",100%,IF(O47="Mini disjuntor",100%,IF(O47="Disjuntor Motor",0.92,IF(O47="Disjuntor C.M.",100%,IF(O47="Disjuntor C.A.",100%,IFERROR(VLOOKUP('Lista de Cargas'!P47,Motores!$B$9:$T$48,16,FALSE)/100,"Erro"))))))))</f>
        <v>1</v>
      </c>
      <c r="U47" s="40" t="s">
        <v>445</v>
      </c>
      <c r="V47" s="39">
        <v>440</v>
      </c>
      <c r="W47" s="2">
        <f t="shared" si="27"/>
        <v>985.19999999999982</v>
      </c>
      <c r="X47" s="2">
        <f t="shared" si="30"/>
        <v>750.82324047141719</v>
      </c>
      <c r="Y47" s="2">
        <f t="shared" si="28"/>
        <v>985.19999999999982</v>
      </c>
      <c r="Z47" s="1"/>
      <c r="AA47" s="1"/>
      <c r="AB47" s="1">
        <v>20</v>
      </c>
      <c r="AC47" s="1"/>
      <c r="AD47" s="1"/>
      <c r="AE47" s="1"/>
      <c r="AF47" s="1"/>
      <c r="AG47" s="1">
        <f t="shared" si="19"/>
        <v>20</v>
      </c>
      <c r="AH47" s="1">
        <v>6</v>
      </c>
      <c r="AI47" s="1" t="s">
        <v>1046</v>
      </c>
      <c r="AJ47" s="1">
        <f t="shared" si="20"/>
        <v>120</v>
      </c>
      <c r="AK47" s="1">
        <v>0</v>
      </c>
      <c r="AL47" s="1" t="s">
        <v>118</v>
      </c>
      <c r="AM47" s="1"/>
      <c r="AN47" s="1">
        <v>1</v>
      </c>
      <c r="AO47" s="1" t="s">
        <v>1047</v>
      </c>
      <c r="AP47" s="1">
        <f t="shared" si="21"/>
        <v>20</v>
      </c>
      <c r="AQ47" s="1" t="s">
        <v>118</v>
      </c>
      <c r="AR47" s="1"/>
      <c r="AS47" s="1">
        <v>1</v>
      </c>
      <c r="AT47" s="1"/>
      <c r="AU47" s="1"/>
      <c r="AV47" s="17"/>
      <c r="AW47" s="2"/>
      <c r="AX47" s="2"/>
      <c r="AY47" s="2"/>
      <c r="AZ47" s="17"/>
      <c r="BA47" s="1"/>
      <c r="BB47" s="1"/>
      <c r="BC47" s="1"/>
      <c r="BD47" s="1"/>
      <c r="BE47" s="18"/>
      <c r="BF47" s="2"/>
      <c r="BG47" s="6"/>
      <c r="BH47" s="6"/>
    </row>
    <row r="48" spans="1:60" ht="12.75" customHeight="1" x14ac:dyDescent="0.2">
      <c r="A48" s="19">
        <v>100</v>
      </c>
      <c r="B48" s="134" t="s">
        <v>952</v>
      </c>
      <c r="C48" s="134" t="s">
        <v>502</v>
      </c>
      <c r="D48" s="135" t="s">
        <v>656</v>
      </c>
      <c r="E48" s="135"/>
      <c r="F48" s="136"/>
      <c r="G48" s="136"/>
      <c r="H48" s="136"/>
      <c r="I48" s="136"/>
      <c r="J48" s="136"/>
      <c r="K48" s="136"/>
      <c r="L48" s="136"/>
      <c r="M48" s="136"/>
      <c r="N48" s="137"/>
      <c r="O48" s="138" t="s">
        <v>35</v>
      </c>
      <c r="P48" s="139">
        <v>20</v>
      </c>
      <c r="Q48" s="34">
        <f t="shared" ref="Q48:Q110" si="32">P48*0.746</f>
        <v>14.92</v>
      </c>
      <c r="R48" s="39"/>
      <c r="S48" s="39">
        <f>IF(O48="","",IF(O48="NA","",IF(O48="Mini disjuntor + DR",0.92,IF(O48="Mini disjuntor",0.92,IF(O48="Disjuntor Motor",0.92,IF(O48="Disjuntor C.M.",0.92,IF(O48="Disjuntor C.A.",0.92,IFERROR(VLOOKUP('Lista de Cargas'!P48,Motores!$B$9:$T$48,19,FALSE),"Erro"))))))))</f>
        <v>0.81</v>
      </c>
      <c r="T48" s="40">
        <f>IF(O48="","",IF(O48="NA","",IF(O48="Mini disjuntor + DR",100%,IF(O48="Mini disjuntor",100%,IF(O48="Disjuntor Motor",0.92,IF(O48="Disjuntor C.M.",100%,IF(O48="Disjuntor C.A.",100%,IFERROR(VLOOKUP('Lista de Cargas'!P48,Motores!$B$9:$T$48,16,FALSE)/100,"Erro"))))))))</f>
        <v>0.92400000000000004</v>
      </c>
      <c r="U48" s="40" t="s">
        <v>445</v>
      </c>
      <c r="V48" s="39">
        <v>440</v>
      </c>
      <c r="W48" s="2">
        <f t="shared" si="27"/>
        <v>26.15763823999135</v>
      </c>
      <c r="X48" s="2">
        <f t="shared" ref="X48:X110" si="33">IFERROR(Q48/S48,0)</f>
        <v>18.419753086419753</v>
      </c>
      <c r="Y48" s="2">
        <f t="shared" si="28"/>
        <v>78.472914719974057</v>
      </c>
      <c r="Z48" s="1"/>
      <c r="AA48" s="1"/>
      <c r="AB48" s="1">
        <v>90</v>
      </c>
      <c r="AC48" s="1"/>
      <c r="AD48" s="1"/>
      <c r="AE48" s="1"/>
      <c r="AF48" s="1"/>
      <c r="AG48" s="1">
        <f t="shared" ref="AG48:AG110" si="34">SUM(AB48:AF48)</f>
        <v>90</v>
      </c>
      <c r="AH48" s="1">
        <v>1</v>
      </c>
      <c r="AI48" s="1" t="s">
        <v>1062</v>
      </c>
      <c r="AJ48" s="1">
        <f t="shared" ref="AJ48:AJ110" si="35">$AG48*AH48*(1+$BJ$1)</f>
        <v>90</v>
      </c>
      <c r="AK48" s="1">
        <v>0</v>
      </c>
      <c r="AL48" s="1" t="s">
        <v>118</v>
      </c>
      <c r="AM48" s="1">
        <f t="shared" ref="AM48:AM110" si="36">$AG48*AK48*(1+$BJ$1)</f>
        <v>0</v>
      </c>
      <c r="AN48" s="1">
        <v>0</v>
      </c>
      <c r="AO48" s="1" t="s">
        <v>118</v>
      </c>
      <c r="AP48" s="1">
        <f t="shared" ref="AP48:AP110" si="37">$AG48*AN48*(1+$BJ$1)</f>
        <v>0</v>
      </c>
      <c r="AQ48" s="1" t="s">
        <v>69</v>
      </c>
      <c r="AR48" s="1" t="str">
        <f t="shared" ref="AR48:AR79" si="38">IFERROR(VLOOKUP(AQ48,$O$368:$P$412,2,1),"NA")</f>
        <v>1"</v>
      </c>
      <c r="AS48" s="1">
        <v>1</v>
      </c>
      <c r="AT48" s="1"/>
      <c r="AU48" s="1"/>
      <c r="AV48" s="17"/>
      <c r="AW48" s="2"/>
      <c r="AX48" s="2"/>
      <c r="AY48" s="2"/>
      <c r="AZ48" s="17"/>
      <c r="BA48" s="1"/>
      <c r="BB48" s="1"/>
      <c r="BC48" s="1"/>
      <c r="BD48" s="1"/>
      <c r="BE48" s="18"/>
      <c r="BF48" s="2">
        <f t="shared" ref="BF48:BF79" si="39">IFERROR(IF(F48=$O$358,0,IF(S48&gt;$BH$1,0,IF(O48=$O$347,0,SQRT((X48^2)-(Q48^2))-(SQRT(((Q48/$BH$1)^2)-(Q48^2)))))),0)</f>
        <v>4.4460001420638564</v>
      </c>
      <c r="BG48" s="6"/>
      <c r="BH48" s="6"/>
    </row>
    <row r="49" spans="1:60" ht="12.75" customHeight="1" x14ac:dyDescent="0.2">
      <c r="A49" s="19">
        <v>100</v>
      </c>
      <c r="B49" s="134" t="s">
        <v>952</v>
      </c>
      <c r="C49" s="134" t="s">
        <v>503</v>
      </c>
      <c r="D49" s="135" t="s">
        <v>657</v>
      </c>
      <c r="E49" s="135"/>
      <c r="F49" s="136"/>
      <c r="G49" s="136"/>
      <c r="H49" s="136"/>
      <c r="I49" s="136"/>
      <c r="J49" s="136"/>
      <c r="K49" s="136"/>
      <c r="L49" s="136"/>
      <c r="M49" s="136"/>
      <c r="N49" s="137"/>
      <c r="O49" s="138" t="s">
        <v>35</v>
      </c>
      <c r="P49" s="139">
        <v>15</v>
      </c>
      <c r="Q49" s="34">
        <f t="shared" si="32"/>
        <v>11.19</v>
      </c>
      <c r="R49" s="39"/>
      <c r="S49" s="39">
        <f>IF(O49="","",IF(O49="NA","",IF(O49="Mini disjuntor + DR",0.92,IF(O49="Mini disjuntor",0.92,IF(O49="Disjuntor Motor",0.92,IF(O49="Disjuntor C.M.",0.92,IF(O49="Disjuntor C.A.",0.92,IFERROR(VLOOKUP('Lista de Cargas'!P49,Motores!$B$9:$T$48,19,FALSE),"Erro"))))))))</f>
        <v>0.85</v>
      </c>
      <c r="T49" s="40">
        <f>IF(O49="","",IF(O49="NA","",IF(O49="Mini disjuntor + DR",100%,IF(O49="Mini disjuntor",100%,IF(O49="Disjuntor Motor",0.92,IF(O49="Disjuntor C.M.",100%,IF(O49="Disjuntor C.A.",100%,IFERROR(VLOOKUP('Lista de Cargas'!P49,Motores!$B$9:$T$48,16,FALSE)/100,"Erro"))))))))</f>
        <v>0.91700000000000004</v>
      </c>
      <c r="U49" s="40" t="s">
        <v>445</v>
      </c>
      <c r="V49" s="39">
        <v>440</v>
      </c>
      <c r="W49" s="2">
        <f t="shared" si="27"/>
        <v>18.837727979029246</v>
      </c>
      <c r="X49" s="2">
        <f t="shared" si="33"/>
        <v>13.164705882352941</v>
      </c>
      <c r="Y49" s="2">
        <f t="shared" si="28"/>
        <v>56.513183937087739</v>
      </c>
      <c r="Z49" s="1"/>
      <c r="AA49" s="1"/>
      <c r="AB49" s="1">
        <v>90</v>
      </c>
      <c r="AC49" s="1"/>
      <c r="AD49" s="1"/>
      <c r="AE49" s="1"/>
      <c r="AF49" s="1"/>
      <c r="AG49" s="1">
        <f t="shared" si="34"/>
        <v>90</v>
      </c>
      <c r="AH49" s="1">
        <v>1</v>
      </c>
      <c r="AI49" s="1" t="s">
        <v>1063</v>
      </c>
      <c r="AJ49" s="1">
        <f t="shared" si="35"/>
        <v>90</v>
      </c>
      <c r="AK49" s="1">
        <v>0</v>
      </c>
      <c r="AL49" s="1" t="s">
        <v>118</v>
      </c>
      <c r="AM49" s="1">
        <f t="shared" si="36"/>
        <v>0</v>
      </c>
      <c r="AN49" s="1">
        <v>0</v>
      </c>
      <c r="AO49" s="1" t="s">
        <v>118</v>
      </c>
      <c r="AP49" s="1">
        <f t="shared" si="37"/>
        <v>0</v>
      </c>
      <c r="AQ49" s="1" t="s">
        <v>57</v>
      </c>
      <c r="AR49" s="1" t="str">
        <f t="shared" si="38"/>
        <v>3/4"</v>
      </c>
      <c r="AS49" s="1">
        <v>1</v>
      </c>
      <c r="AT49" s="1"/>
      <c r="AU49" s="1"/>
      <c r="AV49" s="17"/>
      <c r="AW49" s="2"/>
      <c r="AX49" s="2"/>
      <c r="AY49" s="2"/>
      <c r="AZ49" s="17"/>
      <c r="BA49" s="1"/>
      <c r="BB49" s="1"/>
      <c r="BC49" s="1"/>
      <c r="BD49" s="1"/>
      <c r="BE49" s="18"/>
      <c r="BF49" s="2">
        <f t="shared" si="39"/>
        <v>2.1680191081665816</v>
      </c>
      <c r="BG49" s="6"/>
      <c r="BH49" s="6"/>
    </row>
    <row r="50" spans="1:60" ht="12.75" customHeight="1" x14ac:dyDescent="0.2">
      <c r="A50" s="19">
        <v>100</v>
      </c>
      <c r="B50" s="134" t="s">
        <v>952</v>
      </c>
      <c r="C50" s="134" t="s">
        <v>504</v>
      </c>
      <c r="D50" s="135" t="s">
        <v>658</v>
      </c>
      <c r="E50" s="135"/>
      <c r="F50" s="136"/>
      <c r="G50" s="136"/>
      <c r="H50" s="136"/>
      <c r="I50" s="136"/>
      <c r="J50" s="136"/>
      <c r="K50" s="136"/>
      <c r="L50" s="136"/>
      <c r="M50" s="136"/>
      <c r="N50" s="137"/>
      <c r="O50" s="138" t="s">
        <v>35</v>
      </c>
      <c r="P50" s="139">
        <v>5</v>
      </c>
      <c r="Q50" s="34">
        <f t="shared" si="32"/>
        <v>3.73</v>
      </c>
      <c r="R50" s="39"/>
      <c r="S50" s="39">
        <f>IF(O50="","",IF(O50="NA","",IF(O50="Mini disjuntor + DR",0.92,IF(O50="Mini disjuntor",0.92,IF(O50="Disjuntor Motor",0.92,IF(O50="Disjuntor C.M.",0.92,IF(O50="Disjuntor C.A.",0.92,IFERROR(VLOOKUP('Lista de Cargas'!P50,Motores!$B$9:$T$48,19,FALSE),"Erro"))))))))</f>
        <v>0.8</v>
      </c>
      <c r="T50" s="40">
        <f>IF(O50="","",IF(O50="NA","",IF(O50="Mini disjuntor + DR",100%,IF(O50="Mini disjuntor",100%,IF(O50="Disjuntor Motor",0.92,IF(O50="Disjuntor C.M.",100%,IF(O50="Disjuntor C.A.",100%,IFERROR(VLOOKUP('Lista de Cargas'!P50,Motores!$B$9:$T$48,16,FALSE)/100,"Erro"))))))))</f>
        <v>0.88</v>
      </c>
      <c r="U50" s="40" t="s">
        <v>445</v>
      </c>
      <c r="V50" s="39">
        <v>440</v>
      </c>
      <c r="W50" s="2">
        <f t="shared" si="27"/>
        <v>6.9522097884727003</v>
      </c>
      <c r="X50" s="2">
        <f t="shared" si="33"/>
        <v>4.6624999999999996</v>
      </c>
      <c r="Y50" s="2">
        <f t="shared" si="28"/>
        <v>20.856629365418101</v>
      </c>
      <c r="Z50" s="1"/>
      <c r="AA50" s="1"/>
      <c r="AB50" s="1">
        <v>90</v>
      </c>
      <c r="AC50" s="1"/>
      <c r="AD50" s="1"/>
      <c r="AE50" s="1"/>
      <c r="AF50" s="1"/>
      <c r="AG50" s="1">
        <f t="shared" si="34"/>
        <v>90</v>
      </c>
      <c r="AH50" s="1">
        <v>1</v>
      </c>
      <c r="AI50" s="1" t="s">
        <v>1054</v>
      </c>
      <c r="AJ50" s="1">
        <f t="shared" si="35"/>
        <v>90</v>
      </c>
      <c r="AK50" s="1">
        <v>0</v>
      </c>
      <c r="AL50" s="1" t="s">
        <v>118</v>
      </c>
      <c r="AM50" s="1">
        <f t="shared" si="36"/>
        <v>0</v>
      </c>
      <c r="AN50" s="1">
        <v>0</v>
      </c>
      <c r="AO50" s="1" t="s">
        <v>118</v>
      </c>
      <c r="AP50" s="1">
        <f t="shared" si="37"/>
        <v>0</v>
      </c>
      <c r="AQ50" s="1" t="s">
        <v>57</v>
      </c>
      <c r="AR50" s="1" t="str">
        <f t="shared" si="38"/>
        <v>3/4"</v>
      </c>
      <c r="AS50" s="1">
        <v>1</v>
      </c>
      <c r="AT50" s="1"/>
      <c r="AU50" s="1"/>
      <c r="AV50" s="17"/>
      <c r="AW50" s="2"/>
      <c r="AX50" s="2"/>
      <c r="AY50" s="2"/>
      <c r="AZ50" s="17"/>
      <c r="BA50" s="1"/>
      <c r="BB50" s="1"/>
      <c r="BC50" s="1"/>
      <c r="BD50" s="1"/>
      <c r="BE50" s="18"/>
      <c r="BF50" s="2">
        <f t="shared" si="39"/>
        <v>1.2085266538119559</v>
      </c>
      <c r="BG50" s="6"/>
      <c r="BH50" s="6"/>
    </row>
    <row r="51" spans="1:60" ht="12.75" customHeight="1" x14ac:dyDescent="0.2">
      <c r="A51" s="19">
        <v>100</v>
      </c>
      <c r="B51" s="19" t="s">
        <v>952</v>
      </c>
      <c r="C51" s="19" t="s">
        <v>505</v>
      </c>
      <c r="D51" s="20" t="s">
        <v>659</v>
      </c>
      <c r="E51" s="20"/>
      <c r="F51" s="21"/>
      <c r="G51" s="21"/>
      <c r="H51" s="21"/>
      <c r="I51" s="21"/>
      <c r="J51" s="21"/>
      <c r="K51" s="21"/>
      <c r="L51" s="21"/>
      <c r="M51" s="21"/>
      <c r="N51" s="32" t="s">
        <v>1043</v>
      </c>
      <c r="O51" s="22" t="s">
        <v>5</v>
      </c>
      <c r="P51" s="23">
        <v>1.5</v>
      </c>
      <c r="Q51" s="34">
        <f t="shared" si="32"/>
        <v>1.119</v>
      </c>
      <c r="R51" s="39"/>
      <c r="S51" s="39">
        <f>IF(O51="","",IF(O51="NA","",IF(O51="Mini disjuntor + DR",0.92,IF(O51="Mini disjuntor",0.92,IF(O51="Disjuntor Motor",0.92,IF(O51="Disjuntor C.M.",0.92,IF(O51="Disjuntor C.A.",0.92,IFERROR(VLOOKUP('Lista de Cargas'!P51,Motores!$B$9:$T$48,19,FALSE),"Erro"))))))))</f>
        <v>0.79</v>
      </c>
      <c r="T51" s="40">
        <f>IF(O51="","",IF(O51="NA","",IF(O51="Mini disjuntor + DR",100%,IF(O51="Mini disjuntor",100%,IF(O51="Disjuntor Motor",0.92,IF(O51="Disjuntor C.M.",100%,IF(O51="Disjuntor C.A.",100%,IFERROR(VLOOKUP('Lista de Cargas'!P51,Motores!$B$9:$T$48,16,FALSE)/100,"Erro"))))))))</f>
        <v>0.81599999999999995</v>
      </c>
      <c r="U51" s="40" t="s">
        <v>445</v>
      </c>
      <c r="V51" s="39">
        <v>440</v>
      </c>
      <c r="W51" s="2">
        <f t="shared" si="27"/>
        <v>2.2777157907133203</v>
      </c>
      <c r="X51" s="2">
        <f t="shared" si="33"/>
        <v>1.4164556962025316</v>
      </c>
      <c r="Y51" s="2">
        <f t="shared" si="28"/>
        <v>3.4165736860699805</v>
      </c>
      <c r="Z51" s="1"/>
      <c r="AA51" s="1"/>
      <c r="AB51" s="1">
        <v>90</v>
      </c>
      <c r="AC51" s="1"/>
      <c r="AD51" s="1"/>
      <c r="AE51" s="1"/>
      <c r="AF51" s="1"/>
      <c r="AG51" s="1">
        <f t="shared" si="34"/>
        <v>90</v>
      </c>
      <c r="AH51" s="1">
        <v>1</v>
      </c>
      <c r="AI51" s="1" t="s">
        <v>1054</v>
      </c>
      <c r="AJ51" s="1">
        <f t="shared" si="35"/>
        <v>90</v>
      </c>
      <c r="AK51" s="1">
        <v>0</v>
      </c>
      <c r="AL51" s="1" t="s">
        <v>118</v>
      </c>
      <c r="AM51" s="1">
        <f t="shared" si="36"/>
        <v>0</v>
      </c>
      <c r="AN51" s="1">
        <v>0</v>
      </c>
      <c r="AO51" s="1" t="s">
        <v>118</v>
      </c>
      <c r="AP51" s="1">
        <f t="shared" si="37"/>
        <v>0</v>
      </c>
      <c r="AQ51" s="1" t="s">
        <v>57</v>
      </c>
      <c r="AR51" s="1" t="str">
        <f t="shared" si="38"/>
        <v>3/4"</v>
      </c>
      <c r="AS51" s="1">
        <v>1</v>
      </c>
      <c r="AT51" s="1"/>
      <c r="AU51" s="1"/>
      <c r="AV51" s="17"/>
      <c r="AW51" s="2"/>
      <c r="AX51" s="2"/>
      <c r="AY51" s="2"/>
      <c r="AZ51" s="17"/>
      <c r="BA51" s="1"/>
      <c r="BB51" s="1"/>
      <c r="BC51" s="1"/>
      <c r="BD51" s="1"/>
      <c r="BE51" s="18"/>
      <c r="BF51" s="2">
        <f t="shared" si="39"/>
        <v>0</v>
      </c>
      <c r="BG51" s="6"/>
      <c r="BH51" s="6"/>
    </row>
    <row r="52" spans="1:60" ht="12.75" customHeight="1" x14ac:dyDescent="0.2">
      <c r="A52" s="19">
        <v>100</v>
      </c>
      <c r="B52" s="19" t="s">
        <v>952</v>
      </c>
      <c r="C52" s="19" t="s">
        <v>506</v>
      </c>
      <c r="D52" s="20" t="s">
        <v>660</v>
      </c>
      <c r="E52" s="20"/>
      <c r="F52" s="21"/>
      <c r="G52" s="21"/>
      <c r="H52" s="21"/>
      <c r="I52" s="21"/>
      <c r="J52" s="21"/>
      <c r="K52" s="21"/>
      <c r="L52" s="21"/>
      <c r="M52" s="21"/>
      <c r="N52" s="32" t="s">
        <v>1043</v>
      </c>
      <c r="O52" s="22" t="s">
        <v>5</v>
      </c>
      <c r="P52" s="23">
        <v>300</v>
      </c>
      <c r="Q52" s="34">
        <f t="shared" si="32"/>
        <v>223.8</v>
      </c>
      <c r="R52" s="39"/>
      <c r="S52" s="39">
        <f>IF(O52="","",IF(O52="NA","",IF(O52="Mini disjuntor + DR",0.92,IF(O52="Mini disjuntor",0.92,IF(O52="Disjuntor Motor",0.92,IF(O52="Disjuntor C.M.",0.92,IF(O52="Disjuntor C.A.",0.92,IFERROR(VLOOKUP('Lista de Cargas'!P52,Motores!$B$9:$T$48,19,FALSE),"Erro"))))))))</f>
        <v>0.86</v>
      </c>
      <c r="T52" s="40">
        <f>IF(O52="","",IF(O52="NA","",IF(O52="Mini disjuntor + DR",100%,IF(O52="Mini disjuntor",100%,IF(O52="Disjuntor Motor",0.92,IF(O52="Disjuntor C.M.",100%,IF(O52="Disjuntor C.A.",100%,IFERROR(VLOOKUP('Lista de Cargas'!P52,Motores!$B$9:$T$48,16,FALSE)/100,"Erro"))))))))</f>
        <v>0.95900000000000007</v>
      </c>
      <c r="U52" s="40" t="s">
        <v>445</v>
      </c>
      <c r="V52" s="39">
        <v>440</v>
      </c>
      <c r="W52" s="2">
        <f t="shared" si="27"/>
        <v>356.06535570614608</v>
      </c>
      <c r="X52" s="2">
        <f t="shared" si="33"/>
        <v>260.23255813953489</v>
      </c>
      <c r="Y52" s="2">
        <f t="shared" si="28"/>
        <v>534.09803355921918</v>
      </c>
      <c r="Z52" s="1"/>
      <c r="AA52" s="1"/>
      <c r="AB52" s="1">
        <v>90</v>
      </c>
      <c r="AC52" s="1"/>
      <c r="AD52" s="1"/>
      <c r="AE52" s="1"/>
      <c r="AF52" s="1"/>
      <c r="AG52" s="1">
        <f t="shared" si="34"/>
        <v>90</v>
      </c>
      <c r="AH52" s="1">
        <v>3</v>
      </c>
      <c r="AI52" s="1" t="s">
        <v>1061</v>
      </c>
      <c r="AJ52" s="1">
        <f t="shared" si="35"/>
        <v>270</v>
      </c>
      <c r="AK52" s="1">
        <v>0</v>
      </c>
      <c r="AL52" s="1" t="s">
        <v>118</v>
      </c>
      <c r="AM52" s="1">
        <f t="shared" si="36"/>
        <v>0</v>
      </c>
      <c r="AN52" s="1">
        <v>1</v>
      </c>
      <c r="AO52" s="1" t="s">
        <v>1064</v>
      </c>
      <c r="AP52" s="1">
        <f t="shared" si="37"/>
        <v>90</v>
      </c>
      <c r="AQ52" s="1" t="s">
        <v>77</v>
      </c>
      <c r="AR52" s="1" t="str">
        <f t="shared" si="38"/>
        <v>2 x 3"</v>
      </c>
      <c r="AS52" s="1">
        <v>1</v>
      </c>
      <c r="AT52" s="1"/>
      <c r="AU52" s="1"/>
      <c r="AV52" s="17"/>
      <c r="AW52" s="2"/>
      <c r="AX52" s="2"/>
      <c r="AY52" s="2"/>
      <c r="AZ52" s="17"/>
      <c r="BA52" s="1"/>
      <c r="BB52" s="1"/>
      <c r="BC52" s="1"/>
      <c r="BD52" s="1"/>
      <c r="BE52" s="18"/>
      <c r="BF52" s="2">
        <f t="shared" si="39"/>
        <v>0</v>
      </c>
      <c r="BG52" s="6"/>
      <c r="BH52" s="6"/>
    </row>
    <row r="53" spans="1:60" ht="12.75" customHeight="1" x14ac:dyDescent="0.2">
      <c r="A53" s="19">
        <v>100</v>
      </c>
      <c r="B53" s="19" t="s">
        <v>952</v>
      </c>
      <c r="C53" s="19" t="s">
        <v>507</v>
      </c>
      <c r="D53" s="20" t="s">
        <v>661</v>
      </c>
      <c r="E53" s="20"/>
      <c r="F53" s="21"/>
      <c r="G53" s="21"/>
      <c r="H53" s="21"/>
      <c r="I53" s="21"/>
      <c r="J53" s="21"/>
      <c r="K53" s="21"/>
      <c r="L53" s="21"/>
      <c r="M53" s="21"/>
      <c r="N53" s="32" t="s">
        <v>1043</v>
      </c>
      <c r="O53" s="22" t="s">
        <v>35</v>
      </c>
      <c r="P53" s="23">
        <v>30</v>
      </c>
      <c r="Q53" s="34">
        <f t="shared" si="32"/>
        <v>22.38</v>
      </c>
      <c r="R53" s="39"/>
      <c r="S53" s="39">
        <f>IF(O53="","",IF(O53="NA","",IF(O53="Mini disjuntor + DR",0.92,IF(O53="Mini disjuntor",0.92,IF(O53="Disjuntor Motor",0.92,IF(O53="Disjuntor C.M.",0.92,IF(O53="Disjuntor C.A.",0.92,IFERROR(VLOOKUP('Lista de Cargas'!P53,Motores!$B$9:$T$48,19,FALSE),"Erro"))))))))</f>
        <v>0.84</v>
      </c>
      <c r="T53" s="40">
        <f>IF(O53="","",IF(O53="NA","",IF(O53="Mini disjuntor + DR",100%,IF(O53="Mini disjuntor",100%,IF(O53="Disjuntor Motor",0.92,IF(O53="Disjuntor C.M.",100%,IF(O53="Disjuntor C.A.",100%,IFERROR(VLOOKUP('Lista de Cargas'!P53,Motores!$B$9:$T$48,16,FALSE)/100,"Erro"))))))))</f>
        <v>0.93</v>
      </c>
      <c r="U53" s="40" t="s">
        <v>445</v>
      </c>
      <c r="V53" s="39">
        <v>440</v>
      </c>
      <c r="W53" s="2">
        <f t="shared" si="27"/>
        <v>37.59105753521338</v>
      </c>
      <c r="X53" s="2">
        <f t="shared" si="33"/>
        <v>26.642857142857142</v>
      </c>
      <c r="Y53" s="2">
        <f t="shared" si="28"/>
        <v>112.77317260564014</v>
      </c>
      <c r="Z53" s="1"/>
      <c r="AA53" s="1"/>
      <c r="AB53" s="1">
        <v>90</v>
      </c>
      <c r="AC53" s="1"/>
      <c r="AD53" s="1"/>
      <c r="AE53" s="1"/>
      <c r="AF53" s="1"/>
      <c r="AG53" s="1">
        <f t="shared" si="34"/>
        <v>90</v>
      </c>
      <c r="AH53" s="1">
        <v>1</v>
      </c>
      <c r="AI53" s="1" t="s">
        <v>1057</v>
      </c>
      <c r="AJ53" s="1">
        <f t="shared" si="35"/>
        <v>90</v>
      </c>
      <c r="AK53" s="1">
        <v>0</v>
      </c>
      <c r="AL53" s="1" t="s">
        <v>118</v>
      </c>
      <c r="AM53" s="1">
        <f t="shared" si="36"/>
        <v>0</v>
      </c>
      <c r="AN53" s="1">
        <v>0</v>
      </c>
      <c r="AO53" s="1" t="s">
        <v>118</v>
      </c>
      <c r="AP53" s="1">
        <f t="shared" si="37"/>
        <v>0</v>
      </c>
      <c r="AQ53" s="1" t="s">
        <v>60</v>
      </c>
      <c r="AR53" s="1" t="str">
        <f t="shared" si="38"/>
        <v>1"</v>
      </c>
      <c r="AS53" s="1">
        <v>1</v>
      </c>
      <c r="AT53" s="1"/>
      <c r="AU53" s="1"/>
      <c r="AV53" s="17"/>
      <c r="AW53" s="2"/>
      <c r="AX53" s="2"/>
      <c r="AY53" s="2"/>
      <c r="AZ53" s="17"/>
      <c r="BA53" s="1"/>
      <c r="BB53" s="1"/>
      <c r="BC53" s="1"/>
      <c r="BD53" s="1"/>
      <c r="BE53" s="18"/>
      <c r="BF53" s="2">
        <f t="shared" si="39"/>
        <v>4.9222118297615935</v>
      </c>
      <c r="BG53" s="6"/>
      <c r="BH53" s="6"/>
    </row>
    <row r="54" spans="1:60" ht="12.75" customHeight="1" x14ac:dyDescent="0.2">
      <c r="A54" s="19">
        <v>100</v>
      </c>
      <c r="B54" s="19" t="s">
        <v>952</v>
      </c>
      <c r="C54" s="19" t="s">
        <v>508</v>
      </c>
      <c r="D54" s="20" t="s">
        <v>662</v>
      </c>
      <c r="E54" s="20"/>
      <c r="F54" s="21"/>
      <c r="G54" s="21"/>
      <c r="H54" s="21"/>
      <c r="I54" s="21"/>
      <c r="J54" s="21"/>
      <c r="K54" s="21"/>
      <c r="L54" s="21"/>
      <c r="M54" s="21"/>
      <c r="N54" s="32" t="s">
        <v>1043</v>
      </c>
      <c r="O54" s="22" t="s">
        <v>34</v>
      </c>
      <c r="P54" s="23">
        <v>2</v>
      </c>
      <c r="Q54" s="34">
        <f t="shared" si="32"/>
        <v>1.492</v>
      </c>
      <c r="R54" s="39"/>
      <c r="S54" s="39">
        <f>IF(O54="","",IF(O54="NA","",IF(O54="Mini disjuntor + DR",0.92,IF(O54="Mini disjuntor",0.92,IF(O54="Disjuntor Motor",0.92,IF(O54="Disjuntor C.M.",0.92,IF(O54="Disjuntor C.A.",0.92,IFERROR(VLOOKUP('Lista de Cargas'!P54,Motores!$B$9:$T$48,19,FALSE),"Erro"))))))))</f>
        <v>0.78</v>
      </c>
      <c r="T54" s="40">
        <f>IF(O54="","",IF(O54="NA","",IF(O54="Mini disjuntor + DR",100%,IF(O54="Mini disjuntor",100%,IF(O54="Disjuntor Motor",0.92,IF(O54="Disjuntor C.M.",100%,IF(O54="Disjuntor C.A.",100%,IFERROR(VLOOKUP('Lista de Cargas'!P54,Motores!$B$9:$T$48,16,FALSE)/100,"Erro"))))))))</f>
        <v>0.84200000000000008</v>
      </c>
      <c r="U54" s="40" t="s">
        <v>445</v>
      </c>
      <c r="V54" s="39">
        <v>440</v>
      </c>
      <c r="W54" s="2">
        <f t="shared" si="27"/>
        <v>2.9809097332875214</v>
      </c>
      <c r="X54" s="2">
        <f t="shared" si="33"/>
        <v>1.9128205128205127</v>
      </c>
      <c r="Y54" s="2">
        <f t="shared" si="28"/>
        <v>17.885458399725128</v>
      </c>
      <c r="Z54" s="1"/>
      <c r="AA54" s="1"/>
      <c r="AB54" s="1">
        <v>90</v>
      </c>
      <c r="AC54" s="1"/>
      <c r="AD54" s="1"/>
      <c r="AE54" s="1"/>
      <c r="AF54" s="1"/>
      <c r="AG54" s="1">
        <f t="shared" si="34"/>
        <v>90</v>
      </c>
      <c r="AH54" s="1">
        <v>1</v>
      </c>
      <c r="AI54" s="1" t="s">
        <v>1054</v>
      </c>
      <c r="AJ54" s="1">
        <f t="shared" si="35"/>
        <v>90</v>
      </c>
      <c r="AK54" s="1">
        <v>0</v>
      </c>
      <c r="AL54" s="1" t="s">
        <v>118</v>
      </c>
      <c r="AM54" s="1">
        <f t="shared" si="36"/>
        <v>0</v>
      </c>
      <c r="AN54" s="1">
        <v>0</v>
      </c>
      <c r="AO54" s="1" t="s">
        <v>118</v>
      </c>
      <c r="AP54" s="1">
        <f t="shared" si="37"/>
        <v>0</v>
      </c>
      <c r="AQ54" s="1" t="s">
        <v>57</v>
      </c>
      <c r="AR54" s="1" t="str">
        <f t="shared" si="38"/>
        <v>3/4"</v>
      </c>
      <c r="AS54" s="1">
        <v>1</v>
      </c>
      <c r="AT54" s="1"/>
      <c r="AU54" s="1"/>
      <c r="AV54" s="17"/>
      <c r="AW54" s="2"/>
      <c r="AX54" s="2"/>
      <c r="AY54" s="2"/>
      <c r="AZ54" s="17"/>
      <c r="BA54" s="1"/>
      <c r="BB54" s="1"/>
      <c r="BC54" s="1"/>
      <c r="BD54" s="1"/>
      <c r="BE54" s="18"/>
      <c r="BF54" s="2">
        <f t="shared" si="39"/>
        <v>0.56141455218969116</v>
      </c>
      <c r="BG54" s="6"/>
      <c r="BH54" s="6"/>
    </row>
    <row r="55" spans="1:60" ht="12.75" customHeight="1" x14ac:dyDescent="0.2">
      <c r="A55" s="19">
        <v>100</v>
      </c>
      <c r="B55" s="134" t="s">
        <v>952</v>
      </c>
      <c r="C55" s="134" t="s">
        <v>509</v>
      </c>
      <c r="D55" s="135" t="s">
        <v>657</v>
      </c>
      <c r="E55" s="135"/>
      <c r="F55" s="136"/>
      <c r="G55" s="136"/>
      <c r="H55" s="136"/>
      <c r="I55" s="136"/>
      <c r="J55" s="136"/>
      <c r="K55" s="136"/>
      <c r="L55" s="136"/>
      <c r="M55" s="136"/>
      <c r="N55" s="137"/>
      <c r="O55" s="138" t="s">
        <v>35</v>
      </c>
      <c r="P55" s="139">
        <v>15</v>
      </c>
      <c r="Q55" s="34">
        <f t="shared" si="32"/>
        <v>11.19</v>
      </c>
      <c r="R55" s="39"/>
      <c r="S55" s="39">
        <f>IF(O55="","",IF(O55="NA","",IF(O55="Mini disjuntor + DR",0.92,IF(O55="Mini disjuntor",0.92,IF(O55="Disjuntor Motor",0.92,IF(O55="Disjuntor C.M.",0.92,IF(O55="Disjuntor C.A.",0.92,IFERROR(VLOOKUP('Lista de Cargas'!P55,Motores!$B$9:$T$48,19,FALSE),"Erro"))))))))</f>
        <v>0.85</v>
      </c>
      <c r="T55" s="40">
        <f>IF(O55="","",IF(O55="NA","",IF(O55="Mini disjuntor + DR",100%,IF(O55="Mini disjuntor",100%,IF(O55="Disjuntor Motor",0.92,IF(O55="Disjuntor C.M.",100%,IF(O55="Disjuntor C.A.",100%,IFERROR(VLOOKUP('Lista de Cargas'!P55,Motores!$B$9:$T$48,16,FALSE)/100,"Erro"))))))))</f>
        <v>0.91700000000000004</v>
      </c>
      <c r="U55" s="40" t="s">
        <v>445</v>
      </c>
      <c r="V55" s="39">
        <v>440</v>
      </c>
      <c r="W55" s="2">
        <f t="shared" si="27"/>
        <v>18.837727979029246</v>
      </c>
      <c r="X55" s="2">
        <f t="shared" si="33"/>
        <v>13.164705882352941</v>
      </c>
      <c r="Y55" s="2">
        <f t="shared" si="28"/>
        <v>56.513183937087739</v>
      </c>
      <c r="Z55" s="1"/>
      <c r="AA55" s="1"/>
      <c r="AB55" s="1">
        <v>90</v>
      </c>
      <c r="AC55" s="1"/>
      <c r="AD55" s="1"/>
      <c r="AE55" s="1"/>
      <c r="AF55" s="1"/>
      <c r="AG55" s="1">
        <f t="shared" si="34"/>
        <v>90</v>
      </c>
      <c r="AH55" s="1">
        <v>1</v>
      </c>
      <c r="AI55" s="1" t="s">
        <v>1063</v>
      </c>
      <c r="AJ55" s="1">
        <f t="shared" si="35"/>
        <v>90</v>
      </c>
      <c r="AK55" s="1">
        <v>0</v>
      </c>
      <c r="AL55" s="1" t="s">
        <v>118</v>
      </c>
      <c r="AM55" s="1">
        <f t="shared" si="36"/>
        <v>0</v>
      </c>
      <c r="AN55" s="1">
        <v>0</v>
      </c>
      <c r="AO55" s="1" t="s">
        <v>118</v>
      </c>
      <c r="AP55" s="1">
        <f t="shared" si="37"/>
        <v>0</v>
      </c>
      <c r="AQ55" s="1" t="s">
        <v>57</v>
      </c>
      <c r="AR55" s="1" t="str">
        <f t="shared" si="38"/>
        <v>3/4"</v>
      </c>
      <c r="AS55" s="1">
        <v>1</v>
      </c>
      <c r="AT55" s="1"/>
      <c r="AU55" s="1"/>
      <c r="AV55" s="17"/>
      <c r="AW55" s="2"/>
      <c r="AX55" s="2"/>
      <c r="AY55" s="2"/>
      <c r="AZ55" s="17"/>
      <c r="BA55" s="1"/>
      <c r="BB55" s="1"/>
      <c r="BC55" s="1"/>
      <c r="BD55" s="1"/>
      <c r="BE55" s="18"/>
      <c r="BF55" s="2">
        <f t="shared" si="39"/>
        <v>2.1680191081665816</v>
      </c>
      <c r="BG55" s="6"/>
      <c r="BH55" s="6"/>
    </row>
    <row r="56" spans="1:60" ht="12.75" customHeight="1" x14ac:dyDescent="0.2">
      <c r="A56" s="19">
        <v>100</v>
      </c>
      <c r="B56" s="19" t="s">
        <v>952</v>
      </c>
      <c r="C56" s="19" t="s">
        <v>510</v>
      </c>
      <c r="D56" s="20" t="s">
        <v>659</v>
      </c>
      <c r="E56" s="20"/>
      <c r="F56" s="21"/>
      <c r="G56" s="21"/>
      <c r="H56" s="21"/>
      <c r="I56" s="21"/>
      <c r="J56" s="21"/>
      <c r="K56" s="21"/>
      <c r="L56" s="21"/>
      <c r="M56" s="21"/>
      <c r="N56" s="32" t="s">
        <v>1043</v>
      </c>
      <c r="O56" s="22" t="s">
        <v>5</v>
      </c>
      <c r="P56" s="23">
        <v>1.5</v>
      </c>
      <c r="Q56" s="34">
        <f t="shared" si="32"/>
        <v>1.119</v>
      </c>
      <c r="R56" s="39"/>
      <c r="S56" s="39">
        <f>IF(O56="","",IF(O56="NA","",IF(O56="Mini disjuntor + DR",0.92,IF(O56="Mini disjuntor",0.92,IF(O56="Disjuntor Motor",0.92,IF(O56="Disjuntor C.M.",0.92,IF(O56="Disjuntor C.A.",0.92,IFERROR(VLOOKUP('Lista de Cargas'!P56,Motores!$B$9:$T$48,19,FALSE),"Erro"))))))))</f>
        <v>0.79</v>
      </c>
      <c r="T56" s="40">
        <f>IF(O56="","",IF(O56="NA","",IF(O56="Mini disjuntor + DR",100%,IF(O56="Mini disjuntor",100%,IF(O56="Disjuntor Motor",0.92,IF(O56="Disjuntor C.M.",100%,IF(O56="Disjuntor C.A.",100%,IFERROR(VLOOKUP('Lista de Cargas'!P56,Motores!$B$9:$T$48,16,FALSE)/100,"Erro"))))))))</f>
        <v>0.81599999999999995</v>
      </c>
      <c r="U56" s="40" t="s">
        <v>445</v>
      </c>
      <c r="V56" s="39">
        <v>440</v>
      </c>
      <c r="W56" s="2">
        <f t="shared" si="27"/>
        <v>2.2777157907133203</v>
      </c>
      <c r="X56" s="2">
        <f t="shared" si="33"/>
        <v>1.4164556962025316</v>
      </c>
      <c r="Y56" s="2">
        <f t="shared" si="28"/>
        <v>3.4165736860699805</v>
      </c>
      <c r="Z56" s="1"/>
      <c r="AA56" s="1"/>
      <c r="AB56" s="1">
        <v>90</v>
      </c>
      <c r="AC56" s="1"/>
      <c r="AD56" s="1"/>
      <c r="AE56" s="1"/>
      <c r="AF56" s="1"/>
      <c r="AG56" s="1">
        <f t="shared" si="34"/>
        <v>90</v>
      </c>
      <c r="AH56" s="1">
        <v>1</v>
      </c>
      <c r="AI56" s="1" t="s">
        <v>1054</v>
      </c>
      <c r="AJ56" s="1">
        <f t="shared" si="35"/>
        <v>90</v>
      </c>
      <c r="AK56" s="1">
        <v>0</v>
      </c>
      <c r="AL56" s="1" t="s">
        <v>118</v>
      </c>
      <c r="AM56" s="1">
        <f t="shared" si="36"/>
        <v>0</v>
      </c>
      <c r="AN56" s="1">
        <v>0</v>
      </c>
      <c r="AO56" s="1" t="s">
        <v>118</v>
      </c>
      <c r="AP56" s="1">
        <f t="shared" si="37"/>
        <v>0</v>
      </c>
      <c r="AQ56" s="1" t="s">
        <v>57</v>
      </c>
      <c r="AR56" s="1" t="str">
        <f t="shared" si="38"/>
        <v>3/4"</v>
      </c>
      <c r="AS56" s="1">
        <v>1</v>
      </c>
      <c r="AT56" s="1"/>
      <c r="AU56" s="1"/>
      <c r="AV56" s="17"/>
      <c r="AW56" s="2"/>
      <c r="AX56" s="2"/>
      <c r="AY56" s="2"/>
      <c r="AZ56" s="17"/>
      <c r="BA56" s="1"/>
      <c r="BB56" s="1"/>
      <c r="BC56" s="1"/>
      <c r="BD56" s="1"/>
      <c r="BE56" s="18"/>
      <c r="BF56" s="2">
        <f t="shared" si="39"/>
        <v>0</v>
      </c>
      <c r="BG56" s="6"/>
      <c r="BH56" s="6"/>
    </row>
    <row r="57" spans="1:60" ht="12.75" customHeight="1" x14ac:dyDescent="0.2">
      <c r="A57" s="19">
        <v>100</v>
      </c>
      <c r="B57" s="19" t="s">
        <v>952</v>
      </c>
      <c r="C57" s="19" t="s">
        <v>511</v>
      </c>
      <c r="D57" s="20" t="s">
        <v>660</v>
      </c>
      <c r="E57" s="20"/>
      <c r="F57" s="21"/>
      <c r="G57" s="21"/>
      <c r="H57" s="21"/>
      <c r="I57" s="21"/>
      <c r="J57" s="21"/>
      <c r="K57" s="21"/>
      <c r="L57" s="21"/>
      <c r="M57" s="21"/>
      <c r="N57" s="32" t="s">
        <v>1043</v>
      </c>
      <c r="O57" s="22" t="s">
        <v>5</v>
      </c>
      <c r="P57" s="23">
        <v>300</v>
      </c>
      <c r="Q57" s="34">
        <f t="shared" si="32"/>
        <v>223.8</v>
      </c>
      <c r="R57" s="39"/>
      <c r="S57" s="39">
        <f>IF(O57="","",IF(O57="NA","",IF(O57="Mini disjuntor + DR",0.92,IF(O57="Mini disjuntor",0.92,IF(O57="Disjuntor Motor",0.92,IF(O57="Disjuntor C.M.",0.92,IF(O57="Disjuntor C.A.",0.92,IFERROR(VLOOKUP('Lista de Cargas'!P57,Motores!$B$9:$T$48,19,FALSE),"Erro"))))))))</f>
        <v>0.86</v>
      </c>
      <c r="T57" s="40">
        <f>IF(O57="","",IF(O57="NA","",IF(O57="Mini disjuntor + DR",100%,IF(O57="Mini disjuntor",100%,IF(O57="Disjuntor Motor",0.92,IF(O57="Disjuntor C.M.",100%,IF(O57="Disjuntor C.A.",100%,IFERROR(VLOOKUP('Lista de Cargas'!P57,Motores!$B$9:$T$48,16,FALSE)/100,"Erro"))))))))</f>
        <v>0.95900000000000007</v>
      </c>
      <c r="U57" s="40" t="s">
        <v>445</v>
      </c>
      <c r="V57" s="39">
        <v>440</v>
      </c>
      <c r="W57" s="2">
        <f t="shared" si="27"/>
        <v>356.06535570614608</v>
      </c>
      <c r="X57" s="2">
        <f t="shared" si="33"/>
        <v>260.23255813953489</v>
      </c>
      <c r="Y57" s="2">
        <f t="shared" si="28"/>
        <v>534.09803355921918</v>
      </c>
      <c r="Z57" s="1"/>
      <c r="AA57" s="1"/>
      <c r="AB57" s="1">
        <v>90</v>
      </c>
      <c r="AC57" s="1"/>
      <c r="AD57" s="1"/>
      <c r="AE57" s="1"/>
      <c r="AF57" s="1"/>
      <c r="AG57" s="1">
        <f t="shared" si="34"/>
        <v>90</v>
      </c>
      <c r="AH57" s="1">
        <v>3</v>
      </c>
      <c r="AI57" s="1" t="s">
        <v>1065</v>
      </c>
      <c r="AJ57" s="1">
        <f t="shared" si="35"/>
        <v>270</v>
      </c>
      <c r="AK57" s="1">
        <v>0</v>
      </c>
      <c r="AL57" s="1" t="s">
        <v>118</v>
      </c>
      <c r="AM57" s="1">
        <f t="shared" si="36"/>
        <v>0</v>
      </c>
      <c r="AN57" s="1">
        <v>1</v>
      </c>
      <c r="AO57" s="1" t="s">
        <v>1066</v>
      </c>
      <c r="AP57" s="1">
        <f t="shared" si="37"/>
        <v>90</v>
      </c>
      <c r="AQ57" s="1" t="s">
        <v>77</v>
      </c>
      <c r="AR57" s="1" t="str">
        <f t="shared" si="38"/>
        <v>2 x 3"</v>
      </c>
      <c r="AS57" s="1">
        <v>1</v>
      </c>
      <c r="AT57" s="1"/>
      <c r="AU57" s="1"/>
      <c r="AV57" s="17"/>
      <c r="AW57" s="2"/>
      <c r="AX57" s="2"/>
      <c r="AY57" s="2"/>
      <c r="AZ57" s="17"/>
      <c r="BA57" s="1"/>
      <c r="BB57" s="1"/>
      <c r="BC57" s="1"/>
      <c r="BD57" s="1"/>
      <c r="BE57" s="18"/>
      <c r="BF57" s="2">
        <f t="shared" si="39"/>
        <v>0</v>
      </c>
      <c r="BG57" s="6"/>
      <c r="BH57" s="6"/>
    </row>
    <row r="58" spans="1:60" ht="12.75" customHeight="1" x14ac:dyDescent="0.2">
      <c r="A58" s="19">
        <v>100</v>
      </c>
      <c r="B58" s="19" t="s">
        <v>952</v>
      </c>
      <c r="C58" s="19" t="s">
        <v>512</v>
      </c>
      <c r="D58" s="20" t="s">
        <v>661</v>
      </c>
      <c r="E58" s="20"/>
      <c r="F58" s="21"/>
      <c r="G58" s="21"/>
      <c r="H58" s="21"/>
      <c r="I58" s="21"/>
      <c r="J58" s="21"/>
      <c r="K58" s="21"/>
      <c r="L58" s="21"/>
      <c r="M58" s="21"/>
      <c r="N58" s="32" t="s">
        <v>1043</v>
      </c>
      <c r="O58" s="22" t="s">
        <v>35</v>
      </c>
      <c r="P58" s="23">
        <v>30</v>
      </c>
      <c r="Q58" s="34">
        <f t="shared" si="32"/>
        <v>22.38</v>
      </c>
      <c r="R58" s="39"/>
      <c r="S58" s="39">
        <f>IF(O58="","",IF(O58="NA","",IF(O58="Mini disjuntor + DR",0.92,IF(O58="Mini disjuntor",0.92,IF(O58="Disjuntor Motor",0.92,IF(O58="Disjuntor C.M.",0.92,IF(O58="Disjuntor C.A.",0.92,IFERROR(VLOOKUP('Lista de Cargas'!P58,Motores!$B$9:$T$48,19,FALSE),"Erro"))))))))</f>
        <v>0.84</v>
      </c>
      <c r="T58" s="40">
        <f>IF(O58="","",IF(O58="NA","",IF(O58="Mini disjuntor + DR",100%,IF(O58="Mini disjuntor",100%,IF(O58="Disjuntor Motor",0.92,IF(O58="Disjuntor C.M.",100%,IF(O58="Disjuntor C.A.",100%,IFERROR(VLOOKUP('Lista de Cargas'!P58,Motores!$B$9:$T$48,16,FALSE)/100,"Erro"))))))))</f>
        <v>0.93</v>
      </c>
      <c r="U58" s="40" t="s">
        <v>445</v>
      </c>
      <c r="V58" s="39">
        <v>440</v>
      </c>
      <c r="W58" s="2">
        <f t="shared" si="27"/>
        <v>37.59105753521338</v>
      </c>
      <c r="X58" s="2">
        <f t="shared" si="33"/>
        <v>26.642857142857142</v>
      </c>
      <c r="Y58" s="2">
        <f t="shared" si="28"/>
        <v>112.77317260564014</v>
      </c>
      <c r="Z58" s="1"/>
      <c r="AA58" s="1"/>
      <c r="AB58" s="1">
        <v>90</v>
      </c>
      <c r="AC58" s="1"/>
      <c r="AD58" s="1"/>
      <c r="AE58" s="1"/>
      <c r="AF58" s="1"/>
      <c r="AG58" s="1">
        <f t="shared" si="34"/>
        <v>90</v>
      </c>
      <c r="AH58" s="1">
        <v>1</v>
      </c>
      <c r="AI58" s="1" t="s">
        <v>1057</v>
      </c>
      <c r="AJ58" s="1">
        <f t="shared" si="35"/>
        <v>90</v>
      </c>
      <c r="AK58" s="1">
        <v>0</v>
      </c>
      <c r="AL58" s="1" t="s">
        <v>118</v>
      </c>
      <c r="AM58" s="1">
        <f t="shared" si="36"/>
        <v>0</v>
      </c>
      <c r="AN58" s="1">
        <v>0</v>
      </c>
      <c r="AO58" s="1" t="s">
        <v>118</v>
      </c>
      <c r="AP58" s="1">
        <f t="shared" si="37"/>
        <v>0</v>
      </c>
      <c r="AQ58" s="1" t="s">
        <v>60</v>
      </c>
      <c r="AR58" s="1" t="str">
        <f t="shared" si="38"/>
        <v>1"</v>
      </c>
      <c r="AS58" s="1">
        <v>1</v>
      </c>
      <c r="AT58" s="1"/>
      <c r="AU58" s="1"/>
      <c r="AV58" s="17"/>
      <c r="AW58" s="2"/>
      <c r="AX58" s="2"/>
      <c r="AY58" s="2"/>
      <c r="AZ58" s="17"/>
      <c r="BA58" s="1"/>
      <c r="BB58" s="1"/>
      <c r="BC58" s="1"/>
      <c r="BD58" s="1"/>
      <c r="BE58" s="18"/>
      <c r="BF58" s="2">
        <f t="shared" si="39"/>
        <v>4.9222118297615935</v>
      </c>
      <c r="BG58" s="6"/>
      <c r="BH58" s="6"/>
    </row>
    <row r="59" spans="1:60" ht="12.75" customHeight="1" x14ac:dyDescent="0.2">
      <c r="A59" s="19">
        <v>100</v>
      </c>
      <c r="B59" s="19" t="s">
        <v>952</v>
      </c>
      <c r="C59" s="19" t="s">
        <v>513</v>
      </c>
      <c r="D59" s="20" t="s">
        <v>662</v>
      </c>
      <c r="E59" s="20"/>
      <c r="F59" s="21"/>
      <c r="G59" s="21"/>
      <c r="H59" s="21"/>
      <c r="I59" s="21"/>
      <c r="J59" s="21"/>
      <c r="K59" s="21"/>
      <c r="L59" s="21"/>
      <c r="M59" s="21"/>
      <c r="N59" s="32" t="s">
        <v>1043</v>
      </c>
      <c r="O59" s="22" t="s">
        <v>34</v>
      </c>
      <c r="P59" s="23">
        <v>2</v>
      </c>
      <c r="Q59" s="34">
        <f t="shared" si="32"/>
        <v>1.492</v>
      </c>
      <c r="R59" s="39"/>
      <c r="S59" s="39">
        <f>IF(O59="","",IF(O59="NA","",IF(O59="Mini disjuntor + DR",0.92,IF(O59="Mini disjuntor",0.92,IF(O59="Disjuntor Motor",0.92,IF(O59="Disjuntor C.M.",0.92,IF(O59="Disjuntor C.A.",0.92,IFERROR(VLOOKUP('Lista de Cargas'!P59,Motores!$B$9:$T$48,19,FALSE),"Erro"))))))))</f>
        <v>0.78</v>
      </c>
      <c r="T59" s="40">
        <f>IF(O59="","",IF(O59="NA","",IF(O59="Mini disjuntor + DR",100%,IF(O59="Mini disjuntor",100%,IF(O59="Disjuntor Motor",0.92,IF(O59="Disjuntor C.M.",100%,IF(O59="Disjuntor C.A.",100%,IFERROR(VLOOKUP('Lista de Cargas'!P59,Motores!$B$9:$T$48,16,FALSE)/100,"Erro"))))))))</f>
        <v>0.84200000000000008</v>
      </c>
      <c r="U59" s="40" t="s">
        <v>445</v>
      </c>
      <c r="V59" s="39">
        <v>440</v>
      </c>
      <c r="W59" s="2">
        <f t="shared" si="27"/>
        <v>2.9809097332875214</v>
      </c>
      <c r="X59" s="2">
        <f t="shared" si="33"/>
        <v>1.9128205128205127</v>
      </c>
      <c r="Y59" s="2">
        <f t="shared" si="28"/>
        <v>17.885458399725128</v>
      </c>
      <c r="Z59" s="1"/>
      <c r="AA59" s="1"/>
      <c r="AB59" s="1">
        <v>90</v>
      </c>
      <c r="AC59" s="1"/>
      <c r="AD59" s="1"/>
      <c r="AE59" s="1"/>
      <c r="AF59" s="1"/>
      <c r="AG59" s="1">
        <f t="shared" si="34"/>
        <v>90</v>
      </c>
      <c r="AH59" s="1">
        <v>1</v>
      </c>
      <c r="AI59" s="1" t="s">
        <v>1054</v>
      </c>
      <c r="AJ59" s="1">
        <f t="shared" si="35"/>
        <v>90</v>
      </c>
      <c r="AK59" s="1">
        <v>0</v>
      </c>
      <c r="AL59" s="1" t="s">
        <v>118</v>
      </c>
      <c r="AM59" s="1">
        <f t="shared" si="36"/>
        <v>0</v>
      </c>
      <c r="AN59" s="1">
        <v>0</v>
      </c>
      <c r="AO59" s="1" t="s">
        <v>118</v>
      </c>
      <c r="AP59" s="1">
        <f t="shared" si="37"/>
        <v>0</v>
      </c>
      <c r="AQ59" s="1" t="s">
        <v>57</v>
      </c>
      <c r="AR59" s="1" t="str">
        <f t="shared" si="38"/>
        <v>3/4"</v>
      </c>
      <c r="AS59" s="1">
        <v>1</v>
      </c>
      <c r="AT59" s="1"/>
      <c r="AU59" s="1"/>
      <c r="AV59" s="17"/>
      <c r="AW59" s="2"/>
      <c r="AX59" s="2"/>
      <c r="AY59" s="2"/>
      <c r="AZ59" s="17"/>
      <c r="BA59" s="1"/>
      <c r="BB59" s="1"/>
      <c r="BC59" s="1"/>
      <c r="BD59" s="1"/>
      <c r="BE59" s="18"/>
      <c r="BF59" s="2">
        <f t="shared" si="39"/>
        <v>0.56141455218969116</v>
      </c>
      <c r="BG59" s="6"/>
      <c r="BH59" s="6"/>
    </row>
    <row r="60" spans="1:60" ht="12.75" customHeight="1" x14ac:dyDescent="0.2">
      <c r="A60" s="19">
        <v>100</v>
      </c>
      <c r="B60" s="134" t="s">
        <v>952</v>
      </c>
      <c r="C60" s="134" t="s">
        <v>514</v>
      </c>
      <c r="D60" s="135" t="s">
        <v>657</v>
      </c>
      <c r="E60" s="135"/>
      <c r="F60" s="136"/>
      <c r="G60" s="136"/>
      <c r="H60" s="136"/>
      <c r="I60" s="136"/>
      <c r="J60" s="136"/>
      <c r="K60" s="136"/>
      <c r="L60" s="136"/>
      <c r="M60" s="136"/>
      <c r="N60" s="137"/>
      <c r="O60" s="138" t="s">
        <v>35</v>
      </c>
      <c r="P60" s="139">
        <v>15</v>
      </c>
      <c r="Q60" s="34">
        <f t="shared" si="32"/>
        <v>11.19</v>
      </c>
      <c r="R60" s="39"/>
      <c r="S60" s="39">
        <f>IF(O60="","",IF(O60="NA","",IF(O60="Mini disjuntor + DR",0.92,IF(O60="Mini disjuntor",0.92,IF(O60="Disjuntor Motor",0.92,IF(O60="Disjuntor C.M.",0.92,IF(O60="Disjuntor C.A.",0.92,IFERROR(VLOOKUP('Lista de Cargas'!P60,Motores!$B$9:$T$48,19,FALSE),"Erro"))))))))</f>
        <v>0.85</v>
      </c>
      <c r="T60" s="40">
        <f>IF(O60="","",IF(O60="NA","",IF(O60="Mini disjuntor + DR",100%,IF(O60="Mini disjuntor",100%,IF(O60="Disjuntor Motor",0.92,IF(O60="Disjuntor C.M.",100%,IF(O60="Disjuntor C.A.",100%,IFERROR(VLOOKUP('Lista de Cargas'!P60,Motores!$B$9:$T$48,16,FALSE)/100,"Erro"))))))))</f>
        <v>0.91700000000000004</v>
      </c>
      <c r="U60" s="40" t="s">
        <v>445</v>
      </c>
      <c r="V60" s="39">
        <v>440</v>
      </c>
      <c r="W60" s="2">
        <f t="shared" si="27"/>
        <v>18.837727979029246</v>
      </c>
      <c r="X60" s="2">
        <f t="shared" si="33"/>
        <v>13.164705882352941</v>
      </c>
      <c r="Y60" s="2">
        <f t="shared" si="28"/>
        <v>56.513183937087739</v>
      </c>
      <c r="Z60" s="1"/>
      <c r="AA60" s="1"/>
      <c r="AB60" s="1">
        <v>90</v>
      </c>
      <c r="AC60" s="1"/>
      <c r="AD60" s="1"/>
      <c r="AE60" s="1"/>
      <c r="AF60" s="1"/>
      <c r="AG60" s="1">
        <f t="shared" si="34"/>
        <v>90</v>
      </c>
      <c r="AH60" s="1">
        <v>1</v>
      </c>
      <c r="AI60" s="1" t="s">
        <v>1063</v>
      </c>
      <c r="AJ60" s="1">
        <f t="shared" si="35"/>
        <v>90</v>
      </c>
      <c r="AK60" s="1">
        <v>0</v>
      </c>
      <c r="AL60" s="1" t="s">
        <v>118</v>
      </c>
      <c r="AM60" s="1">
        <f t="shared" si="36"/>
        <v>0</v>
      </c>
      <c r="AN60" s="1">
        <v>0</v>
      </c>
      <c r="AO60" s="1" t="s">
        <v>118</v>
      </c>
      <c r="AP60" s="1">
        <f t="shared" si="37"/>
        <v>0</v>
      </c>
      <c r="AQ60" s="1" t="s">
        <v>57</v>
      </c>
      <c r="AR60" s="1" t="str">
        <f t="shared" si="38"/>
        <v>3/4"</v>
      </c>
      <c r="AS60" s="1">
        <v>1</v>
      </c>
      <c r="AT60" s="1"/>
      <c r="AU60" s="1"/>
      <c r="AV60" s="17"/>
      <c r="AW60" s="2"/>
      <c r="AX60" s="2"/>
      <c r="AY60" s="2"/>
      <c r="AZ60" s="17"/>
      <c r="BA60" s="1"/>
      <c r="BB60" s="1"/>
      <c r="BC60" s="1"/>
      <c r="BD60" s="1"/>
      <c r="BE60" s="18"/>
      <c r="BF60" s="2">
        <f t="shared" si="39"/>
        <v>2.1680191081665816</v>
      </c>
      <c r="BG60" s="6"/>
      <c r="BH60" s="6"/>
    </row>
    <row r="61" spans="1:60" ht="12.75" customHeight="1" x14ac:dyDescent="0.2">
      <c r="A61" s="19">
        <v>100</v>
      </c>
      <c r="B61" s="134" t="s">
        <v>952</v>
      </c>
      <c r="C61" s="134" t="s">
        <v>515</v>
      </c>
      <c r="D61" s="135" t="s">
        <v>663</v>
      </c>
      <c r="E61" s="135"/>
      <c r="F61" s="136"/>
      <c r="G61" s="136"/>
      <c r="H61" s="136"/>
      <c r="I61" s="136"/>
      <c r="J61" s="136"/>
      <c r="K61" s="136"/>
      <c r="L61" s="136"/>
      <c r="M61" s="136"/>
      <c r="N61" s="137"/>
      <c r="O61" s="138" t="s">
        <v>5</v>
      </c>
      <c r="P61" s="139">
        <v>5</v>
      </c>
      <c r="Q61" s="34">
        <f t="shared" si="32"/>
        <v>3.73</v>
      </c>
      <c r="R61" s="39"/>
      <c r="S61" s="39">
        <f>IF(O61="","",IF(O61="NA","",IF(O61="Mini disjuntor + DR",0.92,IF(O61="Mini disjuntor",0.92,IF(O61="Disjuntor Motor",0.92,IF(O61="Disjuntor C.M.",0.92,IF(O61="Disjuntor C.A.",0.92,IFERROR(VLOOKUP('Lista de Cargas'!P61,Motores!$B$9:$T$48,19,FALSE),"Erro"))))))))</f>
        <v>0.8</v>
      </c>
      <c r="T61" s="40">
        <f>IF(O61="","",IF(O61="NA","",IF(O61="Mini disjuntor + DR",100%,IF(O61="Mini disjuntor",100%,IF(O61="Disjuntor Motor",0.92,IF(O61="Disjuntor C.M.",100%,IF(O61="Disjuntor C.A.",100%,IFERROR(VLOOKUP('Lista de Cargas'!P61,Motores!$B$9:$T$48,16,FALSE)/100,"Erro"))))))))</f>
        <v>0.88</v>
      </c>
      <c r="U61" s="40" t="s">
        <v>445</v>
      </c>
      <c r="V61" s="39">
        <v>440</v>
      </c>
      <c r="W61" s="2">
        <f t="shared" si="27"/>
        <v>6.9522097884727003</v>
      </c>
      <c r="X61" s="2">
        <f t="shared" si="33"/>
        <v>4.6624999999999996</v>
      </c>
      <c r="Y61" s="2">
        <f t="shared" si="28"/>
        <v>10.42831468270905</v>
      </c>
      <c r="Z61" s="1"/>
      <c r="AA61" s="1"/>
      <c r="AB61" s="1">
        <v>90</v>
      </c>
      <c r="AC61" s="1"/>
      <c r="AD61" s="1"/>
      <c r="AE61" s="1"/>
      <c r="AF61" s="1"/>
      <c r="AG61" s="1">
        <f t="shared" si="34"/>
        <v>90</v>
      </c>
      <c r="AH61" s="1">
        <v>1</v>
      </c>
      <c r="AI61" s="1" t="s">
        <v>1054</v>
      </c>
      <c r="AJ61" s="1">
        <f t="shared" si="35"/>
        <v>90</v>
      </c>
      <c r="AK61" s="1">
        <v>0</v>
      </c>
      <c r="AL61" s="1" t="s">
        <v>118</v>
      </c>
      <c r="AM61" s="1">
        <f t="shared" si="36"/>
        <v>0</v>
      </c>
      <c r="AN61" s="1">
        <v>0</v>
      </c>
      <c r="AO61" s="1" t="s">
        <v>118</v>
      </c>
      <c r="AP61" s="1">
        <f t="shared" si="37"/>
        <v>0</v>
      </c>
      <c r="AQ61" s="1" t="s">
        <v>57</v>
      </c>
      <c r="AR61" s="1" t="str">
        <f t="shared" si="38"/>
        <v>3/4"</v>
      </c>
      <c r="AS61" s="1">
        <v>1</v>
      </c>
      <c r="AT61" s="1"/>
      <c r="AU61" s="1"/>
      <c r="AV61" s="17"/>
      <c r="AW61" s="2"/>
      <c r="AX61" s="2"/>
      <c r="AY61" s="2"/>
      <c r="AZ61" s="17"/>
      <c r="BA61" s="1"/>
      <c r="BB61" s="1"/>
      <c r="BC61" s="1"/>
      <c r="BD61" s="1"/>
      <c r="BE61" s="18"/>
      <c r="BF61" s="2">
        <f t="shared" si="39"/>
        <v>0</v>
      </c>
      <c r="BG61" s="6"/>
      <c r="BH61" s="6"/>
    </row>
    <row r="62" spans="1:60" ht="12.75" customHeight="1" x14ac:dyDescent="0.2">
      <c r="A62" s="19">
        <v>100</v>
      </c>
      <c r="B62" s="134" t="s">
        <v>952</v>
      </c>
      <c r="C62" s="134" t="s">
        <v>516</v>
      </c>
      <c r="D62" s="135" t="s">
        <v>664</v>
      </c>
      <c r="E62" s="135"/>
      <c r="F62" s="136"/>
      <c r="G62" s="136"/>
      <c r="H62" s="136"/>
      <c r="I62" s="136"/>
      <c r="J62" s="136"/>
      <c r="K62" s="136"/>
      <c r="L62" s="136"/>
      <c r="M62" s="136"/>
      <c r="N62" s="137"/>
      <c r="O62" s="138" t="s">
        <v>34</v>
      </c>
      <c r="P62" s="139">
        <v>20</v>
      </c>
      <c r="Q62" s="34">
        <f t="shared" si="32"/>
        <v>14.92</v>
      </c>
      <c r="R62" s="39"/>
      <c r="S62" s="39">
        <f>IF(O62="","",IF(O62="NA","",IF(O62="Mini disjuntor + DR",0.92,IF(O62="Mini disjuntor",0.92,IF(O62="Disjuntor Motor",0.92,IF(O62="Disjuntor C.M.",0.92,IF(O62="Disjuntor C.A.",0.92,IFERROR(VLOOKUP('Lista de Cargas'!P62,Motores!$B$9:$T$48,19,FALSE),"Erro"))))))))</f>
        <v>0.81</v>
      </c>
      <c r="T62" s="40">
        <f>IF(O62="","",IF(O62="NA","",IF(O62="Mini disjuntor + DR",100%,IF(O62="Mini disjuntor",100%,IF(O62="Disjuntor Motor",0.92,IF(O62="Disjuntor C.M.",100%,IF(O62="Disjuntor C.A.",100%,IFERROR(VLOOKUP('Lista de Cargas'!P62,Motores!$B$9:$T$48,16,FALSE)/100,"Erro"))))))))</f>
        <v>0.92400000000000004</v>
      </c>
      <c r="U62" s="40" t="s">
        <v>445</v>
      </c>
      <c r="V62" s="39">
        <v>440</v>
      </c>
      <c r="W62" s="2">
        <f t="shared" si="27"/>
        <v>26.15763823999135</v>
      </c>
      <c r="X62" s="2">
        <f t="shared" si="33"/>
        <v>18.419753086419753</v>
      </c>
      <c r="Y62" s="2">
        <f t="shared" si="28"/>
        <v>156.94582943994811</v>
      </c>
      <c r="Z62" s="1"/>
      <c r="AA62" s="1"/>
      <c r="AB62" s="1">
        <v>90</v>
      </c>
      <c r="AC62" s="1"/>
      <c r="AD62" s="1"/>
      <c r="AE62" s="1"/>
      <c r="AF62" s="1"/>
      <c r="AG62" s="1">
        <f t="shared" si="34"/>
        <v>90</v>
      </c>
      <c r="AH62" s="1">
        <v>1</v>
      </c>
      <c r="AI62" s="1" t="s">
        <v>1057</v>
      </c>
      <c r="AJ62" s="1">
        <f t="shared" si="35"/>
        <v>90</v>
      </c>
      <c r="AK62" s="1">
        <v>0</v>
      </c>
      <c r="AL62" s="1" t="s">
        <v>118</v>
      </c>
      <c r="AM62" s="1">
        <f t="shared" si="36"/>
        <v>0</v>
      </c>
      <c r="AN62" s="1">
        <v>0</v>
      </c>
      <c r="AO62" s="1" t="s">
        <v>118</v>
      </c>
      <c r="AP62" s="1">
        <f t="shared" si="37"/>
        <v>0</v>
      </c>
      <c r="AQ62" s="1" t="s">
        <v>60</v>
      </c>
      <c r="AR62" s="1" t="str">
        <f t="shared" si="38"/>
        <v>1"</v>
      </c>
      <c r="AS62" s="1">
        <v>1</v>
      </c>
      <c r="AT62" s="1"/>
      <c r="AU62" s="1"/>
      <c r="AV62" s="17"/>
      <c r="AW62" s="2"/>
      <c r="AX62" s="2"/>
      <c r="AY62" s="2"/>
      <c r="AZ62" s="17"/>
      <c r="BA62" s="1"/>
      <c r="BB62" s="1"/>
      <c r="BC62" s="1"/>
      <c r="BD62" s="1"/>
      <c r="BE62" s="18"/>
      <c r="BF62" s="2">
        <f t="shared" si="39"/>
        <v>4.4460001420638564</v>
      </c>
      <c r="BG62" s="6"/>
      <c r="BH62" s="6"/>
    </row>
    <row r="63" spans="1:60" ht="12.75" customHeight="1" x14ac:dyDescent="0.2">
      <c r="A63" s="19">
        <v>100</v>
      </c>
      <c r="B63" s="134" t="s">
        <v>952</v>
      </c>
      <c r="C63" s="134" t="s">
        <v>517</v>
      </c>
      <c r="D63" s="135" t="s">
        <v>665</v>
      </c>
      <c r="E63" s="135"/>
      <c r="F63" s="136"/>
      <c r="G63" s="136"/>
      <c r="H63" s="136"/>
      <c r="I63" s="136"/>
      <c r="J63" s="136"/>
      <c r="K63" s="136"/>
      <c r="L63" s="136"/>
      <c r="M63" s="136"/>
      <c r="N63" s="137"/>
      <c r="O63" s="138" t="s">
        <v>34</v>
      </c>
      <c r="P63" s="139">
        <v>1.5</v>
      </c>
      <c r="Q63" s="34">
        <f t="shared" si="32"/>
        <v>1.119</v>
      </c>
      <c r="R63" s="39"/>
      <c r="S63" s="39">
        <f>IF(O63="","",IF(O63="NA","",IF(O63="Mini disjuntor + DR",0.92,IF(O63="Mini disjuntor",0.92,IF(O63="Disjuntor Motor",0.92,IF(O63="Disjuntor C.M.",0.92,IF(O63="Disjuntor C.A.",0.92,IFERROR(VLOOKUP('Lista de Cargas'!P63,Motores!$B$9:$T$48,19,FALSE),"Erro"))))))))</f>
        <v>0.79</v>
      </c>
      <c r="T63" s="40">
        <f>IF(O63="","",IF(O63="NA","",IF(O63="Mini disjuntor + DR",100%,IF(O63="Mini disjuntor",100%,IF(O63="Disjuntor Motor",0.92,IF(O63="Disjuntor C.M.",100%,IF(O63="Disjuntor C.A.",100%,IFERROR(VLOOKUP('Lista de Cargas'!P63,Motores!$B$9:$T$48,16,FALSE)/100,"Erro"))))))))</f>
        <v>0.81599999999999995</v>
      </c>
      <c r="U63" s="40" t="s">
        <v>445</v>
      </c>
      <c r="V63" s="39">
        <v>440</v>
      </c>
      <c r="W63" s="2">
        <f t="shared" si="27"/>
        <v>2.2777157907133203</v>
      </c>
      <c r="X63" s="2">
        <f t="shared" si="33"/>
        <v>1.4164556962025316</v>
      </c>
      <c r="Y63" s="2">
        <f t="shared" si="28"/>
        <v>13.666294744279922</v>
      </c>
      <c r="Z63" s="1"/>
      <c r="AA63" s="1"/>
      <c r="AB63" s="1">
        <v>90</v>
      </c>
      <c r="AC63" s="1"/>
      <c r="AD63" s="1"/>
      <c r="AE63" s="1"/>
      <c r="AF63" s="1"/>
      <c r="AG63" s="1">
        <f t="shared" si="34"/>
        <v>90</v>
      </c>
      <c r="AH63" s="1">
        <v>1</v>
      </c>
      <c r="AI63" s="1" t="s">
        <v>1054</v>
      </c>
      <c r="AJ63" s="1">
        <f t="shared" si="35"/>
        <v>90</v>
      </c>
      <c r="AK63" s="1">
        <v>0</v>
      </c>
      <c r="AL63" s="1" t="s">
        <v>118</v>
      </c>
      <c r="AM63" s="1">
        <f t="shared" si="36"/>
        <v>0</v>
      </c>
      <c r="AN63" s="1">
        <v>0</v>
      </c>
      <c r="AO63" s="1" t="s">
        <v>118</v>
      </c>
      <c r="AP63" s="1">
        <f t="shared" si="37"/>
        <v>0</v>
      </c>
      <c r="AQ63" s="1" t="s">
        <v>57</v>
      </c>
      <c r="AR63" s="1" t="str">
        <f t="shared" si="38"/>
        <v>3/4"</v>
      </c>
      <c r="AS63" s="1">
        <v>1</v>
      </c>
      <c r="AT63" s="1"/>
      <c r="AU63" s="1"/>
      <c r="AV63" s="17"/>
      <c r="AW63" s="2"/>
      <c r="AX63" s="2"/>
      <c r="AY63" s="2"/>
      <c r="AZ63" s="17"/>
      <c r="BA63" s="1"/>
      <c r="BB63" s="1"/>
      <c r="BC63" s="1"/>
      <c r="BD63" s="1"/>
      <c r="BE63" s="18"/>
      <c r="BF63" s="2">
        <f t="shared" si="39"/>
        <v>0.3917466752134442</v>
      </c>
      <c r="BG63" s="6"/>
      <c r="BH63" s="6"/>
    </row>
    <row r="64" spans="1:60" ht="12.75" customHeight="1" x14ac:dyDescent="0.2">
      <c r="A64" s="19">
        <v>100</v>
      </c>
      <c r="B64" s="134" t="s">
        <v>952</v>
      </c>
      <c r="C64" s="134" t="s">
        <v>518</v>
      </c>
      <c r="D64" s="135" t="s">
        <v>666</v>
      </c>
      <c r="E64" s="135"/>
      <c r="F64" s="136"/>
      <c r="G64" s="136"/>
      <c r="H64" s="136"/>
      <c r="I64" s="136"/>
      <c r="J64" s="136"/>
      <c r="K64" s="136"/>
      <c r="L64" s="136"/>
      <c r="M64" s="136"/>
      <c r="N64" s="137"/>
      <c r="O64" s="138" t="s">
        <v>34</v>
      </c>
      <c r="P64" s="139">
        <v>1.5</v>
      </c>
      <c r="Q64" s="34">
        <f t="shared" si="32"/>
        <v>1.119</v>
      </c>
      <c r="R64" s="39"/>
      <c r="S64" s="39">
        <f>IF(O64="","",IF(O64="NA","",IF(O64="Mini disjuntor + DR",0.92,IF(O64="Mini disjuntor",0.92,IF(O64="Disjuntor Motor",0.92,IF(O64="Disjuntor C.M.",0.92,IF(O64="Disjuntor C.A.",0.92,IFERROR(VLOOKUP('Lista de Cargas'!P64,Motores!$B$9:$T$48,19,FALSE),"Erro"))))))))</f>
        <v>0.79</v>
      </c>
      <c r="T64" s="40">
        <f>IF(O64="","",IF(O64="NA","",IF(O64="Mini disjuntor + DR",100%,IF(O64="Mini disjuntor",100%,IF(O64="Disjuntor Motor",0.92,IF(O64="Disjuntor C.M.",100%,IF(O64="Disjuntor C.A.",100%,IFERROR(VLOOKUP('Lista de Cargas'!P64,Motores!$B$9:$T$48,16,FALSE)/100,"Erro"))))))))</f>
        <v>0.81599999999999995</v>
      </c>
      <c r="U64" s="40" t="s">
        <v>445</v>
      </c>
      <c r="V64" s="39">
        <v>440</v>
      </c>
      <c r="W64" s="2">
        <f t="shared" si="27"/>
        <v>2.2777157907133203</v>
      </c>
      <c r="X64" s="2">
        <f t="shared" si="33"/>
        <v>1.4164556962025316</v>
      </c>
      <c r="Y64" s="2">
        <f t="shared" si="28"/>
        <v>13.666294744279922</v>
      </c>
      <c r="Z64" s="1"/>
      <c r="AA64" s="1"/>
      <c r="AB64" s="1">
        <v>90</v>
      </c>
      <c r="AC64" s="1"/>
      <c r="AD64" s="1"/>
      <c r="AE64" s="1"/>
      <c r="AF64" s="1"/>
      <c r="AG64" s="1">
        <f t="shared" si="34"/>
        <v>90</v>
      </c>
      <c r="AH64" s="1">
        <v>1</v>
      </c>
      <c r="AI64" s="1" t="s">
        <v>1054</v>
      </c>
      <c r="AJ64" s="1">
        <f t="shared" si="35"/>
        <v>90</v>
      </c>
      <c r="AK64" s="1">
        <v>0</v>
      </c>
      <c r="AL64" s="1" t="s">
        <v>118</v>
      </c>
      <c r="AM64" s="1">
        <f t="shared" si="36"/>
        <v>0</v>
      </c>
      <c r="AN64" s="1">
        <v>0</v>
      </c>
      <c r="AO64" s="1" t="s">
        <v>118</v>
      </c>
      <c r="AP64" s="1">
        <f t="shared" si="37"/>
        <v>0</v>
      </c>
      <c r="AQ64" s="1" t="s">
        <v>57</v>
      </c>
      <c r="AR64" s="1" t="str">
        <f t="shared" si="38"/>
        <v>3/4"</v>
      </c>
      <c r="AS64" s="1">
        <v>1</v>
      </c>
      <c r="AT64" s="1"/>
      <c r="AU64" s="1"/>
      <c r="AV64" s="17"/>
      <c r="AW64" s="2"/>
      <c r="AX64" s="2"/>
      <c r="AY64" s="2"/>
      <c r="AZ64" s="17"/>
      <c r="BA64" s="1"/>
      <c r="BB64" s="1"/>
      <c r="BC64" s="1"/>
      <c r="BD64" s="1"/>
      <c r="BE64" s="18"/>
      <c r="BF64" s="2">
        <f t="shared" si="39"/>
        <v>0.3917466752134442</v>
      </c>
      <c r="BG64" s="6"/>
      <c r="BH64" s="6"/>
    </row>
    <row r="65" spans="1:60" ht="12.75" customHeight="1" x14ac:dyDescent="0.2">
      <c r="A65" s="19">
        <v>100</v>
      </c>
      <c r="B65" s="134" t="s">
        <v>952</v>
      </c>
      <c r="C65" s="134" t="s">
        <v>519</v>
      </c>
      <c r="D65" s="135" t="s">
        <v>667</v>
      </c>
      <c r="E65" s="135"/>
      <c r="F65" s="136"/>
      <c r="G65" s="136"/>
      <c r="H65" s="136"/>
      <c r="I65" s="136"/>
      <c r="J65" s="136"/>
      <c r="K65" s="136"/>
      <c r="L65" s="136"/>
      <c r="M65" s="136"/>
      <c r="N65" s="137"/>
      <c r="O65" s="138" t="s">
        <v>34</v>
      </c>
      <c r="P65" s="139">
        <v>3</v>
      </c>
      <c r="Q65" s="34">
        <f t="shared" si="32"/>
        <v>2.238</v>
      </c>
      <c r="R65" s="39"/>
      <c r="S65" s="39">
        <f>IF(O65="","",IF(O65="NA","",IF(O65="Mini disjuntor + DR",0.92,IF(O65="Mini disjuntor",0.92,IF(O65="Disjuntor Motor",0.92,IF(O65="Disjuntor C.M.",0.92,IF(O65="Disjuntor C.A.",0.92,IFERROR(VLOOKUP('Lista de Cargas'!P65,Motores!$B$9:$T$48,19,FALSE),"Erro"))))))))</f>
        <v>0.83</v>
      </c>
      <c r="T65" s="40">
        <f>IF(O65="","",IF(O65="NA","",IF(O65="Mini disjuntor + DR",100%,IF(O65="Mini disjuntor",100%,IF(O65="Disjuntor Motor",0.92,IF(O65="Disjuntor C.M.",100%,IF(O65="Disjuntor C.A.",100%,IFERROR(VLOOKUP('Lista de Cargas'!P65,Motores!$B$9:$T$48,16,FALSE)/100,"Erro"))))))))</f>
        <v>0.85099999999999998</v>
      </c>
      <c r="U65" s="40" t="s">
        <v>445</v>
      </c>
      <c r="V65" s="39">
        <v>440</v>
      </c>
      <c r="W65" s="2">
        <f t="shared" si="27"/>
        <v>4.1575657478103292</v>
      </c>
      <c r="X65" s="2">
        <f t="shared" si="33"/>
        <v>2.6963855421686747</v>
      </c>
      <c r="Y65" s="2">
        <f t="shared" si="28"/>
        <v>24.945394486861975</v>
      </c>
      <c r="Z65" s="1"/>
      <c r="AA65" s="1"/>
      <c r="AB65" s="1">
        <v>90</v>
      </c>
      <c r="AC65" s="1"/>
      <c r="AD65" s="1"/>
      <c r="AE65" s="1"/>
      <c r="AF65" s="1"/>
      <c r="AG65" s="1">
        <f t="shared" si="34"/>
        <v>90</v>
      </c>
      <c r="AH65" s="1">
        <v>1</v>
      </c>
      <c r="AI65" s="1" t="s">
        <v>1054</v>
      </c>
      <c r="AJ65" s="1">
        <f t="shared" si="35"/>
        <v>90</v>
      </c>
      <c r="AK65" s="1">
        <v>0</v>
      </c>
      <c r="AL65" s="1" t="s">
        <v>118</v>
      </c>
      <c r="AM65" s="1">
        <f t="shared" si="36"/>
        <v>0</v>
      </c>
      <c r="AN65" s="1">
        <v>0</v>
      </c>
      <c r="AO65" s="1" t="s">
        <v>118</v>
      </c>
      <c r="AP65" s="1">
        <f t="shared" si="37"/>
        <v>0</v>
      </c>
      <c r="AQ65" s="1" t="s">
        <v>57</v>
      </c>
      <c r="AR65" s="1" t="str">
        <f t="shared" si="38"/>
        <v>3/4"</v>
      </c>
      <c r="AS65" s="1">
        <v>1</v>
      </c>
      <c r="AT65" s="1"/>
      <c r="AU65" s="1"/>
      <c r="AV65" s="17"/>
      <c r="AW65" s="2"/>
      <c r="AX65" s="2"/>
      <c r="AY65" s="2"/>
      <c r="AZ65" s="17"/>
      <c r="BA65" s="1"/>
      <c r="BB65" s="1"/>
      <c r="BC65" s="1"/>
      <c r="BD65" s="1"/>
      <c r="BE65" s="18"/>
      <c r="BF65" s="2">
        <f t="shared" si="39"/>
        <v>0.55056113490915704</v>
      </c>
      <c r="BG65" s="6"/>
      <c r="BH65" s="6"/>
    </row>
    <row r="66" spans="1:60" ht="12.75" customHeight="1" x14ac:dyDescent="0.2">
      <c r="A66" s="19">
        <v>100</v>
      </c>
      <c r="B66" s="134" t="s">
        <v>952</v>
      </c>
      <c r="C66" s="134" t="s">
        <v>520</v>
      </c>
      <c r="D66" s="135" t="s">
        <v>668</v>
      </c>
      <c r="E66" s="135"/>
      <c r="F66" s="136"/>
      <c r="G66" s="136"/>
      <c r="H66" s="136"/>
      <c r="I66" s="136"/>
      <c r="J66" s="136"/>
      <c r="K66" s="136"/>
      <c r="L66" s="136"/>
      <c r="M66" s="136"/>
      <c r="N66" s="137"/>
      <c r="O66" s="138" t="s">
        <v>5</v>
      </c>
      <c r="P66" s="139">
        <v>1.5</v>
      </c>
      <c r="Q66" s="34">
        <f t="shared" si="32"/>
        <v>1.119</v>
      </c>
      <c r="R66" s="39"/>
      <c r="S66" s="39">
        <f>IF(O66="","",IF(O66="NA","",IF(O66="Mini disjuntor + DR",0.92,IF(O66="Mini disjuntor",0.92,IF(O66="Disjuntor Motor",0.92,IF(O66="Disjuntor C.M.",0.92,IF(O66="Disjuntor C.A.",0.92,IFERROR(VLOOKUP('Lista de Cargas'!P66,Motores!$B$9:$T$48,19,FALSE),"Erro"))))))))</f>
        <v>0.79</v>
      </c>
      <c r="T66" s="40">
        <f>IF(O66="","",IF(O66="NA","",IF(O66="Mini disjuntor + DR",100%,IF(O66="Mini disjuntor",100%,IF(O66="Disjuntor Motor",0.92,IF(O66="Disjuntor C.M.",100%,IF(O66="Disjuntor C.A.",100%,IFERROR(VLOOKUP('Lista de Cargas'!P66,Motores!$B$9:$T$48,16,FALSE)/100,"Erro"))))))))</f>
        <v>0.81599999999999995</v>
      </c>
      <c r="U66" s="40" t="s">
        <v>445</v>
      </c>
      <c r="V66" s="39">
        <v>440</v>
      </c>
      <c r="W66" s="2">
        <f t="shared" ref="W66:W97" si="40">IFERROR(IF(U66=$U$344,(P66*746)/(SQRT(3)*S66*T66*V66),(P66*746)/(S66*T66*V66)),0)</f>
        <v>2.2777157907133203</v>
      </c>
      <c r="X66" s="2">
        <f t="shared" si="33"/>
        <v>1.4164556962025316</v>
      </c>
      <c r="Y66" s="2">
        <f t="shared" ref="Y66:Y97" si="41">IFERROR(IF(O66=$O$344,6*W66,IF(O66=$O$345,6*W66,IF(O66=$O$346,3*W66,IF(O66=$O$347,1.5*W66,W66)))),0)</f>
        <v>3.4165736860699805</v>
      </c>
      <c r="Z66" s="1"/>
      <c r="AA66" s="1"/>
      <c r="AB66" s="1">
        <v>90</v>
      </c>
      <c r="AC66" s="1"/>
      <c r="AD66" s="1"/>
      <c r="AE66" s="1"/>
      <c r="AF66" s="1"/>
      <c r="AG66" s="1">
        <f t="shared" si="34"/>
        <v>90</v>
      </c>
      <c r="AH66" s="1">
        <v>1</v>
      </c>
      <c r="AI66" s="1" t="s">
        <v>1054</v>
      </c>
      <c r="AJ66" s="1">
        <f t="shared" si="35"/>
        <v>90</v>
      </c>
      <c r="AK66" s="1">
        <v>0</v>
      </c>
      <c r="AL66" s="1" t="s">
        <v>118</v>
      </c>
      <c r="AM66" s="1">
        <f t="shared" si="36"/>
        <v>0</v>
      </c>
      <c r="AN66" s="1">
        <v>0</v>
      </c>
      <c r="AO66" s="1" t="s">
        <v>118</v>
      </c>
      <c r="AP66" s="1">
        <f t="shared" si="37"/>
        <v>0</v>
      </c>
      <c r="AQ66" s="1" t="s">
        <v>57</v>
      </c>
      <c r="AR66" s="1" t="str">
        <f t="shared" si="38"/>
        <v>3/4"</v>
      </c>
      <c r="AS66" s="1">
        <v>1</v>
      </c>
      <c r="AT66" s="1"/>
      <c r="AU66" s="1"/>
      <c r="AV66" s="17"/>
      <c r="AW66" s="2"/>
      <c r="AX66" s="2"/>
      <c r="AY66" s="2"/>
      <c r="AZ66" s="17"/>
      <c r="BA66" s="1"/>
      <c r="BB66" s="1"/>
      <c r="BC66" s="1"/>
      <c r="BD66" s="1"/>
      <c r="BE66" s="18"/>
      <c r="BF66" s="2">
        <f t="shared" si="39"/>
        <v>0</v>
      </c>
      <c r="BG66" s="6"/>
      <c r="BH66" s="6"/>
    </row>
    <row r="67" spans="1:60" ht="12.75" customHeight="1" x14ac:dyDescent="0.2">
      <c r="A67" s="19">
        <v>100</v>
      </c>
      <c r="B67" s="19" t="s">
        <v>952</v>
      </c>
      <c r="C67" s="19" t="s">
        <v>521</v>
      </c>
      <c r="D67" s="20" t="s">
        <v>659</v>
      </c>
      <c r="E67" s="20"/>
      <c r="F67" s="21"/>
      <c r="G67" s="21"/>
      <c r="H67" s="21"/>
      <c r="I67" s="21"/>
      <c r="J67" s="21"/>
      <c r="K67" s="21"/>
      <c r="L67" s="21"/>
      <c r="M67" s="21"/>
      <c r="N67" s="32" t="s">
        <v>1044</v>
      </c>
      <c r="O67" s="22" t="s">
        <v>5</v>
      </c>
      <c r="P67" s="23">
        <v>1.5</v>
      </c>
      <c r="Q67" s="34">
        <f t="shared" si="32"/>
        <v>1.119</v>
      </c>
      <c r="R67" s="39"/>
      <c r="S67" s="39">
        <f>IF(O67="","",IF(O67="NA","",IF(O67="Mini disjuntor + DR",0.92,IF(O67="Mini disjuntor",0.92,IF(O67="Disjuntor Motor",0.92,IF(O67="Disjuntor C.M.",0.92,IF(O67="Disjuntor C.A.",0.92,IFERROR(VLOOKUP('Lista de Cargas'!P67,Motores!$B$9:$T$48,19,FALSE),"Erro"))))))))</f>
        <v>0.79</v>
      </c>
      <c r="T67" s="40">
        <f>IF(O67="","",IF(O67="NA","",IF(O67="Mini disjuntor + DR",100%,IF(O67="Mini disjuntor",100%,IF(O67="Disjuntor Motor",0.92,IF(O67="Disjuntor C.M.",100%,IF(O67="Disjuntor C.A.",100%,IFERROR(VLOOKUP('Lista de Cargas'!P67,Motores!$B$9:$T$48,16,FALSE)/100,"Erro"))))))))</f>
        <v>0.81599999999999995</v>
      </c>
      <c r="U67" s="40" t="s">
        <v>445</v>
      </c>
      <c r="V67" s="39">
        <v>440</v>
      </c>
      <c r="W67" s="2">
        <f t="shared" si="40"/>
        <v>2.2777157907133203</v>
      </c>
      <c r="X67" s="2">
        <f t="shared" si="33"/>
        <v>1.4164556962025316</v>
      </c>
      <c r="Y67" s="2">
        <f t="shared" si="41"/>
        <v>3.4165736860699805</v>
      </c>
      <c r="Z67" s="1"/>
      <c r="AA67" s="1"/>
      <c r="AB67" s="1">
        <v>90</v>
      </c>
      <c r="AC67" s="1"/>
      <c r="AD67" s="1"/>
      <c r="AE67" s="1"/>
      <c r="AF67" s="1"/>
      <c r="AG67" s="1">
        <f t="shared" si="34"/>
        <v>90</v>
      </c>
      <c r="AH67" s="1">
        <v>1</v>
      </c>
      <c r="AI67" s="1" t="s">
        <v>1054</v>
      </c>
      <c r="AJ67" s="1">
        <f t="shared" si="35"/>
        <v>90</v>
      </c>
      <c r="AK67" s="1">
        <v>0</v>
      </c>
      <c r="AL67" s="1" t="s">
        <v>118</v>
      </c>
      <c r="AM67" s="1">
        <f t="shared" si="36"/>
        <v>0</v>
      </c>
      <c r="AN67" s="1">
        <v>0</v>
      </c>
      <c r="AO67" s="1" t="s">
        <v>118</v>
      </c>
      <c r="AP67" s="1">
        <f t="shared" si="37"/>
        <v>0</v>
      </c>
      <c r="AQ67" s="1" t="s">
        <v>57</v>
      </c>
      <c r="AR67" s="1" t="str">
        <f t="shared" si="38"/>
        <v>3/4"</v>
      </c>
      <c r="AS67" s="1">
        <v>1</v>
      </c>
      <c r="AT67" s="1"/>
      <c r="AU67" s="1"/>
      <c r="AV67" s="17"/>
      <c r="AW67" s="2"/>
      <c r="AX67" s="2"/>
      <c r="AY67" s="2"/>
      <c r="AZ67" s="17"/>
      <c r="BA67" s="1"/>
      <c r="BB67" s="1"/>
      <c r="BC67" s="1"/>
      <c r="BD67" s="1"/>
      <c r="BE67" s="18"/>
      <c r="BF67" s="2">
        <f t="shared" si="39"/>
        <v>0</v>
      </c>
      <c r="BG67" s="6"/>
      <c r="BH67" s="6"/>
    </row>
    <row r="68" spans="1:60" ht="12.75" customHeight="1" x14ac:dyDescent="0.2">
      <c r="A68" s="19">
        <v>100</v>
      </c>
      <c r="B68" s="19" t="s">
        <v>952</v>
      </c>
      <c r="C68" s="19" t="s">
        <v>522</v>
      </c>
      <c r="D68" s="20" t="s">
        <v>660</v>
      </c>
      <c r="E68" s="20"/>
      <c r="F68" s="21"/>
      <c r="G68" s="21"/>
      <c r="H68" s="21"/>
      <c r="I68" s="21"/>
      <c r="J68" s="21"/>
      <c r="K68" s="21"/>
      <c r="L68" s="21"/>
      <c r="M68" s="21"/>
      <c r="N68" s="32" t="s">
        <v>1044</v>
      </c>
      <c r="O68" s="22" t="s">
        <v>5</v>
      </c>
      <c r="P68" s="23">
        <v>300</v>
      </c>
      <c r="Q68" s="34">
        <f t="shared" si="32"/>
        <v>223.8</v>
      </c>
      <c r="R68" s="39"/>
      <c r="S68" s="39">
        <f>IF(O68="","",IF(O68="NA","",IF(O68="Mini disjuntor + DR",0.92,IF(O68="Mini disjuntor",0.92,IF(O68="Disjuntor Motor",0.92,IF(O68="Disjuntor C.M.",0.92,IF(O68="Disjuntor C.A.",0.92,IFERROR(VLOOKUP('Lista de Cargas'!P68,Motores!$B$9:$T$48,19,FALSE),"Erro"))))))))</f>
        <v>0.86</v>
      </c>
      <c r="T68" s="40">
        <f>IF(O68="","",IF(O68="NA","",IF(O68="Mini disjuntor + DR",100%,IF(O68="Mini disjuntor",100%,IF(O68="Disjuntor Motor",0.92,IF(O68="Disjuntor C.M.",100%,IF(O68="Disjuntor C.A.",100%,IFERROR(VLOOKUP('Lista de Cargas'!P68,Motores!$B$9:$T$48,16,FALSE)/100,"Erro"))))))))</f>
        <v>0.95900000000000007</v>
      </c>
      <c r="U68" s="40" t="s">
        <v>445</v>
      </c>
      <c r="V68" s="39">
        <v>440</v>
      </c>
      <c r="W68" s="2">
        <f t="shared" si="40"/>
        <v>356.06535570614608</v>
      </c>
      <c r="X68" s="2">
        <f t="shared" si="33"/>
        <v>260.23255813953489</v>
      </c>
      <c r="Y68" s="2">
        <f t="shared" si="41"/>
        <v>534.09803355921918</v>
      </c>
      <c r="Z68" s="1"/>
      <c r="AA68" s="1"/>
      <c r="AB68" s="1">
        <v>90</v>
      </c>
      <c r="AC68" s="1"/>
      <c r="AD68" s="1"/>
      <c r="AE68" s="1"/>
      <c r="AF68" s="1"/>
      <c r="AG68" s="1">
        <f t="shared" si="34"/>
        <v>90</v>
      </c>
      <c r="AH68" s="1">
        <v>3</v>
      </c>
      <c r="AI68" s="1" t="s">
        <v>1065</v>
      </c>
      <c r="AJ68" s="1">
        <f t="shared" si="35"/>
        <v>270</v>
      </c>
      <c r="AK68" s="1">
        <v>0</v>
      </c>
      <c r="AL68" s="1" t="s">
        <v>118</v>
      </c>
      <c r="AM68" s="1">
        <f t="shared" si="36"/>
        <v>0</v>
      </c>
      <c r="AN68" s="1">
        <v>1</v>
      </c>
      <c r="AO68" s="1" t="s">
        <v>1066</v>
      </c>
      <c r="AP68" s="1">
        <f t="shared" si="37"/>
        <v>90</v>
      </c>
      <c r="AQ68" s="1" t="s">
        <v>77</v>
      </c>
      <c r="AR68" s="1" t="str">
        <f t="shared" si="38"/>
        <v>2 x 3"</v>
      </c>
      <c r="AS68" s="1">
        <v>1</v>
      </c>
      <c r="AT68" s="1"/>
      <c r="AU68" s="1"/>
      <c r="AV68" s="17"/>
      <c r="AW68" s="2"/>
      <c r="AX68" s="2"/>
      <c r="AY68" s="2"/>
      <c r="AZ68" s="17"/>
      <c r="BA68" s="1"/>
      <c r="BB68" s="1"/>
      <c r="BC68" s="1"/>
      <c r="BD68" s="1"/>
      <c r="BE68" s="18"/>
      <c r="BF68" s="2">
        <f t="shared" si="39"/>
        <v>0</v>
      </c>
      <c r="BG68" s="6"/>
      <c r="BH68" s="6"/>
    </row>
    <row r="69" spans="1:60" ht="12.75" customHeight="1" x14ac:dyDescent="0.2">
      <c r="A69" s="19">
        <v>100</v>
      </c>
      <c r="B69" s="19" t="s">
        <v>952</v>
      </c>
      <c r="C69" s="19" t="s">
        <v>523</v>
      </c>
      <c r="D69" s="20" t="s">
        <v>661</v>
      </c>
      <c r="E69" s="20"/>
      <c r="F69" s="21"/>
      <c r="G69" s="21"/>
      <c r="H69" s="21"/>
      <c r="I69" s="21"/>
      <c r="J69" s="21"/>
      <c r="K69" s="21"/>
      <c r="L69" s="21"/>
      <c r="M69" s="21"/>
      <c r="N69" s="32" t="s">
        <v>1044</v>
      </c>
      <c r="O69" s="22" t="s">
        <v>35</v>
      </c>
      <c r="P69" s="23">
        <v>30</v>
      </c>
      <c r="Q69" s="34">
        <f t="shared" si="32"/>
        <v>22.38</v>
      </c>
      <c r="R69" s="39"/>
      <c r="S69" s="39">
        <f>IF(O69="","",IF(O69="NA","",IF(O69="Mini disjuntor + DR",0.92,IF(O69="Mini disjuntor",0.92,IF(O69="Disjuntor Motor",0.92,IF(O69="Disjuntor C.M.",0.92,IF(O69="Disjuntor C.A.",0.92,IFERROR(VLOOKUP('Lista de Cargas'!P69,Motores!$B$9:$T$48,19,FALSE),"Erro"))))))))</f>
        <v>0.84</v>
      </c>
      <c r="T69" s="40">
        <f>IF(O69="","",IF(O69="NA","",IF(O69="Mini disjuntor + DR",100%,IF(O69="Mini disjuntor",100%,IF(O69="Disjuntor Motor",0.92,IF(O69="Disjuntor C.M.",100%,IF(O69="Disjuntor C.A.",100%,IFERROR(VLOOKUP('Lista de Cargas'!P69,Motores!$B$9:$T$48,16,FALSE)/100,"Erro"))))))))</f>
        <v>0.93</v>
      </c>
      <c r="U69" s="40" t="s">
        <v>445</v>
      </c>
      <c r="V69" s="39">
        <v>440</v>
      </c>
      <c r="W69" s="2">
        <f t="shared" si="40"/>
        <v>37.59105753521338</v>
      </c>
      <c r="X69" s="2">
        <f t="shared" si="33"/>
        <v>26.642857142857142</v>
      </c>
      <c r="Y69" s="2">
        <f t="shared" si="41"/>
        <v>112.77317260564014</v>
      </c>
      <c r="Z69" s="1"/>
      <c r="AA69" s="1"/>
      <c r="AB69" s="1">
        <v>90</v>
      </c>
      <c r="AC69" s="1"/>
      <c r="AD69" s="1"/>
      <c r="AE69" s="1"/>
      <c r="AF69" s="1"/>
      <c r="AG69" s="1">
        <f t="shared" si="34"/>
        <v>90</v>
      </c>
      <c r="AH69" s="1">
        <v>1</v>
      </c>
      <c r="AI69" s="1" t="s">
        <v>1057</v>
      </c>
      <c r="AJ69" s="1">
        <f t="shared" si="35"/>
        <v>90</v>
      </c>
      <c r="AK69" s="1">
        <v>0</v>
      </c>
      <c r="AL69" s="1" t="s">
        <v>118</v>
      </c>
      <c r="AM69" s="1">
        <f t="shared" si="36"/>
        <v>0</v>
      </c>
      <c r="AN69" s="1">
        <v>0</v>
      </c>
      <c r="AO69" s="1" t="s">
        <v>118</v>
      </c>
      <c r="AP69" s="1">
        <f t="shared" si="37"/>
        <v>0</v>
      </c>
      <c r="AQ69" s="1" t="s">
        <v>60</v>
      </c>
      <c r="AR69" s="1" t="str">
        <f t="shared" si="38"/>
        <v>1"</v>
      </c>
      <c r="AS69" s="1">
        <v>1</v>
      </c>
      <c r="AT69" s="1"/>
      <c r="AU69" s="1"/>
      <c r="AV69" s="17"/>
      <c r="AW69" s="2"/>
      <c r="AX69" s="2"/>
      <c r="AY69" s="2"/>
      <c r="AZ69" s="17"/>
      <c r="BA69" s="1"/>
      <c r="BB69" s="1"/>
      <c r="BC69" s="1"/>
      <c r="BD69" s="1"/>
      <c r="BE69" s="18"/>
      <c r="BF69" s="2">
        <f t="shared" si="39"/>
        <v>4.9222118297615935</v>
      </c>
      <c r="BG69" s="6"/>
      <c r="BH69" s="6"/>
    </row>
    <row r="70" spans="1:60" ht="12.75" customHeight="1" x14ac:dyDescent="0.2">
      <c r="A70" s="19">
        <v>100</v>
      </c>
      <c r="B70" s="19" t="s">
        <v>952</v>
      </c>
      <c r="C70" s="19" t="s">
        <v>524</v>
      </c>
      <c r="D70" s="20" t="s">
        <v>662</v>
      </c>
      <c r="E70" s="20"/>
      <c r="F70" s="21"/>
      <c r="G70" s="21"/>
      <c r="H70" s="21"/>
      <c r="I70" s="21"/>
      <c r="J70" s="21"/>
      <c r="K70" s="21"/>
      <c r="L70" s="21"/>
      <c r="M70" s="21"/>
      <c r="N70" s="32" t="s">
        <v>1044</v>
      </c>
      <c r="O70" s="22" t="s">
        <v>34</v>
      </c>
      <c r="P70" s="23">
        <v>2</v>
      </c>
      <c r="Q70" s="34">
        <f t="shared" si="32"/>
        <v>1.492</v>
      </c>
      <c r="R70" s="39"/>
      <c r="S70" s="39">
        <f>IF(O70="","",IF(O70="NA","",IF(O70="Mini disjuntor + DR",0.92,IF(O70="Mini disjuntor",0.92,IF(O70="Disjuntor Motor",0.92,IF(O70="Disjuntor C.M.",0.92,IF(O70="Disjuntor C.A.",0.92,IFERROR(VLOOKUP('Lista de Cargas'!P70,Motores!$B$9:$T$48,19,FALSE),"Erro"))))))))</f>
        <v>0.78</v>
      </c>
      <c r="T70" s="40">
        <f>IF(O70="","",IF(O70="NA","",IF(O70="Mini disjuntor + DR",100%,IF(O70="Mini disjuntor",100%,IF(O70="Disjuntor Motor",0.92,IF(O70="Disjuntor C.M.",100%,IF(O70="Disjuntor C.A.",100%,IFERROR(VLOOKUP('Lista de Cargas'!P70,Motores!$B$9:$T$48,16,FALSE)/100,"Erro"))))))))</f>
        <v>0.84200000000000008</v>
      </c>
      <c r="U70" s="40" t="s">
        <v>445</v>
      </c>
      <c r="V70" s="39">
        <v>440</v>
      </c>
      <c r="W70" s="2">
        <f t="shared" si="40"/>
        <v>2.9809097332875214</v>
      </c>
      <c r="X70" s="2">
        <f t="shared" si="33"/>
        <v>1.9128205128205127</v>
      </c>
      <c r="Y70" s="2">
        <f t="shared" si="41"/>
        <v>17.885458399725128</v>
      </c>
      <c r="Z70" s="1"/>
      <c r="AA70" s="1"/>
      <c r="AB70" s="1">
        <v>90</v>
      </c>
      <c r="AC70" s="1"/>
      <c r="AD70" s="1"/>
      <c r="AE70" s="1"/>
      <c r="AF70" s="1"/>
      <c r="AG70" s="1">
        <f t="shared" si="34"/>
        <v>90</v>
      </c>
      <c r="AH70" s="1">
        <v>1</v>
      </c>
      <c r="AI70" s="1" t="s">
        <v>1054</v>
      </c>
      <c r="AJ70" s="1">
        <f t="shared" si="35"/>
        <v>90</v>
      </c>
      <c r="AK70" s="1">
        <v>0</v>
      </c>
      <c r="AL70" s="1" t="s">
        <v>118</v>
      </c>
      <c r="AM70" s="1">
        <f t="shared" si="36"/>
        <v>0</v>
      </c>
      <c r="AN70" s="1">
        <v>0</v>
      </c>
      <c r="AO70" s="1" t="s">
        <v>118</v>
      </c>
      <c r="AP70" s="1">
        <f t="shared" si="37"/>
        <v>0</v>
      </c>
      <c r="AQ70" s="1" t="s">
        <v>57</v>
      </c>
      <c r="AR70" s="1" t="str">
        <f t="shared" si="38"/>
        <v>3/4"</v>
      </c>
      <c r="AS70" s="1">
        <v>1</v>
      </c>
      <c r="AT70" s="1"/>
      <c r="AU70" s="1"/>
      <c r="AV70" s="17"/>
      <c r="AW70" s="2"/>
      <c r="AX70" s="2"/>
      <c r="AY70" s="2"/>
      <c r="AZ70" s="17"/>
      <c r="BA70" s="1"/>
      <c r="BB70" s="1"/>
      <c r="BC70" s="1"/>
      <c r="BD70" s="1"/>
      <c r="BE70" s="18"/>
      <c r="BF70" s="2">
        <f t="shared" si="39"/>
        <v>0.56141455218969116</v>
      </c>
      <c r="BG70" s="6"/>
      <c r="BH70" s="6"/>
    </row>
    <row r="71" spans="1:60" ht="12.75" customHeight="1" x14ac:dyDescent="0.2">
      <c r="A71" s="19">
        <v>100</v>
      </c>
      <c r="B71" s="134" t="s">
        <v>952</v>
      </c>
      <c r="C71" s="134" t="s">
        <v>525</v>
      </c>
      <c r="D71" s="135" t="s">
        <v>657</v>
      </c>
      <c r="E71" s="135"/>
      <c r="F71" s="136"/>
      <c r="G71" s="136"/>
      <c r="H71" s="136"/>
      <c r="I71" s="136"/>
      <c r="J71" s="136"/>
      <c r="K71" s="136"/>
      <c r="L71" s="136"/>
      <c r="M71" s="136"/>
      <c r="N71" s="137"/>
      <c r="O71" s="138" t="s">
        <v>35</v>
      </c>
      <c r="P71" s="139">
        <v>15</v>
      </c>
      <c r="Q71" s="34">
        <f t="shared" si="32"/>
        <v>11.19</v>
      </c>
      <c r="R71" s="39"/>
      <c r="S71" s="39">
        <f>IF(O71="","",IF(O71="NA","",IF(O71="Mini disjuntor + DR",0.92,IF(O71="Mini disjuntor",0.92,IF(O71="Disjuntor Motor",0.92,IF(O71="Disjuntor C.M.",0.92,IF(O71="Disjuntor C.A.",0.92,IFERROR(VLOOKUP('Lista de Cargas'!P71,Motores!$B$9:$T$48,19,FALSE),"Erro"))))))))</f>
        <v>0.85</v>
      </c>
      <c r="T71" s="40">
        <f>IF(O71="","",IF(O71="NA","",IF(O71="Mini disjuntor + DR",100%,IF(O71="Mini disjuntor",100%,IF(O71="Disjuntor Motor",0.92,IF(O71="Disjuntor C.M.",100%,IF(O71="Disjuntor C.A.",100%,IFERROR(VLOOKUP('Lista de Cargas'!P71,Motores!$B$9:$T$48,16,FALSE)/100,"Erro"))))))))</f>
        <v>0.91700000000000004</v>
      </c>
      <c r="U71" s="40" t="s">
        <v>445</v>
      </c>
      <c r="V71" s="39">
        <v>440</v>
      </c>
      <c r="W71" s="2">
        <f t="shared" si="40"/>
        <v>18.837727979029246</v>
      </c>
      <c r="X71" s="2">
        <f t="shared" si="33"/>
        <v>13.164705882352941</v>
      </c>
      <c r="Y71" s="2">
        <f t="shared" si="41"/>
        <v>56.513183937087739</v>
      </c>
      <c r="Z71" s="1"/>
      <c r="AA71" s="1"/>
      <c r="AB71" s="1">
        <v>90</v>
      </c>
      <c r="AC71" s="1"/>
      <c r="AD71" s="1"/>
      <c r="AE71" s="1"/>
      <c r="AF71" s="1"/>
      <c r="AG71" s="1">
        <f t="shared" si="34"/>
        <v>90</v>
      </c>
      <c r="AH71" s="1">
        <v>1</v>
      </c>
      <c r="AI71" s="1" t="s">
        <v>1063</v>
      </c>
      <c r="AJ71" s="1">
        <f t="shared" si="35"/>
        <v>90</v>
      </c>
      <c r="AK71" s="1">
        <v>0</v>
      </c>
      <c r="AL71" s="1" t="s">
        <v>118</v>
      </c>
      <c r="AM71" s="1">
        <f t="shared" si="36"/>
        <v>0</v>
      </c>
      <c r="AN71" s="1">
        <v>0</v>
      </c>
      <c r="AO71" s="1" t="s">
        <v>118</v>
      </c>
      <c r="AP71" s="1">
        <f t="shared" si="37"/>
        <v>0</v>
      </c>
      <c r="AQ71" s="1" t="s">
        <v>57</v>
      </c>
      <c r="AR71" s="1" t="str">
        <f t="shared" si="38"/>
        <v>3/4"</v>
      </c>
      <c r="AS71" s="1">
        <v>1</v>
      </c>
      <c r="AT71" s="1"/>
      <c r="AU71" s="1"/>
      <c r="AV71" s="17"/>
      <c r="AW71" s="2"/>
      <c r="AX71" s="2"/>
      <c r="AY71" s="2"/>
      <c r="AZ71" s="17"/>
      <c r="BA71" s="1"/>
      <c r="BB71" s="1"/>
      <c r="BC71" s="1"/>
      <c r="BD71" s="1"/>
      <c r="BE71" s="18"/>
      <c r="BF71" s="2">
        <f t="shared" si="39"/>
        <v>2.1680191081665816</v>
      </c>
      <c r="BG71" s="6"/>
      <c r="BH71" s="6"/>
    </row>
    <row r="72" spans="1:60" ht="12.75" customHeight="1" x14ac:dyDescent="0.2">
      <c r="A72" s="19">
        <v>200</v>
      </c>
      <c r="B72" s="19" t="s">
        <v>953</v>
      </c>
      <c r="C72" s="19" t="s">
        <v>828</v>
      </c>
      <c r="D72" s="20" t="s">
        <v>669</v>
      </c>
      <c r="E72" s="20"/>
      <c r="F72" s="21"/>
      <c r="G72" s="21"/>
      <c r="H72" s="21"/>
      <c r="I72" s="21"/>
      <c r="J72" s="21"/>
      <c r="K72" s="21"/>
      <c r="L72" s="21"/>
      <c r="M72" s="21"/>
      <c r="N72" s="32" t="s">
        <v>1033</v>
      </c>
      <c r="O72" s="22" t="s">
        <v>5</v>
      </c>
      <c r="P72" s="23">
        <v>40</v>
      </c>
      <c r="Q72" s="34">
        <f t="shared" si="32"/>
        <v>29.84</v>
      </c>
      <c r="R72" s="39"/>
      <c r="S72" s="39">
        <f>IF(O72="","",IF(O72="NA","",IF(O72="Mini disjuntor + DR",0.92,IF(O72="Mini disjuntor",0.92,IF(O72="Disjuntor Motor",0.92,IF(O72="Disjuntor C.M.",0.92,IF(O72="Disjuntor C.A.",0.92,IFERROR(VLOOKUP('Lista de Cargas'!P72,Motores!$B$9:$T$48,19,FALSE),"Erro"))))))))</f>
        <v>0.85</v>
      </c>
      <c r="T72" s="40">
        <f>IF(O72="","",IF(O72="NA","",IF(O72="Mini disjuntor + DR",100%,IF(O72="Mini disjuntor",100%,IF(O72="Disjuntor Motor",0.92,IF(O72="Disjuntor C.M.",100%,IF(O72="Disjuntor C.A.",100%,IFERROR(VLOOKUP('Lista de Cargas'!P72,Motores!$B$9:$T$48,16,FALSE)/100,"Erro"))))))))</f>
        <v>0.93400000000000005</v>
      </c>
      <c r="U72" s="40" t="s">
        <v>445</v>
      </c>
      <c r="V72" s="39">
        <v>440</v>
      </c>
      <c r="W72" s="2">
        <f t="shared" si="40"/>
        <v>49.319619005766796</v>
      </c>
      <c r="X72" s="2">
        <f t="shared" si="33"/>
        <v>35.10588235294118</v>
      </c>
      <c r="Y72" s="2">
        <f t="shared" si="41"/>
        <v>73.979428508650187</v>
      </c>
      <c r="Z72" s="1"/>
      <c r="AA72" s="1"/>
      <c r="AB72" s="1">
        <v>100</v>
      </c>
      <c r="AC72" s="1"/>
      <c r="AD72" s="1"/>
      <c r="AE72" s="1"/>
      <c r="AF72" s="1"/>
      <c r="AG72" s="1">
        <f t="shared" si="34"/>
        <v>100</v>
      </c>
      <c r="AH72" s="1">
        <v>1</v>
      </c>
      <c r="AI72" s="1" t="s">
        <v>1067</v>
      </c>
      <c r="AJ72" s="1">
        <f t="shared" si="35"/>
        <v>100</v>
      </c>
      <c r="AK72" s="1">
        <v>0</v>
      </c>
      <c r="AL72" s="1" t="s">
        <v>118</v>
      </c>
      <c r="AM72" s="1">
        <f t="shared" si="36"/>
        <v>0</v>
      </c>
      <c r="AN72" s="1">
        <v>0</v>
      </c>
      <c r="AO72" s="1" t="s">
        <v>118</v>
      </c>
      <c r="AP72" s="1">
        <f t="shared" si="37"/>
        <v>0</v>
      </c>
      <c r="AQ72" s="1" t="s">
        <v>71</v>
      </c>
      <c r="AR72" s="1" t="str">
        <f t="shared" si="38"/>
        <v>1.1/2"</v>
      </c>
      <c r="AS72" s="1">
        <v>1</v>
      </c>
      <c r="AT72" s="1"/>
      <c r="AU72" s="1"/>
      <c r="AV72" s="17"/>
      <c r="AW72" s="2"/>
      <c r="AX72" s="2"/>
      <c r="AY72" s="2"/>
      <c r="AZ72" s="17"/>
      <c r="BA72" s="1"/>
      <c r="BB72" s="1"/>
      <c r="BC72" s="1"/>
      <c r="BD72" s="1"/>
      <c r="BE72" s="18"/>
      <c r="BF72" s="2">
        <f t="shared" si="39"/>
        <v>0</v>
      </c>
      <c r="BG72" s="6"/>
      <c r="BH72" s="6"/>
    </row>
    <row r="73" spans="1:60" ht="12.75" customHeight="1" x14ac:dyDescent="0.2">
      <c r="A73" s="19">
        <v>200</v>
      </c>
      <c r="B73" s="19" t="s">
        <v>953</v>
      </c>
      <c r="C73" s="19" t="s">
        <v>827</v>
      </c>
      <c r="D73" s="20" t="s">
        <v>669</v>
      </c>
      <c r="E73" s="20"/>
      <c r="F73" s="21"/>
      <c r="G73" s="21"/>
      <c r="H73" s="21"/>
      <c r="I73" s="21"/>
      <c r="J73" s="21"/>
      <c r="K73" s="21"/>
      <c r="L73" s="21"/>
      <c r="M73" s="21"/>
      <c r="N73" s="32" t="s">
        <v>1033</v>
      </c>
      <c r="O73" s="22" t="s">
        <v>5</v>
      </c>
      <c r="P73" s="23">
        <v>40</v>
      </c>
      <c r="Q73" s="34">
        <f t="shared" si="32"/>
        <v>29.84</v>
      </c>
      <c r="R73" s="39"/>
      <c r="S73" s="39">
        <f>IF(O73="","",IF(O73="NA","",IF(O73="Mini disjuntor + DR",0.92,IF(O73="Mini disjuntor",0.92,IF(O73="Disjuntor Motor",0.92,IF(O73="Disjuntor C.M.",0.92,IF(O73="Disjuntor C.A.",0.92,IFERROR(VLOOKUP('Lista de Cargas'!P73,Motores!$B$9:$T$48,19,FALSE),"Erro"))))))))</f>
        <v>0.85</v>
      </c>
      <c r="T73" s="40">
        <f>IF(O73="","",IF(O73="NA","",IF(O73="Mini disjuntor + DR",100%,IF(O73="Mini disjuntor",100%,IF(O73="Disjuntor Motor",0.92,IF(O73="Disjuntor C.M.",100%,IF(O73="Disjuntor C.A.",100%,IFERROR(VLOOKUP('Lista de Cargas'!P73,Motores!$B$9:$T$48,16,FALSE)/100,"Erro"))))))))</f>
        <v>0.93400000000000005</v>
      </c>
      <c r="U73" s="40" t="s">
        <v>445</v>
      </c>
      <c r="V73" s="39">
        <v>440</v>
      </c>
      <c r="W73" s="2">
        <f t="shared" si="40"/>
        <v>49.319619005766796</v>
      </c>
      <c r="X73" s="2">
        <f t="shared" si="33"/>
        <v>35.10588235294118</v>
      </c>
      <c r="Y73" s="2">
        <f t="shared" si="41"/>
        <v>73.979428508650187</v>
      </c>
      <c r="Z73" s="1"/>
      <c r="AA73" s="1"/>
      <c r="AB73" s="1">
        <v>100</v>
      </c>
      <c r="AC73" s="1"/>
      <c r="AD73" s="1"/>
      <c r="AE73" s="1"/>
      <c r="AF73" s="1"/>
      <c r="AG73" s="1">
        <f t="shared" si="34"/>
        <v>100</v>
      </c>
      <c r="AH73" s="1">
        <v>1</v>
      </c>
      <c r="AI73" s="1" t="s">
        <v>1067</v>
      </c>
      <c r="AJ73" s="1">
        <f t="shared" si="35"/>
        <v>100</v>
      </c>
      <c r="AK73" s="1">
        <v>0</v>
      </c>
      <c r="AL73" s="1" t="s">
        <v>118</v>
      </c>
      <c r="AM73" s="1">
        <f t="shared" si="36"/>
        <v>0</v>
      </c>
      <c r="AN73" s="1">
        <v>0</v>
      </c>
      <c r="AO73" s="1" t="s">
        <v>118</v>
      </c>
      <c r="AP73" s="1">
        <f t="shared" si="37"/>
        <v>0</v>
      </c>
      <c r="AQ73" s="1" t="s">
        <v>71</v>
      </c>
      <c r="AR73" s="1" t="str">
        <f t="shared" si="38"/>
        <v>1.1/2"</v>
      </c>
      <c r="AS73" s="1">
        <v>1</v>
      </c>
      <c r="AT73" s="1"/>
      <c r="AU73" s="1"/>
      <c r="AV73" s="17"/>
      <c r="AW73" s="2"/>
      <c r="AX73" s="2"/>
      <c r="AY73" s="2"/>
      <c r="AZ73" s="17"/>
      <c r="BA73" s="1"/>
      <c r="BB73" s="1"/>
      <c r="BC73" s="1"/>
      <c r="BD73" s="1"/>
      <c r="BE73" s="18"/>
      <c r="BF73" s="2">
        <f t="shared" si="39"/>
        <v>0</v>
      </c>
      <c r="BG73" s="6"/>
      <c r="BH73" s="6"/>
    </row>
    <row r="74" spans="1:60" ht="12.75" customHeight="1" x14ac:dyDescent="0.2">
      <c r="A74" s="19">
        <v>200</v>
      </c>
      <c r="B74" s="19" t="s">
        <v>953</v>
      </c>
      <c r="C74" s="19" t="s">
        <v>829</v>
      </c>
      <c r="D74" s="20" t="s">
        <v>670</v>
      </c>
      <c r="E74" s="20"/>
      <c r="F74" s="21"/>
      <c r="G74" s="21"/>
      <c r="H74" s="21"/>
      <c r="I74" s="21"/>
      <c r="J74" s="21"/>
      <c r="K74" s="21"/>
      <c r="L74" s="21"/>
      <c r="M74" s="21"/>
      <c r="N74" s="32" t="s">
        <v>1033</v>
      </c>
      <c r="O74" s="22" t="s">
        <v>5</v>
      </c>
      <c r="P74" s="23">
        <v>60</v>
      </c>
      <c r="Q74" s="34">
        <f t="shared" si="32"/>
        <v>44.76</v>
      </c>
      <c r="R74" s="1"/>
      <c r="S74" s="39">
        <f>IF(O74="","",IF(O74="NA","",IF(O74="Mini disjuntor + DR",0.92,IF(O74="Mini disjuntor",0.92,IF(O74="Disjuntor Motor",0.92,IF(O74="Disjuntor C.M.",0.92,IF(O74="Disjuntor C.A.",0.92,IFERROR(VLOOKUP('Lista de Cargas'!P74,Motores!$B$9:$T$48,19,FALSE),"Erro"))))))))</f>
        <v>0.86</v>
      </c>
      <c r="T74" s="40">
        <f>IF(O74="","",IF(O74="NA","",IF(O74="Mini disjuntor + DR",100%,IF(O74="Mini disjuntor",100%,IF(O74="Disjuntor Motor",0.92,IF(O74="Disjuntor C.M.",100%,IF(O74="Disjuntor C.A.",100%,IFERROR(VLOOKUP('Lista de Cargas'!P74,Motores!$B$9:$T$48,16,FALSE)/100,"Erro"))))))))</f>
        <v>0.94099999999999995</v>
      </c>
      <c r="U74" s="40" t="s">
        <v>445</v>
      </c>
      <c r="V74" s="39">
        <v>440</v>
      </c>
      <c r="W74" s="2">
        <f t="shared" si="40"/>
        <v>72.57527654031756</v>
      </c>
      <c r="X74" s="2">
        <f t="shared" si="33"/>
        <v>52.046511627906973</v>
      </c>
      <c r="Y74" s="2">
        <f t="shared" si="41"/>
        <v>108.86291481047634</v>
      </c>
      <c r="Z74" s="1"/>
      <c r="AA74" s="1"/>
      <c r="AB74" s="1">
        <v>100</v>
      </c>
      <c r="AC74" s="1"/>
      <c r="AD74" s="1"/>
      <c r="AE74" s="1"/>
      <c r="AF74" s="1"/>
      <c r="AG74" s="1">
        <f t="shared" si="34"/>
        <v>100</v>
      </c>
      <c r="AH74" s="1">
        <v>1</v>
      </c>
      <c r="AI74" s="1" t="s">
        <v>1067</v>
      </c>
      <c r="AJ74" s="1">
        <f t="shared" si="35"/>
        <v>100</v>
      </c>
      <c r="AK74" s="1">
        <v>0</v>
      </c>
      <c r="AL74" s="1" t="s">
        <v>118</v>
      </c>
      <c r="AM74" s="1">
        <f t="shared" si="36"/>
        <v>0</v>
      </c>
      <c r="AN74" s="1">
        <v>0</v>
      </c>
      <c r="AO74" s="1" t="s">
        <v>118</v>
      </c>
      <c r="AP74" s="1">
        <f t="shared" si="37"/>
        <v>0</v>
      </c>
      <c r="AQ74" s="1" t="s">
        <v>71</v>
      </c>
      <c r="AR74" s="1" t="str">
        <f t="shared" si="38"/>
        <v>1.1/2"</v>
      </c>
      <c r="AS74" s="1">
        <v>1</v>
      </c>
      <c r="AT74" s="1"/>
      <c r="AU74" s="1"/>
      <c r="AV74" s="17"/>
      <c r="AW74" s="2"/>
      <c r="AX74" s="2"/>
      <c r="AY74" s="2"/>
      <c r="AZ74" s="17"/>
      <c r="BA74" s="1"/>
      <c r="BB74" s="1"/>
      <c r="BC74" s="1"/>
      <c r="BD74" s="1"/>
      <c r="BE74" s="18"/>
      <c r="BF74" s="2">
        <f t="shared" si="39"/>
        <v>0</v>
      </c>
      <c r="BG74" s="6"/>
      <c r="BH74" s="6"/>
    </row>
    <row r="75" spans="1:60" ht="12.75" customHeight="1" x14ac:dyDescent="0.2">
      <c r="A75" s="19">
        <v>200</v>
      </c>
      <c r="B75" s="19" t="s">
        <v>953</v>
      </c>
      <c r="C75" s="19" t="s">
        <v>830</v>
      </c>
      <c r="D75" s="20" t="s">
        <v>670</v>
      </c>
      <c r="E75" s="20"/>
      <c r="F75" s="21"/>
      <c r="G75" s="21"/>
      <c r="H75" s="21"/>
      <c r="I75" s="21"/>
      <c r="J75" s="21"/>
      <c r="K75" s="21"/>
      <c r="L75" s="21"/>
      <c r="M75" s="21"/>
      <c r="N75" s="32" t="s">
        <v>1033</v>
      </c>
      <c r="O75" s="22" t="s">
        <v>5</v>
      </c>
      <c r="P75" s="23">
        <v>60</v>
      </c>
      <c r="Q75" s="34">
        <f t="shared" si="32"/>
        <v>44.76</v>
      </c>
      <c r="R75" s="1"/>
      <c r="S75" s="39">
        <f>IF(O75="","",IF(O75="NA","",IF(O75="Mini disjuntor + DR",0.92,IF(O75="Mini disjuntor",0.92,IF(O75="Disjuntor Motor",0.92,IF(O75="Disjuntor C.M.",0.92,IF(O75="Disjuntor C.A.",0.92,IFERROR(VLOOKUP('Lista de Cargas'!P75,Motores!$B$9:$T$48,19,FALSE),"Erro"))))))))</f>
        <v>0.86</v>
      </c>
      <c r="T75" s="40">
        <f>IF(O75="","",IF(O75="NA","",IF(O75="Mini disjuntor + DR",100%,IF(O75="Mini disjuntor",100%,IF(O75="Disjuntor Motor",0.92,IF(O75="Disjuntor C.M.",100%,IF(O75="Disjuntor C.A.",100%,IFERROR(VLOOKUP('Lista de Cargas'!P75,Motores!$B$9:$T$48,16,FALSE)/100,"Erro"))))))))</f>
        <v>0.94099999999999995</v>
      </c>
      <c r="U75" s="40" t="s">
        <v>445</v>
      </c>
      <c r="V75" s="39">
        <v>440</v>
      </c>
      <c r="W75" s="2">
        <f t="shared" si="40"/>
        <v>72.57527654031756</v>
      </c>
      <c r="X75" s="2">
        <f t="shared" si="33"/>
        <v>52.046511627906973</v>
      </c>
      <c r="Y75" s="2">
        <f t="shared" si="41"/>
        <v>108.86291481047634</v>
      </c>
      <c r="Z75" s="1"/>
      <c r="AA75" s="1"/>
      <c r="AB75" s="1">
        <v>100</v>
      </c>
      <c r="AC75" s="1"/>
      <c r="AD75" s="1"/>
      <c r="AE75" s="1"/>
      <c r="AF75" s="1"/>
      <c r="AG75" s="1">
        <f t="shared" si="34"/>
        <v>100</v>
      </c>
      <c r="AH75" s="1">
        <v>1</v>
      </c>
      <c r="AI75" s="1" t="s">
        <v>1067</v>
      </c>
      <c r="AJ75" s="1">
        <f t="shared" si="35"/>
        <v>100</v>
      </c>
      <c r="AK75" s="1">
        <v>0</v>
      </c>
      <c r="AL75" s="1" t="s">
        <v>118</v>
      </c>
      <c r="AM75" s="1">
        <f t="shared" si="36"/>
        <v>0</v>
      </c>
      <c r="AN75" s="1">
        <v>0</v>
      </c>
      <c r="AO75" s="1" t="s">
        <v>118</v>
      </c>
      <c r="AP75" s="1">
        <f t="shared" si="37"/>
        <v>0</v>
      </c>
      <c r="AQ75" s="1" t="s">
        <v>71</v>
      </c>
      <c r="AR75" s="1" t="str">
        <f t="shared" si="38"/>
        <v>1.1/2"</v>
      </c>
      <c r="AS75" s="1">
        <v>1</v>
      </c>
      <c r="AT75" s="1"/>
      <c r="AU75" s="1"/>
      <c r="AV75" s="17"/>
      <c r="AW75" s="2"/>
      <c r="AX75" s="2"/>
      <c r="AY75" s="2"/>
      <c r="AZ75" s="17"/>
      <c r="BA75" s="1"/>
      <c r="BB75" s="1"/>
      <c r="BC75" s="1"/>
      <c r="BD75" s="1"/>
      <c r="BE75" s="18"/>
      <c r="BF75" s="2">
        <f t="shared" si="39"/>
        <v>0</v>
      </c>
      <c r="BG75" s="6"/>
      <c r="BH75" s="6"/>
    </row>
    <row r="76" spans="1:60" ht="12.75" customHeight="1" x14ac:dyDescent="0.2">
      <c r="A76" s="19">
        <v>200</v>
      </c>
      <c r="B76" s="19" t="s">
        <v>953</v>
      </c>
      <c r="C76" s="19" t="s">
        <v>526</v>
      </c>
      <c r="D76" s="20" t="s">
        <v>671</v>
      </c>
      <c r="E76" s="20"/>
      <c r="F76" s="21"/>
      <c r="G76" s="21"/>
      <c r="H76" s="21"/>
      <c r="I76" s="21"/>
      <c r="J76" s="21"/>
      <c r="K76" s="21"/>
      <c r="L76" s="21"/>
      <c r="M76" s="21"/>
      <c r="N76" s="32" t="s">
        <v>1033</v>
      </c>
      <c r="O76" s="22" t="s">
        <v>34</v>
      </c>
      <c r="P76" s="23">
        <v>10</v>
      </c>
      <c r="Q76" s="34">
        <f t="shared" si="32"/>
        <v>7.46</v>
      </c>
      <c r="R76" s="1"/>
      <c r="S76" s="39">
        <f>IF(O76="","",IF(O76="NA","",IF(O76="Mini disjuntor + DR",0.92,IF(O76="Mini disjuntor",0.92,IF(O76="Disjuntor Motor",0.92,IF(O76="Disjuntor C.M.",0.92,IF(O76="Disjuntor C.A.",0.92,IFERROR(VLOOKUP('Lista de Cargas'!P76,Motores!$B$9:$T$48,19,FALSE),"Erro"))))))))</f>
        <v>0.84</v>
      </c>
      <c r="T76" s="40">
        <f>IF(O76="","",IF(O76="NA","",IF(O76="Mini disjuntor + DR",100%,IF(O76="Mini disjuntor",100%,IF(O76="Disjuntor Motor",0.92,IF(O76="Disjuntor C.M.",100%,IF(O76="Disjuntor C.A.",100%,IFERROR(VLOOKUP('Lista de Cargas'!P76,Motores!$B$9:$T$48,16,FALSE)/100,"Erro"))))))))</f>
        <v>0.91</v>
      </c>
      <c r="U76" s="40" t="s">
        <v>445</v>
      </c>
      <c r="V76" s="39">
        <v>440</v>
      </c>
      <c r="W76" s="2">
        <f t="shared" si="40"/>
        <v>12.805744874633129</v>
      </c>
      <c r="X76" s="2">
        <f t="shared" si="33"/>
        <v>8.8809523809523814</v>
      </c>
      <c r="Y76" s="2">
        <f t="shared" si="41"/>
        <v>76.834469247798779</v>
      </c>
      <c r="Z76" s="1"/>
      <c r="AA76" s="1"/>
      <c r="AB76" s="1">
        <v>100</v>
      </c>
      <c r="AC76" s="1"/>
      <c r="AD76" s="1"/>
      <c r="AE76" s="1"/>
      <c r="AF76" s="1"/>
      <c r="AG76" s="1">
        <f t="shared" si="34"/>
        <v>100</v>
      </c>
      <c r="AH76" s="1">
        <v>1</v>
      </c>
      <c r="AI76" s="1" t="s">
        <v>1062</v>
      </c>
      <c r="AJ76" s="1">
        <f t="shared" si="35"/>
        <v>100</v>
      </c>
      <c r="AK76" s="1">
        <v>0</v>
      </c>
      <c r="AL76" s="1" t="s">
        <v>118</v>
      </c>
      <c r="AM76" s="1">
        <f t="shared" si="36"/>
        <v>0</v>
      </c>
      <c r="AN76" s="1">
        <v>0</v>
      </c>
      <c r="AO76" s="1" t="s">
        <v>118</v>
      </c>
      <c r="AP76" s="1">
        <f t="shared" si="37"/>
        <v>0</v>
      </c>
      <c r="AQ76" s="1" t="s">
        <v>69</v>
      </c>
      <c r="AR76" s="1" t="str">
        <f t="shared" si="38"/>
        <v>1"</v>
      </c>
      <c r="AS76" s="1">
        <v>1</v>
      </c>
      <c r="AT76" s="1"/>
      <c r="AU76" s="1"/>
      <c r="AV76" s="17"/>
      <c r="AW76" s="2"/>
      <c r="AX76" s="2"/>
      <c r="AY76" s="2"/>
      <c r="AZ76" s="17"/>
      <c r="BA76" s="1"/>
      <c r="BB76" s="1"/>
      <c r="BC76" s="1"/>
      <c r="BD76" s="1"/>
      <c r="BE76" s="18"/>
      <c r="BF76" s="2">
        <f t="shared" si="39"/>
        <v>1.6407372765871995</v>
      </c>
      <c r="BG76" s="6"/>
      <c r="BH76" s="6"/>
    </row>
    <row r="77" spans="1:60" ht="12.75" customHeight="1" x14ac:dyDescent="0.2">
      <c r="A77" s="19">
        <v>200</v>
      </c>
      <c r="B77" s="134" t="s">
        <v>953</v>
      </c>
      <c r="C77" s="134" t="s">
        <v>527</v>
      </c>
      <c r="D77" s="135" t="s">
        <v>672</v>
      </c>
      <c r="E77" s="135"/>
      <c r="F77" s="136"/>
      <c r="G77" s="136"/>
      <c r="H77" s="136"/>
      <c r="I77" s="136"/>
      <c r="J77" s="136"/>
      <c r="K77" s="136"/>
      <c r="L77" s="136"/>
      <c r="M77" s="136"/>
      <c r="N77" s="137"/>
      <c r="O77" s="138" t="s">
        <v>5</v>
      </c>
      <c r="P77" s="139">
        <v>125</v>
      </c>
      <c r="Q77" s="34">
        <f t="shared" si="32"/>
        <v>93.25</v>
      </c>
      <c r="R77" s="1"/>
      <c r="S77" s="39">
        <f>IF(O77="","",IF(O77="NA","",IF(O77="Mini disjuntor + DR",0.92,IF(O77="Mini disjuntor",0.92,IF(O77="Disjuntor Motor",0.92,IF(O77="Disjuntor C.M.",0.92,IF(O77="Disjuntor C.A.",0.92,IFERROR(VLOOKUP('Lista de Cargas'!P77,Motores!$B$9:$T$48,19,FALSE),"Erro"))))))))</f>
        <v>0.85</v>
      </c>
      <c r="T77" s="40">
        <f>IF(O77="","",IF(O77="NA","",IF(O77="Mini disjuntor + DR",100%,IF(O77="Mini disjuntor",100%,IF(O77="Disjuntor Motor",0.92,IF(O77="Disjuntor C.M.",100%,IF(O77="Disjuntor C.A.",100%,IFERROR(VLOOKUP('Lista de Cargas'!P77,Motores!$B$9:$T$48,16,FALSE)/100,"Erro"))))))))</f>
        <v>0.94900000000000007</v>
      </c>
      <c r="U77" s="40" t="s">
        <v>445</v>
      </c>
      <c r="V77" s="39">
        <v>440</v>
      </c>
      <c r="W77" s="2">
        <f t="shared" si="40"/>
        <v>151.68771124666156</v>
      </c>
      <c r="X77" s="2">
        <f t="shared" si="33"/>
        <v>109.70588235294117</v>
      </c>
      <c r="Y77" s="2">
        <f t="shared" si="41"/>
        <v>227.53156686999233</v>
      </c>
      <c r="Z77" s="1"/>
      <c r="AA77" s="1"/>
      <c r="AB77" s="1">
        <v>100</v>
      </c>
      <c r="AC77" s="1"/>
      <c r="AD77" s="1"/>
      <c r="AE77" s="1"/>
      <c r="AF77" s="1"/>
      <c r="AG77" s="1">
        <f t="shared" si="34"/>
        <v>100</v>
      </c>
      <c r="AH77" s="1">
        <v>3</v>
      </c>
      <c r="AI77" s="1" t="s">
        <v>1058</v>
      </c>
      <c r="AJ77" s="1">
        <f t="shared" si="35"/>
        <v>300</v>
      </c>
      <c r="AK77" s="1">
        <v>0</v>
      </c>
      <c r="AL77" s="1" t="s">
        <v>118</v>
      </c>
      <c r="AM77" s="1">
        <f t="shared" si="36"/>
        <v>0</v>
      </c>
      <c r="AN77" s="1">
        <v>1</v>
      </c>
      <c r="AO77" s="1" t="s">
        <v>1059</v>
      </c>
      <c r="AP77" s="1">
        <f t="shared" si="37"/>
        <v>100</v>
      </c>
      <c r="AQ77" s="1" t="s">
        <v>73</v>
      </c>
      <c r="AR77" s="1" t="str">
        <f t="shared" si="38"/>
        <v>2"</v>
      </c>
      <c r="AS77" s="1">
        <v>1</v>
      </c>
      <c r="AT77" s="1"/>
      <c r="AU77" s="1"/>
      <c r="AV77" s="17"/>
      <c r="AW77" s="2"/>
      <c r="AX77" s="2"/>
      <c r="AY77" s="2"/>
      <c r="AZ77" s="17"/>
      <c r="BA77" s="1"/>
      <c r="BB77" s="1"/>
      <c r="BC77" s="1"/>
      <c r="BD77" s="1"/>
      <c r="BE77" s="18"/>
      <c r="BF77" s="2">
        <f t="shared" si="39"/>
        <v>0</v>
      </c>
      <c r="BG77" s="6"/>
      <c r="BH77" s="6"/>
    </row>
    <row r="78" spans="1:60" ht="12.75" customHeight="1" x14ac:dyDescent="0.2">
      <c r="A78" s="19">
        <v>200</v>
      </c>
      <c r="B78" s="19" t="s">
        <v>953</v>
      </c>
      <c r="C78" s="19" t="s">
        <v>528</v>
      </c>
      <c r="D78" s="20" t="s">
        <v>673</v>
      </c>
      <c r="E78" s="20"/>
      <c r="F78" s="21"/>
      <c r="G78" s="21"/>
      <c r="H78" s="21"/>
      <c r="I78" s="21"/>
      <c r="J78" s="21"/>
      <c r="K78" s="21"/>
      <c r="L78" s="21"/>
      <c r="M78" s="21"/>
      <c r="N78" s="32" t="s">
        <v>1033</v>
      </c>
      <c r="O78" s="22" t="s">
        <v>5</v>
      </c>
      <c r="P78" s="23">
        <v>3</v>
      </c>
      <c r="Q78" s="34">
        <f t="shared" si="32"/>
        <v>2.238</v>
      </c>
      <c r="R78" s="1"/>
      <c r="S78" s="39">
        <f>IF(O78="","",IF(O78="NA","",IF(O78="Mini disjuntor + DR",0.92,IF(O78="Mini disjuntor",0.92,IF(O78="Disjuntor Motor",0.92,IF(O78="Disjuntor C.M.",0.92,IF(O78="Disjuntor C.A.",0.92,IFERROR(VLOOKUP('Lista de Cargas'!P78,Motores!$B$9:$T$48,19,FALSE),"Erro"))))))))</f>
        <v>0.83</v>
      </c>
      <c r="T78" s="40">
        <f>IF(O78="","",IF(O78="NA","",IF(O78="Mini disjuntor + DR",100%,IF(O78="Mini disjuntor",100%,IF(O78="Disjuntor Motor",0.92,IF(O78="Disjuntor C.M.",100%,IF(O78="Disjuntor C.A.",100%,IFERROR(VLOOKUP('Lista de Cargas'!P78,Motores!$B$9:$T$48,16,FALSE)/100,"Erro"))))))))</f>
        <v>0.85099999999999998</v>
      </c>
      <c r="U78" s="40" t="s">
        <v>445</v>
      </c>
      <c r="V78" s="39">
        <v>440</v>
      </c>
      <c r="W78" s="2">
        <f t="shared" si="40"/>
        <v>4.1575657478103292</v>
      </c>
      <c r="X78" s="2">
        <f t="shared" si="33"/>
        <v>2.6963855421686747</v>
      </c>
      <c r="Y78" s="2">
        <f t="shared" si="41"/>
        <v>6.2363486217154938</v>
      </c>
      <c r="Z78" s="1"/>
      <c r="AA78" s="1"/>
      <c r="AB78" s="1">
        <v>100</v>
      </c>
      <c r="AC78" s="1"/>
      <c r="AD78" s="1"/>
      <c r="AE78" s="1"/>
      <c r="AF78" s="1"/>
      <c r="AG78" s="1">
        <f t="shared" si="34"/>
        <v>100</v>
      </c>
      <c r="AH78" s="1">
        <v>1</v>
      </c>
      <c r="AI78" s="1" t="s">
        <v>1054</v>
      </c>
      <c r="AJ78" s="1">
        <f t="shared" si="35"/>
        <v>100</v>
      </c>
      <c r="AK78" s="1">
        <v>0</v>
      </c>
      <c r="AL78" s="1" t="s">
        <v>118</v>
      </c>
      <c r="AM78" s="1">
        <f t="shared" si="36"/>
        <v>0</v>
      </c>
      <c r="AN78" s="1">
        <v>0</v>
      </c>
      <c r="AO78" s="1" t="s">
        <v>118</v>
      </c>
      <c r="AP78" s="1">
        <f t="shared" si="37"/>
        <v>0</v>
      </c>
      <c r="AQ78" s="1" t="s">
        <v>57</v>
      </c>
      <c r="AR78" s="1" t="str">
        <f t="shared" si="38"/>
        <v>3/4"</v>
      </c>
      <c r="AS78" s="1">
        <v>1</v>
      </c>
      <c r="AT78" s="1"/>
      <c r="AU78" s="1"/>
      <c r="AV78" s="17"/>
      <c r="AW78" s="2"/>
      <c r="AX78" s="2"/>
      <c r="AY78" s="2"/>
      <c r="AZ78" s="17"/>
      <c r="BA78" s="1"/>
      <c r="BB78" s="1"/>
      <c r="BC78" s="1"/>
      <c r="BD78" s="1"/>
      <c r="BE78" s="18"/>
      <c r="BF78" s="2">
        <f t="shared" si="39"/>
        <v>0</v>
      </c>
      <c r="BG78" s="6"/>
      <c r="BH78" s="6"/>
    </row>
    <row r="79" spans="1:60" ht="12.75" customHeight="1" x14ac:dyDescent="0.2">
      <c r="A79" s="19">
        <v>200</v>
      </c>
      <c r="B79" s="19" t="s">
        <v>953</v>
      </c>
      <c r="C79" s="19" t="s">
        <v>529</v>
      </c>
      <c r="D79" s="20" t="s">
        <v>674</v>
      </c>
      <c r="E79" s="20"/>
      <c r="F79" s="21"/>
      <c r="G79" s="21"/>
      <c r="H79" s="21"/>
      <c r="I79" s="21"/>
      <c r="J79" s="21"/>
      <c r="K79" s="21"/>
      <c r="L79" s="21"/>
      <c r="M79" s="21"/>
      <c r="N79" s="32" t="s">
        <v>1033</v>
      </c>
      <c r="O79" s="22" t="s">
        <v>5</v>
      </c>
      <c r="P79" s="23">
        <v>30</v>
      </c>
      <c r="Q79" s="34">
        <f t="shared" si="32"/>
        <v>22.38</v>
      </c>
      <c r="R79" s="1"/>
      <c r="S79" s="39">
        <f>IF(O79="","",IF(O79="NA","",IF(O79="Mini disjuntor + DR",0.92,IF(O79="Mini disjuntor",0.92,IF(O79="Disjuntor Motor",0.92,IF(O79="Disjuntor C.M.",0.92,IF(O79="Disjuntor C.A.",0.92,IFERROR(VLOOKUP('Lista de Cargas'!P79,Motores!$B$9:$T$48,19,FALSE),"Erro"))))))))</f>
        <v>0.84</v>
      </c>
      <c r="T79" s="40">
        <f>IF(O79="","",IF(O79="NA","",IF(O79="Mini disjuntor + DR",100%,IF(O79="Mini disjuntor",100%,IF(O79="Disjuntor Motor",0.92,IF(O79="Disjuntor C.M.",100%,IF(O79="Disjuntor C.A.",100%,IFERROR(VLOOKUP('Lista de Cargas'!P79,Motores!$B$9:$T$48,16,FALSE)/100,"Erro"))))))))</f>
        <v>0.93</v>
      </c>
      <c r="U79" s="40" t="s">
        <v>445</v>
      </c>
      <c r="V79" s="39">
        <v>440</v>
      </c>
      <c r="W79" s="2">
        <f t="shared" si="40"/>
        <v>37.59105753521338</v>
      </c>
      <c r="X79" s="2">
        <f t="shared" si="33"/>
        <v>26.642857142857142</v>
      </c>
      <c r="Y79" s="2">
        <f t="shared" si="41"/>
        <v>56.386586302820071</v>
      </c>
      <c r="Z79" s="1"/>
      <c r="AA79" s="1"/>
      <c r="AB79" s="1">
        <v>100</v>
      </c>
      <c r="AC79" s="1"/>
      <c r="AD79" s="1"/>
      <c r="AE79" s="1"/>
      <c r="AF79" s="1"/>
      <c r="AG79" s="1">
        <f t="shared" si="34"/>
        <v>100</v>
      </c>
      <c r="AH79" s="1">
        <v>1</v>
      </c>
      <c r="AI79" s="1" t="s">
        <v>1057</v>
      </c>
      <c r="AJ79" s="1">
        <f t="shared" si="35"/>
        <v>100</v>
      </c>
      <c r="AK79" s="1">
        <v>0</v>
      </c>
      <c r="AL79" s="1" t="s">
        <v>118</v>
      </c>
      <c r="AM79" s="1">
        <f t="shared" si="36"/>
        <v>0</v>
      </c>
      <c r="AN79" s="1">
        <v>0</v>
      </c>
      <c r="AO79" s="1" t="s">
        <v>118</v>
      </c>
      <c r="AP79" s="1">
        <f t="shared" si="37"/>
        <v>0</v>
      </c>
      <c r="AQ79" s="1" t="s">
        <v>60</v>
      </c>
      <c r="AR79" s="1" t="str">
        <f t="shared" si="38"/>
        <v>1"</v>
      </c>
      <c r="AS79" s="1">
        <v>1</v>
      </c>
      <c r="AT79" s="1"/>
      <c r="AU79" s="1"/>
      <c r="AV79" s="17"/>
      <c r="AW79" s="2"/>
      <c r="AX79" s="2"/>
      <c r="AY79" s="2"/>
      <c r="AZ79" s="17"/>
      <c r="BA79" s="1"/>
      <c r="BB79" s="1"/>
      <c r="BC79" s="1"/>
      <c r="BD79" s="1"/>
      <c r="BE79" s="18"/>
      <c r="BF79" s="2">
        <f t="shared" si="39"/>
        <v>0</v>
      </c>
      <c r="BG79" s="6"/>
      <c r="BH79" s="6"/>
    </row>
    <row r="80" spans="1:60" ht="12.75" customHeight="1" x14ac:dyDescent="0.2">
      <c r="A80" s="19">
        <v>200</v>
      </c>
      <c r="B80" s="19" t="s">
        <v>953</v>
      </c>
      <c r="C80" s="19" t="s">
        <v>831</v>
      </c>
      <c r="D80" s="20" t="s">
        <v>675</v>
      </c>
      <c r="E80" s="20"/>
      <c r="F80" s="21"/>
      <c r="G80" s="21"/>
      <c r="H80" s="21"/>
      <c r="I80" s="21"/>
      <c r="J80" s="21"/>
      <c r="K80" s="21"/>
      <c r="L80" s="21"/>
      <c r="M80" s="21"/>
      <c r="N80" s="32" t="s">
        <v>1033</v>
      </c>
      <c r="O80" s="22" t="s">
        <v>5</v>
      </c>
      <c r="P80" s="23">
        <v>30</v>
      </c>
      <c r="Q80" s="34">
        <f t="shared" si="32"/>
        <v>22.38</v>
      </c>
      <c r="R80" s="1"/>
      <c r="S80" s="39">
        <f>IF(O80="","",IF(O80="NA","",IF(O80="Mini disjuntor + DR",0.92,IF(O80="Mini disjuntor",0.92,IF(O80="Disjuntor Motor",0.92,IF(O80="Disjuntor C.M.",0.92,IF(O80="Disjuntor C.A.",0.92,IFERROR(VLOOKUP('Lista de Cargas'!P80,Motores!$B$9:$T$48,19,FALSE),"Erro"))))))))</f>
        <v>0.84</v>
      </c>
      <c r="T80" s="40">
        <f>IF(O80="","",IF(O80="NA","",IF(O80="Mini disjuntor + DR",100%,IF(O80="Mini disjuntor",100%,IF(O80="Disjuntor Motor",0.92,IF(O80="Disjuntor C.M.",100%,IF(O80="Disjuntor C.A.",100%,IFERROR(VLOOKUP('Lista de Cargas'!P80,Motores!$B$9:$T$48,16,FALSE)/100,"Erro"))))))))</f>
        <v>0.93</v>
      </c>
      <c r="U80" s="40" t="s">
        <v>445</v>
      </c>
      <c r="V80" s="39">
        <v>440</v>
      </c>
      <c r="W80" s="2">
        <f t="shared" si="40"/>
        <v>37.59105753521338</v>
      </c>
      <c r="X80" s="2">
        <f t="shared" si="33"/>
        <v>26.642857142857142</v>
      </c>
      <c r="Y80" s="2">
        <f t="shared" si="41"/>
        <v>56.386586302820071</v>
      </c>
      <c r="Z80" s="1"/>
      <c r="AA80" s="1"/>
      <c r="AB80" s="1">
        <v>100</v>
      </c>
      <c r="AC80" s="1"/>
      <c r="AD80" s="1"/>
      <c r="AE80" s="1"/>
      <c r="AF80" s="1"/>
      <c r="AG80" s="1">
        <f t="shared" si="34"/>
        <v>100</v>
      </c>
      <c r="AH80" s="1">
        <v>1</v>
      </c>
      <c r="AI80" s="1" t="s">
        <v>1057</v>
      </c>
      <c r="AJ80" s="1">
        <f t="shared" si="35"/>
        <v>100</v>
      </c>
      <c r="AK80" s="1">
        <v>0</v>
      </c>
      <c r="AL80" s="1" t="s">
        <v>118</v>
      </c>
      <c r="AM80" s="1">
        <f t="shared" si="36"/>
        <v>0</v>
      </c>
      <c r="AN80" s="1">
        <v>0</v>
      </c>
      <c r="AO80" s="1" t="s">
        <v>118</v>
      </c>
      <c r="AP80" s="1">
        <f t="shared" si="37"/>
        <v>0</v>
      </c>
      <c r="AQ80" s="1" t="s">
        <v>60</v>
      </c>
      <c r="AR80" s="1" t="str">
        <f t="shared" ref="AR80:AR111" si="42">IFERROR(VLOOKUP(AQ80,$O$368:$P$412,2,1),"NA")</f>
        <v>1"</v>
      </c>
      <c r="AS80" s="1">
        <v>1</v>
      </c>
      <c r="AT80" s="1"/>
      <c r="AU80" s="1"/>
      <c r="AV80" s="17"/>
      <c r="AW80" s="2"/>
      <c r="AX80" s="2"/>
      <c r="AY80" s="2"/>
      <c r="AZ80" s="17"/>
      <c r="BA80" s="1"/>
      <c r="BB80" s="1"/>
      <c r="BC80" s="1"/>
      <c r="BD80" s="1"/>
      <c r="BE80" s="18"/>
      <c r="BF80" s="2">
        <f t="shared" ref="BF80:BF111" si="43">IFERROR(IF(F80=$O$358,0,IF(S80&gt;$BH$1,0,IF(O80=$O$347,0,SQRT((X80^2)-(Q80^2))-(SQRT(((Q80/$BH$1)^2)-(Q80^2)))))),0)</f>
        <v>0</v>
      </c>
      <c r="BG80" s="6"/>
      <c r="BH80" s="6"/>
    </row>
    <row r="81" spans="1:60" ht="12.75" customHeight="1" x14ac:dyDescent="0.2">
      <c r="A81" s="19">
        <v>200</v>
      </c>
      <c r="B81" s="19" t="s">
        <v>953</v>
      </c>
      <c r="C81" s="19" t="s">
        <v>832</v>
      </c>
      <c r="D81" s="20" t="s">
        <v>675</v>
      </c>
      <c r="E81" s="20"/>
      <c r="F81" s="21"/>
      <c r="G81" s="21"/>
      <c r="H81" s="21"/>
      <c r="I81" s="21"/>
      <c r="J81" s="21"/>
      <c r="K81" s="21"/>
      <c r="L81" s="21"/>
      <c r="M81" s="21"/>
      <c r="N81" s="32" t="s">
        <v>1033</v>
      </c>
      <c r="O81" s="22" t="s">
        <v>5</v>
      </c>
      <c r="P81" s="23">
        <v>30</v>
      </c>
      <c r="Q81" s="34">
        <f t="shared" si="32"/>
        <v>22.38</v>
      </c>
      <c r="R81" s="1"/>
      <c r="S81" s="39">
        <f>IF(O81="","",IF(O81="NA","",IF(O81="Mini disjuntor + DR",0.92,IF(O81="Mini disjuntor",0.92,IF(O81="Disjuntor Motor",0.92,IF(O81="Disjuntor C.M.",0.92,IF(O81="Disjuntor C.A.",0.92,IFERROR(VLOOKUP('Lista de Cargas'!P81,Motores!$B$9:$T$48,19,FALSE),"Erro"))))))))</f>
        <v>0.84</v>
      </c>
      <c r="T81" s="40">
        <f>IF(O81="","",IF(O81="NA","",IF(O81="Mini disjuntor + DR",100%,IF(O81="Mini disjuntor",100%,IF(O81="Disjuntor Motor",0.92,IF(O81="Disjuntor C.M.",100%,IF(O81="Disjuntor C.A.",100%,IFERROR(VLOOKUP('Lista de Cargas'!P81,Motores!$B$9:$T$48,16,FALSE)/100,"Erro"))))))))</f>
        <v>0.93</v>
      </c>
      <c r="U81" s="40" t="s">
        <v>445</v>
      </c>
      <c r="V81" s="39">
        <v>440</v>
      </c>
      <c r="W81" s="2">
        <f t="shared" si="40"/>
        <v>37.59105753521338</v>
      </c>
      <c r="X81" s="2">
        <f t="shared" si="33"/>
        <v>26.642857142857142</v>
      </c>
      <c r="Y81" s="2">
        <f t="shared" si="41"/>
        <v>56.386586302820071</v>
      </c>
      <c r="Z81" s="1"/>
      <c r="AA81" s="1"/>
      <c r="AB81" s="1">
        <v>100</v>
      </c>
      <c r="AC81" s="1"/>
      <c r="AD81" s="1"/>
      <c r="AE81" s="1"/>
      <c r="AF81" s="1"/>
      <c r="AG81" s="1">
        <f t="shared" si="34"/>
        <v>100</v>
      </c>
      <c r="AH81" s="1">
        <v>1</v>
      </c>
      <c r="AI81" s="1" t="s">
        <v>1057</v>
      </c>
      <c r="AJ81" s="1">
        <f t="shared" si="35"/>
        <v>100</v>
      </c>
      <c r="AK81" s="1">
        <v>0</v>
      </c>
      <c r="AL81" s="1" t="s">
        <v>118</v>
      </c>
      <c r="AM81" s="1">
        <f t="shared" si="36"/>
        <v>0</v>
      </c>
      <c r="AN81" s="1">
        <v>0</v>
      </c>
      <c r="AO81" s="1" t="s">
        <v>118</v>
      </c>
      <c r="AP81" s="1">
        <f t="shared" si="37"/>
        <v>0</v>
      </c>
      <c r="AQ81" s="1" t="s">
        <v>60</v>
      </c>
      <c r="AR81" s="1" t="str">
        <f t="shared" si="42"/>
        <v>1"</v>
      </c>
      <c r="AS81" s="1">
        <v>1</v>
      </c>
      <c r="AT81" s="1"/>
      <c r="AU81" s="1"/>
      <c r="AV81" s="17"/>
      <c r="AW81" s="2"/>
      <c r="AX81" s="2"/>
      <c r="AY81" s="2"/>
      <c r="AZ81" s="17"/>
      <c r="BA81" s="1"/>
      <c r="BB81" s="1"/>
      <c r="BC81" s="1"/>
      <c r="BD81" s="1"/>
      <c r="BE81" s="18"/>
      <c r="BF81" s="2">
        <f t="shared" si="43"/>
        <v>0</v>
      </c>
      <c r="BG81" s="6"/>
      <c r="BH81" s="6"/>
    </row>
    <row r="82" spans="1:60" ht="12.75" customHeight="1" x14ac:dyDescent="0.2">
      <c r="A82" s="19">
        <v>200</v>
      </c>
      <c r="B82" s="19" t="s">
        <v>953</v>
      </c>
      <c r="C82" s="19" t="s">
        <v>833</v>
      </c>
      <c r="D82" s="20" t="s">
        <v>675</v>
      </c>
      <c r="E82" s="20"/>
      <c r="F82" s="21"/>
      <c r="G82" s="21"/>
      <c r="H82" s="21"/>
      <c r="I82" s="21"/>
      <c r="J82" s="21"/>
      <c r="K82" s="21"/>
      <c r="L82" s="21"/>
      <c r="M82" s="21"/>
      <c r="N82" s="32" t="s">
        <v>1033</v>
      </c>
      <c r="O82" s="22" t="s">
        <v>5</v>
      </c>
      <c r="P82" s="23">
        <v>30</v>
      </c>
      <c r="Q82" s="34">
        <f t="shared" si="32"/>
        <v>22.38</v>
      </c>
      <c r="R82" s="1"/>
      <c r="S82" s="39">
        <f>IF(O82="","",IF(O82="NA","",IF(O82="Mini disjuntor + DR",0.92,IF(O82="Mini disjuntor",0.92,IF(O82="Disjuntor Motor",0.92,IF(O82="Disjuntor C.M.",0.92,IF(O82="Disjuntor C.A.",0.92,IFERROR(VLOOKUP('Lista de Cargas'!P82,Motores!$B$9:$T$48,19,FALSE),"Erro"))))))))</f>
        <v>0.84</v>
      </c>
      <c r="T82" s="40">
        <f>IF(O82="","",IF(O82="NA","",IF(O82="Mini disjuntor + DR",100%,IF(O82="Mini disjuntor",100%,IF(O82="Disjuntor Motor",0.92,IF(O82="Disjuntor C.M.",100%,IF(O82="Disjuntor C.A.",100%,IFERROR(VLOOKUP('Lista de Cargas'!P82,Motores!$B$9:$T$48,16,FALSE)/100,"Erro"))))))))</f>
        <v>0.93</v>
      </c>
      <c r="U82" s="40" t="s">
        <v>445</v>
      </c>
      <c r="V82" s="39">
        <v>440</v>
      </c>
      <c r="W82" s="2">
        <f t="shared" si="40"/>
        <v>37.59105753521338</v>
      </c>
      <c r="X82" s="2">
        <f t="shared" si="33"/>
        <v>26.642857142857142</v>
      </c>
      <c r="Y82" s="2">
        <f t="shared" si="41"/>
        <v>56.386586302820071</v>
      </c>
      <c r="Z82" s="1"/>
      <c r="AA82" s="1"/>
      <c r="AB82" s="1">
        <v>100</v>
      </c>
      <c r="AC82" s="1"/>
      <c r="AD82" s="1"/>
      <c r="AE82" s="1"/>
      <c r="AF82" s="1"/>
      <c r="AG82" s="1">
        <f t="shared" si="34"/>
        <v>100</v>
      </c>
      <c r="AH82" s="1">
        <v>1</v>
      </c>
      <c r="AI82" s="1" t="s">
        <v>1057</v>
      </c>
      <c r="AJ82" s="1">
        <f t="shared" si="35"/>
        <v>100</v>
      </c>
      <c r="AK82" s="1">
        <v>0</v>
      </c>
      <c r="AL82" s="1" t="s">
        <v>118</v>
      </c>
      <c r="AM82" s="1">
        <f t="shared" si="36"/>
        <v>0</v>
      </c>
      <c r="AN82" s="1">
        <v>0</v>
      </c>
      <c r="AO82" s="1" t="s">
        <v>118</v>
      </c>
      <c r="AP82" s="1">
        <f t="shared" si="37"/>
        <v>0</v>
      </c>
      <c r="AQ82" s="1" t="s">
        <v>60</v>
      </c>
      <c r="AR82" s="1" t="str">
        <f t="shared" si="42"/>
        <v>1"</v>
      </c>
      <c r="AS82" s="1">
        <v>1</v>
      </c>
      <c r="AT82" s="1"/>
      <c r="AU82" s="1"/>
      <c r="AV82" s="17"/>
      <c r="AW82" s="2"/>
      <c r="AX82" s="2"/>
      <c r="AY82" s="2"/>
      <c r="AZ82" s="17"/>
      <c r="BA82" s="1"/>
      <c r="BB82" s="1"/>
      <c r="BC82" s="1"/>
      <c r="BD82" s="1"/>
      <c r="BE82" s="18"/>
      <c r="BF82" s="2">
        <f t="shared" si="43"/>
        <v>0</v>
      </c>
      <c r="BG82" s="6"/>
      <c r="BH82" s="6"/>
    </row>
    <row r="83" spans="1:60" ht="12.75" customHeight="1" x14ac:dyDescent="0.2">
      <c r="A83" s="19">
        <v>200</v>
      </c>
      <c r="B83" s="19" t="s">
        <v>953</v>
      </c>
      <c r="C83" s="19" t="s">
        <v>834</v>
      </c>
      <c r="D83" s="20" t="s">
        <v>676</v>
      </c>
      <c r="E83" s="20"/>
      <c r="F83" s="21"/>
      <c r="G83" s="21"/>
      <c r="H83" s="21"/>
      <c r="I83" s="21"/>
      <c r="J83" s="21"/>
      <c r="K83" s="21"/>
      <c r="L83" s="21"/>
      <c r="M83" s="21"/>
      <c r="N83" s="32" t="s">
        <v>1033</v>
      </c>
      <c r="O83" s="22" t="s">
        <v>34</v>
      </c>
      <c r="P83" s="23">
        <v>0.03</v>
      </c>
      <c r="Q83" s="34">
        <f t="shared" si="32"/>
        <v>2.2380000000000001E-2</v>
      </c>
      <c r="R83" s="1"/>
      <c r="S83" s="39">
        <v>0.84</v>
      </c>
      <c r="T83" s="40">
        <v>0.93</v>
      </c>
      <c r="U83" s="40" t="s">
        <v>444</v>
      </c>
      <c r="V83" s="1">
        <v>220</v>
      </c>
      <c r="W83" s="2">
        <f t="shared" si="40"/>
        <v>0.13021924312246891</v>
      </c>
      <c r="X83" s="2">
        <f t="shared" si="33"/>
        <v>2.6642857142857145E-2</v>
      </c>
      <c r="Y83" s="2">
        <f t="shared" si="41"/>
        <v>0.78131545873481345</v>
      </c>
      <c r="Z83" s="1"/>
      <c r="AA83" s="1"/>
      <c r="AB83" s="1">
        <v>100</v>
      </c>
      <c r="AC83" s="1"/>
      <c r="AD83" s="1"/>
      <c r="AE83" s="1"/>
      <c r="AF83" s="1"/>
      <c r="AG83" s="1">
        <f t="shared" si="34"/>
        <v>100</v>
      </c>
      <c r="AH83" s="1">
        <v>1</v>
      </c>
      <c r="AI83" s="1" t="s">
        <v>1068</v>
      </c>
      <c r="AJ83" s="1">
        <f t="shared" si="35"/>
        <v>100</v>
      </c>
      <c r="AK83" s="1">
        <v>0</v>
      </c>
      <c r="AL83" s="1" t="s">
        <v>118</v>
      </c>
      <c r="AM83" s="1">
        <f t="shared" si="36"/>
        <v>0</v>
      </c>
      <c r="AN83" s="1">
        <v>0</v>
      </c>
      <c r="AO83" s="1" t="s">
        <v>118</v>
      </c>
      <c r="AP83" s="1">
        <f t="shared" si="37"/>
        <v>0</v>
      </c>
      <c r="AQ83" s="1" t="s">
        <v>57</v>
      </c>
      <c r="AR83" s="1" t="str">
        <f t="shared" si="42"/>
        <v>3/4"</v>
      </c>
      <c r="AS83" s="1">
        <v>1</v>
      </c>
      <c r="AT83" s="1"/>
      <c r="AU83" s="1"/>
      <c r="AV83" s="17"/>
      <c r="AW83" s="2"/>
      <c r="AX83" s="2"/>
      <c r="AY83" s="2"/>
      <c r="AZ83" s="17"/>
      <c r="BA83" s="1"/>
      <c r="BB83" s="1"/>
      <c r="BC83" s="1"/>
      <c r="BD83" s="1"/>
      <c r="BE83" s="18"/>
      <c r="BF83" s="2">
        <f t="shared" si="43"/>
        <v>4.922211829761599E-3</v>
      </c>
      <c r="BG83" s="6"/>
      <c r="BH83" s="6"/>
    </row>
    <row r="84" spans="1:60" ht="12.75" customHeight="1" x14ac:dyDescent="0.2">
      <c r="A84" s="19">
        <v>200</v>
      </c>
      <c r="B84" s="19" t="s">
        <v>953</v>
      </c>
      <c r="C84" s="19" t="s">
        <v>835</v>
      </c>
      <c r="D84" s="20" t="s">
        <v>676</v>
      </c>
      <c r="E84" s="20"/>
      <c r="F84" s="21"/>
      <c r="G84" s="21"/>
      <c r="H84" s="21"/>
      <c r="I84" s="21"/>
      <c r="J84" s="21"/>
      <c r="K84" s="21"/>
      <c r="L84" s="21"/>
      <c r="M84" s="21"/>
      <c r="N84" s="32" t="s">
        <v>1033</v>
      </c>
      <c r="O84" s="22" t="s">
        <v>34</v>
      </c>
      <c r="P84" s="23">
        <v>0.03</v>
      </c>
      <c r="Q84" s="34">
        <f t="shared" si="32"/>
        <v>2.2380000000000001E-2</v>
      </c>
      <c r="R84" s="1"/>
      <c r="S84" s="39">
        <v>0.84</v>
      </c>
      <c r="T84" s="40">
        <v>0.93</v>
      </c>
      <c r="U84" s="40" t="s">
        <v>444</v>
      </c>
      <c r="V84" s="1">
        <v>220</v>
      </c>
      <c r="W84" s="2">
        <f t="shared" si="40"/>
        <v>0.13021924312246891</v>
      </c>
      <c r="X84" s="2">
        <f t="shared" si="33"/>
        <v>2.6642857142857145E-2</v>
      </c>
      <c r="Y84" s="2">
        <f t="shared" si="41"/>
        <v>0.78131545873481345</v>
      </c>
      <c r="Z84" s="1"/>
      <c r="AA84" s="1"/>
      <c r="AB84" s="1">
        <v>100</v>
      </c>
      <c r="AC84" s="1"/>
      <c r="AD84" s="1"/>
      <c r="AE84" s="1"/>
      <c r="AF84" s="1"/>
      <c r="AG84" s="1">
        <f t="shared" si="34"/>
        <v>100</v>
      </c>
      <c r="AH84" s="1">
        <v>1</v>
      </c>
      <c r="AI84" s="1" t="s">
        <v>1068</v>
      </c>
      <c r="AJ84" s="1">
        <f t="shared" si="35"/>
        <v>100</v>
      </c>
      <c r="AK84" s="1">
        <v>0</v>
      </c>
      <c r="AL84" s="1" t="s">
        <v>118</v>
      </c>
      <c r="AM84" s="1">
        <f t="shared" si="36"/>
        <v>0</v>
      </c>
      <c r="AN84" s="1">
        <v>0</v>
      </c>
      <c r="AO84" s="1" t="s">
        <v>118</v>
      </c>
      <c r="AP84" s="1">
        <f t="shared" si="37"/>
        <v>0</v>
      </c>
      <c r="AQ84" s="1" t="s">
        <v>57</v>
      </c>
      <c r="AR84" s="1" t="str">
        <f t="shared" si="42"/>
        <v>3/4"</v>
      </c>
      <c r="AS84" s="1">
        <v>1</v>
      </c>
      <c r="AT84" s="1"/>
      <c r="AU84" s="1"/>
      <c r="AV84" s="17"/>
      <c r="AW84" s="2"/>
      <c r="AX84" s="2"/>
      <c r="AY84" s="2"/>
      <c r="AZ84" s="17"/>
      <c r="BA84" s="1"/>
      <c r="BB84" s="1"/>
      <c r="BC84" s="1"/>
      <c r="BD84" s="1"/>
      <c r="BE84" s="18"/>
      <c r="BF84" s="2">
        <f t="shared" si="43"/>
        <v>4.922211829761599E-3</v>
      </c>
      <c r="BG84" s="6"/>
      <c r="BH84" s="6"/>
    </row>
    <row r="85" spans="1:60" ht="12.75" customHeight="1" x14ac:dyDescent="0.2">
      <c r="A85" s="19">
        <v>200</v>
      </c>
      <c r="B85" s="19" t="s">
        <v>953</v>
      </c>
      <c r="C85" s="19" t="s">
        <v>836</v>
      </c>
      <c r="D85" s="20" t="s">
        <v>677</v>
      </c>
      <c r="E85" s="20"/>
      <c r="F85" s="21"/>
      <c r="G85" s="21"/>
      <c r="H85" s="21"/>
      <c r="I85" s="21"/>
      <c r="J85" s="21"/>
      <c r="K85" s="21"/>
      <c r="L85" s="21"/>
      <c r="M85" s="21"/>
      <c r="N85" s="32" t="s">
        <v>1033</v>
      </c>
      <c r="O85" s="22" t="s">
        <v>34</v>
      </c>
      <c r="P85" s="23">
        <v>0.03</v>
      </c>
      <c r="Q85" s="34">
        <f t="shared" si="32"/>
        <v>2.2380000000000001E-2</v>
      </c>
      <c r="R85" s="1"/>
      <c r="S85" s="39">
        <v>0.84</v>
      </c>
      <c r="T85" s="40">
        <v>0.93</v>
      </c>
      <c r="U85" s="40" t="s">
        <v>444</v>
      </c>
      <c r="V85" s="1">
        <v>220</v>
      </c>
      <c r="W85" s="2">
        <f t="shared" si="40"/>
        <v>0.13021924312246891</v>
      </c>
      <c r="X85" s="2">
        <f t="shared" si="33"/>
        <v>2.6642857142857145E-2</v>
      </c>
      <c r="Y85" s="2">
        <f t="shared" si="41"/>
        <v>0.78131545873481345</v>
      </c>
      <c r="Z85" s="1"/>
      <c r="AA85" s="1"/>
      <c r="AB85" s="1">
        <v>100</v>
      </c>
      <c r="AC85" s="1"/>
      <c r="AD85" s="1"/>
      <c r="AE85" s="1"/>
      <c r="AF85" s="1"/>
      <c r="AG85" s="1">
        <f t="shared" si="34"/>
        <v>100</v>
      </c>
      <c r="AH85" s="1">
        <v>1</v>
      </c>
      <c r="AI85" s="1" t="s">
        <v>1068</v>
      </c>
      <c r="AJ85" s="1">
        <f t="shared" si="35"/>
        <v>100</v>
      </c>
      <c r="AK85" s="1">
        <v>0</v>
      </c>
      <c r="AL85" s="1" t="s">
        <v>118</v>
      </c>
      <c r="AM85" s="1">
        <f t="shared" si="36"/>
        <v>0</v>
      </c>
      <c r="AN85" s="1">
        <v>0</v>
      </c>
      <c r="AO85" s="1" t="s">
        <v>118</v>
      </c>
      <c r="AP85" s="1">
        <f t="shared" si="37"/>
        <v>0</v>
      </c>
      <c r="AQ85" s="1" t="s">
        <v>57</v>
      </c>
      <c r="AR85" s="1" t="str">
        <f t="shared" si="42"/>
        <v>3/4"</v>
      </c>
      <c r="AS85" s="1">
        <v>1</v>
      </c>
      <c r="AT85" s="1"/>
      <c r="AU85" s="1"/>
      <c r="AV85" s="17"/>
      <c r="AW85" s="2"/>
      <c r="AX85" s="2"/>
      <c r="AY85" s="2"/>
      <c r="AZ85" s="17"/>
      <c r="BA85" s="1"/>
      <c r="BB85" s="1"/>
      <c r="BC85" s="1"/>
      <c r="BD85" s="1"/>
      <c r="BE85" s="18"/>
      <c r="BF85" s="2">
        <f t="shared" si="43"/>
        <v>4.922211829761599E-3</v>
      </c>
      <c r="BG85" s="6"/>
      <c r="BH85" s="6"/>
    </row>
    <row r="86" spans="1:60" ht="12.75" customHeight="1" x14ac:dyDescent="0.2">
      <c r="A86" s="19">
        <v>200</v>
      </c>
      <c r="B86" s="19" t="s">
        <v>953</v>
      </c>
      <c r="C86" s="19" t="s">
        <v>837</v>
      </c>
      <c r="D86" s="20" t="s">
        <v>677</v>
      </c>
      <c r="E86" s="20"/>
      <c r="F86" s="21"/>
      <c r="G86" s="21"/>
      <c r="H86" s="21"/>
      <c r="I86" s="21"/>
      <c r="J86" s="21"/>
      <c r="K86" s="21"/>
      <c r="L86" s="21"/>
      <c r="M86" s="21"/>
      <c r="N86" s="32" t="s">
        <v>1033</v>
      </c>
      <c r="O86" s="22" t="s">
        <v>34</v>
      </c>
      <c r="P86" s="23">
        <v>0.03</v>
      </c>
      <c r="Q86" s="34">
        <f t="shared" si="32"/>
        <v>2.2380000000000001E-2</v>
      </c>
      <c r="R86" s="1"/>
      <c r="S86" s="39">
        <v>0.84</v>
      </c>
      <c r="T86" s="40">
        <v>0.93</v>
      </c>
      <c r="U86" s="40" t="s">
        <v>444</v>
      </c>
      <c r="V86" s="1">
        <v>220</v>
      </c>
      <c r="W86" s="2">
        <f t="shared" si="40"/>
        <v>0.13021924312246891</v>
      </c>
      <c r="X86" s="2">
        <f t="shared" si="33"/>
        <v>2.6642857142857145E-2</v>
      </c>
      <c r="Y86" s="2">
        <f t="shared" si="41"/>
        <v>0.78131545873481345</v>
      </c>
      <c r="Z86" s="1"/>
      <c r="AA86" s="1"/>
      <c r="AB86" s="1">
        <v>100</v>
      </c>
      <c r="AC86" s="1"/>
      <c r="AD86" s="1"/>
      <c r="AE86" s="1"/>
      <c r="AF86" s="1"/>
      <c r="AG86" s="1">
        <f t="shared" si="34"/>
        <v>100</v>
      </c>
      <c r="AH86" s="1">
        <v>1</v>
      </c>
      <c r="AI86" s="1" t="s">
        <v>1068</v>
      </c>
      <c r="AJ86" s="1">
        <f t="shared" si="35"/>
        <v>100</v>
      </c>
      <c r="AK86" s="1">
        <v>0</v>
      </c>
      <c r="AL86" s="1" t="s">
        <v>118</v>
      </c>
      <c r="AM86" s="1">
        <f t="shared" si="36"/>
        <v>0</v>
      </c>
      <c r="AN86" s="1">
        <v>0</v>
      </c>
      <c r="AO86" s="1" t="s">
        <v>118</v>
      </c>
      <c r="AP86" s="1">
        <f t="shared" si="37"/>
        <v>0</v>
      </c>
      <c r="AQ86" s="1" t="s">
        <v>57</v>
      </c>
      <c r="AR86" s="1" t="str">
        <f t="shared" si="42"/>
        <v>3/4"</v>
      </c>
      <c r="AS86" s="1">
        <v>1</v>
      </c>
      <c r="AT86" s="1"/>
      <c r="AU86" s="1"/>
      <c r="AV86" s="17"/>
      <c r="AW86" s="2"/>
      <c r="AX86" s="2"/>
      <c r="AY86" s="2"/>
      <c r="AZ86" s="17"/>
      <c r="BA86" s="1"/>
      <c r="BB86" s="1"/>
      <c r="BC86" s="1"/>
      <c r="BD86" s="1"/>
      <c r="BE86" s="18"/>
      <c r="BF86" s="2">
        <f t="shared" si="43"/>
        <v>4.922211829761599E-3</v>
      </c>
      <c r="BG86" s="6"/>
      <c r="BH86" s="6"/>
    </row>
    <row r="87" spans="1:60" ht="12.75" customHeight="1" x14ac:dyDescent="0.2">
      <c r="A87" s="19">
        <v>200</v>
      </c>
      <c r="B87" s="19" t="s">
        <v>953</v>
      </c>
      <c r="C87" s="19" t="s">
        <v>838</v>
      </c>
      <c r="D87" s="20" t="s">
        <v>678</v>
      </c>
      <c r="E87" s="20"/>
      <c r="F87" s="21"/>
      <c r="G87" s="21"/>
      <c r="H87" s="21"/>
      <c r="I87" s="21"/>
      <c r="J87" s="21"/>
      <c r="K87" s="21"/>
      <c r="L87" s="21"/>
      <c r="M87" s="21"/>
      <c r="N87" s="32" t="s">
        <v>1033</v>
      </c>
      <c r="O87" s="22" t="s">
        <v>34</v>
      </c>
      <c r="P87" s="23">
        <v>0.03</v>
      </c>
      <c r="Q87" s="34">
        <f t="shared" si="32"/>
        <v>2.2380000000000001E-2</v>
      </c>
      <c r="R87" s="1"/>
      <c r="S87" s="39">
        <v>0.84</v>
      </c>
      <c r="T87" s="40">
        <v>0.93</v>
      </c>
      <c r="U87" s="40" t="s">
        <v>444</v>
      </c>
      <c r="V87" s="1">
        <v>220</v>
      </c>
      <c r="W87" s="2">
        <f t="shared" si="40"/>
        <v>0.13021924312246891</v>
      </c>
      <c r="X87" s="2">
        <f t="shared" si="33"/>
        <v>2.6642857142857145E-2</v>
      </c>
      <c r="Y87" s="2">
        <f t="shared" si="41"/>
        <v>0.78131545873481345</v>
      </c>
      <c r="Z87" s="1"/>
      <c r="AA87" s="1"/>
      <c r="AB87" s="1">
        <v>100</v>
      </c>
      <c r="AC87" s="1"/>
      <c r="AD87" s="1"/>
      <c r="AE87" s="1"/>
      <c r="AF87" s="1"/>
      <c r="AG87" s="1">
        <f t="shared" si="34"/>
        <v>100</v>
      </c>
      <c r="AH87" s="1">
        <v>1</v>
      </c>
      <c r="AI87" s="1" t="s">
        <v>1068</v>
      </c>
      <c r="AJ87" s="1">
        <f t="shared" si="35"/>
        <v>100</v>
      </c>
      <c r="AK87" s="1">
        <v>0</v>
      </c>
      <c r="AL87" s="1" t="s">
        <v>118</v>
      </c>
      <c r="AM87" s="1">
        <f t="shared" si="36"/>
        <v>0</v>
      </c>
      <c r="AN87" s="1">
        <v>0</v>
      </c>
      <c r="AO87" s="1" t="s">
        <v>118</v>
      </c>
      <c r="AP87" s="1">
        <f t="shared" si="37"/>
        <v>0</v>
      </c>
      <c r="AQ87" s="1" t="s">
        <v>57</v>
      </c>
      <c r="AR87" s="1" t="str">
        <f t="shared" si="42"/>
        <v>3/4"</v>
      </c>
      <c r="AS87" s="1">
        <v>1</v>
      </c>
      <c r="AT87" s="1"/>
      <c r="AU87" s="1"/>
      <c r="AV87" s="17"/>
      <c r="AW87" s="2"/>
      <c r="AX87" s="2"/>
      <c r="AY87" s="2"/>
      <c r="AZ87" s="17"/>
      <c r="BA87" s="1"/>
      <c r="BB87" s="1"/>
      <c r="BC87" s="1"/>
      <c r="BD87" s="1"/>
      <c r="BE87" s="18"/>
      <c r="BF87" s="2">
        <f t="shared" si="43"/>
        <v>4.922211829761599E-3</v>
      </c>
      <c r="BG87" s="6"/>
      <c r="BH87" s="6"/>
    </row>
    <row r="88" spans="1:60" ht="12.75" customHeight="1" x14ac:dyDescent="0.2">
      <c r="A88" s="19">
        <v>200</v>
      </c>
      <c r="B88" s="19" t="s">
        <v>953</v>
      </c>
      <c r="C88" s="19" t="s">
        <v>839</v>
      </c>
      <c r="D88" s="20" t="s">
        <v>678</v>
      </c>
      <c r="E88" s="20"/>
      <c r="F88" s="21"/>
      <c r="G88" s="21"/>
      <c r="H88" s="21"/>
      <c r="I88" s="21"/>
      <c r="J88" s="21"/>
      <c r="K88" s="21"/>
      <c r="L88" s="21"/>
      <c r="M88" s="21"/>
      <c r="N88" s="32" t="s">
        <v>1033</v>
      </c>
      <c r="O88" s="22" t="s">
        <v>34</v>
      </c>
      <c r="P88" s="23">
        <v>0.03</v>
      </c>
      <c r="Q88" s="34">
        <f t="shared" si="32"/>
        <v>2.2380000000000001E-2</v>
      </c>
      <c r="R88" s="1"/>
      <c r="S88" s="39">
        <v>0.84</v>
      </c>
      <c r="T88" s="40">
        <v>0.93</v>
      </c>
      <c r="U88" s="40" t="s">
        <v>444</v>
      </c>
      <c r="V88" s="1">
        <v>220</v>
      </c>
      <c r="W88" s="2">
        <f t="shared" si="40"/>
        <v>0.13021924312246891</v>
      </c>
      <c r="X88" s="2">
        <f t="shared" si="33"/>
        <v>2.6642857142857145E-2</v>
      </c>
      <c r="Y88" s="2">
        <f t="shared" si="41"/>
        <v>0.78131545873481345</v>
      </c>
      <c r="Z88" s="1"/>
      <c r="AA88" s="1"/>
      <c r="AB88" s="1">
        <v>100</v>
      </c>
      <c r="AC88" s="1"/>
      <c r="AD88" s="1"/>
      <c r="AE88" s="1"/>
      <c r="AF88" s="1"/>
      <c r="AG88" s="1">
        <f t="shared" si="34"/>
        <v>100</v>
      </c>
      <c r="AH88" s="1">
        <v>1</v>
      </c>
      <c r="AI88" s="1" t="s">
        <v>1068</v>
      </c>
      <c r="AJ88" s="1">
        <f t="shared" si="35"/>
        <v>100</v>
      </c>
      <c r="AK88" s="1">
        <v>0</v>
      </c>
      <c r="AL88" s="1" t="s">
        <v>118</v>
      </c>
      <c r="AM88" s="1">
        <f t="shared" si="36"/>
        <v>0</v>
      </c>
      <c r="AN88" s="1">
        <v>0</v>
      </c>
      <c r="AO88" s="1" t="s">
        <v>118</v>
      </c>
      <c r="AP88" s="1">
        <f t="shared" si="37"/>
        <v>0</v>
      </c>
      <c r="AQ88" s="1" t="s">
        <v>57</v>
      </c>
      <c r="AR88" s="1" t="str">
        <f t="shared" si="42"/>
        <v>3/4"</v>
      </c>
      <c r="AS88" s="1">
        <v>1</v>
      </c>
      <c r="AT88" s="1"/>
      <c r="AU88" s="1"/>
      <c r="AV88" s="17"/>
      <c r="AW88" s="2"/>
      <c r="AX88" s="2"/>
      <c r="AY88" s="2"/>
      <c r="AZ88" s="17"/>
      <c r="BA88" s="1"/>
      <c r="BB88" s="1"/>
      <c r="BC88" s="1"/>
      <c r="BD88" s="1"/>
      <c r="BE88" s="18"/>
      <c r="BF88" s="2">
        <f t="shared" si="43"/>
        <v>4.922211829761599E-3</v>
      </c>
      <c r="BG88" s="6"/>
      <c r="BH88" s="6"/>
    </row>
    <row r="89" spans="1:60" ht="12.75" customHeight="1" x14ac:dyDescent="0.2">
      <c r="A89" s="19">
        <v>200</v>
      </c>
      <c r="B89" s="19" t="s">
        <v>953</v>
      </c>
      <c r="C89" s="19" t="s">
        <v>840</v>
      </c>
      <c r="D89" s="20" t="s">
        <v>679</v>
      </c>
      <c r="E89" s="20"/>
      <c r="F89" s="21"/>
      <c r="G89" s="21"/>
      <c r="H89" s="21"/>
      <c r="I89" s="21"/>
      <c r="J89" s="21"/>
      <c r="K89" s="21"/>
      <c r="L89" s="21"/>
      <c r="M89" s="21"/>
      <c r="N89" s="32" t="s">
        <v>1033</v>
      </c>
      <c r="O89" s="22" t="s">
        <v>34</v>
      </c>
      <c r="P89" s="23">
        <v>0.03</v>
      </c>
      <c r="Q89" s="34">
        <f t="shared" si="32"/>
        <v>2.2380000000000001E-2</v>
      </c>
      <c r="R89" s="1"/>
      <c r="S89" s="39">
        <v>0.84</v>
      </c>
      <c r="T89" s="40">
        <v>0.93</v>
      </c>
      <c r="U89" s="40" t="s">
        <v>444</v>
      </c>
      <c r="V89" s="1">
        <v>220</v>
      </c>
      <c r="W89" s="2">
        <f t="shared" si="40"/>
        <v>0.13021924312246891</v>
      </c>
      <c r="X89" s="2">
        <f t="shared" si="33"/>
        <v>2.6642857142857145E-2</v>
      </c>
      <c r="Y89" s="2">
        <f t="shared" si="41"/>
        <v>0.78131545873481345</v>
      </c>
      <c r="Z89" s="1"/>
      <c r="AA89" s="1"/>
      <c r="AB89" s="1">
        <v>100</v>
      </c>
      <c r="AC89" s="1"/>
      <c r="AD89" s="1"/>
      <c r="AE89" s="1"/>
      <c r="AF89" s="1"/>
      <c r="AG89" s="1">
        <f t="shared" si="34"/>
        <v>100</v>
      </c>
      <c r="AH89" s="1">
        <v>1</v>
      </c>
      <c r="AI89" s="1" t="s">
        <v>1068</v>
      </c>
      <c r="AJ89" s="1">
        <f t="shared" si="35"/>
        <v>100</v>
      </c>
      <c r="AK89" s="1">
        <v>0</v>
      </c>
      <c r="AL89" s="1" t="s">
        <v>118</v>
      </c>
      <c r="AM89" s="1">
        <f t="shared" si="36"/>
        <v>0</v>
      </c>
      <c r="AN89" s="1">
        <v>0</v>
      </c>
      <c r="AO89" s="1" t="s">
        <v>118</v>
      </c>
      <c r="AP89" s="1">
        <f t="shared" si="37"/>
        <v>0</v>
      </c>
      <c r="AQ89" s="1" t="s">
        <v>57</v>
      </c>
      <c r="AR89" s="1" t="str">
        <f t="shared" si="42"/>
        <v>3/4"</v>
      </c>
      <c r="AS89" s="1">
        <v>1</v>
      </c>
      <c r="AT89" s="1"/>
      <c r="AU89" s="1"/>
      <c r="AV89" s="17"/>
      <c r="AW89" s="2"/>
      <c r="AX89" s="2"/>
      <c r="AY89" s="2"/>
      <c r="AZ89" s="17"/>
      <c r="BA89" s="1"/>
      <c r="BB89" s="1"/>
      <c r="BC89" s="1"/>
      <c r="BD89" s="1"/>
      <c r="BE89" s="18"/>
      <c r="BF89" s="2">
        <f t="shared" si="43"/>
        <v>4.922211829761599E-3</v>
      </c>
      <c r="BG89" s="6"/>
      <c r="BH89" s="6"/>
    </row>
    <row r="90" spans="1:60" ht="12.75" customHeight="1" x14ac:dyDescent="0.2">
      <c r="A90" s="19">
        <v>200</v>
      </c>
      <c r="B90" s="19" t="s">
        <v>953</v>
      </c>
      <c r="C90" s="19" t="s">
        <v>841</v>
      </c>
      <c r="D90" s="20" t="s">
        <v>679</v>
      </c>
      <c r="E90" s="20"/>
      <c r="F90" s="21"/>
      <c r="G90" s="21"/>
      <c r="H90" s="21"/>
      <c r="I90" s="21"/>
      <c r="J90" s="21"/>
      <c r="K90" s="21"/>
      <c r="L90" s="21"/>
      <c r="M90" s="21"/>
      <c r="N90" s="32" t="s">
        <v>1033</v>
      </c>
      <c r="O90" s="22" t="s">
        <v>34</v>
      </c>
      <c r="P90" s="23">
        <v>0.03</v>
      </c>
      <c r="Q90" s="34">
        <f t="shared" si="32"/>
        <v>2.2380000000000001E-2</v>
      </c>
      <c r="R90" s="1"/>
      <c r="S90" s="39">
        <v>0.84</v>
      </c>
      <c r="T90" s="40">
        <v>0.93</v>
      </c>
      <c r="U90" s="40" t="s">
        <v>444</v>
      </c>
      <c r="V90" s="1">
        <v>220</v>
      </c>
      <c r="W90" s="2">
        <f t="shared" si="40"/>
        <v>0.13021924312246891</v>
      </c>
      <c r="X90" s="2">
        <f t="shared" si="33"/>
        <v>2.6642857142857145E-2</v>
      </c>
      <c r="Y90" s="2">
        <f t="shared" si="41"/>
        <v>0.78131545873481345</v>
      </c>
      <c r="Z90" s="1"/>
      <c r="AA90" s="1"/>
      <c r="AB90" s="1">
        <v>100</v>
      </c>
      <c r="AC90" s="1"/>
      <c r="AD90" s="1"/>
      <c r="AE90" s="1"/>
      <c r="AF90" s="1"/>
      <c r="AG90" s="1">
        <f t="shared" si="34"/>
        <v>100</v>
      </c>
      <c r="AH90" s="1">
        <v>1</v>
      </c>
      <c r="AI90" s="1" t="s">
        <v>1068</v>
      </c>
      <c r="AJ90" s="1">
        <f t="shared" si="35"/>
        <v>100</v>
      </c>
      <c r="AK90" s="1">
        <v>0</v>
      </c>
      <c r="AL90" s="1" t="s">
        <v>118</v>
      </c>
      <c r="AM90" s="1">
        <f t="shared" si="36"/>
        <v>0</v>
      </c>
      <c r="AN90" s="1">
        <v>0</v>
      </c>
      <c r="AO90" s="1" t="s">
        <v>118</v>
      </c>
      <c r="AP90" s="1">
        <f t="shared" si="37"/>
        <v>0</v>
      </c>
      <c r="AQ90" s="1" t="s">
        <v>57</v>
      </c>
      <c r="AR90" s="1" t="str">
        <f t="shared" si="42"/>
        <v>3/4"</v>
      </c>
      <c r="AS90" s="1">
        <v>1</v>
      </c>
      <c r="AT90" s="1"/>
      <c r="AU90" s="1"/>
      <c r="AV90" s="17"/>
      <c r="AW90" s="2"/>
      <c r="AX90" s="2"/>
      <c r="AY90" s="2"/>
      <c r="AZ90" s="17"/>
      <c r="BA90" s="1"/>
      <c r="BB90" s="1"/>
      <c r="BC90" s="1"/>
      <c r="BD90" s="1"/>
      <c r="BE90" s="18"/>
      <c r="BF90" s="2">
        <f t="shared" si="43"/>
        <v>4.922211829761599E-3</v>
      </c>
      <c r="BG90" s="6"/>
      <c r="BH90" s="6"/>
    </row>
    <row r="91" spans="1:60" ht="12.75" customHeight="1" x14ac:dyDescent="0.2">
      <c r="A91" s="19">
        <v>300</v>
      </c>
      <c r="B91" s="19" t="s">
        <v>954</v>
      </c>
      <c r="C91" s="19" t="s">
        <v>842</v>
      </c>
      <c r="D91" s="20" t="s">
        <v>680</v>
      </c>
      <c r="E91" s="20"/>
      <c r="F91" s="21"/>
      <c r="G91" s="21"/>
      <c r="H91" s="21"/>
      <c r="I91" s="21"/>
      <c r="J91" s="21"/>
      <c r="K91" s="21"/>
      <c r="L91" s="21"/>
      <c r="M91" s="21"/>
      <c r="N91" s="32" t="s">
        <v>1034</v>
      </c>
      <c r="O91" s="22" t="s">
        <v>5</v>
      </c>
      <c r="P91" s="23">
        <v>175</v>
      </c>
      <c r="Q91" s="34">
        <f t="shared" si="32"/>
        <v>130.55000000000001</v>
      </c>
      <c r="R91" s="1"/>
      <c r="S91" s="39">
        <f>IF(O91="","",IF(O91="NA","",IF(O91="Mini disjuntor + DR",0.92,IF(O91="Mini disjuntor",0.92,IF(O91="Disjuntor Motor",0.92,IF(O91="Disjuntor C.M.",0.92,IF(O91="Disjuntor C.A.",0.92,IFERROR(VLOOKUP('Lista de Cargas'!P91,Motores!$B$9:$T$48,19,FALSE),"Erro"))))))))</f>
        <v>0.85</v>
      </c>
      <c r="T91" s="40">
        <f>IF(O91="","",IF(O91="NA","",IF(O91="Mini disjuntor + DR",100%,IF(O91="Mini disjuntor",100%,IF(O91="Disjuntor Motor",0.92,IF(O91="Disjuntor C.M.",100%,IF(O91="Disjuntor C.A.",100%,IFERROR(VLOOKUP('Lista de Cargas'!P91,Motores!$B$9:$T$48,16,FALSE)/100,"Erro"))))))))</f>
        <v>0.95299999999999996</v>
      </c>
      <c r="U91" s="40" t="s">
        <v>445</v>
      </c>
      <c r="V91" s="39">
        <v>440</v>
      </c>
      <c r="W91" s="2">
        <f t="shared" si="40"/>
        <v>211.47145137703524</v>
      </c>
      <c r="X91" s="2">
        <f t="shared" si="33"/>
        <v>153.58823529411765</v>
      </c>
      <c r="Y91" s="2">
        <f t="shared" si="41"/>
        <v>317.20717706555286</v>
      </c>
      <c r="Z91" s="1"/>
      <c r="AA91" s="1"/>
      <c r="AB91" s="1">
        <v>90</v>
      </c>
      <c r="AC91" s="1"/>
      <c r="AD91" s="1"/>
      <c r="AE91" s="1"/>
      <c r="AF91" s="1"/>
      <c r="AG91" s="1">
        <f t="shared" si="34"/>
        <v>90</v>
      </c>
      <c r="AH91" s="1">
        <v>3</v>
      </c>
      <c r="AI91" s="1" t="s">
        <v>1052</v>
      </c>
      <c r="AJ91" s="1">
        <f t="shared" si="35"/>
        <v>270</v>
      </c>
      <c r="AK91" s="1">
        <v>0</v>
      </c>
      <c r="AL91" s="1" t="s">
        <v>118</v>
      </c>
      <c r="AM91" s="1">
        <f t="shared" si="36"/>
        <v>0</v>
      </c>
      <c r="AN91" s="1">
        <v>1</v>
      </c>
      <c r="AO91" s="1" t="s">
        <v>1053</v>
      </c>
      <c r="AP91" s="1">
        <f t="shared" si="37"/>
        <v>90</v>
      </c>
      <c r="AQ91" s="1" t="s">
        <v>72</v>
      </c>
      <c r="AR91" s="1" t="str">
        <f t="shared" si="42"/>
        <v>2"</v>
      </c>
      <c r="AS91" s="1">
        <v>1</v>
      </c>
      <c r="AT91" s="1"/>
      <c r="AU91" s="1"/>
      <c r="AV91" s="17"/>
      <c r="AW91" s="2"/>
      <c r="AX91" s="2"/>
      <c r="AY91" s="2"/>
      <c r="AZ91" s="17"/>
      <c r="BA91" s="1"/>
      <c r="BB91" s="1"/>
      <c r="BC91" s="1"/>
      <c r="BD91" s="1"/>
      <c r="BE91" s="18"/>
      <c r="BF91" s="2">
        <f t="shared" si="43"/>
        <v>0</v>
      </c>
      <c r="BG91" s="6"/>
      <c r="BH91" s="6"/>
    </row>
    <row r="92" spans="1:60" ht="12.75" customHeight="1" x14ac:dyDescent="0.2">
      <c r="A92" s="19">
        <v>300</v>
      </c>
      <c r="B92" s="19" t="s">
        <v>954</v>
      </c>
      <c r="C92" s="19" t="s">
        <v>843</v>
      </c>
      <c r="D92" s="20" t="s">
        <v>680</v>
      </c>
      <c r="E92" s="20"/>
      <c r="F92" s="21"/>
      <c r="G92" s="21"/>
      <c r="H92" s="21"/>
      <c r="I92" s="21"/>
      <c r="J92" s="21"/>
      <c r="K92" s="21"/>
      <c r="L92" s="21"/>
      <c r="M92" s="21"/>
      <c r="N92" s="32" t="s">
        <v>1034</v>
      </c>
      <c r="O92" s="22" t="s">
        <v>5</v>
      </c>
      <c r="P92" s="23">
        <v>175</v>
      </c>
      <c r="Q92" s="34">
        <f t="shared" si="32"/>
        <v>130.55000000000001</v>
      </c>
      <c r="R92" s="1"/>
      <c r="S92" s="39">
        <f>IF(O92="","",IF(O92="NA","",IF(O92="Mini disjuntor + DR",0.92,IF(O92="Mini disjuntor",0.92,IF(O92="Disjuntor Motor",0.92,IF(O92="Disjuntor C.M.",0.92,IF(O92="Disjuntor C.A.",0.92,IFERROR(VLOOKUP('Lista de Cargas'!P92,Motores!$B$9:$T$48,19,FALSE),"Erro"))))))))</f>
        <v>0.85</v>
      </c>
      <c r="T92" s="40">
        <f>IF(O92="","",IF(O92="NA","",IF(O92="Mini disjuntor + DR",100%,IF(O92="Mini disjuntor",100%,IF(O92="Disjuntor Motor",0.92,IF(O92="Disjuntor C.M.",100%,IF(O92="Disjuntor C.A.",100%,IFERROR(VLOOKUP('Lista de Cargas'!P92,Motores!$B$9:$T$48,16,FALSE)/100,"Erro"))))))))</f>
        <v>0.95299999999999996</v>
      </c>
      <c r="U92" s="40" t="s">
        <v>445</v>
      </c>
      <c r="V92" s="39">
        <v>440</v>
      </c>
      <c r="W92" s="2">
        <f t="shared" si="40"/>
        <v>211.47145137703524</v>
      </c>
      <c r="X92" s="2">
        <f t="shared" si="33"/>
        <v>153.58823529411765</v>
      </c>
      <c r="Y92" s="2">
        <f t="shared" si="41"/>
        <v>317.20717706555286</v>
      </c>
      <c r="Z92" s="1"/>
      <c r="AA92" s="1"/>
      <c r="AB92" s="1">
        <v>90</v>
      </c>
      <c r="AC92" s="1"/>
      <c r="AD92" s="1"/>
      <c r="AE92" s="1"/>
      <c r="AF92" s="1"/>
      <c r="AG92" s="1">
        <f t="shared" si="34"/>
        <v>90</v>
      </c>
      <c r="AH92" s="1">
        <v>3</v>
      </c>
      <c r="AI92" s="1" t="s">
        <v>1052</v>
      </c>
      <c r="AJ92" s="1">
        <f t="shared" si="35"/>
        <v>270</v>
      </c>
      <c r="AK92" s="1">
        <v>0</v>
      </c>
      <c r="AL92" s="1" t="s">
        <v>118</v>
      </c>
      <c r="AM92" s="1">
        <f t="shared" si="36"/>
        <v>0</v>
      </c>
      <c r="AN92" s="1">
        <v>1</v>
      </c>
      <c r="AO92" s="1" t="s">
        <v>1053</v>
      </c>
      <c r="AP92" s="1">
        <f t="shared" si="37"/>
        <v>90</v>
      </c>
      <c r="AQ92" s="1" t="s">
        <v>72</v>
      </c>
      <c r="AR92" s="1" t="str">
        <f t="shared" si="42"/>
        <v>2"</v>
      </c>
      <c r="AS92" s="1">
        <v>1</v>
      </c>
      <c r="AT92" s="1"/>
      <c r="AU92" s="1"/>
      <c r="AV92" s="17"/>
      <c r="AW92" s="2"/>
      <c r="AX92" s="2"/>
      <c r="AY92" s="2"/>
      <c r="AZ92" s="17"/>
      <c r="BA92" s="1"/>
      <c r="BB92" s="1"/>
      <c r="BC92" s="1"/>
      <c r="BD92" s="1"/>
      <c r="BE92" s="18"/>
      <c r="BF92" s="2">
        <f t="shared" si="43"/>
        <v>0</v>
      </c>
      <c r="BG92" s="6"/>
      <c r="BH92" s="6"/>
    </row>
    <row r="93" spans="1:60" ht="12.75" customHeight="1" x14ac:dyDescent="0.2">
      <c r="A93" s="19">
        <v>300</v>
      </c>
      <c r="B93" s="19" t="s">
        <v>954</v>
      </c>
      <c r="C93" s="19" t="s">
        <v>844</v>
      </c>
      <c r="D93" s="20" t="s">
        <v>680</v>
      </c>
      <c r="E93" s="20"/>
      <c r="F93" s="21"/>
      <c r="G93" s="21"/>
      <c r="H93" s="21"/>
      <c r="I93" s="21"/>
      <c r="J93" s="21"/>
      <c r="K93" s="21"/>
      <c r="L93" s="21"/>
      <c r="M93" s="21"/>
      <c r="N93" s="32" t="s">
        <v>1034</v>
      </c>
      <c r="O93" s="22" t="s">
        <v>5</v>
      </c>
      <c r="P93" s="23">
        <v>175</v>
      </c>
      <c r="Q93" s="34">
        <f t="shared" si="32"/>
        <v>130.55000000000001</v>
      </c>
      <c r="R93" s="1"/>
      <c r="S93" s="39">
        <f>IF(O93="","",IF(O93="NA","",IF(O93="Mini disjuntor + DR",0.92,IF(O93="Mini disjuntor",0.92,IF(O93="Disjuntor Motor",0.92,IF(O93="Disjuntor C.M.",0.92,IF(O93="Disjuntor C.A.",0.92,IFERROR(VLOOKUP('Lista de Cargas'!P93,Motores!$B$9:$T$48,19,FALSE),"Erro"))))))))</f>
        <v>0.85</v>
      </c>
      <c r="T93" s="40">
        <f>IF(O93="","",IF(O93="NA","",IF(O93="Mini disjuntor + DR",100%,IF(O93="Mini disjuntor",100%,IF(O93="Disjuntor Motor",0.92,IF(O93="Disjuntor C.M.",100%,IF(O93="Disjuntor C.A.",100%,IFERROR(VLOOKUP('Lista de Cargas'!P93,Motores!$B$9:$T$48,16,FALSE)/100,"Erro"))))))))</f>
        <v>0.95299999999999996</v>
      </c>
      <c r="U93" s="40" t="s">
        <v>445</v>
      </c>
      <c r="V93" s="39">
        <v>440</v>
      </c>
      <c r="W93" s="2">
        <f t="shared" si="40"/>
        <v>211.47145137703524</v>
      </c>
      <c r="X93" s="2">
        <f t="shared" si="33"/>
        <v>153.58823529411765</v>
      </c>
      <c r="Y93" s="2">
        <f t="shared" si="41"/>
        <v>317.20717706555286</v>
      </c>
      <c r="Z93" s="1"/>
      <c r="AA93" s="1"/>
      <c r="AB93" s="1">
        <v>90</v>
      </c>
      <c r="AC93" s="1"/>
      <c r="AD93" s="1"/>
      <c r="AE93" s="1"/>
      <c r="AF93" s="1"/>
      <c r="AG93" s="1">
        <f t="shared" si="34"/>
        <v>90</v>
      </c>
      <c r="AH93" s="1">
        <v>3</v>
      </c>
      <c r="AI93" s="1" t="s">
        <v>1052</v>
      </c>
      <c r="AJ93" s="1">
        <f t="shared" si="35"/>
        <v>270</v>
      </c>
      <c r="AK93" s="1">
        <v>0</v>
      </c>
      <c r="AL93" s="1" t="s">
        <v>118</v>
      </c>
      <c r="AM93" s="1">
        <f t="shared" si="36"/>
        <v>0</v>
      </c>
      <c r="AN93" s="1">
        <v>1</v>
      </c>
      <c r="AO93" s="1" t="s">
        <v>1053</v>
      </c>
      <c r="AP93" s="1">
        <f t="shared" si="37"/>
        <v>90</v>
      </c>
      <c r="AQ93" s="1" t="s">
        <v>72</v>
      </c>
      <c r="AR93" s="1" t="str">
        <f t="shared" si="42"/>
        <v>2"</v>
      </c>
      <c r="AS93" s="1">
        <v>1</v>
      </c>
      <c r="AT93" s="1"/>
      <c r="AU93" s="1"/>
      <c r="AV93" s="17"/>
      <c r="AW93" s="2"/>
      <c r="AX93" s="2"/>
      <c r="AY93" s="2"/>
      <c r="AZ93" s="17"/>
      <c r="BA93" s="1"/>
      <c r="BB93" s="1"/>
      <c r="BC93" s="1"/>
      <c r="BD93" s="1"/>
      <c r="BE93" s="18"/>
      <c r="BF93" s="2">
        <f t="shared" si="43"/>
        <v>0</v>
      </c>
      <c r="BG93" s="6"/>
      <c r="BH93" s="6"/>
    </row>
    <row r="94" spans="1:60" ht="12.75" customHeight="1" x14ac:dyDescent="0.2">
      <c r="A94" s="19">
        <v>300</v>
      </c>
      <c r="B94" s="19" t="s">
        <v>954</v>
      </c>
      <c r="C94" s="19" t="s">
        <v>845</v>
      </c>
      <c r="D94" s="20" t="s">
        <v>680</v>
      </c>
      <c r="E94" s="20"/>
      <c r="F94" s="21"/>
      <c r="G94" s="21"/>
      <c r="H94" s="21"/>
      <c r="I94" s="21"/>
      <c r="J94" s="21"/>
      <c r="K94" s="21"/>
      <c r="L94" s="21"/>
      <c r="M94" s="21"/>
      <c r="N94" s="32" t="s">
        <v>1034</v>
      </c>
      <c r="O94" s="22" t="s">
        <v>5</v>
      </c>
      <c r="P94" s="23">
        <v>175</v>
      </c>
      <c r="Q94" s="34">
        <f t="shared" si="32"/>
        <v>130.55000000000001</v>
      </c>
      <c r="R94" s="1"/>
      <c r="S94" s="39">
        <f>IF(O94="","",IF(O94="NA","",IF(O94="Mini disjuntor + DR",0.92,IF(O94="Mini disjuntor",0.92,IF(O94="Disjuntor Motor",0.92,IF(O94="Disjuntor C.M.",0.92,IF(O94="Disjuntor C.A.",0.92,IFERROR(VLOOKUP('Lista de Cargas'!P94,Motores!$B$9:$T$48,19,FALSE),"Erro"))))))))</f>
        <v>0.85</v>
      </c>
      <c r="T94" s="40">
        <f>IF(O94="","",IF(O94="NA","",IF(O94="Mini disjuntor + DR",100%,IF(O94="Mini disjuntor",100%,IF(O94="Disjuntor Motor",0.92,IF(O94="Disjuntor C.M.",100%,IF(O94="Disjuntor C.A.",100%,IFERROR(VLOOKUP('Lista de Cargas'!P94,Motores!$B$9:$T$48,16,FALSE)/100,"Erro"))))))))</f>
        <v>0.95299999999999996</v>
      </c>
      <c r="U94" s="40" t="s">
        <v>445</v>
      </c>
      <c r="V94" s="39">
        <v>440</v>
      </c>
      <c r="W94" s="2">
        <f t="shared" si="40"/>
        <v>211.47145137703524</v>
      </c>
      <c r="X94" s="2">
        <f t="shared" si="33"/>
        <v>153.58823529411765</v>
      </c>
      <c r="Y94" s="2">
        <f t="shared" si="41"/>
        <v>317.20717706555286</v>
      </c>
      <c r="Z94" s="1"/>
      <c r="AA94" s="1"/>
      <c r="AB94" s="1">
        <v>90</v>
      </c>
      <c r="AC94" s="1"/>
      <c r="AD94" s="1"/>
      <c r="AE94" s="1"/>
      <c r="AF94" s="1"/>
      <c r="AG94" s="1">
        <f t="shared" si="34"/>
        <v>90</v>
      </c>
      <c r="AH94" s="1">
        <v>3</v>
      </c>
      <c r="AI94" s="1" t="s">
        <v>1052</v>
      </c>
      <c r="AJ94" s="1">
        <f t="shared" si="35"/>
        <v>270</v>
      </c>
      <c r="AK94" s="1">
        <v>0</v>
      </c>
      <c r="AL94" s="1" t="s">
        <v>118</v>
      </c>
      <c r="AM94" s="1">
        <f t="shared" si="36"/>
        <v>0</v>
      </c>
      <c r="AN94" s="1">
        <v>1</v>
      </c>
      <c r="AO94" s="1" t="s">
        <v>1053</v>
      </c>
      <c r="AP94" s="1">
        <f t="shared" si="37"/>
        <v>90</v>
      </c>
      <c r="AQ94" s="1" t="s">
        <v>72</v>
      </c>
      <c r="AR94" s="1" t="str">
        <f t="shared" si="42"/>
        <v>2"</v>
      </c>
      <c r="AS94" s="1">
        <v>1</v>
      </c>
      <c r="AT94" s="1"/>
      <c r="AU94" s="1"/>
      <c r="AV94" s="17"/>
      <c r="AW94" s="2"/>
      <c r="AX94" s="2"/>
      <c r="AY94" s="2"/>
      <c r="AZ94" s="17"/>
      <c r="BA94" s="1"/>
      <c r="BB94" s="1"/>
      <c r="BC94" s="1"/>
      <c r="BD94" s="1"/>
      <c r="BE94" s="18"/>
      <c r="BF94" s="2">
        <f t="shared" si="43"/>
        <v>0</v>
      </c>
      <c r="BG94" s="6"/>
      <c r="BH94" s="6"/>
    </row>
    <row r="95" spans="1:60" ht="12.75" customHeight="1" x14ac:dyDescent="0.2">
      <c r="A95" s="19">
        <v>300</v>
      </c>
      <c r="B95" s="19" t="s">
        <v>954</v>
      </c>
      <c r="C95" s="19" t="s">
        <v>846</v>
      </c>
      <c r="D95" s="20" t="s">
        <v>680</v>
      </c>
      <c r="E95" s="20"/>
      <c r="F95" s="21"/>
      <c r="G95" s="21"/>
      <c r="H95" s="21"/>
      <c r="I95" s="21"/>
      <c r="J95" s="21"/>
      <c r="K95" s="21"/>
      <c r="L95" s="21"/>
      <c r="M95" s="21"/>
      <c r="N95" s="32" t="s">
        <v>1034</v>
      </c>
      <c r="O95" s="22" t="s">
        <v>5</v>
      </c>
      <c r="P95" s="23">
        <v>175</v>
      </c>
      <c r="Q95" s="34">
        <f t="shared" si="32"/>
        <v>130.55000000000001</v>
      </c>
      <c r="R95" s="1"/>
      <c r="S95" s="39">
        <f>IF(O95="","",IF(O95="NA","",IF(O95="Mini disjuntor + DR",0.92,IF(O95="Mini disjuntor",0.92,IF(O95="Disjuntor Motor",0.92,IF(O95="Disjuntor C.M.",0.92,IF(O95="Disjuntor C.A.",0.92,IFERROR(VLOOKUP('Lista de Cargas'!P95,Motores!$B$9:$T$48,19,FALSE),"Erro"))))))))</f>
        <v>0.85</v>
      </c>
      <c r="T95" s="40">
        <f>IF(O95="","",IF(O95="NA","",IF(O95="Mini disjuntor + DR",100%,IF(O95="Mini disjuntor",100%,IF(O95="Disjuntor Motor",0.92,IF(O95="Disjuntor C.M.",100%,IF(O95="Disjuntor C.A.",100%,IFERROR(VLOOKUP('Lista de Cargas'!P95,Motores!$B$9:$T$48,16,FALSE)/100,"Erro"))))))))</f>
        <v>0.95299999999999996</v>
      </c>
      <c r="U95" s="40" t="s">
        <v>445</v>
      </c>
      <c r="V95" s="39">
        <v>440</v>
      </c>
      <c r="W95" s="2">
        <f t="shared" si="40"/>
        <v>211.47145137703524</v>
      </c>
      <c r="X95" s="2">
        <f t="shared" si="33"/>
        <v>153.58823529411765</v>
      </c>
      <c r="Y95" s="2">
        <f t="shared" si="41"/>
        <v>317.20717706555286</v>
      </c>
      <c r="Z95" s="1"/>
      <c r="AA95" s="1"/>
      <c r="AB95" s="1">
        <v>90</v>
      </c>
      <c r="AC95" s="1"/>
      <c r="AD95" s="1"/>
      <c r="AE95" s="1"/>
      <c r="AF95" s="1"/>
      <c r="AG95" s="1">
        <f t="shared" si="34"/>
        <v>90</v>
      </c>
      <c r="AH95" s="1">
        <v>3</v>
      </c>
      <c r="AI95" s="1" t="s">
        <v>1052</v>
      </c>
      <c r="AJ95" s="1">
        <f t="shared" si="35"/>
        <v>270</v>
      </c>
      <c r="AK95" s="1">
        <v>0</v>
      </c>
      <c r="AL95" s="1" t="s">
        <v>118</v>
      </c>
      <c r="AM95" s="1">
        <f t="shared" si="36"/>
        <v>0</v>
      </c>
      <c r="AN95" s="1">
        <v>1</v>
      </c>
      <c r="AO95" s="1" t="s">
        <v>1053</v>
      </c>
      <c r="AP95" s="1">
        <f t="shared" si="37"/>
        <v>90</v>
      </c>
      <c r="AQ95" s="1" t="s">
        <v>72</v>
      </c>
      <c r="AR95" s="1" t="str">
        <f t="shared" si="42"/>
        <v>2"</v>
      </c>
      <c r="AS95" s="1">
        <v>1</v>
      </c>
      <c r="AT95" s="1"/>
      <c r="AU95" s="1"/>
      <c r="AV95" s="17"/>
      <c r="AW95" s="2"/>
      <c r="AX95" s="2"/>
      <c r="AY95" s="2"/>
      <c r="AZ95" s="17"/>
      <c r="BA95" s="1"/>
      <c r="BB95" s="1"/>
      <c r="BC95" s="1"/>
      <c r="BD95" s="1"/>
      <c r="BE95" s="18"/>
      <c r="BF95" s="2">
        <f t="shared" si="43"/>
        <v>0</v>
      </c>
      <c r="BG95" s="6"/>
      <c r="BH95" s="6"/>
    </row>
    <row r="96" spans="1:60" ht="12.75" customHeight="1" x14ac:dyDescent="0.2">
      <c r="A96" s="19">
        <v>300</v>
      </c>
      <c r="B96" s="19" t="s">
        <v>954</v>
      </c>
      <c r="C96" s="19" t="s">
        <v>847</v>
      </c>
      <c r="D96" s="20" t="s">
        <v>680</v>
      </c>
      <c r="E96" s="20"/>
      <c r="F96" s="21"/>
      <c r="G96" s="21"/>
      <c r="H96" s="21"/>
      <c r="I96" s="21"/>
      <c r="J96" s="21"/>
      <c r="K96" s="21"/>
      <c r="L96" s="21"/>
      <c r="M96" s="21"/>
      <c r="N96" s="32" t="s">
        <v>1034</v>
      </c>
      <c r="O96" s="22" t="s">
        <v>5</v>
      </c>
      <c r="P96" s="23">
        <v>175</v>
      </c>
      <c r="Q96" s="34">
        <f t="shared" si="32"/>
        <v>130.55000000000001</v>
      </c>
      <c r="R96" s="1"/>
      <c r="S96" s="39">
        <f>IF(O96="","",IF(O96="NA","",IF(O96="Mini disjuntor + DR",0.92,IF(O96="Mini disjuntor",0.92,IF(O96="Disjuntor Motor",0.92,IF(O96="Disjuntor C.M.",0.92,IF(O96="Disjuntor C.A.",0.92,IFERROR(VLOOKUP('Lista de Cargas'!P96,Motores!$B$9:$T$48,19,FALSE),"Erro"))))))))</f>
        <v>0.85</v>
      </c>
      <c r="T96" s="40">
        <f>IF(O96="","",IF(O96="NA","",IF(O96="Mini disjuntor + DR",100%,IF(O96="Mini disjuntor",100%,IF(O96="Disjuntor Motor",0.92,IF(O96="Disjuntor C.M.",100%,IF(O96="Disjuntor C.A.",100%,IFERROR(VLOOKUP('Lista de Cargas'!P96,Motores!$B$9:$T$48,16,FALSE)/100,"Erro"))))))))</f>
        <v>0.95299999999999996</v>
      </c>
      <c r="U96" s="40" t="s">
        <v>445</v>
      </c>
      <c r="V96" s="39">
        <v>440</v>
      </c>
      <c r="W96" s="2">
        <f t="shared" si="40"/>
        <v>211.47145137703524</v>
      </c>
      <c r="X96" s="2">
        <f t="shared" si="33"/>
        <v>153.58823529411765</v>
      </c>
      <c r="Y96" s="2">
        <f t="shared" si="41"/>
        <v>317.20717706555286</v>
      </c>
      <c r="Z96" s="1"/>
      <c r="AA96" s="1"/>
      <c r="AB96" s="1">
        <v>90</v>
      </c>
      <c r="AC96" s="1"/>
      <c r="AD96" s="1"/>
      <c r="AE96" s="1"/>
      <c r="AF96" s="1"/>
      <c r="AG96" s="1">
        <f t="shared" si="34"/>
        <v>90</v>
      </c>
      <c r="AH96" s="1">
        <v>3</v>
      </c>
      <c r="AI96" s="1" t="s">
        <v>1052</v>
      </c>
      <c r="AJ96" s="1">
        <f t="shared" si="35"/>
        <v>270</v>
      </c>
      <c r="AK96" s="1">
        <v>0</v>
      </c>
      <c r="AL96" s="1" t="s">
        <v>118</v>
      </c>
      <c r="AM96" s="1">
        <f t="shared" si="36"/>
        <v>0</v>
      </c>
      <c r="AN96" s="1">
        <v>1</v>
      </c>
      <c r="AO96" s="1" t="s">
        <v>1053</v>
      </c>
      <c r="AP96" s="1">
        <f t="shared" si="37"/>
        <v>90</v>
      </c>
      <c r="AQ96" s="1" t="s">
        <v>72</v>
      </c>
      <c r="AR96" s="1" t="str">
        <f t="shared" si="42"/>
        <v>2"</v>
      </c>
      <c r="AS96" s="1">
        <v>1</v>
      </c>
      <c r="AT96" s="1"/>
      <c r="AU96" s="1"/>
      <c r="AV96" s="17"/>
      <c r="AW96" s="2"/>
      <c r="AX96" s="2"/>
      <c r="AY96" s="2"/>
      <c r="AZ96" s="17"/>
      <c r="BA96" s="1"/>
      <c r="BB96" s="1"/>
      <c r="BC96" s="1"/>
      <c r="BD96" s="1"/>
      <c r="BE96" s="18"/>
      <c r="BF96" s="2">
        <f t="shared" si="43"/>
        <v>0</v>
      </c>
      <c r="BG96" s="6"/>
      <c r="BH96" s="6"/>
    </row>
    <row r="97" spans="1:60" ht="12.75" customHeight="1" x14ac:dyDescent="0.2">
      <c r="A97" s="19">
        <v>300</v>
      </c>
      <c r="B97" s="19" t="s">
        <v>954</v>
      </c>
      <c r="C97" s="19" t="s">
        <v>848</v>
      </c>
      <c r="D97" s="20" t="s">
        <v>680</v>
      </c>
      <c r="E97" s="20"/>
      <c r="F97" s="21"/>
      <c r="G97" s="21"/>
      <c r="H97" s="21"/>
      <c r="I97" s="21"/>
      <c r="J97" s="21"/>
      <c r="K97" s="21"/>
      <c r="L97" s="21"/>
      <c r="M97" s="21"/>
      <c r="N97" s="32" t="s">
        <v>1034</v>
      </c>
      <c r="O97" s="22" t="s">
        <v>5</v>
      </c>
      <c r="P97" s="23">
        <v>175</v>
      </c>
      <c r="Q97" s="34">
        <f t="shared" si="32"/>
        <v>130.55000000000001</v>
      </c>
      <c r="R97" s="1"/>
      <c r="S97" s="39">
        <f>IF(O97="","",IF(O97="NA","",IF(O97="Mini disjuntor + DR",0.92,IF(O97="Mini disjuntor",0.92,IF(O97="Disjuntor Motor",0.92,IF(O97="Disjuntor C.M.",0.92,IF(O97="Disjuntor C.A.",0.92,IFERROR(VLOOKUP('Lista de Cargas'!P97,Motores!$B$9:$T$48,19,FALSE),"Erro"))))))))</f>
        <v>0.85</v>
      </c>
      <c r="T97" s="40">
        <f>IF(O97="","",IF(O97="NA","",IF(O97="Mini disjuntor + DR",100%,IF(O97="Mini disjuntor",100%,IF(O97="Disjuntor Motor",0.92,IF(O97="Disjuntor C.M.",100%,IF(O97="Disjuntor C.A.",100%,IFERROR(VLOOKUP('Lista de Cargas'!P97,Motores!$B$9:$T$48,16,FALSE)/100,"Erro"))))))))</f>
        <v>0.95299999999999996</v>
      </c>
      <c r="U97" s="40" t="s">
        <v>445</v>
      </c>
      <c r="V97" s="39">
        <v>440</v>
      </c>
      <c r="W97" s="2">
        <f t="shared" si="40"/>
        <v>211.47145137703524</v>
      </c>
      <c r="X97" s="2">
        <f t="shared" si="33"/>
        <v>153.58823529411765</v>
      </c>
      <c r="Y97" s="2">
        <f t="shared" si="41"/>
        <v>317.20717706555286</v>
      </c>
      <c r="Z97" s="1"/>
      <c r="AA97" s="1"/>
      <c r="AB97" s="1">
        <v>90</v>
      </c>
      <c r="AC97" s="1"/>
      <c r="AD97" s="1"/>
      <c r="AE97" s="1"/>
      <c r="AF97" s="1"/>
      <c r="AG97" s="1">
        <f t="shared" si="34"/>
        <v>90</v>
      </c>
      <c r="AH97" s="1">
        <v>3</v>
      </c>
      <c r="AI97" s="1" t="s">
        <v>1052</v>
      </c>
      <c r="AJ97" s="1">
        <f t="shared" si="35"/>
        <v>270</v>
      </c>
      <c r="AK97" s="1">
        <v>0</v>
      </c>
      <c r="AL97" s="1" t="s">
        <v>118</v>
      </c>
      <c r="AM97" s="1">
        <f t="shared" si="36"/>
        <v>0</v>
      </c>
      <c r="AN97" s="1">
        <v>1</v>
      </c>
      <c r="AO97" s="1" t="s">
        <v>1053</v>
      </c>
      <c r="AP97" s="1">
        <f t="shared" si="37"/>
        <v>90</v>
      </c>
      <c r="AQ97" s="1" t="s">
        <v>72</v>
      </c>
      <c r="AR97" s="1" t="str">
        <f t="shared" si="42"/>
        <v>2"</v>
      </c>
      <c r="AS97" s="1">
        <v>1</v>
      </c>
      <c r="AT97" s="1"/>
      <c r="AU97" s="1"/>
      <c r="AV97" s="17"/>
      <c r="AW97" s="2"/>
      <c r="AX97" s="2"/>
      <c r="AY97" s="2"/>
      <c r="AZ97" s="17"/>
      <c r="BA97" s="1"/>
      <c r="BB97" s="1"/>
      <c r="BC97" s="1"/>
      <c r="BD97" s="1"/>
      <c r="BE97" s="18"/>
      <c r="BF97" s="2">
        <f t="shared" si="43"/>
        <v>0</v>
      </c>
      <c r="BG97" s="6"/>
      <c r="BH97" s="6"/>
    </row>
    <row r="98" spans="1:60" ht="12.75" customHeight="1" x14ac:dyDescent="0.2">
      <c r="A98" s="19">
        <v>300</v>
      </c>
      <c r="B98" s="19" t="s">
        <v>954</v>
      </c>
      <c r="C98" s="19" t="s">
        <v>849</v>
      </c>
      <c r="D98" s="20" t="s">
        <v>680</v>
      </c>
      <c r="E98" s="20"/>
      <c r="F98" s="21"/>
      <c r="G98" s="21"/>
      <c r="H98" s="21"/>
      <c r="I98" s="21"/>
      <c r="J98" s="21"/>
      <c r="K98" s="21"/>
      <c r="L98" s="21"/>
      <c r="M98" s="21"/>
      <c r="N98" s="32" t="s">
        <v>1034</v>
      </c>
      <c r="O98" s="22" t="s">
        <v>5</v>
      </c>
      <c r="P98" s="23">
        <v>175</v>
      </c>
      <c r="Q98" s="34">
        <f t="shared" si="32"/>
        <v>130.55000000000001</v>
      </c>
      <c r="R98" s="1"/>
      <c r="S98" s="39">
        <f>IF(O98="","",IF(O98="NA","",IF(O98="Mini disjuntor + DR",0.92,IF(O98="Mini disjuntor",0.92,IF(O98="Disjuntor Motor",0.92,IF(O98="Disjuntor C.M.",0.92,IF(O98="Disjuntor C.A.",0.92,IFERROR(VLOOKUP('Lista de Cargas'!P98,Motores!$B$9:$T$48,19,FALSE),"Erro"))))))))</f>
        <v>0.85</v>
      </c>
      <c r="T98" s="40">
        <f>IF(O98="","",IF(O98="NA","",IF(O98="Mini disjuntor + DR",100%,IF(O98="Mini disjuntor",100%,IF(O98="Disjuntor Motor",0.92,IF(O98="Disjuntor C.M.",100%,IF(O98="Disjuntor C.A.",100%,IFERROR(VLOOKUP('Lista de Cargas'!P98,Motores!$B$9:$T$48,16,FALSE)/100,"Erro"))))))))</f>
        <v>0.95299999999999996</v>
      </c>
      <c r="U98" s="40" t="s">
        <v>445</v>
      </c>
      <c r="V98" s="39">
        <v>440</v>
      </c>
      <c r="W98" s="2">
        <f t="shared" ref="W98:W129" si="44">IFERROR(IF(U98=$U$344,(P98*746)/(SQRT(3)*S98*T98*V98),(P98*746)/(S98*T98*V98)),0)</f>
        <v>211.47145137703524</v>
      </c>
      <c r="X98" s="2">
        <f t="shared" si="33"/>
        <v>153.58823529411765</v>
      </c>
      <c r="Y98" s="2">
        <f t="shared" ref="Y98:Y129" si="45">IFERROR(IF(O98=$O$344,6*W98,IF(O98=$O$345,6*W98,IF(O98=$O$346,3*W98,IF(O98=$O$347,1.5*W98,W98)))),0)</f>
        <v>317.20717706555286</v>
      </c>
      <c r="Z98" s="1"/>
      <c r="AA98" s="1"/>
      <c r="AB98" s="1">
        <v>90</v>
      </c>
      <c r="AC98" s="1"/>
      <c r="AD98" s="1"/>
      <c r="AE98" s="1"/>
      <c r="AF98" s="1"/>
      <c r="AG98" s="1">
        <f t="shared" si="34"/>
        <v>90</v>
      </c>
      <c r="AH98" s="1">
        <v>3</v>
      </c>
      <c r="AI98" s="1" t="s">
        <v>1052</v>
      </c>
      <c r="AJ98" s="1">
        <f t="shared" si="35"/>
        <v>270</v>
      </c>
      <c r="AK98" s="1">
        <v>0</v>
      </c>
      <c r="AL98" s="1" t="s">
        <v>118</v>
      </c>
      <c r="AM98" s="1">
        <f t="shared" si="36"/>
        <v>0</v>
      </c>
      <c r="AN98" s="1">
        <v>1</v>
      </c>
      <c r="AO98" s="1" t="s">
        <v>1053</v>
      </c>
      <c r="AP98" s="1">
        <f t="shared" si="37"/>
        <v>90</v>
      </c>
      <c r="AQ98" s="1" t="s">
        <v>72</v>
      </c>
      <c r="AR98" s="1" t="str">
        <f t="shared" si="42"/>
        <v>2"</v>
      </c>
      <c r="AS98" s="1">
        <v>1</v>
      </c>
      <c r="AT98" s="1"/>
      <c r="AU98" s="1"/>
      <c r="AV98" s="17"/>
      <c r="AW98" s="2"/>
      <c r="AX98" s="2"/>
      <c r="AY98" s="2"/>
      <c r="AZ98" s="17"/>
      <c r="BA98" s="1"/>
      <c r="BB98" s="1"/>
      <c r="BC98" s="1"/>
      <c r="BD98" s="1"/>
      <c r="BE98" s="18"/>
      <c r="BF98" s="2">
        <f t="shared" si="43"/>
        <v>0</v>
      </c>
      <c r="BG98" s="6"/>
      <c r="BH98" s="6"/>
    </row>
    <row r="99" spans="1:60" ht="12.75" customHeight="1" x14ac:dyDescent="0.2">
      <c r="A99" s="19">
        <v>300</v>
      </c>
      <c r="B99" s="19" t="s">
        <v>954</v>
      </c>
      <c r="C99" s="19" t="s">
        <v>850</v>
      </c>
      <c r="D99" s="20" t="s">
        <v>681</v>
      </c>
      <c r="E99" s="20"/>
      <c r="F99" s="21"/>
      <c r="G99" s="21"/>
      <c r="H99" s="21"/>
      <c r="I99" s="21"/>
      <c r="J99" s="21"/>
      <c r="K99" s="21"/>
      <c r="L99" s="21"/>
      <c r="M99" s="21"/>
      <c r="N99" s="32" t="s">
        <v>1034</v>
      </c>
      <c r="O99" s="22" t="s">
        <v>35</v>
      </c>
      <c r="P99" s="23">
        <v>40</v>
      </c>
      <c r="Q99" s="34">
        <f t="shared" si="32"/>
        <v>29.84</v>
      </c>
      <c r="R99" s="1"/>
      <c r="S99" s="39">
        <f>IF(O99="","",IF(O99="NA","",IF(O99="Mini disjuntor + DR",0.92,IF(O99="Mini disjuntor",0.92,IF(O99="Disjuntor Motor",0.92,IF(O99="Disjuntor C.M.",0.92,IF(O99="Disjuntor C.A.",0.92,IFERROR(VLOOKUP('Lista de Cargas'!P99,Motores!$B$9:$T$48,19,FALSE),"Erro"))))))))</f>
        <v>0.85</v>
      </c>
      <c r="T99" s="40">
        <f>IF(O99="","",IF(O99="NA","",IF(O99="Mini disjuntor + DR",100%,IF(O99="Mini disjuntor",100%,IF(O99="Disjuntor Motor",0.92,IF(O99="Disjuntor C.M.",100%,IF(O99="Disjuntor C.A.",100%,IFERROR(VLOOKUP('Lista de Cargas'!P99,Motores!$B$9:$T$48,16,FALSE)/100,"Erro"))))))))</f>
        <v>0.93400000000000005</v>
      </c>
      <c r="U99" s="40" t="s">
        <v>445</v>
      </c>
      <c r="V99" s="39">
        <v>440</v>
      </c>
      <c r="W99" s="2">
        <f t="shared" si="44"/>
        <v>49.319619005766796</v>
      </c>
      <c r="X99" s="2">
        <f t="shared" si="33"/>
        <v>35.10588235294118</v>
      </c>
      <c r="Y99" s="2">
        <f t="shared" si="45"/>
        <v>147.95885701730037</v>
      </c>
      <c r="Z99" s="1"/>
      <c r="AA99" s="1"/>
      <c r="AB99" s="1">
        <v>90</v>
      </c>
      <c r="AC99" s="1"/>
      <c r="AD99" s="1"/>
      <c r="AE99" s="1"/>
      <c r="AF99" s="1"/>
      <c r="AG99" s="1">
        <f t="shared" si="34"/>
        <v>90</v>
      </c>
      <c r="AH99" s="1">
        <v>1</v>
      </c>
      <c r="AI99" s="1" t="s">
        <v>1057</v>
      </c>
      <c r="AJ99" s="1">
        <f t="shared" si="35"/>
        <v>90</v>
      </c>
      <c r="AK99" s="1">
        <v>0</v>
      </c>
      <c r="AL99" s="1" t="s">
        <v>118</v>
      </c>
      <c r="AM99" s="1">
        <f t="shared" si="36"/>
        <v>0</v>
      </c>
      <c r="AN99" s="1">
        <v>0</v>
      </c>
      <c r="AO99" s="1" t="s">
        <v>118</v>
      </c>
      <c r="AP99" s="1">
        <f t="shared" si="37"/>
        <v>0</v>
      </c>
      <c r="AQ99" s="1" t="s">
        <v>60</v>
      </c>
      <c r="AR99" s="1" t="str">
        <f t="shared" si="42"/>
        <v>1"</v>
      </c>
      <c r="AS99" s="1">
        <v>1</v>
      </c>
      <c r="AT99" s="1"/>
      <c r="AU99" s="1"/>
      <c r="AV99" s="17"/>
      <c r="AW99" s="2"/>
      <c r="AX99" s="2"/>
      <c r="AY99" s="2"/>
      <c r="AZ99" s="17"/>
      <c r="BA99" s="1"/>
      <c r="BB99" s="1"/>
      <c r="BC99" s="1"/>
      <c r="BD99" s="1"/>
      <c r="BE99" s="18"/>
      <c r="BF99" s="2">
        <f t="shared" si="43"/>
        <v>5.7813842884442348</v>
      </c>
      <c r="BG99" s="6"/>
      <c r="BH99" s="6"/>
    </row>
    <row r="100" spans="1:60" ht="12.75" customHeight="1" x14ac:dyDescent="0.2">
      <c r="A100" s="19">
        <v>300</v>
      </c>
      <c r="B100" s="19" t="s">
        <v>954</v>
      </c>
      <c r="C100" s="19" t="s">
        <v>851</v>
      </c>
      <c r="D100" s="20" t="s">
        <v>681</v>
      </c>
      <c r="E100" s="20"/>
      <c r="F100" s="21"/>
      <c r="G100" s="21"/>
      <c r="H100" s="21"/>
      <c r="I100" s="21"/>
      <c r="J100" s="21"/>
      <c r="K100" s="21"/>
      <c r="L100" s="21"/>
      <c r="M100" s="21"/>
      <c r="N100" s="32" t="s">
        <v>1034</v>
      </c>
      <c r="O100" s="22" t="s">
        <v>35</v>
      </c>
      <c r="P100" s="23">
        <v>40</v>
      </c>
      <c r="Q100" s="34">
        <f t="shared" si="32"/>
        <v>29.84</v>
      </c>
      <c r="R100" s="1"/>
      <c r="S100" s="39">
        <f>IF(O100="","",IF(O100="NA","",IF(O100="Mini disjuntor + DR",0.92,IF(O100="Mini disjuntor",0.92,IF(O100="Disjuntor Motor",0.92,IF(O100="Disjuntor C.M.",0.92,IF(O100="Disjuntor C.A.",0.92,IFERROR(VLOOKUP('Lista de Cargas'!P100,Motores!$B$9:$T$48,19,FALSE),"Erro"))))))))</f>
        <v>0.85</v>
      </c>
      <c r="T100" s="40">
        <f>IF(O100="","",IF(O100="NA","",IF(O100="Mini disjuntor + DR",100%,IF(O100="Mini disjuntor",100%,IF(O100="Disjuntor Motor",0.92,IF(O100="Disjuntor C.M.",100%,IF(O100="Disjuntor C.A.",100%,IFERROR(VLOOKUP('Lista de Cargas'!P100,Motores!$B$9:$T$48,16,FALSE)/100,"Erro"))))))))</f>
        <v>0.93400000000000005</v>
      </c>
      <c r="U100" s="40" t="s">
        <v>445</v>
      </c>
      <c r="V100" s="39">
        <v>440</v>
      </c>
      <c r="W100" s="2">
        <f t="shared" si="44"/>
        <v>49.319619005766796</v>
      </c>
      <c r="X100" s="2">
        <f t="shared" si="33"/>
        <v>35.10588235294118</v>
      </c>
      <c r="Y100" s="2">
        <f t="shared" si="45"/>
        <v>147.95885701730037</v>
      </c>
      <c r="Z100" s="1"/>
      <c r="AA100" s="1"/>
      <c r="AB100" s="1">
        <v>90</v>
      </c>
      <c r="AC100" s="1"/>
      <c r="AD100" s="1"/>
      <c r="AE100" s="1"/>
      <c r="AF100" s="1"/>
      <c r="AG100" s="1">
        <f t="shared" si="34"/>
        <v>90</v>
      </c>
      <c r="AH100" s="1">
        <v>1</v>
      </c>
      <c r="AI100" s="1" t="s">
        <v>1057</v>
      </c>
      <c r="AJ100" s="1">
        <f t="shared" si="35"/>
        <v>90</v>
      </c>
      <c r="AK100" s="1">
        <v>0</v>
      </c>
      <c r="AL100" s="1" t="s">
        <v>118</v>
      </c>
      <c r="AM100" s="1">
        <f t="shared" si="36"/>
        <v>0</v>
      </c>
      <c r="AN100" s="1">
        <v>0</v>
      </c>
      <c r="AO100" s="1" t="s">
        <v>118</v>
      </c>
      <c r="AP100" s="1">
        <f t="shared" si="37"/>
        <v>0</v>
      </c>
      <c r="AQ100" s="1" t="s">
        <v>60</v>
      </c>
      <c r="AR100" s="1" t="str">
        <f t="shared" si="42"/>
        <v>1"</v>
      </c>
      <c r="AS100" s="1">
        <v>1</v>
      </c>
      <c r="AT100" s="1"/>
      <c r="AU100" s="1"/>
      <c r="AV100" s="17"/>
      <c r="AW100" s="2"/>
      <c r="AX100" s="2"/>
      <c r="AY100" s="2"/>
      <c r="AZ100" s="17"/>
      <c r="BA100" s="1"/>
      <c r="BB100" s="1"/>
      <c r="BC100" s="1"/>
      <c r="BD100" s="1"/>
      <c r="BE100" s="18"/>
      <c r="BF100" s="2">
        <f t="shared" si="43"/>
        <v>5.7813842884442348</v>
      </c>
      <c r="BG100" s="6"/>
      <c r="BH100" s="6"/>
    </row>
    <row r="101" spans="1:60" ht="12.75" customHeight="1" x14ac:dyDescent="0.2">
      <c r="A101" s="19">
        <v>300</v>
      </c>
      <c r="B101" s="19" t="s">
        <v>954</v>
      </c>
      <c r="C101" s="19" t="s">
        <v>852</v>
      </c>
      <c r="D101" s="20" t="s">
        <v>681</v>
      </c>
      <c r="E101" s="20"/>
      <c r="F101" s="21"/>
      <c r="G101" s="21"/>
      <c r="H101" s="21"/>
      <c r="I101" s="21"/>
      <c r="J101" s="21"/>
      <c r="K101" s="21"/>
      <c r="L101" s="21"/>
      <c r="M101" s="21"/>
      <c r="N101" s="32" t="s">
        <v>1034</v>
      </c>
      <c r="O101" s="22" t="s">
        <v>35</v>
      </c>
      <c r="P101" s="23">
        <v>40</v>
      </c>
      <c r="Q101" s="34">
        <f t="shared" si="32"/>
        <v>29.84</v>
      </c>
      <c r="R101" s="1"/>
      <c r="S101" s="39">
        <f>IF(O101="","",IF(O101="NA","",IF(O101="Mini disjuntor + DR",0.92,IF(O101="Mini disjuntor",0.92,IF(O101="Disjuntor Motor",0.92,IF(O101="Disjuntor C.M.",0.92,IF(O101="Disjuntor C.A.",0.92,IFERROR(VLOOKUP('Lista de Cargas'!P101,Motores!$B$9:$T$48,19,FALSE),"Erro"))))))))</f>
        <v>0.85</v>
      </c>
      <c r="T101" s="40">
        <f>IF(O101="","",IF(O101="NA","",IF(O101="Mini disjuntor + DR",100%,IF(O101="Mini disjuntor",100%,IF(O101="Disjuntor Motor",0.92,IF(O101="Disjuntor C.M.",100%,IF(O101="Disjuntor C.A.",100%,IFERROR(VLOOKUP('Lista de Cargas'!P101,Motores!$B$9:$T$48,16,FALSE)/100,"Erro"))))))))</f>
        <v>0.93400000000000005</v>
      </c>
      <c r="U101" s="40" t="s">
        <v>445</v>
      </c>
      <c r="V101" s="39">
        <v>440</v>
      </c>
      <c r="W101" s="2">
        <f t="shared" si="44"/>
        <v>49.319619005766796</v>
      </c>
      <c r="X101" s="2">
        <f t="shared" si="33"/>
        <v>35.10588235294118</v>
      </c>
      <c r="Y101" s="2">
        <f t="shared" si="45"/>
        <v>147.95885701730037</v>
      </c>
      <c r="Z101" s="1"/>
      <c r="AA101" s="1"/>
      <c r="AB101" s="1">
        <v>90</v>
      </c>
      <c r="AC101" s="1"/>
      <c r="AD101" s="1"/>
      <c r="AE101" s="1"/>
      <c r="AF101" s="1"/>
      <c r="AG101" s="1">
        <f t="shared" si="34"/>
        <v>90</v>
      </c>
      <c r="AH101" s="1">
        <v>1</v>
      </c>
      <c r="AI101" s="1" t="s">
        <v>1057</v>
      </c>
      <c r="AJ101" s="1">
        <f t="shared" si="35"/>
        <v>90</v>
      </c>
      <c r="AK101" s="1">
        <v>0</v>
      </c>
      <c r="AL101" s="1" t="s">
        <v>118</v>
      </c>
      <c r="AM101" s="1">
        <f t="shared" si="36"/>
        <v>0</v>
      </c>
      <c r="AN101" s="1">
        <v>0</v>
      </c>
      <c r="AO101" s="1" t="s">
        <v>118</v>
      </c>
      <c r="AP101" s="1">
        <f t="shared" si="37"/>
        <v>0</v>
      </c>
      <c r="AQ101" s="1" t="s">
        <v>60</v>
      </c>
      <c r="AR101" s="1" t="str">
        <f t="shared" si="42"/>
        <v>1"</v>
      </c>
      <c r="AS101" s="1">
        <v>1</v>
      </c>
      <c r="AT101" s="1"/>
      <c r="AU101" s="1"/>
      <c r="AV101" s="17"/>
      <c r="AW101" s="2"/>
      <c r="AX101" s="2"/>
      <c r="AY101" s="2"/>
      <c r="AZ101" s="17"/>
      <c r="BA101" s="1"/>
      <c r="BB101" s="1"/>
      <c r="BC101" s="1"/>
      <c r="BD101" s="1"/>
      <c r="BE101" s="18"/>
      <c r="BF101" s="2">
        <f t="shared" si="43"/>
        <v>5.7813842884442348</v>
      </c>
      <c r="BG101" s="6"/>
      <c r="BH101" s="6"/>
    </row>
    <row r="102" spans="1:60" ht="12.75" customHeight="1" x14ac:dyDescent="0.2">
      <c r="A102" s="19">
        <v>300</v>
      </c>
      <c r="B102" s="19" t="s">
        <v>954</v>
      </c>
      <c r="C102" s="19" t="s">
        <v>853</v>
      </c>
      <c r="D102" s="20" t="s">
        <v>682</v>
      </c>
      <c r="E102" s="20"/>
      <c r="F102" s="21"/>
      <c r="G102" s="21"/>
      <c r="H102" s="21"/>
      <c r="I102" s="21"/>
      <c r="J102" s="21"/>
      <c r="K102" s="21"/>
      <c r="L102" s="21"/>
      <c r="M102" s="21"/>
      <c r="N102" s="32" t="s">
        <v>1035</v>
      </c>
      <c r="O102" s="22" t="s">
        <v>5</v>
      </c>
      <c r="P102" s="23">
        <v>50</v>
      </c>
      <c r="Q102" s="34">
        <f t="shared" si="32"/>
        <v>37.299999999999997</v>
      </c>
      <c r="R102" s="1"/>
      <c r="S102" s="39">
        <f>IF(O102="","",IF(O102="NA","",IF(O102="Mini disjuntor + DR",0.92,IF(O102="Mini disjuntor",0.92,IF(O102="Disjuntor Motor",0.92,IF(O102="Disjuntor C.M.",0.92,IF(O102="Disjuntor C.A.",0.92,IFERROR(VLOOKUP('Lista de Cargas'!P102,Motores!$B$9:$T$48,19,FALSE),"Erro"))))))))</f>
        <v>0.85</v>
      </c>
      <c r="T102" s="40">
        <f>IF(O102="","",IF(O102="NA","",IF(O102="Mini disjuntor + DR",100%,IF(O102="Mini disjuntor",100%,IF(O102="Disjuntor Motor",0.92,IF(O102="Disjuntor C.M.",100%,IF(O102="Disjuntor C.A.",100%,IFERROR(VLOOKUP('Lista de Cargas'!P102,Motores!$B$9:$T$48,16,FALSE)/100,"Erro"))))))))</f>
        <v>0.93599999999999994</v>
      </c>
      <c r="U102" s="40" t="s">
        <v>445</v>
      </c>
      <c r="V102" s="39">
        <v>440</v>
      </c>
      <c r="W102" s="2">
        <f t="shared" si="44"/>
        <v>61.517794005590531</v>
      </c>
      <c r="X102" s="2">
        <f t="shared" si="33"/>
        <v>43.882352941176471</v>
      </c>
      <c r="Y102" s="2">
        <f t="shared" si="45"/>
        <v>92.276691008385797</v>
      </c>
      <c r="Z102" s="1"/>
      <c r="AA102" s="1"/>
      <c r="AB102" s="1">
        <v>110</v>
      </c>
      <c r="AC102" s="1"/>
      <c r="AD102" s="1"/>
      <c r="AE102" s="1"/>
      <c r="AF102" s="1"/>
      <c r="AG102" s="1">
        <f t="shared" si="34"/>
        <v>110</v>
      </c>
      <c r="AH102" s="1">
        <v>1</v>
      </c>
      <c r="AI102" s="1" t="s">
        <v>1067</v>
      </c>
      <c r="AJ102" s="1">
        <f t="shared" si="35"/>
        <v>110</v>
      </c>
      <c r="AK102" s="1">
        <v>0</v>
      </c>
      <c r="AL102" s="1" t="s">
        <v>118</v>
      </c>
      <c r="AM102" s="1">
        <f t="shared" si="36"/>
        <v>0</v>
      </c>
      <c r="AN102" s="1">
        <v>0</v>
      </c>
      <c r="AO102" s="1" t="s">
        <v>118</v>
      </c>
      <c r="AP102" s="1">
        <f t="shared" si="37"/>
        <v>0</v>
      </c>
      <c r="AQ102" s="1" t="s">
        <v>71</v>
      </c>
      <c r="AR102" s="1" t="str">
        <f t="shared" si="42"/>
        <v>1.1/2"</v>
      </c>
      <c r="AS102" s="1">
        <v>1</v>
      </c>
      <c r="AT102" s="1"/>
      <c r="AU102" s="1"/>
      <c r="AV102" s="17"/>
      <c r="AW102" s="2"/>
      <c r="AX102" s="2"/>
      <c r="AY102" s="2"/>
      <c r="AZ102" s="17"/>
      <c r="BA102" s="1"/>
      <c r="BB102" s="1"/>
      <c r="BC102" s="1"/>
      <c r="BD102" s="1"/>
      <c r="BE102" s="18"/>
      <c r="BF102" s="2">
        <f t="shared" si="43"/>
        <v>0</v>
      </c>
      <c r="BG102" s="6"/>
      <c r="BH102" s="6"/>
    </row>
    <row r="103" spans="1:60" ht="12.75" customHeight="1" x14ac:dyDescent="0.2">
      <c r="A103" s="19">
        <v>300</v>
      </c>
      <c r="B103" s="19" t="s">
        <v>954</v>
      </c>
      <c r="C103" s="19" t="s">
        <v>854</v>
      </c>
      <c r="D103" s="20" t="s">
        <v>682</v>
      </c>
      <c r="E103" s="20"/>
      <c r="F103" s="21"/>
      <c r="G103" s="21"/>
      <c r="H103" s="21"/>
      <c r="I103" s="21"/>
      <c r="J103" s="21"/>
      <c r="K103" s="21"/>
      <c r="L103" s="21"/>
      <c r="M103" s="21"/>
      <c r="N103" s="32" t="s">
        <v>1035</v>
      </c>
      <c r="O103" s="22" t="s">
        <v>5</v>
      </c>
      <c r="P103" s="23">
        <v>50</v>
      </c>
      <c r="Q103" s="34">
        <f t="shared" si="32"/>
        <v>37.299999999999997</v>
      </c>
      <c r="R103" s="1"/>
      <c r="S103" s="39">
        <f>IF(O103="","",IF(O103="NA","",IF(O103="Mini disjuntor + DR",0.92,IF(O103="Mini disjuntor",0.92,IF(O103="Disjuntor Motor",0.92,IF(O103="Disjuntor C.M.",0.92,IF(O103="Disjuntor C.A.",0.92,IFERROR(VLOOKUP('Lista de Cargas'!P103,Motores!$B$9:$T$48,19,FALSE),"Erro"))))))))</f>
        <v>0.85</v>
      </c>
      <c r="T103" s="40">
        <f>IF(O103="","",IF(O103="NA","",IF(O103="Mini disjuntor + DR",100%,IF(O103="Mini disjuntor",100%,IF(O103="Disjuntor Motor",0.92,IF(O103="Disjuntor C.M.",100%,IF(O103="Disjuntor C.A.",100%,IFERROR(VLOOKUP('Lista de Cargas'!P103,Motores!$B$9:$T$48,16,FALSE)/100,"Erro"))))))))</f>
        <v>0.93599999999999994</v>
      </c>
      <c r="U103" s="40" t="s">
        <v>445</v>
      </c>
      <c r="V103" s="39">
        <v>440</v>
      </c>
      <c r="W103" s="2">
        <f t="shared" si="44"/>
        <v>61.517794005590531</v>
      </c>
      <c r="X103" s="2">
        <f t="shared" si="33"/>
        <v>43.882352941176471</v>
      </c>
      <c r="Y103" s="2">
        <f t="shared" si="45"/>
        <v>92.276691008385797</v>
      </c>
      <c r="Z103" s="1"/>
      <c r="AA103" s="1"/>
      <c r="AB103" s="1">
        <v>110</v>
      </c>
      <c r="AC103" s="1"/>
      <c r="AD103" s="1"/>
      <c r="AE103" s="1"/>
      <c r="AF103" s="1"/>
      <c r="AG103" s="1">
        <f t="shared" si="34"/>
        <v>110</v>
      </c>
      <c r="AH103" s="1">
        <v>1</v>
      </c>
      <c r="AI103" s="1" t="s">
        <v>1067</v>
      </c>
      <c r="AJ103" s="1">
        <f t="shared" si="35"/>
        <v>110</v>
      </c>
      <c r="AK103" s="1">
        <v>0</v>
      </c>
      <c r="AL103" s="1" t="s">
        <v>118</v>
      </c>
      <c r="AM103" s="1">
        <f t="shared" si="36"/>
        <v>0</v>
      </c>
      <c r="AN103" s="1">
        <v>0</v>
      </c>
      <c r="AO103" s="1" t="s">
        <v>118</v>
      </c>
      <c r="AP103" s="1">
        <f t="shared" si="37"/>
        <v>0</v>
      </c>
      <c r="AQ103" s="1" t="s">
        <v>71</v>
      </c>
      <c r="AR103" s="1" t="str">
        <f t="shared" si="42"/>
        <v>1.1/2"</v>
      </c>
      <c r="AS103" s="1">
        <v>1</v>
      </c>
      <c r="AT103" s="1"/>
      <c r="AU103" s="1"/>
      <c r="AV103" s="17"/>
      <c r="AW103" s="2"/>
      <c r="AX103" s="2"/>
      <c r="AY103" s="2"/>
      <c r="AZ103" s="17"/>
      <c r="BA103" s="1"/>
      <c r="BB103" s="1"/>
      <c r="BC103" s="1"/>
      <c r="BD103" s="1"/>
      <c r="BE103" s="18"/>
      <c r="BF103" s="2">
        <f t="shared" si="43"/>
        <v>0</v>
      </c>
      <c r="BG103" s="6"/>
      <c r="BH103" s="6"/>
    </row>
    <row r="104" spans="1:60" ht="12.75" customHeight="1" x14ac:dyDescent="0.2">
      <c r="A104" s="19">
        <v>300</v>
      </c>
      <c r="B104" s="19" t="s">
        <v>954</v>
      </c>
      <c r="C104" s="19" t="s">
        <v>855</v>
      </c>
      <c r="D104" s="20" t="s">
        <v>682</v>
      </c>
      <c r="E104" s="20"/>
      <c r="F104" s="21"/>
      <c r="G104" s="21"/>
      <c r="H104" s="21"/>
      <c r="I104" s="21"/>
      <c r="J104" s="21"/>
      <c r="K104" s="21"/>
      <c r="L104" s="21"/>
      <c r="M104" s="21"/>
      <c r="N104" s="32" t="s">
        <v>1035</v>
      </c>
      <c r="O104" s="22" t="s">
        <v>5</v>
      </c>
      <c r="P104" s="23">
        <v>50</v>
      </c>
      <c r="Q104" s="34">
        <f t="shared" si="32"/>
        <v>37.299999999999997</v>
      </c>
      <c r="R104" s="1"/>
      <c r="S104" s="39">
        <f>IF(O104="","",IF(O104="NA","",IF(O104="Mini disjuntor + DR",0.92,IF(O104="Mini disjuntor",0.92,IF(O104="Disjuntor Motor",0.92,IF(O104="Disjuntor C.M.",0.92,IF(O104="Disjuntor C.A.",0.92,IFERROR(VLOOKUP('Lista de Cargas'!P104,Motores!$B$9:$T$48,19,FALSE),"Erro"))))))))</f>
        <v>0.85</v>
      </c>
      <c r="T104" s="40">
        <f>IF(O104="","",IF(O104="NA","",IF(O104="Mini disjuntor + DR",100%,IF(O104="Mini disjuntor",100%,IF(O104="Disjuntor Motor",0.92,IF(O104="Disjuntor C.M.",100%,IF(O104="Disjuntor C.A.",100%,IFERROR(VLOOKUP('Lista de Cargas'!P104,Motores!$B$9:$T$48,16,FALSE)/100,"Erro"))))))))</f>
        <v>0.93599999999999994</v>
      </c>
      <c r="U104" s="40" t="s">
        <v>445</v>
      </c>
      <c r="V104" s="39">
        <v>440</v>
      </c>
      <c r="W104" s="2">
        <f t="shared" si="44"/>
        <v>61.517794005590531</v>
      </c>
      <c r="X104" s="2">
        <f t="shared" si="33"/>
        <v>43.882352941176471</v>
      </c>
      <c r="Y104" s="2">
        <f t="shared" si="45"/>
        <v>92.276691008385797</v>
      </c>
      <c r="Z104" s="1"/>
      <c r="AA104" s="1"/>
      <c r="AB104" s="1">
        <v>110</v>
      </c>
      <c r="AC104" s="1"/>
      <c r="AD104" s="1"/>
      <c r="AE104" s="1"/>
      <c r="AF104" s="1"/>
      <c r="AG104" s="1">
        <f t="shared" si="34"/>
        <v>110</v>
      </c>
      <c r="AH104" s="1">
        <v>1</v>
      </c>
      <c r="AI104" s="1" t="s">
        <v>1067</v>
      </c>
      <c r="AJ104" s="1">
        <f t="shared" si="35"/>
        <v>110</v>
      </c>
      <c r="AK104" s="1">
        <v>0</v>
      </c>
      <c r="AL104" s="1" t="s">
        <v>118</v>
      </c>
      <c r="AM104" s="1">
        <f t="shared" si="36"/>
        <v>0</v>
      </c>
      <c r="AN104" s="1">
        <v>0</v>
      </c>
      <c r="AO104" s="1" t="s">
        <v>118</v>
      </c>
      <c r="AP104" s="1">
        <f t="shared" si="37"/>
        <v>0</v>
      </c>
      <c r="AQ104" s="1" t="s">
        <v>71</v>
      </c>
      <c r="AR104" s="1" t="str">
        <f t="shared" si="42"/>
        <v>1.1/2"</v>
      </c>
      <c r="AS104" s="1">
        <v>1</v>
      </c>
      <c r="AT104" s="1"/>
      <c r="AU104" s="1"/>
      <c r="AV104" s="17"/>
      <c r="AW104" s="2"/>
      <c r="AX104" s="2"/>
      <c r="AY104" s="2"/>
      <c r="AZ104" s="17"/>
      <c r="BA104" s="1"/>
      <c r="BB104" s="1"/>
      <c r="BC104" s="1"/>
      <c r="BD104" s="1"/>
      <c r="BE104" s="18"/>
      <c r="BF104" s="2">
        <f t="shared" si="43"/>
        <v>0</v>
      </c>
      <c r="BG104" s="6"/>
      <c r="BH104" s="6"/>
    </row>
    <row r="105" spans="1:60" ht="12.75" customHeight="1" x14ac:dyDescent="0.2">
      <c r="A105" s="19">
        <v>300</v>
      </c>
      <c r="B105" s="19" t="s">
        <v>954</v>
      </c>
      <c r="C105" s="19" t="s">
        <v>856</v>
      </c>
      <c r="D105" s="20" t="s">
        <v>683</v>
      </c>
      <c r="E105" s="20"/>
      <c r="F105" s="21"/>
      <c r="G105" s="21"/>
      <c r="H105" s="21"/>
      <c r="I105" s="21"/>
      <c r="J105" s="21"/>
      <c r="K105" s="21"/>
      <c r="L105" s="21"/>
      <c r="M105" s="21"/>
      <c r="N105" s="32" t="s">
        <v>1035</v>
      </c>
      <c r="O105" s="22" t="s">
        <v>5</v>
      </c>
      <c r="P105" s="23">
        <v>50</v>
      </c>
      <c r="Q105" s="34">
        <f t="shared" si="32"/>
        <v>37.299999999999997</v>
      </c>
      <c r="R105" s="1"/>
      <c r="S105" s="39">
        <f>IF(O105="","",IF(O105="NA","",IF(O105="Mini disjuntor + DR",0.92,IF(O105="Mini disjuntor",0.92,IF(O105="Disjuntor Motor",0.92,IF(O105="Disjuntor C.M.",0.92,IF(O105="Disjuntor C.A.",0.92,IFERROR(VLOOKUP('Lista de Cargas'!P105,Motores!$B$9:$T$48,19,FALSE),"Erro"))))))))</f>
        <v>0.85</v>
      </c>
      <c r="T105" s="40">
        <f>IF(O105="","",IF(O105="NA","",IF(O105="Mini disjuntor + DR",100%,IF(O105="Mini disjuntor",100%,IF(O105="Disjuntor Motor",0.92,IF(O105="Disjuntor C.M.",100%,IF(O105="Disjuntor C.A.",100%,IFERROR(VLOOKUP('Lista de Cargas'!P105,Motores!$B$9:$T$48,16,FALSE)/100,"Erro"))))))))</f>
        <v>0.93599999999999994</v>
      </c>
      <c r="U105" s="40" t="s">
        <v>445</v>
      </c>
      <c r="V105" s="39">
        <v>440</v>
      </c>
      <c r="W105" s="2">
        <f t="shared" si="44"/>
        <v>61.517794005590531</v>
      </c>
      <c r="X105" s="2">
        <f t="shared" si="33"/>
        <v>43.882352941176471</v>
      </c>
      <c r="Y105" s="2">
        <f t="shared" si="45"/>
        <v>92.276691008385797</v>
      </c>
      <c r="Z105" s="1"/>
      <c r="AA105" s="1"/>
      <c r="AB105" s="1">
        <v>110</v>
      </c>
      <c r="AC105" s="1"/>
      <c r="AD105" s="1"/>
      <c r="AE105" s="1"/>
      <c r="AF105" s="1"/>
      <c r="AG105" s="1">
        <f t="shared" si="34"/>
        <v>110</v>
      </c>
      <c r="AH105" s="1">
        <v>1</v>
      </c>
      <c r="AI105" s="1" t="s">
        <v>1067</v>
      </c>
      <c r="AJ105" s="1">
        <f t="shared" si="35"/>
        <v>110</v>
      </c>
      <c r="AK105" s="1">
        <v>0</v>
      </c>
      <c r="AL105" s="1" t="s">
        <v>118</v>
      </c>
      <c r="AM105" s="1">
        <f t="shared" si="36"/>
        <v>0</v>
      </c>
      <c r="AN105" s="1">
        <v>0</v>
      </c>
      <c r="AO105" s="1" t="s">
        <v>118</v>
      </c>
      <c r="AP105" s="1">
        <f t="shared" si="37"/>
        <v>0</v>
      </c>
      <c r="AQ105" s="1" t="s">
        <v>71</v>
      </c>
      <c r="AR105" s="1" t="str">
        <f t="shared" si="42"/>
        <v>1.1/2"</v>
      </c>
      <c r="AS105" s="1">
        <v>1</v>
      </c>
      <c r="AT105" s="1"/>
      <c r="AU105" s="1"/>
      <c r="AV105" s="17"/>
      <c r="AW105" s="2"/>
      <c r="AX105" s="2"/>
      <c r="AY105" s="2"/>
      <c r="AZ105" s="17"/>
      <c r="BA105" s="1"/>
      <c r="BB105" s="1"/>
      <c r="BC105" s="1"/>
      <c r="BD105" s="1"/>
      <c r="BE105" s="18"/>
      <c r="BF105" s="2">
        <f t="shared" si="43"/>
        <v>0</v>
      </c>
      <c r="BG105" s="6"/>
      <c r="BH105" s="6"/>
    </row>
    <row r="106" spans="1:60" ht="12.75" customHeight="1" x14ac:dyDescent="0.2">
      <c r="A106" s="19">
        <v>300</v>
      </c>
      <c r="B106" s="19" t="s">
        <v>954</v>
      </c>
      <c r="C106" s="19" t="s">
        <v>857</v>
      </c>
      <c r="D106" s="20" t="s">
        <v>683</v>
      </c>
      <c r="E106" s="20"/>
      <c r="F106" s="21"/>
      <c r="G106" s="21"/>
      <c r="H106" s="21"/>
      <c r="I106" s="21"/>
      <c r="J106" s="21"/>
      <c r="K106" s="21"/>
      <c r="L106" s="21"/>
      <c r="M106" s="21"/>
      <c r="N106" s="32" t="s">
        <v>1035</v>
      </c>
      <c r="O106" s="22" t="s">
        <v>5</v>
      </c>
      <c r="P106" s="23">
        <v>50</v>
      </c>
      <c r="Q106" s="34">
        <f t="shared" si="32"/>
        <v>37.299999999999997</v>
      </c>
      <c r="R106" s="1"/>
      <c r="S106" s="39">
        <f>IF(O106="","",IF(O106="NA","",IF(O106="Mini disjuntor + DR",0.92,IF(O106="Mini disjuntor",0.92,IF(O106="Disjuntor Motor",0.92,IF(O106="Disjuntor C.M.",0.92,IF(O106="Disjuntor C.A.",0.92,IFERROR(VLOOKUP('Lista de Cargas'!P106,Motores!$B$9:$T$48,19,FALSE),"Erro"))))))))</f>
        <v>0.85</v>
      </c>
      <c r="T106" s="40">
        <f>IF(O106="","",IF(O106="NA","",IF(O106="Mini disjuntor + DR",100%,IF(O106="Mini disjuntor",100%,IF(O106="Disjuntor Motor",0.92,IF(O106="Disjuntor C.M.",100%,IF(O106="Disjuntor C.A.",100%,IFERROR(VLOOKUP('Lista de Cargas'!P106,Motores!$B$9:$T$48,16,FALSE)/100,"Erro"))))))))</f>
        <v>0.93599999999999994</v>
      </c>
      <c r="U106" s="40" t="s">
        <v>445</v>
      </c>
      <c r="V106" s="39">
        <v>440</v>
      </c>
      <c r="W106" s="2">
        <f t="shared" si="44"/>
        <v>61.517794005590531</v>
      </c>
      <c r="X106" s="2">
        <f t="shared" si="33"/>
        <v>43.882352941176471</v>
      </c>
      <c r="Y106" s="2">
        <f t="shared" si="45"/>
        <v>92.276691008385797</v>
      </c>
      <c r="Z106" s="1"/>
      <c r="AA106" s="1"/>
      <c r="AB106" s="1">
        <v>110</v>
      </c>
      <c r="AC106" s="1"/>
      <c r="AD106" s="1"/>
      <c r="AE106" s="1"/>
      <c r="AF106" s="1"/>
      <c r="AG106" s="1">
        <f t="shared" si="34"/>
        <v>110</v>
      </c>
      <c r="AH106" s="1">
        <v>1</v>
      </c>
      <c r="AI106" s="1" t="s">
        <v>1067</v>
      </c>
      <c r="AJ106" s="1">
        <f t="shared" si="35"/>
        <v>110</v>
      </c>
      <c r="AK106" s="1">
        <v>0</v>
      </c>
      <c r="AL106" s="1" t="s">
        <v>118</v>
      </c>
      <c r="AM106" s="1">
        <f t="shared" si="36"/>
        <v>0</v>
      </c>
      <c r="AN106" s="1">
        <v>0</v>
      </c>
      <c r="AO106" s="1" t="s">
        <v>118</v>
      </c>
      <c r="AP106" s="1">
        <f t="shared" si="37"/>
        <v>0</v>
      </c>
      <c r="AQ106" s="1" t="s">
        <v>71</v>
      </c>
      <c r="AR106" s="1" t="str">
        <f t="shared" si="42"/>
        <v>1.1/2"</v>
      </c>
      <c r="AS106" s="1">
        <v>1</v>
      </c>
      <c r="AT106" s="1"/>
      <c r="AU106" s="1"/>
      <c r="AV106" s="17"/>
      <c r="AW106" s="2"/>
      <c r="AX106" s="2"/>
      <c r="AY106" s="2"/>
      <c r="AZ106" s="17"/>
      <c r="BA106" s="1"/>
      <c r="BB106" s="1"/>
      <c r="BC106" s="1"/>
      <c r="BD106" s="1"/>
      <c r="BE106" s="18"/>
      <c r="BF106" s="2">
        <f t="shared" si="43"/>
        <v>0</v>
      </c>
      <c r="BG106" s="6"/>
      <c r="BH106" s="6"/>
    </row>
    <row r="107" spans="1:60" ht="12.75" customHeight="1" x14ac:dyDescent="0.2">
      <c r="A107" s="19">
        <v>300</v>
      </c>
      <c r="B107" s="19" t="s">
        <v>954</v>
      </c>
      <c r="C107" s="19" t="s">
        <v>858</v>
      </c>
      <c r="D107" s="20" t="s">
        <v>684</v>
      </c>
      <c r="E107" s="20"/>
      <c r="F107" s="21"/>
      <c r="G107" s="21"/>
      <c r="H107" s="21"/>
      <c r="I107" s="21"/>
      <c r="J107" s="21"/>
      <c r="K107" s="21"/>
      <c r="L107" s="21"/>
      <c r="M107" s="21"/>
      <c r="N107" s="32" t="s">
        <v>1035</v>
      </c>
      <c r="O107" s="22" t="s">
        <v>5</v>
      </c>
      <c r="P107" s="23">
        <v>75</v>
      </c>
      <c r="Q107" s="34">
        <f t="shared" si="32"/>
        <v>55.95</v>
      </c>
      <c r="R107" s="1"/>
      <c r="S107" s="39">
        <f>IF(O107="","",IF(O107="NA","",IF(O107="Mini disjuntor + DR",0.92,IF(O107="Mini disjuntor",0.92,IF(O107="Disjuntor Motor",0.92,IF(O107="Disjuntor C.M.",0.92,IF(O107="Disjuntor C.A.",0.92,IFERROR(VLOOKUP('Lista de Cargas'!P107,Motores!$B$9:$T$48,19,FALSE),"Erro"))))))))</f>
        <v>0.87</v>
      </c>
      <c r="T107" s="40">
        <f>IF(O107="","",IF(O107="NA","",IF(O107="Mini disjuntor + DR",100%,IF(O107="Mini disjuntor",100%,IF(O107="Disjuntor Motor",0.92,IF(O107="Disjuntor C.M.",100%,IF(O107="Disjuntor C.A.",100%,IFERROR(VLOOKUP('Lista de Cargas'!P107,Motores!$B$9:$T$48,16,FALSE)/100,"Erro"))))))))</f>
        <v>0.94400000000000006</v>
      </c>
      <c r="U107" s="40" t="s">
        <v>445</v>
      </c>
      <c r="V107" s="39">
        <v>440</v>
      </c>
      <c r="W107" s="2">
        <f t="shared" si="44"/>
        <v>89.391359056925452</v>
      </c>
      <c r="X107" s="2">
        <f t="shared" si="33"/>
        <v>64.310344827586206</v>
      </c>
      <c r="Y107" s="2">
        <f t="shared" si="45"/>
        <v>134.08703858538817</v>
      </c>
      <c r="Z107" s="1"/>
      <c r="AA107" s="1"/>
      <c r="AB107" s="1">
        <v>110</v>
      </c>
      <c r="AC107" s="1"/>
      <c r="AD107" s="1"/>
      <c r="AE107" s="1"/>
      <c r="AF107" s="1"/>
      <c r="AG107" s="1">
        <f t="shared" si="34"/>
        <v>110</v>
      </c>
      <c r="AH107" s="1">
        <v>1</v>
      </c>
      <c r="AI107" s="1" t="s">
        <v>1069</v>
      </c>
      <c r="AJ107" s="1">
        <f t="shared" si="35"/>
        <v>110</v>
      </c>
      <c r="AK107" s="1">
        <v>0</v>
      </c>
      <c r="AL107" s="1" t="s">
        <v>118</v>
      </c>
      <c r="AM107" s="1">
        <f t="shared" si="36"/>
        <v>0</v>
      </c>
      <c r="AN107" s="1">
        <v>0</v>
      </c>
      <c r="AO107" s="1" t="s">
        <v>118</v>
      </c>
      <c r="AP107" s="1">
        <f t="shared" si="37"/>
        <v>0</v>
      </c>
      <c r="AQ107" s="1" t="s">
        <v>72</v>
      </c>
      <c r="AR107" s="1" t="str">
        <f t="shared" si="42"/>
        <v>2"</v>
      </c>
      <c r="AS107" s="1">
        <v>1</v>
      </c>
      <c r="AT107" s="1"/>
      <c r="AU107" s="1"/>
      <c r="AV107" s="17"/>
      <c r="AW107" s="2"/>
      <c r="AX107" s="2"/>
      <c r="AY107" s="2"/>
      <c r="AZ107" s="17"/>
      <c r="BA107" s="1"/>
      <c r="BB107" s="1"/>
      <c r="BC107" s="1"/>
      <c r="BD107" s="1"/>
      <c r="BE107" s="18"/>
      <c r="BF107" s="2">
        <f t="shared" si="43"/>
        <v>0</v>
      </c>
      <c r="BG107" s="6"/>
      <c r="BH107" s="6"/>
    </row>
    <row r="108" spans="1:60" ht="12.75" customHeight="1" x14ac:dyDescent="0.2">
      <c r="A108" s="19">
        <v>300</v>
      </c>
      <c r="B108" s="19" t="s">
        <v>954</v>
      </c>
      <c r="C108" s="19" t="s">
        <v>859</v>
      </c>
      <c r="D108" s="20" t="s">
        <v>684</v>
      </c>
      <c r="E108" s="20"/>
      <c r="F108" s="21"/>
      <c r="G108" s="21"/>
      <c r="H108" s="21"/>
      <c r="I108" s="21"/>
      <c r="J108" s="21"/>
      <c r="K108" s="21"/>
      <c r="L108" s="21"/>
      <c r="M108" s="21"/>
      <c r="N108" s="32" t="s">
        <v>1035</v>
      </c>
      <c r="O108" s="22" t="s">
        <v>5</v>
      </c>
      <c r="P108" s="23">
        <v>75</v>
      </c>
      <c r="Q108" s="34">
        <f t="shared" si="32"/>
        <v>55.95</v>
      </c>
      <c r="R108" s="1"/>
      <c r="S108" s="39">
        <f>IF(O108="","",IF(O108="NA","",IF(O108="Mini disjuntor + DR",0.92,IF(O108="Mini disjuntor",0.92,IF(O108="Disjuntor Motor",0.92,IF(O108="Disjuntor C.M.",0.92,IF(O108="Disjuntor C.A.",0.92,IFERROR(VLOOKUP('Lista de Cargas'!P108,Motores!$B$9:$T$48,19,FALSE),"Erro"))))))))</f>
        <v>0.87</v>
      </c>
      <c r="T108" s="40">
        <f>IF(O108="","",IF(O108="NA","",IF(O108="Mini disjuntor + DR",100%,IF(O108="Mini disjuntor",100%,IF(O108="Disjuntor Motor",0.92,IF(O108="Disjuntor C.M.",100%,IF(O108="Disjuntor C.A.",100%,IFERROR(VLOOKUP('Lista de Cargas'!P108,Motores!$B$9:$T$48,16,FALSE)/100,"Erro"))))))))</f>
        <v>0.94400000000000006</v>
      </c>
      <c r="U108" s="40" t="s">
        <v>445</v>
      </c>
      <c r="V108" s="39">
        <v>440</v>
      </c>
      <c r="W108" s="2">
        <f t="shared" si="44"/>
        <v>89.391359056925452</v>
      </c>
      <c r="X108" s="2">
        <f t="shared" si="33"/>
        <v>64.310344827586206</v>
      </c>
      <c r="Y108" s="2">
        <f t="shared" si="45"/>
        <v>134.08703858538817</v>
      </c>
      <c r="Z108" s="1"/>
      <c r="AA108" s="1"/>
      <c r="AB108" s="1">
        <v>110</v>
      </c>
      <c r="AC108" s="1"/>
      <c r="AD108" s="1"/>
      <c r="AE108" s="1"/>
      <c r="AF108" s="1"/>
      <c r="AG108" s="1">
        <f t="shared" si="34"/>
        <v>110</v>
      </c>
      <c r="AH108" s="1">
        <v>1</v>
      </c>
      <c r="AI108" s="1" t="s">
        <v>1069</v>
      </c>
      <c r="AJ108" s="1">
        <f t="shared" si="35"/>
        <v>110</v>
      </c>
      <c r="AK108" s="1">
        <v>0</v>
      </c>
      <c r="AL108" s="1" t="s">
        <v>118</v>
      </c>
      <c r="AM108" s="1">
        <f t="shared" si="36"/>
        <v>0</v>
      </c>
      <c r="AN108" s="1">
        <v>0</v>
      </c>
      <c r="AO108" s="1" t="s">
        <v>118</v>
      </c>
      <c r="AP108" s="1">
        <f t="shared" si="37"/>
        <v>0</v>
      </c>
      <c r="AQ108" s="1" t="s">
        <v>72</v>
      </c>
      <c r="AR108" s="1" t="str">
        <f t="shared" si="42"/>
        <v>2"</v>
      </c>
      <c r="AS108" s="1">
        <v>1</v>
      </c>
      <c r="AT108" s="1"/>
      <c r="AU108" s="1"/>
      <c r="AV108" s="17"/>
      <c r="AW108" s="2"/>
      <c r="AX108" s="2"/>
      <c r="AY108" s="2"/>
      <c r="AZ108" s="17"/>
      <c r="BA108" s="1"/>
      <c r="BB108" s="1"/>
      <c r="BC108" s="1"/>
      <c r="BD108" s="1"/>
      <c r="BE108" s="18"/>
      <c r="BF108" s="2">
        <f t="shared" si="43"/>
        <v>0</v>
      </c>
      <c r="BG108" s="6"/>
      <c r="BH108" s="6"/>
    </row>
    <row r="109" spans="1:60" ht="12.75" customHeight="1" x14ac:dyDescent="0.2">
      <c r="A109" s="19">
        <v>300</v>
      </c>
      <c r="B109" s="19" t="s">
        <v>954</v>
      </c>
      <c r="C109" s="19" t="s">
        <v>530</v>
      </c>
      <c r="D109" s="20" t="s">
        <v>685</v>
      </c>
      <c r="E109" s="20"/>
      <c r="F109" s="21"/>
      <c r="G109" s="21"/>
      <c r="H109" s="21"/>
      <c r="I109" s="21"/>
      <c r="J109" s="21"/>
      <c r="K109" s="21"/>
      <c r="L109" s="21"/>
      <c r="M109" s="21"/>
      <c r="N109" s="32" t="s">
        <v>1035</v>
      </c>
      <c r="O109" s="22" t="s">
        <v>34</v>
      </c>
      <c r="P109" s="23">
        <v>10</v>
      </c>
      <c r="Q109" s="34">
        <f t="shared" si="32"/>
        <v>7.46</v>
      </c>
      <c r="R109" s="1"/>
      <c r="S109" s="39">
        <f>IF(O109="","",IF(O109="NA","",IF(O109="Mini disjuntor + DR",0.92,IF(O109="Mini disjuntor",0.92,IF(O109="Disjuntor Motor",0.92,IF(O109="Disjuntor C.M.",0.92,IF(O109="Disjuntor C.A.",0.92,IFERROR(VLOOKUP('Lista de Cargas'!P109,Motores!$B$9:$T$48,19,FALSE),"Erro"))))))))</f>
        <v>0.84</v>
      </c>
      <c r="T109" s="40">
        <f>IF(O109="","",IF(O109="NA","",IF(O109="Mini disjuntor + DR",100%,IF(O109="Mini disjuntor",100%,IF(O109="Disjuntor Motor",0.92,IF(O109="Disjuntor C.M.",100%,IF(O109="Disjuntor C.A.",100%,IFERROR(VLOOKUP('Lista de Cargas'!P109,Motores!$B$9:$T$48,16,FALSE)/100,"Erro"))))))))</f>
        <v>0.91</v>
      </c>
      <c r="U109" s="40" t="s">
        <v>445</v>
      </c>
      <c r="V109" s="39">
        <v>440</v>
      </c>
      <c r="W109" s="2">
        <f t="shared" si="44"/>
        <v>12.805744874633129</v>
      </c>
      <c r="X109" s="2">
        <f t="shared" si="33"/>
        <v>8.8809523809523814</v>
      </c>
      <c r="Y109" s="2">
        <f t="shared" si="45"/>
        <v>76.834469247798779</v>
      </c>
      <c r="Z109" s="1"/>
      <c r="AA109" s="1"/>
      <c r="AB109" s="1">
        <v>110</v>
      </c>
      <c r="AC109" s="1"/>
      <c r="AD109" s="1"/>
      <c r="AE109" s="1"/>
      <c r="AF109" s="1"/>
      <c r="AG109" s="1">
        <f t="shared" si="34"/>
        <v>110</v>
      </c>
      <c r="AH109" s="1">
        <v>1</v>
      </c>
      <c r="AI109" s="1" t="s">
        <v>1062</v>
      </c>
      <c r="AJ109" s="1">
        <f t="shared" si="35"/>
        <v>110</v>
      </c>
      <c r="AK109" s="1">
        <v>0</v>
      </c>
      <c r="AL109" s="1" t="s">
        <v>118</v>
      </c>
      <c r="AM109" s="1">
        <f t="shared" si="36"/>
        <v>0</v>
      </c>
      <c r="AN109" s="1">
        <v>0</v>
      </c>
      <c r="AO109" s="1" t="s">
        <v>118</v>
      </c>
      <c r="AP109" s="1">
        <f t="shared" si="37"/>
        <v>0</v>
      </c>
      <c r="AQ109" s="1" t="s">
        <v>69</v>
      </c>
      <c r="AR109" s="1" t="str">
        <f t="shared" si="42"/>
        <v>1"</v>
      </c>
      <c r="AS109" s="1">
        <v>1</v>
      </c>
      <c r="AT109" s="1"/>
      <c r="AU109" s="1"/>
      <c r="AV109" s="17"/>
      <c r="AW109" s="2"/>
      <c r="AX109" s="2"/>
      <c r="AY109" s="2"/>
      <c r="AZ109" s="17"/>
      <c r="BA109" s="1"/>
      <c r="BB109" s="1"/>
      <c r="BC109" s="1"/>
      <c r="BD109" s="1"/>
      <c r="BE109" s="18"/>
      <c r="BF109" s="2">
        <f t="shared" si="43"/>
        <v>1.6407372765871995</v>
      </c>
      <c r="BG109" s="6"/>
      <c r="BH109" s="6"/>
    </row>
    <row r="110" spans="1:60" ht="12.75" customHeight="1" x14ac:dyDescent="0.2">
      <c r="A110" s="19">
        <v>300</v>
      </c>
      <c r="B110" s="19" t="s">
        <v>954</v>
      </c>
      <c r="C110" s="19" t="s">
        <v>531</v>
      </c>
      <c r="D110" s="20" t="s">
        <v>686</v>
      </c>
      <c r="E110" s="20"/>
      <c r="F110" s="21"/>
      <c r="G110" s="21"/>
      <c r="H110" s="21"/>
      <c r="I110" s="21"/>
      <c r="J110" s="21"/>
      <c r="K110" s="21"/>
      <c r="L110" s="21"/>
      <c r="M110" s="21"/>
      <c r="N110" s="32" t="s">
        <v>1035</v>
      </c>
      <c r="O110" s="22" t="s">
        <v>5</v>
      </c>
      <c r="P110" s="23">
        <v>75</v>
      </c>
      <c r="Q110" s="34">
        <f t="shared" si="32"/>
        <v>55.95</v>
      </c>
      <c r="R110" s="1"/>
      <c r="S110" s="39">
        <f>IF(O110="","",IF(O110="NA","",IF(O110="Mini disjuntor + DR",0.92,IF(O110="Mini disjuntor",0.92,IF(O110="Disjuntor Motor",0.92,IF(O110="Disjuntor C.M.",0.92,IF(O110="Disjuntor C.A.",0.92,IFERROR(VLOOKUP('Lista de Cargas'!P110,Motores!$B$9:$T$48,19,FALSE),"Erro"))))))))</f>
        <v>0.87</v>
      </c>
      <c r="T110" s="40">
        <f>IF(O110="","",IF(O110="NA","",IF(O110="Mini disjuntor + DR",100%,IF(O110="Mini disjuntor",100%,IF(O110="Disjuntor Motor",0.92,IF(O110="Disjuntor C.M.",100%,IF(O110="Disjuntor C.A.",100%,IFERROR(VLOOKUP('Lista de Cargas'!P110,Motores!$B$9:$T$48,16,FALSE)/100,"Erro"))))))))</f>
        <v>0.94400000000000006</v>
      </c>
      <c r="U110" s="40" t="s">
        <v>445</v>
      </c>
      <c r="V110" s="39">
        <v>440</v>
      </c>
      <c r="W110" s="2">
        <f t="shared" si="44"/>
        <v>89.391359056925452</v>
      </c>
      <c r="X110" s="2">
        <f t="shared" si="33"/>
        <v>64.310344827586206</v>
      </c>
      <c r="Y110" s="2">
        <f t="shared" si="45"/>
        <v>134.08703858538817</v>
      </c>
      <c r="Z110" s="1"/>
      <c r="AA110" s="1"/>
      <c r="AB110" s="1">
        <v>110</v>
      </c>
      <c r="AC110" s="1"/>
      <c r="AD110" s="1"/>
      <c r="AE110" s="1"/>
      <c r="AF110" s="1"/>
      <c r="AG110" s="1">
        <f t="shared" si="34"/>
        <v>110</v>
      </c>
      <c r="AH110" s="1">
        <v>1</v>
      </c>
      <c r="AI110" s="1" t="s">
        <v>1069</v>
      </c>
      <c r="AJ110" s="1">
        <f t="shared" si="35"/>
        <v>110</v>
      </c>
      <c r="AK110" s="1">
        <v>0</v>
      </c>
      <c r="AL110" s="1" t="s">
        <v>118</v>
      </c>
      <c r="AM110" s="1">
        <f t="shared" si="36"/>
        <v>0</v>
      </c>
      <c r="AN110" s="1">
        <v>0</v>
      </c>
      <c r="AO110" s="1" t="s">
        <v>118</v>
      </c>
      <c r="AP110" s="1">
        <f t="shared" si="37"/>
        <v>0</v>
      </c>
      <c r="AQ110" s="1" t="s">
        <v>72</v>
      </c>
      <c r="AR110" s="1" t="str">
        <f t="shared" si="42"/>
        <v>2"</v>
      </c>
      <c r="AS110" s="1">
        <v>1</v>
      </c>
      <c r="AT110" s="1"/>
      <c r="AU110" s="1"/>
      <c r="AV110" s="17"/>
      <c r="AW110" s="2"/>
      <c r="AX110" s="2"/>
      <c r="AY110" s="2"/>
      <c r="AZ110" s="17"/>
      <c r="BA110" s="1"/>
      <c r="BB110" s="1"/>
      <c r="BC110" s="1"/>
      <c r="BD110" s="1"/>
      <c r="BE110" s="18"/>
      <c r="BF110" s="2">
        <f t="shared" si="43"/>
        <v>0</v>
      </c>
      <c r="BG110" s="6"/>
      <c r="BH110" s="6"/>
    </row>
    <row r="111" spans="1:60" ht="12.75" customHeight="1" x14ac:dyDescent="0.2">
      <c r="A111" s="19">
        <v>300</v>
      </c>
      <c r="B111" s="19" t="s">
        <v>954</v>
      </c>
      <c r="C111" s="19" t="s">
        <v>860</v>
      </c>
      <c r="D111" s="20" t="s">
        <v>687</v>
      </c>
      <c r="E111" s="20"/>
      <c r="F111" s="21"/>
      <c r="G111" s="21"/>
      <c r="H111" s="21"/>
      <c r="I111" s="21"/>
      <c r="J111" s="21"/>
      <c r="K111" s="21"/>
      <c r="L111" s="21"/>
      <c r="M111" s="21"/>
      <c r="N111" s="32" t="s">
        <v>1035</v>
      </c>
      <c r="O111" s="22" t="s">
        <v>5</v>
      </c>
      <c r="P111" s="23">
        <v>150</v>
      </c>
      <c r="Q111" s="34">
        <f t="shared" ref="Q111:Q173" si="46">P111*0.746</f>
        <v>111.9</v>
      </c>
      <c r="R111" s="1"/>
      <c r="S111" s="39">
        <f>IF(O111="","",IF(O111="NA","",IF(O111="Mini disjuntor + DR",0.92,IF(O111="Mini disjuntor",0.92,IF(O111="Disjuntor Motor",0.92,IF(O111="Disjuntor C.M.",0.92,IF(O111="Disjuntor C.A.",0.92,IFERROR(VLOOKUP('Lista de Cargas'!P111,Motores!$B$9:$T$48,19,FALSE),"Erro"))))))))</f>
        <v>0.86</v>
      </c>
      <c r="T111" s="40">
        <f>IF(O111="","",IF(O111="NA","",IF(O111="Mini disjuntor + DR",100%,IF(O111="Mini disjuntor",100%,IF(O111="Disjuntor Motor",0.92,IF(O111="Disjuntor C.M.",100%,IF(O111="Disjuntor C.A.",100%,IFERROR(VLOOKUP('Lista de Cargas'!P111,Motores!$B$9:$T$48,16,FALSE)/100,"Erro"))))))))</f>
        <v>0.95200000000000007</v>
      </c>
      <c r="U111" s="40" t="s">
        <v>445</v>
      </c>
      <c r="V111" s="39">
        <v>440</v>
      </c>
      <c r="W111" s="2">
        <f t="shared" si="44"/>
        <v>179.34174166081624</v>
      </c>
      <c r="X111" s="2">
        <f t="shared" ref="X111:X173" si="47">IFERROR(Q111/S111,0)</f>
        <v>130.11627906976744</v>
      </c>
      <c r="Y111" s="2">
        <f t="shared" si="45"/>
        <v>269.01261249122433</v>
      </c>
      <c r="Z111" s="1"/>
      <c r="AA111" s="1"/>
      <c r="AB111" s="1">
        <v>110</v>
      </c>
      <c r="AC111" s="1"/>
      <c r="AD111" s="1"/>
      <c r="AE111" s="1"/>
      <c r="AF111" s="1"/>
      <c r="AG111" s="1">
        <f t="shared" ref="AG111:AG173" si="48">SUM(AB111:AF111)</f>
        <v>110</v>
      </c>
      <c r="AH111" s="1">
        <v>3</v>
      </c>
      <c r="AI111" s="1" t="s">
        <v>1052</v>
      </c>
      <c r="AJ111" s="1">
        <f t="shared" ref="AJ111:AJ173" si="49">$AG111*AH111*(1+$BJ$1)</f>
        <v>330</v>
      </c>
      <c r="AK111" s="1">
        <v>0</v>
      </c>
      <c r="AL111" s="1" t="s">
        <v>118</v>
      </c>
      <c r="AM111" s="1">
        <f t="shared" ref="AM111:AM173" si="50">$AG111*AK111*(1+$BJ$1)</f>
        <v>0</v>
      </c>
      <c r="AN111" s="1">
        <v>1</v>
      </c>
      <c r="AO111" s="1" t="s">
        <v>1053</v>
      </c>
      <c r="AP111" s="1">
        <f t="shared" ref="AP111:AP173" si="51">$AG111*AN111*(1+$BJ$1)</f>
        <v>110</v>
      </c>
      <c r="AQ111" s="1" t="s">
        <v>72</v>
      </c>
      <c r="AR111" s="1" t="str">
        <f t="shared" si="42"/>
        <v>2"</v>
      </c>
      <c r="AS111" s="1">
        <v>1</v>
      </c>
      <c r="AT111" s="1"/>
      <c r="AU111" s="1"/>
      <c r="AV111" s="17"/>
      <c r="AW111" s="2"/>
      <c r="AX111" s="2"/>
      <c r="AY111" s="2"/>
      <c r="AZ111" s="17"/>
      <c r="BA111" s="1"/>
      <c r="BB111" s="1"/>
      <c r="BC111" s="1"/>
      <c r="BD111" s="1"/>
      <c r="BE111" s="18"/>
      <c r="BF111" s="2">
        <f t="shared" si="43"/>
        <v>0</v>
      </c>
      <c r="BG111" s="6"/>
      <c r="BH111" s="6"/>
    </row>
    <row r="112" spans="1:60" ht="12.75" customHeight="1" x14ac:dyDescent="0.2">
      <c r="A112" s="19">
        <v>300</v>
      </c>
      <c r="B112" s="19" t="s">
        <v>954</v>
      </c>
      <c r="C112" s="19" t="s">
        <v>861</v>
      </c>
      <c r="D112" s="20" t="s">
        <v>687</v>
      </c>
      <c r="E112" s="20"/>
      <c r="F112" s="21"/>
      <c r="G112" s="21"/>
      <c r="H112" s="21"/>
      <c r="I112" s="21"/>
      <c r="J112" s="21"/>
      <c r="K112" s="21"/>
      <c r="L112" s="21"/>
      <c r="M112" s="21"/>
      <c r="N112" s="32" t="s">
        <v>1035</v>
      </c>
      <c r="O112" s="22" t="s">
        <v>5</v>
      </c>
      <c r="P112" s="23">
        <v>150</v>
      </c>
      <c r="Q112" s="34">
        <f t="shared" si="46"/>
        <v>111.9</v>
      </c>
      <c r="R112" s="1"/>
      <c r="S112" s="39">
        <f>IF(O112="","",IF(O112="NA","",IF(O112="Mini disjuntor + DR",0.92,IF(O112="Mini disjuntor",0.92,IF(O112="Disjuntor Motor",0.92,IF(O112="Disjuntor C.M.",0.92,IF(O112="Disjuntor C.A.",0.92,IFERROR(VLOOKUP('Lista de Cargas'!P112,Motores!$B$9:$T$48,19,FALSE),"Erro"))))))))</f>
        <v>0.86</v>
      </c>
      <c r="T112" s="40">
        <f>IF(O112="","",IF(O112="NA","",IF(O112="Mini disjuntor + DR",100%,IF(O112="Mini disjuntor",100%,IF(O112="Disjuntor Motor",0.92,IF(O112="Disjuntor C.M.",100%,IF(O112="Disjuntor C.A.",100%,IFERROR(VLOOKUP('Lista de Cargas'!P112,Motores!$B$9:$T$48,16,FALSE)/100,"Erro"))))))))</f>
        <v>0.95200000000000007</v>
      </c>
      <c r="U112" s="40" t="s">
        <v>445</v>
      </c>
      <c r="V112" s="39">
        <v>440</v>
      </c>
      <c r="W112" s="2">
        <f t="shared" si="44"/>
        <v>179.34174166081624</v>
      </c>
      <c r="X112" s="2">
        <f t="shared" si="47"/>
        <v>130.11627906976744</v>
      </c>
      <c r="Y112" s="2">
        <f t="shared" si="45"/>
        <v>269.01261249122433</v>
      </c>
      <c r="Z112" s="1"/>
      <c r="AA112" s="1"/>
      <c r="AB112" s="1">
        <v>110</v>
      </c>
      <c r="AC112" s="1"/>
      <c r="AD112" s="1"/>
      <c r="AE112" s="1"/>
      <c r="AF112" s="1"/>
      <c r="AG112" s="1">
        <f t="shared" si="48"/>
        <v>110</v>
      </c>
      <c r="AH112" s="1">
        <v>3</v>
      </c>
      <c r="AI112" s="1" t="s">
        <v>1052</v>
      </c>
      <c r="AJ112" s="1">
        <f t="shared" si="49"/>
        <v>330</v>
      </c>
      <c r="AK112" s="1">
        <v>0</v>
      </c>
      <c r="AL112" s="1" t="s">
        <v>118</v>
      </c>
      <c r="AM112" s="1">
        <f t="shared" si="50"/>
        <v>0</v>
      </c>
      <c r="AN112" s="1">
        <v>1</v>
      </c>
      <c r="AO112" s="1" t="s">
        <v>1053</v>
      </c>
      <c r="AP112" s="1">
        <f t="shared" si="51"/>
        <v>110</v>
      </c>
      <c r="AQ112" s="1" t="s">
        <v>72</v>
      </c>
      <c r="AR112" s="1" t="str">
        <f t="shared" ref="AR112:AR143" si="52">IFERROR(VLOOKUP(AQ112,$O$368:$P$412,2,1),"NA")</f>
        <v>2"</v>
      </c>
      <c r="AS112" s="1">
        <v>1</v>
      </c>
      <c r="AT112" s="1"/>
      <c r="AU112" s="1"/>
      <c r="AV112" s="17"/>
      <c r="AW112" s="2"/>
      <c r="AX112" s="2"/>
      <c r="AY112" s="2"/>
      <c r="AZ112" s="17"/>
      <c r="BA112" s="1"/>
      <c r="BB112" s="1"/>
      <c r="BC112" s="1"/>
      <c r="BD112" s="1"/>
      <c r="BE112" s="18"/>
      <c r="BF112" s="2">
        <f t="shared" ref="BF112:BF148" si="53">IFERROR(IF(F112=$O$358,0,IF(S112&gt;$BH$1,0,IF(O112=$O$347,0,SQRT((X112^2)-(Q112^2))-(SQRT(((Q112/$BH$1)^2)-(Q112^2)))))),0)</f>
        <v>0</v>
      </c>
      <c r="BG112" s="6"/>
      <c r="BH112" s="6"/>
    </row>
    <row r="113" spans="1:60" ht="12.75" customHeight="1" x14ac:dyDescent="0.2">
      <c r="A113" s="19">
        <v>300</v>
      </c>
      <c r="B113" s="19" t="s">
        <v>954</v>
      </c>
      <c r="C113" s="19" t="s">
        <v>862</v>
      </c>
      <c r="D113" s="20" t="s">
        <v>688</v>
      </c>
      <c r="E113" s="20"/>
      <c r="F113" s="21"/>
      <c r="G113" s="21"/>
      <c r="H113" s="21"/>
      <c r="I113" s="21"/>
      <c r="J113" s="21"/>
      <c r="K113" s="21"/>
      <c r="L113" s="21"/>
      <c r="M113" s="21"/>
      <c r="N113" s="32" t="s">
        <v>1035</v>
      </c>
      <c r="O113" s="22" t="s">
        <v>5</v>
      </c>
      <c r="P113" s="23">
        <v>50</v>
      </c>
      <c r="Q113" s="34">
        <f t="shared" si="46"/>
        <v>37.299999999999997</v>
      </c>
      <c r="R113" s="1"/>
      <c r="S113" s="39">
        <f>IF(O113="","",IF(O113="NA","",IF(O113="Mini disjuntor + DR",0.92,IF(O113="Mini disjuntor",0.92,IF(O113="Disjuntor Motor",0.92,IF(O113="Disjuntor C.M.",0.92,IF(O113="Disjuntor C.A.",0.92,IFERROR(VLOOKUP('Lista de Cargas'!P113,Motores!$B$9:$T$48,19,FALSE),"Erro"))))))))</f>
        <v>0.85</v>
      </c>
      <c r="T113" s="40">
        <f>IF(O113="","",IF(O113="NA","",IF(O113="Mini disjuntor + DR",100%,IF(O113="Mini disjuntor",100%,IF(O113="Disjuntor Motor",0.92,IF(O113="Disjuntor C.M.",100%,IF(O113="Disjuntor C.A.",100%,IFERROR(VLOOKUP('Lista de Cargas'!P113,Motores!$B$9:$T$48,16,FALSE)/100,"Erro"))))))))</f>
        <v>0.93599999999999994</v>
      </c>
      <c r="U113" s="40" t="s">
        <v>445</v>
      </c>
      <c r="V113" s="39">
        <v>440</v>
      </c>
      <c r="W113" s="2">
        <f t="shared" si="44"/>
        <v>61.517794005590531</v>
      </c>
      <c r="X113" s="2">
        <f t="shared" si="47"/>
        <v>43.882352941176471</v>
      </c>
      <c r="Y113" s="2">
        <f t="shared" si="45"/>
        <v>92.276691008385797</v>
      </c>
      <c r="Z113" s="1"/>
      <c r="AA113" s="1"/>
      <c r="AB113" s="1">
        <v>90</v>
      </c>
      <c r="AC113" s="1"/>
      <c r="AD113" s="1"/>
      <c r="AE113" s="1"/>
      <c r="AF113" s="1"/>
      <c r="AG113" s="1">
        <f t="shared" si="48"/>
        <v>90</v>
      </c>
      <c r="AH113" s="1">
        <v>1</v>
      </c>
      <c r="AI113" s="1" t="s">
        <v>1067</v>
      </c>
      <c r="AJ113" s="1">
        <f t="shared" si="49"/>
        <v>90</v>
      </c>
      <c r="AK113" s="1">
        <v>0</v>
      </c>
      <c r="AL113" s="1" t="s">
        <v>118</v>
      </c>
      <c r="AM113" s="1">
        <f t="shared" si="50"/>
        <v>0</v>
      </c>
      <c r="AN113" s="1">
        <v>0</v>
      </c>
      <c r="AO113" s="1" t="s">
        <v>118</v>
      </c>
      <c r="AP113" s="1">
        <f t="shared" si="51"/>
        <v>0</v>
      </c>
      <c r="AQ113" s="1" t="s">
        <v>71</v>
      </c>
      <c r="AR113" s="1" t="str">
        <f t="shared" si="52"/>
        <v>1.1/2"</v>
      </c>
      <c r="AS113" s="1">
        <v>1</v>
      </c>
      <c r="AT113" s="1"/>
      <c r="AU113" s="1"/>
      <c r="AV113" s="17"/>
      <c r="AW113" s="2"/>
      <c r="AX113" s="2"/>
      <c r="AY113" s="2"/>
      <c r="AZ113" s="17"/>
      <c r="BA113" s="1"/>
      <c r="BB113" s="1"/>
      <c r="BC113" s="1"/>
      <c r="BD113" s="1"/>
      <c r="BE113" s="18"/>
      <c r="BF113" s="2">
        <f t="shared" si="53"/>
        <v>0</v>
      </c>
      <c r="BG113" s="6"/>
      <c r="BH113" s="6"/>
    </row>
    <row r="114" spans="1:60" ht="12.75" customHeight="1" x14ac:dyDescent="0.2">
      <c r="A114" s="19">
        <v>300</v>
      </c>
      <c r="B114" s="19" t="s">
        <v>954</v>
      </c>
      <c r="C114" s="19" t="s">
        <v>863</v>
      </c>
      <c r="D114" s="20" t="s">
        <v>688</v>
      </c>
      <c r="E114" s="20"/>
      <c r="F114" s="21"/>
      <c r="G114" s="21"/>
      <c r="H114" s="21"/>
      <c r="I114" s="21"/>
      <c r="J114" s="21"/>
      <c r="K114" s="21"/>
      <c r="L114" s="21"/>
      <c r="M114" s="21"/>
      <c r="N114" s="32" t="s">
        <v>1035</v>
      </c>
      <c r="O114" s="22" t="s">
        <v>5</v>
      </c>
      <c r="P114" s="23">
        <v>50</v>
      </c>
      <c r="Q114" s="34">
        <f t="shared" si="46"/>
        <v>37.299999999999997</v>
      </c>
      <c r="R114" s="1"/>
      <c r="S114" s="39">
        <f>IF(O114="","",IF(O114="NA","",IF(O114="Mini disjuntor + DR",0.92,IF(O114="Mini disjuntor",0.92,IF(O114="Disjuntor Motor",0.92,IF(O114="Disjuntor C.M.",0.92,IF(O114="Disjuntor C.A.",0.92,IFERROR(VLOOKUP('Lista de Cargas'!P114,Motores!$B$9:$T$48,19,FALSE),"Erro"))))))))</f>
        <v>0.85</v>
      </c>
      <c r="T114" s="40">
        <f>IF(O114="","",IF(O114="NA","",IF(O114="Mini disjuntor + DR",100%,IF(O114="Mini disjuntor",100%,IF(O114="Disjuntor Motor",0.92,IF(O114="Disjuntor C.M.",100%,IF(O114="Disjuntor C.A.",100%,IFERROR(VLOOKUP('Lista de Cargas'!P114,Motores!$B$9:$T$48,16,FALSE)/100,"Erro"))))))))</f>
        <v>0.93599999999999994</v>
      </c>
      <c r="U114" s="40" t="s">
        <v>445</v>
      </c>
      <c r="V114" s="39">
        <v>440</v>
      </c>
      <c r="W114" s="2">
        <f t="shared" si="44"/>
        <v>61.517794005590531</v>
      </c>
      <c r="X114" s="2">
        <f t="shared" si="47"/>
        <v>43.882352941176471</v>
      </c>
      <c r="Y114" s="2">
        <f t="shared" si="45"/>
        <v>92.276691008385797</v>
      </c>
      <c r="Z114" s="1"/>
      <c r="AA114" s="1"/>
      <c r="AB114" s="1">
        <v>90</v>
      </c>
      <c r="AC114" s="1"/>
      <c r="AD114" s="1"/>
      <c r="AE114" s="1"/>
      <c r="AF114" s="1"/>
      <c r="AG114" s="1">
        <f t="shared" si="48"/>
        <v>90</v>
      </c>
      <c r="AH114" s="1">
        <v>1</v>
      </c>
      <c r="AI114" s="1" t="s">
        <v>1067</v>
      </c>
      <c r="AJ114" s="1">
        <f t="shared" si="49"/>
        <v>90</v>
      </c>
      <c r="AK114" s="1">
        <v>0</v>
      </c>
      <c r="AL114" s="1" t="s">
        <v>118</v>
      </c>
      <c r="AM114" s="1">
        <f t="shared" si="50"/>
        <v>0</v>
      </c>
      <c r="AN114" s="1">
        <v>0</v>
      </c>
      <c r="AO114" s="1" t="s">
        <v>118</v>
      </c>
      <c r="AP114" s="1">
        <f t="shared" si="51"/>
        <v>0</v>
      </c>
      <c r="AQ114" s="1" t="s">
        <v>71</v>
      </c>
      <c r="AR114" s="1" t="str">
        <f t="shared" si="52"/>
        <v>1.1/2"</v>
      </c>
      <c r="AS114" s="1">
        <v>1</v>
      </c>
      <c r="AT114" s="1"/>
      <c r="AU114" s="1"/>
      <c r="AV114" s="17"/>
      <c r="AW114" s="2"/>
      <c r="AX114" s="2"/>
      <c r="AY114" s="2"/>
      <c r="AZ114" s="17"/>
      <c r="BA114" s="1"/>
      <c r="BB114" s="1"/>
      <c r="BC114" s="1"/>
      <c r="BD114" s="1"/>
      <c r="BE114" s="18"/>
      <c r="BF114" s="2">
        <f t="shared" si="53"/>
        <v>0</v>
      </c>
      <c r="BG114" s="6"/>
      <c r="BH114" s="6"/>
    </row>
    <row r="115" spans="1:60" ht="12.75" customHeight="1" x14ac:dyDescent="0.2">
      <c r="A115" s="19">
        <v>300</v>
      </c>
      <c r="B115" s="19" t="s">
        <v>954</v>
      </c>
      <c r="C115" s="19" t="s">
        <v>864</v>
      </c>
      <c r="D115" s="20" t="s">
        <v>688</v>
      </c>
      <c r="E115" s="20"/>
      <c r="F115" s="21"/>
      <c r="G115" s="21"/>
      <c r="H115" s="21"/>
      <c r="I115" s="21"/>
      <c r="J115" s="21"/>
      <c r="K115" s="21"/>
      <c r="L115" s="21"/>
      <c r="M115" s="21"/>
      <c r="N115" s="32" t="s">
        <v>1035</v>
      </c>
      <c r="O115" s="22" t="s">
        <v>5</v>
      </c>
      <c r="P115" s="23">
        <v>50</v>
      </c>
      <c r="Q115" s="34">
        <f t="shared" si="46"/>
        <v>37.299999999999997</v>
      </c>
      <c r="R115" s="1"/>
      <c r="S115" s="39">
        <f>IF(O115="","",IF(O115="NA","",IF(O115="Mini disjuntor + DR",0.92,IF(O115="Mini disjuntor",0.92,IF(O115="Disjuntor Motor",0.92,IF(O115="Disjuntor C.M.",0.92,IF(O115="Disjuntor C.A.",0.92,IFERROR(VLOOKUP('Lista de Cargas'!P115,Motores!$B$9:$T$48,19,FALSE),"Erro"))))))))</f>
        <v>0.85</v>
      </c>
      <c r="T115" s="40">
        <f>IF(O115="","",IF(O115="NA","",IF(O115="Mini disjuntor + DR",100%,IF(O115="Mini disjuntor",100%,IF(O115="Disjuntor Motor",0.92,IF(O115="Disjuntor C.M.",100%,IF(O115="Disjuntor C.A.",100%,IFERROR(VLOOKUP('Lista de Cargas'!P115,Motores!$B$9:$T$48,16,FALSE)/100,"Erro"))))))))</f>
        <v>0.93599999999999994</v>
      </c>
      <c r="U115" s="40" t="s">
        <v>445</v>
      </c>
      <c r="V115" s="39">
        <v>440</v>
      </c>
      <c r="W115" s="2">
        <f t="shared" si="44"/>
        <v>61.517794005590531</v>
      </c>
      <c r="X115" s="2">
        <f t="shared" si="47"/>
        <v>43.882352941176471</v>
      </c>
      <c r="Y115" s="2">
        <f t="shared" si="45"/>
        <v>92.276691008385797</v>
      </c>
      <c r="Z115" s="1"/>
      <c r="AA115" s="1"/>
      <c r="AB115" s="1">
        <v>90</v>
      </c>
      <c r="AC115" s="1"/>
      <c r="AD115" s="1"/>
      <c r="AE115" s="1"/>
      <c r="AF115" s="1"/>
      <c r="AG115" s="1">
        <f t="shared" si="48"/>
        <v>90</v>
      </c>
      <c r="AH115" s="1">
        <v>1</v>
      </c>
      <c r="AI115" s="1" t="s">
        <v>1067</v>
      </c>
      <c r="AJ115" s="1">
        <f t="shared" si="49"/>
        <v>90</v>
      </c>
      <c r="AK115" s="1">
        <v>0</v>
      </c>
      <c r="AL115" s="1" t="s">
        <v>118</v>
      </c>
      <c r="AM115" s="1">
        <f t="shared" si="50"/>
        <v>0</v>
      </c>
      <c r="AN115" s="1">
        <v>0</v>
      </c>
      <c r="AO115" s="1" t="s">
        <v>118</v>
      </c>
      <c r="AP115" s="1">
        <f t="shared" si="51"/>
        <v>0</v>
      </c>
      <c r="AQ115" s="1" t="s">
        <v>71</v>
      </c>
      <c r="AR115" s="1" t="str">
        <f t="shared" si="52"/>
        <v>1.1/2"</v>
      </c>
      <c r="AS115" s="1">
        <v>1</v>
      </c>
      <c r="AT115" s="1"/>
      <c r="AU115" s="1"/>
      <c r="AV115" s="17"/>
      <c r="AW115" s="2"/>
      <c r="AX115" s="2"/>
      <c r="AY115" s="2"/>
      <c r="AZ115" s="17"/>
      <c r="BA115" s="1"/>
      <c r="BB115" s="1"/>
      <c r="BC115" s="1"/>
      <c r="BD115" s="1"/>
      <c r="BE115" s="18"/>
      <c r="BF115" s="2">
        <f t="shared" si="53"/>
        <v>0</v>
      </c>
      <c r="BG115" s="6"/>
      <c r="BH115" s="6"/>
    </row>
    <row r="116" spans="1:60" ht="12.75" customHeight="1" x14ac:dyDescent="0.2">
      <c r="A116" s="19">
        <v>300</v>
      </c>
      <c r="B116" s="19" t="s">
        <v>954</v>
      </c>
      <c r="C116" s="19" t="s">
        <v>865</v>
      </c>
      <c r="D116" s="20" t="s">
        <v>688</v>
      </c>
      <c r="E116" s="20"/>
      <c r="F116" s="21"/>
      <c r="G116" s="21"/>
      <c r="H116" s="21"/>
      <c r="I116" s="21"/>
      <c r="J116" s="21"/>
      <c r="K116" s="21"/>
      <c r="L116" s="21"/>
      <c r="M116" s="21"/>
      <c r="N116" s="32" t="s">
        <v>1035</v>
      </c>
      <c r="O116" s="22" t="s">
        <v>5</v>
      </c>
      <c r="P116" s="23">
        <v>50</v>
      </c>
      <c r="Q116" s="34">
        <f t="shared" si="46"/>
        <v>37.299999999999997</v>
      </c>
      <c r="R116" s="1"/>
      <c r="S116" s="39">
        <f>IF(O116="","",IF(O116="NA","",IF(O116="Mini disjuntor + DR",0.92,IF(O116="Mini disjuntor",0.92,IF(O116="Disjuntor Motor",0.92,IF(O116="Disjuntor C.M.",0.92,IF(O116="Disjuntor C.A.",0.92,IFERROR(VLOOKUP('Lista de Cargas'!P116,Motores!$B$9:$T$48,19,FALSE),"Erro"))))))))</f>
        <v>0.85</v>
      </c>
      <c r="T116" s="40">
        <f>IF(O116="","",IF(O116="NA","",IF(O116="Mini disjuntor + DR",100%,IF(O116="Mini disjuntor",100%,IF(O116="Disjuntor Motor",0.92,IF(O116="Disjuntor C.M.",100%,IF(O116="Disjuntor C.A.",100%,IFERROR(VLOOKUP('Lista de Cargas'!P116,Motores!$B$9:$T$48,16,FALSE)/100,"Erro"))))))))</f>
        <v>0.93599999999999994</v>
      </c>
      <c r="U116" s="40" t="s">
        <v>445</v>
      </c>
      <c r="V116" s="39">
        <v>440</v>
      </c>
      <c r="W116" s="2">
        <f t="shared" si="44"/>
        <v>61.517794005590531</v>
      </c>
      <c r="X116" s="2">
        <f t="shared" si="47"/>
        <v>43.882352941176471</v>
      </c>
      <c r="Y116" s="2">
        <f t="shared" si="45"/>
        <v>92.276691008385797</v>
      </c>
      <c r="Z116" s="1"/>
      <c r="AA116" s="1"/>
      <c r="AB116" s="1">
        <v>90</v>
      </c>
      <c r="AC116" s="1"/>
      <c r="AD116" s="1"/>
      <c r="AE116" s="1"/>
      <c r="AF116" s="1"/>
      <c r="AG116" s="1">
        <f t="shared" si="48"/>
        <v>90</v>
      </c>
      <c r="AH116" s="1">
        <v>1</v>
      </c>
      <c r="AI116" s="1" t="s">
        <v>1067</v>
      </c>
      <c r="AJ116" s="1">
        <f t="shared" si="49"/>
        <v>90</v>
      </c>
      <c r="AK116" s="1">
        <v>0</v>
      </c>
      <c r="AL116" s="1" t="s">
        <v>118</v>
      </c>
      <c r="AM116" s="1">
        <f t="shared" si="50"/>
        <v>0</v>
      </c>
      <c r="AN116" s="1">
        <v>0</v>
      </c>
      <c r="AO116" s="1" t="s">
        <v>118</v>
      </c>
      <c r="AP116" s="1">
        <f t="shared" si="51"/>
        <v>0</v>
      </c>
      <c r="AQ116" s="1" t="s">
        <v>71</v>
      </c>
      <c r="AR116" s="1" t="str">
        <f t="shared" si="52"/>
        <v>1.1/2"</v>
      </c>
      <c r="AS116" s="1">
        <v>1</v>
      </c>
      <c r="AT116" s="1"/>
      <c r="AU116" s="1"/>
      <c r="AV116" s="17"/>
      <c r="AW116" s="2"/>
      <c r="AX116" s="2"/>
      <c r="AY116" s="2"/>
      <c r="AZ116" s="17"/>
      <c r="BA116" s="1"/>
      <c r="BB116" s="1"/>
      <c r="BC116" s="1"/>
      <c r="BD116" s="1"/>
      <c r="BE116" s="18"/>
      <c r="BF116" s="2">
        <f t="shared" si="53"/>
        <v>0</v>
      </c>
      <c r="BG116" s="6"/>
      <c r="BH116" s="6"/>
    </row>
    <row r="117" spans="1:60" ht="12.75" customHeight="1" x14ac:dyDescent="0.2">
      <c r="A117" s="19">
        <v>300</v>
      </c>
      <c r="B117" s="19" t="s">
        <v>954</v>
      </c>
      <c r="C117" s="19" t="s">
        <v>866</v>
      </c>
      <c r="D117" s="20" t="s">
        <v>688</v>
      </c>
      <c r="E117" s="20"/>
      <c r="F117" s="21"/>
      <c r="G117" s="21"/>
      <c r="H117" s="21"/>
      <c r="I117" s="21"/>
      <c r="J117" s="21"/>
      <c r="K117" s="21"/>
      <c r="L117" s="21"/>
      <c r="M117" s="21"/>
      <c r="N117" s="32" t="s">
        <v>1035</v>
      </c>
      <c r="O117" s="22" t="s">
        <v>5</v>
      </c>
      <c r="P117" s="23">
        <v>50</v>
      </c>
      <c r="Q117" s="34">
        <f t="shared" si="46"/>
        <v>37.299999999999997</v>
      </c>
      <c r="R117" s="1"/>
      <c r="S117" s="39">
        <f>IF(O117="","",IF(O117="NA","",IF(O117="Mini disjuntor + DR",0.92,IF(O117="Mini disjuntor",0.92,IF(O117="Disjuntor Motor",0.92,IF(O117="Disjuntor C.M.",0.92,IF(O117="Disjuntor C.A.",0.92,IFERROR(VLOOKUP('Lista de Cargas'!P117,Motores!$B$9:$T$48,19,FALSE),"Erro"))))))))</f>
        <v>0.85</v>
      </c>
      <c r="T117" s="40">
        <f>IF(O117="","",IF(O117="NA","",IF(O117="Mini disjuntor + DR",100%,IF(O117="Mini disjuntor",100%,IF(O117="Disjuntor Motor",0.92,IF(O117="Disjuntor C.M.",100%,IF(O117="Disjuntor C.A.",100%,IFERROR(VLOOKUP('Lista de Cargas'!P117,Motores!$B$9:$T$48,16,FALSE)/100,"Erro"))))))))</f>
        <v>0.93599999999999994</v>
      </c>
      <c r="U117" s="40" t="s">
        <v>445</v>
      </c>
      <c r="V117" s="39">
        <v>440</v>
      </c>
      <c r="W117" s="2">
        <f t="shared" si="44"/>
        <v>61.517794005590531</v>
      </c>
      <c r="X117" s="2">
        <f t="shared" si="47"/>
        <v>43.882352941176471</v>
      </c>
      <c r="Y117" s="2">
        <f t="shared" si="45"/>
        <v>92.276691008385797</v>
      </c>
      <c r="Z117" s="1"/>
      <c r="AA117" s="1"/>
      <c r="AB117" s="1">
        <v>90</v>
      </c>
      <c r="AC117" s="1"/>
      <c r="AD117" s="1"/>
      <c r="AE117" s="1"/>
      <c r="AF117" s="1"/>
      <c r="AG117" s="1">
        <f t="shared" si="48"/>
        <v>90</v>
      </c>
      <c r="AH117" s="1">
        <v>1</v>
      </c>
      <c r="AI117" s="1" t="s">
        <v>1067</v>
      </c>
      <c r="AJ117" s="1">
        <f t="shared" si="49"/>
        <v>90</v>
      </c>
      <c r="AK117" s="1">
        <v>0</v>
      </c>
      <c r="AL117" s="1" t="s">
        <v>118</v>
      </c>
      <c r="AM117" s="1">
        <f t="shared" si="50"/>
        <v>0</v>
      </c>
      <c r="AN117" s="1">
        <v>0</v>
      </c>
      <c r="AO117" s="1" t="s">
        <v>118</v>
      </c>
      <c r="AP117" s="1">
        <f t="shared" si="51"/>
        <v>0</v>
      </c>
      <c r="AQ117" s="1" t="s">
        <v>71</v>
      </c>
      <c r="AR117" s="1" t="str">
        <f t="shared" si="52"/>
        <v>1.1/2"</v>
      </c>
      <c r="AS117" s="1">
        <v>1</v>
      </c>
      <c r="AT117" s="1"/>
      <c r="AU117" s="1"/>
      <c r="AV117" s="17"/>
      <c r="AW117" s="2"/>
      <c r="AX117" s="2"/>
      <c r="AY117" s="2"/>
      <c r="AZ117" s="17"/>
      <c r="BA117" s="1"/>
      <c r="BB117" s="1"/>
      <c r="BC117" s="1"/>
      <c r="BD117" s="1"/>
      <c r="BE117" s="18"/>
      <c r="BF117" s="2">
        <f t="shared" si="53"/>
        <v>0</v>
      </c>
      <c r="BG117" s="6"/>
      <c r="BH117" s="6"/>
    </row>
    <row r="118" spans="1:60" ht="12.75" customHeight="1" x14ac:dyDescent="0.2">
      <c r="A118" s="19">
        <v>300</v>
      </c>
      <c r="B118" s="19" t="s">
        <v>954</v>
      </c>
      <c r="C118" s="19" t="s">
        <v>867</v>
      </c>
      <c r="D118" s="20" t="s">
        <v>688</v>
      </c>
      <c r="E118" s="20"/>
      <c r="F118" s="21"/>
      <c r="G118" s="21"/>
      <c r="H118" s="21"/>
      <c r="I118" s="21"/>
      <c r="J118" s="21"/>
      <c r="K118" s="21"/>
      <c r="L118" s="21"/>
      <c r="M118" s="21"/>
      <c r="N118" s="32" t="s">
        <v>1035</v>
      </c>
      <c r="O118" s="22" t="s">
        <v>5</v>
      </c>
      <c r="P118" s="23">
        <v>50</v>
      </c>
      <c r="Q118" s="34">
        <f t="shared" si="46"/>
        <v>37.299999999999997</v>
      </c>
      <c r="R118" s="1"/>
      <c r="S118" s="39">
        <f>IF(O118="","",IF(O118="NA","",IF(O118="Mini disjuntor + DR",0.92,IF(O118="Mini disjuntor",0.92,IF(O118="Disjuntor Motor",0.92,IF(O118="Disjuntor C.M.",0.92,IF(O118="Disjuntor C.A.",0.92,IFERROR(VLOOKUP('Lista de Cargas'!P118,Motores!$B$9:$T$48,19,FALSE),"Erro"))))))))</f>
        <v>0.85</v>
      </c>
      <c r="T118" s="40">
        <f>IF(O118="","",IF(O118="NA","",IF(O118="Mini disjuntor + DR",100%,IF(O118="Mini disjuntor",100%,IF(O118="Disjuntor Motor",0.92,IF(O118="Disjuntor C.M.",100%,IF(O118="Disjuntor C.A.",100%,IFERROR(VLOOKUP('Lista de Cargas'!P118,Motores!$B$9:$T$48,16,FALSE)/100,"Erro"))))))))</f>
        <v>0.93599999999999994</v>
      </c>
      <c r="U118" s="40" t="s">
        <v>445</v>
      </c>
      <c r="V118" s="39">
        <v>440</v>
      </c>
      <c r="W118" s="2">
        <f t="shared" si="44"/>
        <v>61.517794005590531</v>
      </c>
      <c r="X118" s="2">
        <f t="shared" si="47"/>
        <v>43.882352941176471</v>
      </c>
      <c r="Y118" s="2">
        <f t="shared" si="45"/>
        <v>92.276691008385797</v>
      </c>
      <c r="Z118" s="1"/>
      <c r="AA118" s="1"/>
      <c r="AB118" s="1">
        <v>90</v>
      </c>
      <c r="AC118" s="1"/>
      <c r="AD118" s="1"/>
      <c r="AE118" s="1"/>
      <c r="AF118" s="1"/>
      <c r="AG118" s="1">
        <f t="shared" si="48"/>
        <v>90</v>
      </c>
      <c r="AH118" s="1">
        <v>1</v>
      </c>
      <c r="AI118" s="1" t="s">
        <v>1067</v>
      </c>
      <c r="AJ118" s="1">
        <f t="shared" si="49"/>
        <v>90</v>
      </c>
      <c r="AK118" s="1">
        <v>0</v>
      </c>
      <c r="AL118" s="1" t="s">
        <v>118</v>
      </c>
      <c r="AM118" s="1">
        <f t="shared" si="50"/>
        <v>0</v>
      </c>
      <c r="AN118" s="1">
        <v>0</v>
      </c>
      <c r="AO118" s="1" t="s">
        <v>118</v>
      </c>
      <c r="AP118" s="1">
        <f t="shared" si="51"/>
        <v>0</v>
      </c>
      <c r="AQ118" s="1" t="s">
        <v>71</v>
      </c>
      <c r="AR118" s="1" t="str">
        <f t="shared" si="52"/>
        <v>1.1/2"</v>
      </c>
      <c r="AS118" s="1">
        <v>1</v>
      </c>
      <c r="AT118" s="1"/>
      <c r="AU118" s="1"/>
      <c r="AV118" s="17"/>
      <c r="AW118" s="2"/>
      <c r="AX118" s="2"/>
      <c r="AY118" s="2"/>
      <c r="AZ118" s="17"/>
      <c r="BA118" s="1"/>
      <c r="BB118" s="1"/>
      <c r="BC118" s="1"/>
      <c r="BD118" s="1"/>
      <c r="BE118" s="18"/>
      <c r="BF118" s="2">
        <f t="shared" si="53"/>
        <v>0</v>
      </c>
      <c r="BG118" s="6"/>
      <c r="BH118" s="6"/>
    </row>
    <row r="119" spans="1:60" ht="12.75" customHeight="1" x14ac:dyDescent="0.2">
      <c r="A119" s="19">
        <v>300</v>
      </c>
      <c r="B119" s="19" t="s">
        <v>954</v>
      </c>
      <c r="C119" s="19" t="s">
        <v>868</v>
      </c>
      <c r="D119" s="20" t="s">
        <v>688</v>
      </c>
      <c r="E119" s="20"/>
      <c r="F119" s="21"/>
      <c r="G119" s="21"/>
      <c r="H119" s="21"/>
      <c r="I119" s="21"/>
      <c r="J119" s="21"/>
      <c r="K119" s="21"/>
      <c r="L119" s="21"/>
      <c r="M119" s="21"/>
      <c r="N119" s="32" t="s">
        <v>1035</v>
      </c>
      <c r="O119" s="22" t="s">
        <v>5</v>
      </c>
      <c r="P119" s="23">
        <v>50</v>
      </c>
      <c r="Q119" s="34">
        <f t="shared" si="46"/>
        <v>37.299999999999997</v>
      </c>
      <c r="R119" s="1"/>
      <c r="S119" s="39">
        <f>IF(O119="","",IF(O119="NA","",IF(O119="Mini disjuntor + DR",0.92,IF(O119="Mini disjuntor",0.92,IF(O119="Disjuntor Motor",0.92,IF(O119="Disjuntor C.M.",0.92,IF(O119="Disjuntor C.A.",0.92,IFERROR(VLOOKUP('Lista de Cargas'!P119,Motores!$B$9:$T$48,19,FALSE),"Erro"))))))))</f>
        <v>0.85</v>
      </c>
      <c r="T119" s="40">
        <f>IF(O119="","",IF(O119="NA","",IF(O119="Mini disjuntor + DR",100%,IF(O119="Mini disjuntor",100%,IF(O119="Disjuntor Motor",0.92,IF(O119="Disjuntor C.M.",100%,IF(O119="Disjuntor C.A.",100%,IFERROR(VLOOKUP('Lista de Cargas'!P119,Motores!$B$9:$T$48,16,FALSE)/100,"Erro"))))))))</f>
        <v>0.93599999999999994</v>
      </c>
      <c r="U119" s="40" t="s">
        <v>445</v>
      </c>
      <c r="V119" s="39">
        <v>440</v>
      </c>
      <c r="W119" s="2">
        <f t="shared" si="44"/>
        <v>61.517794005590531</v>
      </c>
      <c r="X119" s="2">
        <f t="shared" si="47"/>
        <v>43.882352941176471</v>
      </c>
      <c r="Y119" s="2">
        <f t="shared" si="45"/>
        <v>92.276691008385797</v>
      </c>
      <c r="Z119" s="1"/>
      <c r="AA119" s="1"/>
      <c r="AB119" s="1">
        <v>90</v>
      </c>
      <c r="AC119" s="1"/>
      <c r="AD119" s="1"/>
      <c r="AE119" s="1"/>
      <c r="AF119" s="1"/>
      <c r="AG119" s="1">
        <f t="shared" si="48"/>
        <v>90</v>
      </c>
      <c r="AH119" s="1">
        <v>1</v>
      </c>
      <c r="AI119" s="1" t="s">
        <v>1067</v>
      </c>
      <c r="AJ119" s="1">
        <f t="shared" si="49"/>
        <v>90</v>
      </c>
      <c r="AK119" s="1">
        <v>0</v>
      </c>
      <c r="AL119" s="1" t="s">
        <v>118</v>
      </c>
      <c r="AM119" s="1">
        <f t="shared" si="50"/>
        <v>0</v>
      </c>
      <c r="AN119" s="1">
        <v>0</v>
      </c>
      <c r="AO119" s="1" t="s">
        <v>118</v>
      </c>
      <c r="AP119" s="1">
        <f t="shared" si="51"/>
        <v>0</v>
      </c>
      <c r="AQ119" s="1" t="s">
        <v>71</v>
      </c>
      <c r="AR119" s="1" t="str">
        <f t="shared" si="52"/>
        <v>1.1/2"</v>
      </c>
      <c r="AS119" s="1">
        <v>1</v>
      </c>
      <c r="AT119" s="1"/>
      <c r="AU119" s="1"/>
      <c r="AV119" s="17"/>
      <c r="AW119" s="2"/>
      <c r="AX119" s="2"/>
      <c r="AY119" s="2"/>
      <c r="AZ119" s="17"/>
      <c r="BA119" s="1"/>
      <c r="BB119" s="1"/>
      <c r="BC119" s="1"/>
      <c r="BD119" s="1"/>
      <c r="BE119" s="18"/>
      <c r="BF119" s="2">
        <f t="shared" si="53"/>
        <v>0</v>
      </c>
      <c r="BG119" s="6"/>
      <c r="BH119" s="6"/>
    </row>
    <row r="120" spans="1:60" ht="12.75" customHeight="1" x14ac:dyDescent="0.2">
      <c r="A120" s="19">
        <v>300</v>
      </c>
      <c r="B120" s="19" t="s">
        <v>954</v>
      </c>
      <c r="C120" s="19" t="s">
        <v>869</v>
      </c>
      <c r="D120" s="20" t="s">
        <v>688</v>
      </c>
      <c r="E120" s="20"/>
      <c r="F120" s="21"/>
      <c r="G120" s="21"/>
      <c r="H120" s="21"/>
      <c r="I120" s="21"/>
      <c r="J120" s="21"/>
      <c r="K120" s="21"/>
      <c r="L120" s="21"/>
      <c r="M120" s="21"/>
      <c r="N120" s="32" t="s">
        <v>1035</v>
      </c>
      <c r="O120" s="22" t="s">
        <v>5</v>
      </c>
      <c r="P120" s="23">
        <v>50</v>
      </c>
      <c r="Q120" s="34">
        <f t="shared" si="46"/>
        <v>37.299999999999997</v>
      </c>
      <c r="R120" s="1"/>
      <c r="S120" s="39">
        <f>IF(O120="","",IF(O120="NA","",IF(O120="Mini disjuntor + DR",0.92,IF(O120="Mini disjuntor",0.92,IF(O120="Disjuntor Motor",0.92,IF(O120="Disjuntor C.M.",0.92,IF(O120="Disjuntor C.A.",0.92,IFERROR(VLOOKUP('Lista de Cargas'!P120,Motores!$B$9:$T$48,19,FALSE),"Erro"))))))))</f>
        <v>0.85</v>
      </c>
      <c r="T120" s="40">
        <f>IF(O120="","",IF(O120="NA","",IF(O120="Mini disjuntor + DR",100%,IF(O120="Mini disjuntor",100%,IF(O120="Disjuntor Motor",0.92,IF(O120="Disjuntor C.M.",100%,IF(O120="Disjuntor C.A.",100%,IFERROR(VLOOKUP('Lista de Cargas'!P120,Motores!$B$9:$T$48,16,FALSE)/100,"Erro"))))))))</f>
        <v>0.93599999999999994</v>
      </c>
      <c r="U120" s="40" t="s">
        <v>445</v>
      </c>
      <c r="V120" s="39">
        <v>440</v>
      </c>
      <c r="W120" s="2">
        <f t="shared" si="44"/>
        <v>61.517794005590531</v>
      </c>
      <c r="X120" s="2">
        <f t="shared" si="47"/>
        <v>43.882352941176471</v>
      </c>
      <c r="Y120" s="2">
        <f t="shared" si="45"/>
        <v>92.276691008385797</v>
      </c>
      <c r="Z120" s="1"/>
      <c r="AA120" s="1"/>
      <c r="AB120" s="1">
        <v>90</v>
      </c>
      <c r="AC120" s="1"/>
      <c r="AD120" s="1"/>
      <c r="AE120" s="1"/>
      <c r="AF120" s="1"/>
      <c r="AG120" s="1">
        <f t="shared" si="48"/>
        <v>90</v>
      </c>
      <c r="AH120" s="1">
        <v>1</v>
      </c>
      <c r="AI120" s="1" t="s">
        <v>1067</v>
      </c>
      <c r="AJ120" s="1">
        <f t="shared" si="49"/>
        <v>90</v>
      </c>
      <c r="AK120" s="1">
        <v>0</v>
      </c>
      <c r="AL120" s="1" t="s">
        <v>118</v>
      </c>
      <c r="AM120" s="1">
        <f t="shared" si="50"/>
        <v>0</v>
      </c>
      <c r="AN120" s="1">
        <v>0</v>
      </c>
      <c r="AO120" s="1" t="s">
        <v>118</v>
      </c>
      <c r="AP120" s="1">
        <f t="shared" si="51"/>
        <v>0</v>
      </c>
      <c r="AQ120" s="1" t="s">
        <v>71</v>
      </c>
      <c r="AR120" s="1" t="str">
        <f t="shared" si="52"/>
        <v>1.1/2"</v>
      </c>
      <c r="AS120" s="1">
        <v>1</v>
      </c>
      <c r="AT120" s="1"/>
      <c r="AU120" s="1"/>
      <c r="AV120" s="17"/>
      <c r="AW120" s="2"/>
      <c r="AX120" s="2"/>
      <c r="AY120" s="2"/>
      <c r="AZ120" s="17"/>
      <c r="BA120" s="1"/>
      <c r="BB120" s="1"/>
      <c r="BC120" s="1"/>
      <c r="BD120" s="1"/>
      <c r="BE120" s="18"/>
      <c r="BF120" s="2">
        <f t="shared" si="53"/>
        <v>0</v>
      </c>
      <c r="BG120" s="6"/>
      <c r="BH120" s="6"/>
    </row>
    <row r="121" spans="1:60" ht="12.75" customHeight="1" x14ac:dyDescent="0.2">
      <c r="A121" s="19">
        <v>300</v>
      </c>
      <c r="B121" s="19" t="s">
        <v>954</v>
      </c>
      <c r="C121" s="19" t="s">
        <v>870</v>
      </c>
      <c r="D121" s="20" t="s">
        <v>689</v>
      </c>
      <c r="E121" s="20"/>
      <c r="F121" s="21"/>
      <c r="G121" s="21"/>
      <c r="H121" s="21"/>
      <c r="I121" s="21"/>
      <c r="J121" s="21"/>
      <c r="K121" s="21"/>
      <c r="L121" s="21"/>
      <c r="M121" s="21"/>
      <c r="N121" s="32" t="s">
        <v>1035</v>
      </c>
      <c r="O121" s="22" t="s">
        <v>5</v>
      </c>
      <c r="P121" s="23">
        <v>30</v>
      </c>
      <c r="Q121" s="34">
        <f t="shared" si="46"/>
        <v>22.38</v>
      </c>
      <c r="R121" s="39"/>
      <c r="S121" s="39">
        <f>IF(O121="","",IF(O121="NA","",IF(O121="Mini disjuntor + DR",0.92,IF(O121="Mini disjuntor",0.92,IF(O121="Disjuntor Motor",0.92,IF(O121="Disjuntor C.M.",0.92,IF(O121="Disjuntor C.A.",0.92,IFERROR(VLOOKUP('Lista de Cargas'!P121,Motores!$B$9:$T$48,19,FALSE),"Erro"))))))))</f>
        <v>0.84</v>
      </c>
      <c r="T121" s="40">
        <f>IF(O121="","",IF(O121="NA","",IF(O121="Mini disjuntor + DR",100%,IF(O121="Mini disjuntor",100%,IF(O121="Disjuntor Motor",0.92,IF(O121="Disjuntor C.M.",100%,IF(O121="Disjuntor C.A.",100%,IFERROR(VLOOKUP('Lista de Cargas'!P121,Motores!$B$9:$T$48,16,FALSE)/100,"Erro"))))))))</f>
        <v>0.93</v>
      </c>
      <c r="U121" s="40" t="s">
        <v>445</v>
      </c>
      <c r="V121" s="39">
        <v>440</v>
      </c>
      <c r="W121" s="2">
        <f t="shared" si="44"/>
        <v>37.59105753521338</v>
      </c>
      <c r="X121" s="2">
        <f t="shared" si="47"/>
        <v>26.642857142857142</v>
      </c>
      <c r="Y121" s="2">
        <f t="shared" si="45"/>
        <v>56.386586302820071</v>
      </c>
      <c r="Z121" s="1"/>
      <c r="AA121" s="1"/>
      <c r="AB121" s="1">
        <v>110</v>
      </c>
      <c r="AC121" s="1"/>
      <c r="AD121" s="1"/>
      <c r="AE121" s="1"/>
      <c r="AF121" s="1"/>
      <c r="AG121" s="1">
        <f t="shared" si="48"/>
        <v>110</v>
      </c>
      <c r="AH121" s="1">
        <v>1</v>
      </c>
      <c r="AI121" s="1" t="s">
        <v>1057</v>
      </c>
      <c r="AJ121" s="1">
        <f t="shared" si="49"/>
        <v>110</v>
      </c>
      <c r="AK121" s="1">
        <v>0</v>
      </c>
      <c r="AL121" s="1" t="s">
        <v>118</v>
      </c>
      <c r="AM121" s="1">
        <f t="shared" si="50"/>
        <v>0</v>
      </c>
      <c r="AN121" s="1">
        <v>0</v>
      </c>
      <c r="AO121" s="1" t="s">
        <v>118</v>
      </c>
      <c r="AP121" s="1">
        <f t="shared" si="51"/>
        <v>0</v>
      </c>
      <c r="AQ121" s="1" t="s">
        <v>60</v>
      </c>
      <c r="AR121" s="1" t="str">
        <f t="shared" si="52"/>
        <v>1"</v>
      </c>
      <c r="AS121" s="1">
        <v>1</v>
      </c>
      <c r="AT121" s="1"/>
      <c r="AU121" s="1"/>
      <c r="AV121" s="17"/>
      <c r="AW121" s="2"/>
      <c r="AX121" s="2"/>
      <c r="AY121" s="2"/>
      <c r="AZ121" s="17"/>
      <c r="BA121" s="1"/>
      <c r="BB121" s="1"/>
      <c r="BC121" s="1"/>
      <c r="BD121" s="1"/>
      <c r="BE121" s="18"/>
      <c r="BF121" s="2">
        <f t="shared" si="53"/>
        <v>0</v>
      </c>
      <c r="BG121" s="6"/>
      <c r="BH121" s="6"/>
    </row>
    <row r="122" spans="1:60" ht="12.75" customHeight="1" x14ac:dyDescent="0.2">
      <c r="A122" s="19">
        <v>300</v>
      </c>
      <c r="B122" s="19" t="s">
        <v>954</v>
      </c>
      <c r="C122" s="19" t="s">
        <v>871</v>
      </c>
      <c r="D122" s="20" t="s">
        <v>689</v>
      </c>
      <c r="E122" s="20"/>
      <c r="F122" s="21"/>
      <c r="G122" s="21"/>
      <c r="H122" s="21"/>
      <c r="I122" s="21"/>
      <c r="J122" s="21"/>
      <c r="K122" s="21"/>
      <c r="L122" s="21"/>
      <c r="M122" s="21"/>
      <c r="N122" s="32" t="s">
        <v>1035</v>
      </c>
      <c r="O122" s="22" t="s">
        <v>5</v>
      </c>
      <c r="P122" s="23">
        <v>30</v>
      </c>
      <c r="Q122" s="34">
        <f t="shared" si="46"/>
        <v>22.38</v>
      </c>
      <c r="R122" s="39"/>
      <c r="S122" s="39">
        <f>IF(O122="","",IF(O122="NA","",IF(O122="Mini disjuntor + DR",0.92,IF(O122="Mini disjuntor",0.92,IF(O122="Disjuntor Motor",0.92,IF(O122="Disjuntor C.M.",0.92,IF(O122="Disjuntor C.A.",0.92,IFERROR(VLOOKUP('Lista de Cargas'!P122,Motores!$B$9:$T$48,19,FALSE),"Erro"))))))))</f>
        <v>0.84</v>
      </c>
      <c r="T122" s="40">
        <f>IF(O122="","",IF(O122="NA","",IF(O122="Mini disjuntor + DR",100%,IF(O122="Mini disjuntor",100%,IF(O122="Disjuntor Motor",0.92,IF(O122="Disjuntor C.M.",100%,IF(O122="Disjuntor C.A.",100%,IFERROR(VLOOKUP('Lista de Cargas'!P122,Motores!$B$9:$T$48,16,FALSE)/100,"Erro"))))))))</f>
        <v>0.93</v>
      </c>
      <c r="U122" s="40" t="s">
        <v>445</v>
      </c>
      <c r="V122" s="39">
        <v>440</v>
      </c>
      <c r="W122" s="2">
        <f t="shared" si="44"/>
        <v>37.59105753521338</v>
      </c>
      <c r="X122" s="2">
        <f t="shared" si="47"/>
        <v>26.642857142857142</v>
      </c>
      <c r="Y122" s="2">
        <f t="shared" si="45"/>
        <v>56.386586302820071</v>
      </c>
      <c r="Z122" s="1"/>
      <c r="AA122" s="1"/>
      <c r="AB122" s="1">
        <v>110</v>
      </c>
      <c r="AC122" s="1"/>
      <c r="AD122" s="1"/>
      <c r="AE122" s="1"/>
      <c r="AF122" s="1"/>
      <c r="AG122" s="1">
        <f t="shared" si="48"/>
        <v>110</v>
      </c>
      <c r="AH122" s="1">
        <v>1</v>
      </c>
      <c r="AI122" s="1" t="s">
        <v>1057</v>
      </c>
      <c r="AJ122" s="1">
        <f t="shared" si="49"/>
        <v>110</v>
      </c>
      <c r="AK122" s="1">
        <v>0</v>
      </c>
      <c r="AL122" s="1" t="s">
        <v>118</v>
      </c>
      <c r="AM122" s="1">
        <f t="shared" si="50"/>
        <v>0</v>
      </c>
      <c r="AN122" s="1">
        <v>0</v>
      </c>
      <c r="AO122" s="1" t="s">
        <v>118</v>
      </c>
      <c r="AP122" s="1">
        <f t="shared" si="51"/>
        <v>0</v>
      </c>
      <c r="AQ122" s="1" t="s">
        <v>60</v>
      </c>
      <c r="AR122" s="1" t="str">
        <f t="shared" si="52"/>
        <v>1"</v>
      </c>
      <c r="AS122" s="1">
        <v>1</v>
      </c>
      <c r="AT122" s="1"/>
      <c r="AU122" s="1"/>
      <c r="AV122" s="17"/>
      <c r="AW122" s="2"/>
      <c r="AX122" s="2"/>
      <c r="AY122" s="2"/>
      <c r="AZ122" s="17"/>
      <c r="BA122" s="1"/>
      <c r="BB122" s="1"/>
      <c r="BC122" s="1"/>
      <c r="BD122" s="1"/>
      <c r="BE122" s="18"/>
      <c r="BF122" s="2">
        <f t="shared" si="53"/>
        <v>0</v>
      </c>
      <c r="BG122" s="6"/>
      <c r="BH122" s="6"/>
    </row>
    <row r="123" spans="1:60" ht="12.75" customHeight="1" x14ac:dyDescent="0.2">
      <c r="A123" s="19">
        <v>300</v>
      </c>
      <c r="B123" s="19" t="s">
        <v>954</v>
      </c>
      <c r="C123" s="19" t="s">
        <v>872</v>
      </c>
      <c r="D123" s="20" t="s">
        <v>689</v>
      </c>
      <c r="E123" s="20"/>
      <c r="F123" s="21"/>
      <c r="G123" s="21"/>
      <c r="H123" s="21"/>
      <c r="I123" s="21"/>
      <c r="J123" s="21"/>
      <c r="K123" s="21"/>
      <c r="L123" s="21"/>
      <c r="M123" s="21"/>
      <c r="N123" s="32" t="s">
        <v>1035</v>
      </c>
      <c r="O123" s="22" t="s">
        <v>5</v>
      </c>
      <c r="P123" s="23">
        <v>30</v>
      </c>
      <c r="Q123" s="34">
        <f t="shared" si="46"/>
        <v>22.38</v>
      </c>
      <c r="R123" s="39"/>
      <c r="S123" s="39">
        <f>IF(O123="","",IF(O123="NA","",IF(O123="Mini disjuntor + DR",0.92,IF(O123="Mini disjuntor",0.92,IF(O123="Disjuntor Motor",0.92,IF(O123="Disjuntor C.M.",0.92,IF(O123="Disjuntor C.A.",0.92,IFERROR(VLOOKUP('Lista de Cargas'!P123,Motores!$B$9:$T$48,19,FALSE),"Erro"))))))))</f>
        <v>0.84</v>
      </c>
      <c r="T123" s="40">
        <f>IF(O123="","",IF(O123="NA","",IF(O123="Mini disjuntor + DR",100%,IF(O123="Mini disjuntor",100%,IF(O123="Disjuntor Motor",0.92,IF(O123="Disjuntor C.M.",100%,IF(O123="Disjuntor C.A.",100%,IFERROR(VLOOKUP('Lista de Cargas'!P123,Motores!$B$9:$T$48,16,FALSE)/100,"Erro"))))))))</f>
        <v>0.93</v>
      </c>
      <c r="U123" s="40" t="s">
        <v>445</v>
      </c>
      <c r="V123" s="39">
        <v>440</v>
      </c>
      <c r="W123" s="2">
        <f t="shared" si="44"/>
        <v>37.59105753521338</v>
      </c>
      <c r="X123" s="2">
        <f t="shared" si="47"/>
        <v>26.642857142857142</v>
      </c>
      <c r="Y123" s="2">
        <f t="shared" si="45"/>
        <v>56.386586302820071</v>
      </c>
      <c r="Z123" s="1"/>
      <c r="AA123" s="1"/>
      <c r="AB123" s="1">
        <v>110</v>
      </c>
      <c r="AC123" s="1"/>
      <c r="AD123" s="1"/>
      <c r="AE123" s="1"/>
      <c r="AF123" s="1"/>
      <c r="AG123" s="1">
        <f t="shared" si="48"/>
        <v>110</v>
      </c>
      <c r="AH123" s="1">
        <v>1</v>
      </c>
      <c r="AI123" s="1" t="s">
        <v>1057</v>
      </c>
      <c r="AJ123" s="1">
        <f t="shared" si="49"/>
        <v>110</v>
      </c>
      <c r="AK123" s="1">
        <v>0</v>
      </c>
      <c r="AL123" s="1" t="s">
        <v>118</v>
      </c>
      <c r="AM123" s="1">
        <f t="shared" si="50"/>
        <v>0</v>
      </c>
      <c r="AN123" s="1">
        <v>0</v>
      </c>
      <c r="AO123" s="1" t="s">
        <v>118</v>
      </c>
      <c r="AP123" s="1">
        <f t="shared" si="51"/>
        <v>0</v>
      </c>
      <c r="AQ123" s="1" t="s">
        <v>60</v>
      </c>
      <c r="AR123" s="1" t="str">
        <f t="shared" si="52"/>
        <v>1"</v>
      </c>
      <c r="AS123" s="1">
        <v>1</v>
      </c>
      <c r="AT123" s="1"/>
      <c r="AU123" s="1"/>
      <c r="AV123" s="17"/>
      <c r="AW123" s="2"/>
      <c r="AX123" s="2"/>
      <c r="AY123" s="2"/>
      <c r="AZ123" s="17"/>
      <c r="BA123" s="1"/>
      <c r="BB123" s="1"/>
      <c r="BC123" s="1"/>
      <c r="BD123" s="1"/>
      <c r="BE123" s="18"/>
      <c r="BF123" s="2">
        <f t="shared" si="53"/>
        <v>0</v>
      </c>
      <c r="BG123" s="6"/>
      <c r="BH123" s="6"/>
    </row>
    <row r="124" spans="1:60" ht="12.75" customHeight="1" x14ac:dyDescent="0.2">
      <c r="A124" s="19">
        <v>300</v>
      </c>
      <c r="B124" s="19" t="s">
        <v>954</v>
      </c>
      <c r="C124" s="19" t="s">
        <v>532</v>
      </c>
      <c r="D124" s="20" t="s">
        <v>690</v>
      </c>
      <c r="E124" s="20"/>
      <c r="F124" s="21"/>
      <c r="G124" s="21"/>
      <c r="H124" s="21"/>
      <c r="I124" s="21"/>
      <c r="J124" s="21"/>
      <c r="K124" s="21"/>
      <c r="L124" s="21"/>
      <c r="M124" s="21"/>
      <c r="N124" s="32" t="s">
        <v>1035</v>
      </c>
      <c r="O124" s="22" t="s">
        <v>5</v>
      </c>
      <c r="P124" s="23">
        <v>30</v>
      </c>
      <c r="Q124" s="34">
        <f t="shared" si="46"/>
        <v>22.38</v>
      </c>
      <c r="R124" s="39"/>
      <c r="S124" s="39">
        <f>IF(O124="","",IF(O124="NA","",IF(O124="Mini disjuntor + DR",0.92,IF(O124="Mini disjuntor",0.92,IF(O124="Disjuntor Motor",0.92,IF(O124="Disjuntor C.M.",0.92,IF(O124="Disjuntor C.A.",0.92,IFERROR(VLOOKUP('Lista de Cargas'!P124,Motores!$B$9:$T$48,19,FALSE),"Erro"))))))))</f>
        <v>0.84</v>
      </c>
      <c r="T124" s="40">
        <f>IF(O124="","",IF(O124="NA","",IF(O124="Mini disjuntor + DR",100%,IF(O124="Mini disjuntor",100%,IF(O124="Disjuntor Motor",0.92,IF(O124="Disjuntor C.M.",100%,IF(O124="Disjuntor C.A.",100%,IFERROR(VLOOKUP('Lista de Cargas'!P124,Motores!$B$9:$T$48,16,FALSE)/100,"Erro"))))))))</f>
        <v>0.93</v>
      </c>
      <c r="U124" s="40" t="s">
        <v>445</v>
      </c>
      <c r="V124" s="39">
        <v>440</v>
      </c>
      <c r="W124" s="2">
        <f t="shared" si="44"/>
        <v>37.59105753521338</v>
      </c>
      <c r="X124" s="2">
        <f t="shared" si="47"/>
        <v>26.642857142857142</v>
      </c>
      <c r="Y124" s="2">
        <f t="shared" si="45"/>
        <v>56.386586302820071</v>
      </c>
      <c r="Z124" s="1"/>
      <c r="AA124" s="1"/>
      <c r="AB124" s="1">
        <v>120</v>
      </c>
      <c r="AC124" s="1"/>
      <c r="AD124" s="1"/>
      <c r="AE124" s="1"/>
      <c r="AF124" s="1"/>
      <c r="AG124" s="1">
        <f t="shared" si="48"/>
        <v>120</v>
      </c>
      <c r="AH124" s="1">
        <v>1</v>
      </c>
      <c r="AI124" s="1" t="s">
        <v>1057</v>
      </c>
      <c r="AJ124" s="1">
        <f t="shared" si="49"/>
        <v>120</v>
      </c>
      <c r="AK124" s="1">
        <v>0</v>
      </c>
      <c r="AL124" s="1" t="s">
        <v>118</v>
      </c>
      <c r="AM124" s="1">
        <f t="shared" si="50"/>
        <v>0</v>
      </c>
      <c r="AN124" s="1">
        <v>0</v>
      </c>
      <c r="AO124" s="1" t="s">
        <v>118</v>
      </c>
      <c r="AP124" s="1">
        <f t="shared" si="51"/>
        <v>0</v>
      </c>
      <c r="AQ124" s="1" t="s">
        <v>60</v>
      </c>
      <c r="AR124" s="1" t="str">
        <f t="shared" si="52"/>
        <v>1"</v>
      </c>
      <c r="AS124" s="1">
        <v>1</v>
      </c>
      <c r="AT124" s="1"/>
      <c r="AU124" s="1"/>
      <c r="AV124" s="17"/>
      <c r="AW124" s="2"/>
      <c r="AX124" s="2"/>
      <c r="AY124" s="2"/>
      <c r="AZ124" s="17"/>
      <c r="BA124" s="1"/>
      <c r="BB124" s="1"/>
      <c r="BC124" s="1"/>
      <c r="BD124" s="1"/>
      <c r="BE124" s="18"/>
      <c r="BF124" s="2">
        <f t="shared" si="53"/>
        <v>0</v>
      </c>
      <c r="BG124" s="6"/>
      <c r="BH124" s="6"/>
    </row>
    <row r="125" spans="1:60" ht="12.75" customHeight="1" x14ac:dyDescent="0.2">
      <c r="A125" s="19">
        <v>300</v>
      </c>
      <c r="B125" s="19" t="s">
        <v>954</v>
      </c>
      <c r="C125" s="19" t="s">
        <v>533</v>
      </c>
      <c r="D125" s="20" t="s">
        <v>691</v>
      </c>
      <c r="E125" s="20"/>
      <c r="F125" s="21"/>
      <c r="G125" s="21"/>
      <c r="H125" s="21"/>
      <c r="I125" s="21"/>
      <c r="J125" s="21"/>
      <c r="K125" s="21"/>
      <c r="L125" s="21"/>
      <c r="M125" s="21"/>
      <c r="N125" s="32" t="s">
        <v>1035</v>
      </c>
      <c r="O125" s="22" t="s">
        <v>5</v>
      </c>
      <c r="P125" s="23">
        <v>15</v>
      </c>
      <c r="Q125" s="34">
        <f t="shared" si="46"/>
        <v>11.19</v>
      </c>
      <c r="R125" s="39"/>
      <c r="S125" s="39">
        <f>IF(O125="","",IF(O125="NA","",IF(O125="Mini disjuntor + DR",0.92,IF(O125="Mini disjuntor",0.92,IF(O125="Disjuntor Motor",0.92,IF(O125="Disjuntor C.M.",0.92,IF(O125="Disjuntor C.A.",0.92,IFERROR(VLOOKUP('Lista de Cargas'!P125,Motores!$B$9:$T$48,19,FALSE),"Erro"))))))))</f>
        <v>0.85</v>
      </c>
      <c r="T125" s="40">
        <f>IF(O125="","",IF(O125="NA","",IF(O125="Mini disjuntor + DR",100%,IF(O125="Mini disjuntor",100%,IF(O125="Disjuntor Motor",0.92,IF(O125="Disjuntor C.M.",100%,IF(O125="Disjuntor C.A.",100%,IFERROR(VLOOKUP('Lista de Cargas'!P125,Motores!$B$9:$T$48,16,FALSE)/100,"Erro"))))))))</f>
        <v>0.91700000000000004</v>
      </c>
      <c r="U125" s="40" t="s">
        <v>445</v>
      </c>
      <c r="V125" s="39">
        <v>440</v>
      </c>
      <c r="W125" s="2">
        <f t="shared" si="44"/>
        <v>18.837727979029246</v>
      </c>
      <c r="X125" s="2">
        <f t="shared" si="47"/>
        <v>13.164705882352941</v>
      </c>
      <c r="Y125" s="2">
        <f t="shared" si="45"/>
        <v>28.256591968543869</v>
      </c>
      <c r="Z125" s="1"/>
      <c r="AA125" s="1"/>
      <c r="AB125" s="1">
        <v>120</v>
      </c>
      <c r="AC125" s="1"/>
      <c r="AD125" s="1"/>
      <c r="AE125" s="1"/>
      <c r="AF125" s="1"/>
      <c r="AG125" s="1">
        <f t="shared" si="48"/>
        <v>120</v>
      </c>
      <c r="AH125" s="1">
        <v>1</v>
      </c>
      <c r="AI125" s="1" t="s">
        <v>1062</v>
      </c>
      <c r="AJ125" s="1">
        <f t="shared" si="49"/>
        <v>120</v>
      </c>
      <c r="AK125" s="1">
        <v>0</v>
      </c>
      <c r="AL125" s="1" t="s">
        <v>118</v>
      </c>
      <c r="AM125" s="1">
        <f t="shared" si="50"/>
        <v>0</v>
      </c>
      <c r="AN125" s="1">
        <v>0</v>
      </c>
      <c r="AO125" s="1" t="s">
        <v>118</v>
      </c>
      <c r="AP125" s="1">
        <f t="shared" si="51"/>
        <v>0</v>
      </c>
      <c r="AQ125" s="1" t="s">
        <v>69</v>
      </c>
      <c r="AR125" s="1" t="str">
        <f t="shared" si="52"/>
        <v>1"</v>
      </c>
      <c r="AS125" s="1">
        <v>1</v>
      </c>
      <c r="AT125" s="1"/>
      <c r="AU125" s="1"/>
      <c r="AV125" s="17"/>
      <c r="AW125" s="2"/>
      <c r="AX125" s="2"/>
      <c r="AY125" s="2"/>
      <c r="AZ125" s="17"/>
      <c r="BA125" s="1"/>
      <c r="BB125" s="1"/>
      <c r="BC125" s="1"/>
      <c r="BD125" s="1"/>
      <c r="BE125" s="18"/>
      <c r="BF125" s="2">
        <f t="shared" si="53"/>
        <v>0</v>
      </c>
      <c r="BG125" s="6"/>
      <c r="BH125" s="6"/>
    </row>
    <row r="126" spans="1:60" ht="12.75" customHeight="1" x14ac:dyDescent="0.2">
      <c r="A126" s="19">
        <v>300</v>
      </c>
      <c r="B126" s="19" t="s">
        <v>954</v>
      </c>
      <c r="C126" s="19" t="s">
        <v>873</v>
      </c>
      <c r="D126" s="20" t="s">
        <v>692</v>
      </c>
      <c r="E126" s="20"/>
      <c r="F126" s="21"/>
      <c r="G126" s="21"/>
      <c r="H126" s="21"/>
      <c r="I126" s="21"/>
      <c r="J126" s="21"/>
      <c r="K126" s="21"/>
      <c r="L126" s="21"/>
      <c r="M126" s="21"/>
      <c r="N126" s="32" t="s">
        <v>1035</v>
      </c>
      <c r="O126" s="22" t="s">
        <v>34</v>
      </c>
      <c r="P126" s="23">
        <v>0.03</v>
      </c>
      <c r="Q126" s="34">
        <f t="shared" si="46"/>
        <v>2.2380000000000001E-2</v>
      </c>
      <c r="R126" s="39"/>
      <c r="S126" s="39">
        <v>0.84</v>
      </c>
      <c r="T126" s="40">
        <v>0.93</v>
      </c>
      <c r="U126" s="40" t="s">
        <v>444</v>
      </c>
      <c r="V126" s="39">
        <v>220</v>
      </c>
      <c r="W126" s="2">
        <f t="shared" si="44"/>
        <v>0.13021924312246891</v>
      </c>
      <c r="X126" s="2">
        <f t="shared" si="47"/>
        <v>2.6642857142857145E-2</v>
      </c>
      <c r="Y126" s="2">
        <f t="shared" si="45"/>
        <v>0.78131545873481345</v>
      </c>
      <c r="Z126" s="1"/>
      <c r="AA126" s="1"/>
      <c r="AB126" s="1">
        <v>90</v>
      </c>
      <c r="AC126" s="1"/>
      <c r="AD126" s="1"/>
      <c r="AE126" s="1"/>
      <c r="AF126" s="1"/>
      <c r="AG126" s="1">
        <f t="shared" si="48"/>
        <v>90</v>
      </c>
      <c r="AH126" s="1">
        <v>1</v>
      </c>
      <c r="AI126" s="1" t="s">
        <v>1068</v>
      </c>
      <c r="AJ126" s="1">
        <f t="shared" si="49"/>
        <v>90</v>
      </c>
      <c r="AK126" s="1">
        <v>0</v>
      </c>
      <c r="AL126" s="1" t="s">
        <v>118</v>
      </c>
      <c r="AM126" s="1">
        <f t="shared" si="50"/>
        <v>0</v>
      </c>
      <c r="AN126" s="1">
        <v>0</v>
      </c>
      <c r="AO126" s="1" t="s">
        <v>118</v>
      </c>
      <c r="AP126" s="1">
        <f t="shared" si="51"/>
        <v>0</v>
      </c>
      <c r="AQ126" s="1" t="s">
        <v>57</v>
      </c>
      <c r="AR126" s="1" t="str">
        <f t="shared" si="52"/>
        <v>3/4"</v>
      </c>
      <c r="AS126" s="1">
        <v>1</v>
      </c>
      <c r="AT126" s="1"/>
      <c r="AU126" s="1"/>
      <c r="AV126" s="17"/>
      <c r="AW126" s="2"/>
      <c r="AX126" s="2"/>
      <c r="AY126" s="2"/>
      <c r="AZ126" s="17"/>
      <c r="BA126" s="1"/>
      <c r="BB126" s="1"/>
      <c r="BC126" s="1"/>
      <c r="BD126" s="1"/>
      <c r="BE126" s="18"/>
      <c r="BF126" s="2">
        <f t="shared" si="53"/>
        <v>4.922211829761599E-3</v>
      </c>
      <c r="BG126" s="6"/>
      <c r="BH126" s="6"/>
    </row>
    <row r="127" spans="1:60" ht="12.75" customHeight="1" x14ac:dyDescent="0.2">
      <c r="A127" s="19">
        <v>300</v>
      </c>
      <c r="B127" s="19" t="s">
        <v>954</v>
      </c>
      <c r="C127" s="19" t="s">
        <v>874</v>
      </c>
      <c r="D127" s="20" t="s">
        <v>692</v>
      </c>
      <c r="E127" s="20"/>
      <c r="F127" s="21"/>
      <c r="G127" s="21"/>
      <c r="H127" s="21"/>
      <c r="I127" s="21"/>
      <c r="J127" s="21"/>
      <c r="K127" s="21"/>
      <c r="L127" s="21"/>
      <c r="M127" s="21"/>
      <c r="N127" s="32" t="s">
        <v>1035</v>
      </c>
      <c r="O127" s="22" t="s">
        <v>34</v>
      </c>
      <c r="P127" s="23">
        <v>0.03</v>
      </c>
      <c r="Q127" s="34">
        <f t="shared" si="46"/>
        <v>2.2380000000000001E-2</v>
      </c>
      <c r="R127" s="39"/>
      <c r="S127" s="39">
        <v>0.84</v>
      </c>
      <c r="T127" s="40">
        <v>0.93</v>
      </c>
      <c r="U127" s="40" t="s">
        <v>444</v>
      </c>
      <c r="V127" s="39">
        <v>220</v>
      </c>
      <c r="W127" s="2">
        <f t="shared" si="44"/>
        <v>0.13021924312246891</v>
      </c>
      <c r="X127" s="2">
        <f t="shared" si="47"/>
        <v>2.6642857142857145E-2</v>
      </c>
      <c r="Y127" s="2">
        <f t="shared" si="45"/>
        <v>0.78131545873481345</v>
      </c>
      <c r="Z127" s="1"/>
      <c r="AA127" s="1"/>
      <c r="AB127" s="1">
        <v>90</v>
      </c>
      <c r="AC127" s="1"/>
      <c r="AD127" s="1"/>
      <c r="AE127" s="1"/>
      <c r="AF127" s="1"/>
      <c r="AG127" s="1">
        <f t="shared" si="48"/>
        <v>90</v>
      </c>
      <c r="AH127" s="1">
        <v>1</v>
      </c>
      <c r="AI127" s="1" t="s">
        <v>1068</v>
      </c>
      <c r="AJ127" s="1">
        <f t="shared" si="49"/>
        <v>90</v>
      </c>
      <c r="AK127" s="1">
        <v>0</v>
      </c>
      <c r="AL127" s="1" t="s">
        <v>118</v>
      </c>
      <c r="AM127" s="1">
        <f t="shared" si="50"/>
        <v>0</v>
      </c>
      <c r="AN127" s="1">
        <v>0</v>
      </c>
      <c r="AO127" s="1" t="s">
        <v>118</v>
      </c>
      <c r="AP127" s="1">
        <f t="shared" si="51"/>
        <v>0</v>
      </c>
      <c r="AQ127" s="1" t="s">
        <v>57</v>
      </c>
      <c r="AR127" s="1" t="str">
        <f t="shared" si="52"/>
        <v>3/4"</v>
      </c>
      <c r="AS127" s="1">
        <v>1</v>
      </c>
      <c r="AT127" s="1"/>
      <c r="AU127" s="1"/>
      <c r="AV127" s="17"/>
      <c r="AW127" s="2"/>
      <c r="AX127" s="2"/>
      <c r="AY127" s="2"/>
      <c r="AZ127" s="17"/>
      <c r="BA127" s="1"/>
      <c r="BB127" s="1"/>
      <c r="BC127" s="1"/>
      <c r="BD127" s="1"/>
      <c r="BE127" s="18"/>
      <c r="BF127" s="2">
        <f t="shared" si="53"/>
        <v>4.922211829761599E-3</v>
      </c>
      <c r="BG127" s="6"/>
      <c r="BH127" s="6"/>
    </row>
    <row r="128" spans="1:60" ht="12.75" customHeight="1" x14ac:dyDescent="0.2">
      <c r="A128" s="19">
        <v>300</v>
      </c>
      <c r="B128" s="19" t="s">
        <v>954</v>
      </c>
      <c r="C128" s="19" t="s">
        <v>875</v>
      </c>
      <c r="D128" s="20" t="s">
        <v>693</v>
      </c>
      <c r="E128" s="20"/>
      <c r="F128" s="21"/>
      <c r="G128" s="21"/>
      <c r="H128" s="21"/>
      <c r="I128" s="21"/>
      <c r="J128" s="21"/>
      <c r="K128" s="21"/>
      <c r="L128" s="21"/>
      <c r="M128" s="21"/>
      <c r="N128" s="32" t="s">
        <v>1035</v>
      </c>
      <c r="O128" s="22" t="s">
        <v>34</v>
      </c>
      <c r="P128" s="23">
        <v>0.03</v>
      </c>
      <c r="Q128" s="34">
        <f t="shared" si="46"/>
        <v>2.2380000000000001E-2</v>
      </c>
      <c r="R128" s="39"/>
      <c r="S128" s="39">
        <v>0.84</v>
      </c>
      <c r="T128" s="40">
        <v>0.93</v>
      </c>
      <c r="U128" s="40" t="s">
        <v>444</v>
      </c>
      <c r="V128" s="39">
        <v>220</v>
      </c>
      <c r="W128" s="2">
        <f t="shared" si="44"/>
        <v>0.13021924312246891</v>
      </c>
      <c r="X128" s="2">
        <f t="shared" si="47"/>
        <v>2.6642857142857145E-2</v>
      </c>
      <c r="Y128" s="2">
        <f t="shared" si="45"/>
        <v>0.78131545873481345</v>
      </c>
      <c r="Z128" s="1"/>
      <c r="AA128" s="1"/>
      <c r="AB128" s="1">
        <v>90</v>
      </c>
      <c r="AC128" s="1"/>
      <c r="AD128" s="1"/>
      <c r="AE128" s="1"/>
      <c r="AF128" s="1"/>
      <c r="AG128" s="1">
        <f t="shared" si="48"/>
        <v>90</v>
      </c>
      <c r="AH128" s="1">
        <v>1</v>
      </c>
      <c r="AI128" s="1" t="s">
        <v>1068</v>
      </c>
      <c r="AJ128" s="1">
        <f t="shared" si="49"/>
        <v>90</v>
      </c>
      <c r="AK128" s="1">
        <v>0</v>
      </c>
      <c r="AL128" s="1" t="s">
        <v>118</v>
      </c>
      <c r="AM128" s="1">
        <f t="shared" si="50"/>
        <v>0</v>
      </c>
      <c r="AN128" s="1">
        <v>0</v>
      </c>
      <c r="AO128" s="1" t="s">
        <v>118</v>
      </c>
      <c r="AP128" s="1">
        <f t="shared" si="51"/>
        <v>0</v>
      </c>
      <c r="AQ128" s="1" t="s">
        <v>57</v>
      </c>
      <c r="AR128" s="1" t="str">
        <f t="shared" si="52"/>
        <v>3/4"</v>
      </c>
      <c r="AS128" s="1">
        <v>1</v>
      </c>
      <c r="AT128" s="1"/>
      <c r="AU128" s="1"/>
      <c r="AV128" s="17"/>
      <c r="AW128" s="2"/>
      <c r="AX128" s="2"/>
      <c r="AY128" s="2"/>
      <c r="AZ128" s="17"/>
      <c r="BA128" s="1"/>
      <c r="BB128" s="1"/>
      <c r="BC128" s="1"/>
      <c r="BD128" s="1"/>
      <c r="BE128" s="18"/>
      <c r="BF128" s="2">
        <f t="shared" si="53"/>
        <v>4.922211829761599E-3</v>
      </c>
      <c r="BG128" s="6"/>
      <c r="BH128" s="6"/>
    </row>
    <row r="129" spans="1:60" ht="12.75" customHeight="1" x14ac:dyDescent="0.2">
      <c r="A129" s="19">
        <v>300</v>
      </c>
      <c r="B129" s="19" t="s">
        <v>954</v>
      </c>
      <c r="C129" s="19" t="s">
        <v>876</v>
      </c>
      <c r="D129" s="20" t="s">
        <v>693</v>
      </c>
      <c r="E129" s="20"/>
      <c r="F129" s="21"/>
      <c r="G129" s="21"/>
      <c r="H129" s="21"/>
      <c r="I129" s="21"/>
      <c r="J129" s="21"/>
      <c r="K129" s="21"/>
      <c r="L129" s="21"/>
      <c r="M129" s="21"/>
      <c r="N129" s="32" t="s">
        <v>1035</v>
      </c>
      <c r="O129" s="22" t="s">
        <v>34</v>
      </c>
      <c r="P129" s="23">
        <v>0.03</v>
      </c>
      <c r="Q129" s="34">
        <f t="shared" si="46"/>
        <v>2.2380000000000001E-2</v>
      </c>
      <c r="R129" s="39"/>
      <c r="S129" s="39">
        <v>0.84</v>
      </c>
      <c r="T129" s="40">
        <v>0.93</v>
      </c>
      <c r="U129" s="40" t="s">
        <v>444</v>
      </c>
      <c r="V129" s="39">
        <v>220</v>
      </c>
      <c r="W129" s="2">
        <f t="shared" si="44"/>
        <v>0.13021924312246891</v>
      </c>
      <c r="X129" s="2">
        <f t="shared" si="47"/>
        <v>2.6642857142857145E-2</v>
      </c>
      <c r="Y129" s="2">
        <f t="shared" si="45"/>
        <v>0.78131545873481345</v>
      </c>
      <c r="Z129" s="1"/>
      <c r="AA129" s="1"/>
      <c r="AB129" s="1">
        <v>90</v>
      </c>
      <c r="AC129" s="1"/>
      <c r="AD129" s="1"/>
      <c r="AE129" s="1"/>
      <c r="AF129" s="1"/>
      <c r="AG129" s="1">
        <f t="shared" si="48"/>
        <v>90</v>
      </c>
      <c r="AH129" s="1">
        <v>1</v>
      </c>
      <c r="AI129" s="1" t="s">
        <v>1068</v>
      </c>
      <c r="AJ129" s="1">
        <f t="shared" si="49"/>
        <v>90</v>
      </c>
      <c r="AK129" s="1">
        <v>0</v>
      </c>
      <c r="AL129" s="1" t="s">
        <v>118</v>
      </c>
      <c r="AM129" s="1">
        <f t="shared" si="50"/>
        <v>0</v>
      </c>
      <c r="AN129" s="1">
        <v>0</v>
      </c>
      <c r="AO129" s="1" t="s">
        <v>118</v>
      </c>
      <c r="AP129" s="1">
        <f t="shared" si="51"/>
        <v>0</v>
      </c>
      <c r="AQ129" s="1" t="s">
        <v>57</v>
      </c>
      <c r="AR129" s="1" t="str">
        <f t="shared" si="52"/>
        <v>3/4"</v>
      </c>
      <c r="AS129" s="1">
        <v>1</v>
      </c>
      <c r="AT129" s="1"/>
      <c r="AU129" s="1"/>
      <c r="AV129" s="17"/>
      <c r="AW129" s="2"/>
      <c r="AX129" s="2"/>
      <c r="AY129" s="2"/>
      <c r="AZ129" s="17"/>
      <c r="BA129" s="1"/>
      <c r="BB129" s="1"/>
      <c r="BC129" s="1"/>
      <c r="BD129" s="1"/>
      <c r="BE129" s="18"/>
      <c r="BF129" s="2">
        <f t="shared" si="53"/>
        <v>4.922211829761599E-3</v>
      </c>
      <c r="BG129" s="6"/>
      <c r="BH129" s="6"/>
    </row>
    <row r="130" spans="1:60" ht="12.75" customHeight="1" x14ac:dyDescent="0.2">
      <c r="A130" s="19">
        <v>300</v>
      </c>
      <c r="B130" s="19" t="s">
        <v>954</v>
      </c>
      <c r="C130" s="19" t="s">
        <v>877</v>
      </c>
      <c r="D130" s="20" t="s">
        <v>694</v>
      </c>
      <c r="E130" s="20"/>
      <c r="F130" s="21"/>
      <c r="G130" s="21"/>
      <c r="H130" s="21"/>
      <c r="I130" s="21"/>
      <c r="J130" s="21"/>
      <c r="K130" s="21"/>
      <c r="L130" s="21"/>
      <c r="M130" s="21"/>
      <c r="N130" s="32" t="s">
        <v>1035</v>
      </c>
      <c r="O130" s="22" t="s">
        <v>34</v>
      </c>
      <c r="P130" s="23">
        <v>0.03</v>
      </c>
      <c r="Q130" s="34">
        <f t="shared" si="46"/>
        <v>2.2380000000000001E-2</v>
      </c>
      <c r="R130" s="39"/>
      <c r="S130" s="39">
        <v>0.84</v>
      </c>
      <c r="T130" s="40">
        <v>0.93</v>
      </c>
      <c r="U130" s="40" t="s">
        <v>444</v>
      </c>
      <c r="V130" s="39">
        <v>220</v>
      </c>
      <c r="W130" s="2">
        <f t="shared" ref="W130:W161" si="54">IFERROR(IF(U130=$U$344,(P130*746)/(SQRT(3)*S130*T130*V130),(P130*746)/(S130*T130*V130)),0)</f>
        <v>0.13021924312246891</v>
      </c>
      <c r="X130" s="2">
        <f t="shared" si="47"/>
        <v>2.6642857142857145E-2</v>
      </c>
      <c r="Y130" s="2">
        <f t="shared" ref="Y130:Y148" si="55">IFERROR(IF(O130=$O$344,6*W130,IF(O130=$O$345,6*W130,IF(O130=$O$346,3*W130,IF(O130=$O$347,1.5*W130,W130)))),0)</f>
        <v>0.78131545873481345</v>
      </c>
      <c r="Z130" s="1"/>
      <c r="AA130" s="1"/>
      <c r="AB130" s="1">
        <v>90</v>
      </c>
      <c r="AC130" s="1"/>
      <c r="AD130" s="1"/>
      <c r="AE130" s="1"/>
      <c r="AF130" s="1"/>
      <c r="AG130" s="1">
        <f t="shared" si="48"/>
        <v>90</v>
      </c>
      <c r="AH130" s="1">
        <v>1</v>
      </c>
      <c r="AI130" s="1" t="s">
        <v>1068</v>
      </c>
      <c r="AJ130" s="1">
        <f t="shared" si="49"/>
        <v>90</v>
      </c>
      <c r="AK130" s="1">
        <v>0</v>
      </c>
      <c r="AL130" s="1" t="s">
        <v>118</v>
      </c>
      <c r="AM130" s="1">
        <f t="shared" si="50"/>
        <v>0</v>
      </c>
      <c r="AN130" s="1">
        <v>0</v>
      </c>
      <c r="AO130" s="1" t="s">
        <v>118</v>
      </c>
      <c r="AP130" s="1">
        <f t="shared" si="51"/>
        <v>0</v>
      </c>
      <c r="AQ130" s="1" t="s">
        <v>57</v>
      </c>
      <c r="AR130" s="1" t="str">
        <f t="shared" si="52"/>
        <v>3/4"</v>
      </c>
      <c r="AS130" s="1">
        <v>1</v>
      </c>
      <c r="AT130" s="1"/>
      <c r="AU130" s="1"/>
      <c r="AV130" s="17"/>
      <c r="AW130" s="2"/>
      <c r="AX130" s="2"/>
      <c r="AY130" s="2"/>
      <c r="AZ130" s="17"/>
      <c r="BA130" s="1"/>
      <c r="BB130" s="1"/>
      <c r="BC130" s="1"/>
      <c r="BD130" s="1"/>
      <c r="BE130" s="18"/>
      <c r="BF130" s="2">
        <f t="shared" si="53"/>
        <v>4.922211829761599E-3</v>
      </c>
      <c r="BG130" s="6"/>
      <c r="BH130" s="6"/>
    </row>
    <row r="131" spans="1:60" ht="12.75" customHeight="1" x14ac:dyDescent="0.2">
      <c r="A131" s="19">
        <v>300</v>
      </c>
      <c r="B131" s="19" t="s">
        <v>954</v>
      </c>
      <c r="C131" s="19" t="s">
        <v>878</v>
      </c>
      <c r="D131" s="20" t="s">
        <v>694</v>
      </c>
      <c r="E131" s="20"/>
      <c r="F131" s="21"/>
      <c r="G131" s="21"/>
      <c r="H131" s="21"/>
      <c r="I131" s="21"/>
      <c r="J131" s="21"/>
      <c r="K131" s="21"/>
      <c r="L131" s="21"/>
      <c r="M131" s="21"/>
      <c r="N131" s="32" t="s">
        <v>1035</v>
      </c>
      <c r="O131" s="22" t="s">
        <v>34</v>
      </c>
      <c r="P131" s="23">
        <v>0.03</v>
      </c>
      <c r="Q131" s="34">
        <f t="shared" si="46"/>
        <v>2.2380000000000001E-2</v>
      </c>
      <c r="R131" s="39"/>
      <c r="S131" s="39">
        <v>0.84</v>
      </c>
      <c r="T131" s="40">
        <v>0.93</v>
      </c>
      <c r="U131" s="40" t="s">
        <v>444</v>
      </c>
      <c r="V131" s="39">
        <v>220</v>
      </c>
      <c r="W131" s="2">
        <f t="shared" si="54"/>
        <v>0.13021924312246891</v>
      </c>
      <c r="X131" s="2">
        <f t="shared" si="47"/>
        <v>2.6642857142857145E-2</v>
      </c>
      <c r="Y131" s="2">
        <f t="shared" si="55"/>
        <v>0.78131545873481345</v>
      </c>
      <c r="Z131" s="1"/>
      <c r="AA131" s="1"/>
      <c r="AB131" s="1">
        <v>90</v>
      </c>
      <c r="AC131" s="1"/>
      <c r="AD131" s="1"/>
      <c r="AE131" s="1"/>
      <c r="AF131" s="1"/>
      <c r="AG131" s="1">
        <f t="shared" si="48"/>
        <v>90</v>
      </c>
      <c r="AH131" s="1">
        <v>1</v>
      </c>
      <c r="AI131" s="1" t="s">
        <v>1068</v>
      </c>
      <c r="AJ131" s="1">
        <f t="shared" si="49"/>
        <v>90</v>
      </c>
      <c r="AK131" s="1">
        <v>0</v>
      </c>
      <c r="AL131" s="1" t="s">
        <v>118</v>
      </c>
      <c r="AM131" s="1">
        <f t="shared" si="50"/>
        <v>0</v>
      </c>
      <c r="AN131" s="1">
        <v>0</v>
      </c>
      <c r="AO131" s="1" t="s">
        <v>118</v>
      </c>
      <c r="AP131" s="1">
        <f t="shared" si="51"/>
        <v>0</v>
      </c>
      <c r="AQ131" s="1" t="s">
        <v>57</v>
      </c>
      <c r="AR131" s="1" t="str">
        <f t="shared" si="52"/>
        <v>3/4"</v>
      </c>
      <c r="AS131" s="1">
        <v>1</v>
      </c>
      <c r="AT131" s="1"/>
      <c r="AU131" s="1"/>
      <c r="AV131" s="17"/>
      <c r="AW131" s="2"/>
      <c r="AX131" s="2"/>
      <c r="AY131" s="2"/>
      <c r="AZ131" s="17"/>
      <c r="BA131" s="1"/>
      <c r="BB131" s="1"/>
      <c r="BC131" s="1"/>
      <c r="BD131" s="1"/>
      <c r="BE131" s="18"/>
      <c r="BF131" s="2">
        <f t="shared" si="53"/>
        <v>4.922211829761599E-3</v>
      </c>
      <c r="BG131" s="6"/>
      <c r="BH131" s="6"/>
    </row>
    <row r="132" spans="1:60" ht="12.75" customHeight="1" x14ac:dyDescent="0.2">
      <c r="A132" s="19">
        <v>300</v>
      </c>
      <c r="B132" s="19" t="s">
        <v>954</v>
      </c>
      <c r="C132" s="19" t="s">
        <v>879</v>
      </c>
      <c r="D132" s="20" t="s">
        <v>695</v>
      </c>
      <c r="E132" s="20"/>
      <c r="F132" s="21"/>
      <c r="G132" s="21"/>
      <c r="H132" s="21"/>
      <c r="I132" s="21"/>
      <c r="J132" s="21"/>
      <c r="K132" s="21"/>
      <c r="L132" s="21"/>
      <c r="M132" s="21"/>
      <c r="N132" s="32" t="s">
        <v>1035</v>
      </c>
      <c r="O132" s="22" t="s">
        <v>34</v>
      </c>
      <c r="P132" s="23">
        <v>0.03</v>
      </c>
      <c r="Q132" s="34">
        <f t="shared" si="46"/>
        <v>2.2380000000000001E-2</v>
      </c>
      <c r="R132" s="39"/>
      <c r="S132" s="39">
        <v>0.84</v>
      </c>
      <c r="T132" s="40">
        <v>0.93</v>
      </c>
      <c r="U132" s="40" t="s">
        <v>444</v>
      </c>
      <c r="V132" s="39">
        <v>220</v>
      </c>
      <c r="W132" s="2">
        <f t="shared" si="54"/>
        <v>0.13021924312246891</v>
      </c>
      <c r="X132" s="2">
        <f t="shared" si="47"/>
        <v>2.6642857142857145E-2</v>
      </c>
      <c r="Y132" s="2">
        <f t="shared" si="55"/>
        <v>0.78131545873481345</v>
      </c>
      <c r="Z132" s="1"/>
      <c r="AA132" s="1"/>
      <c r="AB132" s="1">
        <v>90</v>
      </c>
      <c r="AC132" s="1"/>
      <c r="AD132" s="1"/>
      <c r="AE132" s="1"/>
      <c r="AF132" s="1"/>
      <c r="AG132" s="1">
        <f t="shared" si="48"/>
        <v>90</v>
      </c>
      <c r="AH132" s="1">
        <v>1</v>
      </c>
      <c r="AI132" s="1" t="s">
        <v>1068</v>
      </c>
      <c r="AJ132" s="1">
        <f t="shared" si="49"/>
        <v>90</v>
      </c>
      <c r="AK132" s="1">
        <v>0</v>
      </c>
      <c r="AL132" s="1" t="s">
        <v>118</v>
      </c>
      <c r="AM132" s="1">
        <f t="shared" si="50"/>
        <v>0</v>
      </c>
      <c r="AN132" s="1">
        <v>0</v>
      </c>
      <c r="AO132" s="1" t="s">
        <v>118</v>
      </c>
      <c r="AP132" s="1">
        <f t="shared" si="51"/>
        <v>0</v>
      </c>
      <c r="AQ132" s="1" t="s">
        <v>57</v>
      </c>
      <c r="AR132" s="1" t="str">
        <f t="shared" si="52"/>
        <v>3/4"</v>
      </c>
      <c r="AS132" s="1">
        <v>1</v>
      </c>
      <c r="AT132" s="1"/>
      <c r="AU132" s="1"/>
      <c r="AV132" s="17"/>
      <c r="AW132" s="2"/>
      <c r="AX132" s="2"/>
      <c r="AY132" s="2"/>
      <c r="AZ132" s="17"/>
      <c r="BA132" s="1"/>
      <c r="BB132" s="1"/>
      <c r="BC132" s="1"/>
      <c r="BD132" s="1"/>
      <c r="BE132" s="18"/>
      <c r="BF132" s="2">
        <f t="shared" si="53"/>
        <v>4.922211829761599E-3</v>
      </c>
      <c r="BG132" s="6"/>
      <c r="BH132" s="6"/>
    </row>
    <row r="133" spans="1:60" ht="12.75" customHeight="1" x14ac:dyDescent="0.2">
      <c r="A133" s="19">
        <v>300</v>
      </c>
      <c r="B133" s="19" t="s">
        <v>954</v>
      </c>
      <c r="C133" s="19" t="s">
        <v>880</v>
      </c>
      <c r="D133" s="20" t="s">
        <v>695</v>
      </c>
      <c r="E133" s="20"/>
      <c r="F133" s="21"/>
      <c r="G133" s="21"/>
      <c r="H133" s="21"/>
      <c r="I133" s="21"/>
      <c r="J133" s="21"/>
      <c r="K133" s="21"/>
      <c r="L133" s="21"/>
      <c r="M133" s="21"/>
      <c r="N133" s="32" t="s">
        <v>1035</v>
      </c>
      <c r="O133" s="22" t="s">
        <v>34</v>
      </c>
      <c r="P133" s="23">
        <v>0.03</v>
      </c>
      <c r="Q133" s="34">
        <f t="shared" si="46"/>
        <v>2.2380000000000001E-2</v>
      </c>
      <c r="R133" s="39"/>
      <c r="S133" s="39">
        <v>0.84</v>
      </c>
      <c r="T133" s="40">
        <v>0.93</v>
      </c>
      <c r="U133" s="40" t="s">
        <v>444</v>
      </c>
      <c r="V133" s="39">
        <v>220</v>
      </c>
      <c r="W133" s="2">
        <f t="shared" si="54"/>
        <v>0.13021924312246891</v>
      </c>
      <c r="X133" s="2">
        <f t="shared" si="47"/>
        <v>2.6642857142857145E-2</v>
      </c>
      <c r="Y133" s="2">
        <f t="shared" si="55"/>
        <v>0.78131545873481345</v>
      </c>
      <c r="Z133" s="1"/>
      <c r="AA133" s="1"/>
      <c r="AB133" s="1">
        <v>90</v>
      </c>
      <c r="AC133" s="1"/>
      <c r="AD133" s="1"/>
      <c r="AE133" s="1"/>
      <c r="AF133" s="1"/>
      <c r="AG133" s="1">
        <f t="shared" si="48"/>
        <v>90</v>
      </c>
      <c r="AH133" s="1">
        <v>1</v>
      </c>
      <c r="AI133" s="1" t="s">
        <v>1068</v>
      </c>
      <c r="AJ133" s="1">
        <f t="shared" si="49"/>
        <v>90</v>
      </c>
      <c r="AK133" s="1">
        <v>0</v>
      </c>
      <c r="AL133" s="1" t="s">
        <v>118</v>
      </c>
      <c r="AM133" s="1">
        <f t="shared" si="50"/>
        <v>0</v>
      </c>
      <c r="AN133" s="1">
        <v>0</v>
      </c>
      <c r="AO133" s="1" t="s">
        <v>118</v>
      </c>
      <c r="AP133" s="1">
        <f t="shared" si="51"/>
        <v>0</v>
      </c>
      <c r="AQ133" s="1" t="s">
        <v>57</v>
      </c>
      <c r="AR133" s="1" t="str">
        <f t="shared" si="52"/>
        <v>3/4"</v>
      </c>
      <c r="AS133" s="1">
        <v>1</v>
      </c>
      <c r="AT133" s="1"/>
      <c r="AU133" s="1"/>
      <c r="AV133" s="17"/>
      <c r="AW133" s="2"/>
      <c r="AX133" s="2"/>
      <c r="AY133" s="2"/>
      <c r="AZ133" s="17"/>
      <c r="BA133" s="1"/>
      <c r="BB133" s="1"/>
      <c r="BC133" s="1"/>
      <c r="BD133" s="1"/>
      <c r="BE133" s="18"/>
      <c r="BF133" s="2">
        <f t="shared" si="53"/>
        <v>4.922211829761599E-3</v>
      </c>
      <c r="BG133" s="6"/>
      <c r="BH133" s="6"/>
    </row>
    <row r="134" spans="1:60" ht="12.75" customHeight="1" x14ac:dyDescent="0.2">
      <c r="A134" s="19">
        <v>300</v>
      </c>
      <c r="B134" s="19" t="s">
        <v>954</v>
      </c>
      <c r="C134" s="19" t="s">
        <v>881</v>
      </c>
      <c r="D134" s="20" t="s">
        <v>696</v>
      </c>
      <c r="E134" s="20"/>
      <c r="F134" s="21"/>
      <c r="G134" s="21"/>
      <c r="H134" s="21"/>
      <c r="I134" s="21"/>
      <c r="J134" s="21"/>
      <c r="K134" s="21"/>
      <c r="L134" s="21"/>
      <c r="M134" s="21"/>
      <c r="N134" s="32" t="s">
        <v>1035</v>
      </c>
      <c r="O134" s="22" t="s">
        <v>34</v>
      </c>
      <c r="P134" s="23">
        <v>0.03</v>
      </c>
      <c r="Q134" s="34">
        <f t="shared" si="46"/>
        <v>2.2380000000000001E-2</v>
      </c>
      <c r="R134" s="39"/>
      <c r="S134" s="39">
        <v>0.84</v>
      </c>
      <c r="T134" s="40">
        <v>0.93</v>
      </c>
      <c r="U134" s="40" t="s">
        <v>444</v>
      </c>
      <c r="V134" s="39">
        <v>220</v>
      </c>
      <c r="W134" s="2">
        <f t="shared" si="54"/>
        <v>0.13021924312246891</v>
      </c>
      <c r="X134" s="2">
        <f t="shared" si="47"/>
        <v>2.6642857142857145E-2</v>
      </c>
      <c r="Y134" s="2">
        <f t="shared" si="55"/>
        <v>0.78131545873481345</v>
      </c>
      <c r="Z134" s="1"/>
      <c r="AA134" s="1"/>
      <c r="AB134" s="1">
        <v>90</v>
      </c>
      <c r="AC134" s="1"/>
      <c r="AD134" s="1"/>
      <c r="AE134" s="1"/>
      <c r="AF134" s="1"/>
      <c r="AG134" s="1">
        <f t="shared" si="48"/>
        <v>90</v>
      </c>
      <c r="AH134" s="1">
        <v>1</v>
      </c>
      <c r="AI134" s="1" t="s">
        <v>1068</v>
      </c>
      <c r="AJ134" s="1">
        <f t="shared" si="49"/>
        <v>90</v>
      </c>
      <c r="AK134" s="1">
        <v>0</v>
      </c>
      <c r="AL134" s="1" t="s">
        <v>118</v>
      </c>
      <c r="AM134" s="1">
        <f t="shared" si="50"/>
        <v>0</v>
      </c>
      <c r="AN134" s="1">
        <v>0</v>
      </c>
      <c r="AO134" s="1" t="s">
        <v>118</v>
      </c>
      <c r="AP134" s="1">
        <f t="shared" si="51"/>
        <v>0</v>
      </c>
      <c r="AQ134" s="1" t="s">
        <v>57</v>
      </c>
      <c r="AR134" s="1" t="str">
        <f t="shared" si="52"/>
        <v>3/4"</v>
      </c>
      <c r="AS134" s="1">
        <v>1</v>
      </c>
      <c r="AT134" s="1"/>
      <c r="AU134" s="1"/>
      <c r="AV134" s="17"/>
      <c r="AW134" s="2"/>
      <c r="AX134" s="2"/>
      <c r="AY134" s="2"/>
      <c r="AZ134" s="17"/>
      <c r="BA134" s="1"/>
      <c r="BB134" s="1"/>
      <c r="BC134" s="1"/>
      <c r="BD134" s="1"/>
      <c r="BE134" s="18"/>
      <c r="BF134" s="2">
        <f t="shared" si="53"/>
        <v>4.922211829761599E-3</v>
      </c>
      <c r="BG134" s="6"/>
      <c r="BH134" s="6"/>
    </row>
    <row r="135" spans="1:60" ht="12.75" customHeight="1" x14ac:dyDescent="0.2">
      <c r="A135" s="19">
        <v>300</v>
      </c>
      <c r="B135" s="19" t="s">
        <v>954</v>
      </c>
      <c r="C135" s="19" t="s">
        <v>882</v>
      </c>
      <c r="D135" s="20" t="s">
        <v>696</v>
      </c>
      <c r="E135" s="20"/>
      <c r="F135" s="21"/>
      <c r="G135" s="21"/>
      <c r="H135" s="21"/>
      <c r="I135" s="21"/>
      <c r="J135" s="21"/>
      <c r="K135" s="21"/>
      <c r="L135" s="21"/>
      <c r="M135" s="21"/>
      <c r="N135" s="32" t="s">
        <v>1035</v>
      </c>
      <c r="O135" s="22" t="s">
        <v>34</v>
      </c>
      <c r="P135" s="23">
        <v>0.03</v>
      </c>
      <c r="Q135" s="34">
        <f t="shared" si="46"/>
        <v>2.2380000000000001E-2</v>
      </c>
      <c r="R135" s="39"/>
      <c r="S135" s="39">
        <v>0.84</v>
      </c>
      <c r="T135" s="40">
        <v>0.93</v>
      </c>
      <c r="U135" s="40" t="s">
        <v>444</v>
      </c>
      <c r="V135" s="39">
        <v>220</v>
      </c>
      <c r="W135" s="2">
        <f t="shared" si="54"/>
        <v>0.13021924312246891</v>
      </c>
      <c r="X135" s="2">
        <f t="shared" si="47"/>
        <v>2.6642857142857145E-2</v>
      </c>
      <c r="Y135" s="2">
        <f t="shared" si="55"/>
        <v>0.78131545873481345</v>
      </c>
      <c r="Z135" s="1"/>
      <c r="AA135" s="1"/>
      <c r="AB135" s="1">
        <v>90</v>
      </c>
      <c r="AC135" s="1"/>
      <c r="AD135" s="1"/>
      <c r="AE135" s="1"/>
      <c r="AF135" s="1"/>
      <c r="AG135" s="1">
        <f t="shared" si="48"/>
        <v>90</v>
      </c>
      <c r="AH135" s="1">
        <v>1</v>
      </c>
      <c r="AI135" s="1" t="s">
        <v>1068</v>
      </c>
      <c r="AJ135" s="1">
        <f t="shared" si="49"/>
        <v>90</v>
      </c>
      <c r="AK135" s="1">
        <v>0</v>
      </c>
      <c r="AL135" s="1" t="s">
        <v>118</v>
      </c>
      <c r="AM135" s="1">
        <f t="shared" si="50"/>
        <v>0</v>
      </c>
      <c r="AN135" s="1">
        <v>0</v>
      </c>
      <c r="AO135" s="1" t="s">
        <v>118</v>
      </c>
      <c r="AP135" s="1">
        <f t="shared" si="51"/>
        <v>0</v>
      </c>
      <c r="AQ135" s="1" t="s">
        <v>57</v>
      </c>
      <c r="AR135" s="1" t="str">
        <f t="shared" si="52"/>
        <v>3/4"</v>
      </c>
      <c r="AS135" s="1">
        <v>1</v>
      </c>
      <c r="AT135" s="1"/>
      <c r="AU135" s="1"/>
      <c r="AV135" s="17"/>
      <c r="AW135" s="2"/>
      <c r="AX135" s="2"/>
      <c r="AY135" s="2"/>
      <c r="AZ135" s="17"/>
      <c r="BA135" s="1"/>
      <c r="BB135" s="1"/>
      <c r="BC135" s="1"/>
      <c r="BD135" s="1"/>
      <c r="BE135" s="18"/>
      <c r="BF135" s="2">
        <f t="shared" si="53"/>
        <v>4.922211829761599E-3</v>
      </c>
      <c r="BG135" s="6"/>
      <c r="BH135" s="6"/>
    </row>
    <row r="136" spans="1:60" ht="12.75" customHeight="1" x14ac:dyDescent="0.2">
      <c r="A136" s="19">
        <v>300</v>
      </c>
      <c r="B136" s="19" t="s">
        <v>954</v>
      </c>
      <c r="C136" s="19" t="s">
        <v>883</v>
      </c>
      <c r="D136" s="20" t="s">
        <v>697</v>
      </c>
      <c r="E136" s="20"/>
      <c r="F136" s="21"/>
      <c r="G136" s="21"/>
      <c r="H136" s="21"/>
      <c r="I136" s="21"/>
      <c r="J136" s="21"/>
      <c r="K136" s="21"/>
      <c r="L136" s="21"/>
      <c r="M136" s="21"/>
      <c r="N136" s="32" t="s">
        <v>1035</v>
      </c>
      <c r="O136" s="22" t="s">
        <v>34</v>
      </c>
      <c r="P136" s="23">
        <v>0.03</v>
      </c>
      <c r="Q136" s="34">
        <f t="shared" si="46"/>
        <v>2.2380000000000001E-2</v>
      </c>
      <c r="R136" s="39"/>
      <c r="S136" s="39">
        <v>0.84</v>
      </c>
      <c r="T136" s="40">
        <v>0.93</v>
      </c>
      <c r="U136" s="40" t="s">
        <v>444</v>
      </c>
      <c r="V136" s="39">
        <v>220</v>
      </c>
      <c r="W136" s="2">
        <f t="shared" si="54"/>
        <v>0.13021924312246891</v>
      </c>
      <c r="X136" s="2">
        <f t="shared" si="47"/>
        <v>2.6642857142857145E-2</v>
      </c>
      <c r="Y136" s="2">
        <f t="shared" si="55"/>
        <v>0.78131545873481345</v>
      </c>
      <c r="Z136" s="1"/>
      <c r="AA136" s="1"/>
      <c r="AB136" s="1">
        <v>90</v>
      </c>
      <c r="AC136" s="1"/>
      <c r="AD136" s="1"/>
      <c r="AE136" s="1"/>
      <c r="AF136" s="1"/>
      <c r="AG136" s="1">
        <f t="shared" si="48"/>
        <v>90</v>
      </c>
      <c r="AH136" s="1">
        <v>1</v>
      </c>
      <c r="AI136" s="1" t="s">
        <v>1068</v>
      </c>
      <c r="AJ136" s="1">
        <f t="shared" si="49"/>
        <v>90</v>
      </c>
      <c r="AK136" s="1">
        <v>0</v>
      </c>
      <c r="AL136" s="1" t="s">
        <v>118</v>
      </c>
      <c r="AM136" s="1">
        <f t="shared" si="50"/>
        <v>0</v>
      </c>
      <c r="AN136" s="1">
        <v>0</v>
      </c>
      <c r="AO136" s="1" t="s">
        <v>118</v>
      </c>
      <c r="AP136" s="1">
        <f t="shared" si="51"/>
        <v>0</v>
      </c>
      <c r="AQ136" s="1" t="s">
        <v>57</v>
      </c>
      <c r="AR136" s="1" t="str">
        <f t="shared" si="52"/>
        <v>3/4"</v>
      </c>
      <c r="AS136" s="1">
        <v>1</v>
      </c>
      <c r="AT136" s="1"/>
      <c r="AU136" s="1"/>
      <c r="AV136" s="17"/>
      <c r="AW136" s="2"/>
      <c r="AX136" s="2"/>
      <c r="AY136" s="2"/>
      <c r="AZ136" s="17"/>
      <c r="BA136" s="1"/>
      <c r="BB136" s="1"/>
      <c r="BC136" s="1"/>
      <c r="BD136" s="1"/>
      <c r="BE136" s="18"/>
      <c r="BF136" s="2">
        <f t="shared" si="53"/>
        <v>4.922211829761599E-3</v>
      </c>
      <c r="BG136" s="6"/>
      <c r="BH136" s="6"/>
    </row>
    <row r="137" spans="1:60" ht="12.75" customHeight="1" x14ac:dyDescent="0.2">
      <c r="A137" s="19">
        <v>300</v>
      </c>
      <c r="B137" s="19" t="s">
        <v>954</v>
      </c>
      <c r="C137" s="19" t="s">
        <v>884</v>
      </c>
      <c r="D137" s="20" t="s">
        <v>697</v>
      </c>
      <c r="E137" s="20"/>
      <c r="F137" s="21"/>
      <c r="G137" s="21"/>
      <c r="H137" s="21"/>
      <c r="I137" s="21"/>
      <c r="J137" s="21"/>
      <c r="K137" s="21"/>
      <c r="L137" s="21"/>
      <c r="M137" s="21"/>
      <c r="N137" s="32" t="s">
        <v>1035</v>
      </c>
      <c r="O137" s="22" t="s">
        <v>34</v>
      </c>
      <c r="P137" s="23">
        <v>0.03</v>
      </c>
      <c r="Q137" s="34">
        <f t="shared" si="46"/>
        <v>2.2380000000000001E-2</v>
      </c>
      <c r="R137" s="39"/>
      <c r="S137" s="39">
        <v>0.84</v>
      </c>
      <c r="T137" s="40">
        <v>0.93</v>
      </c>
      <c r="U137" s="40" t="s">
        <v>444</v>
      </c>
      <c r="V137" s="39">
        <v>220</v>
      </c>
      <c r="W137" s="2">
        <f t="shared" si="54"/>
        <v>0.13021924312246891</v>
      </c>
      <c r="X137" s="2">
        <f t="shared" si="47"/>
        <v>2.6642857142857145E-2</v>
      </c>
      <c r="Y137" s="2">
        <f t="shared" si="55"/>
        <v>0.78131545873481345</v>
      </c>
      <c r="Z137" s="1"/>
      <c r="AA137" s="1"/>
      <c r="AB137" s="1">
        <v>90</v>
      </c>
      <c r="AC137" s="1"/>
      <c r="AD137" s="1"/>
      <c r="AE137" s="1"/>
      <c r="AF137" s="1"/>
      <c r="AG137" s="1">
        <f t="shared" si="48"/>
        <v>90</v>
      </c>
      <c r="AH137" s="1">
        <v>1</v>
      </c>
      <c r="AI137" s="1" t="s">
        <v>1068</v>
      </c>
      <c r="AJ137" s="1">
        <f t="shared" si="49"/>
        <v>90</v>
      </c>
      <c r="AK137" s="1">
        <v>0</v>
      </c>
      <c r="AL137" s="1" t="s">
        <v>118</v>
      </c>
      <c r="AM137" s="1">
        <f t="shared" si="50"/>
        <v>0</v>
      </c>
      <c r="AN137" s="1">
        <v>0</v>
      </c>
      <c r="AO137" s="1" t="s">
        <v>118</v>
      </c>
      <c r="AP137" s="1">
        <f t="shared" si="51"/>
        <v>0</v>
      </c>
      <c r="AQ137" s="1" t="s">
        <v>57</v>
      </c>
      <c r="AR137" s="1" t="str">
        <f t="shared" si="52"/>
        <v>3/4"</v>
      </c>
      <c r="AS137" s="1">
        <v>1</v>
      </c>
      <c r="AT137" s="1"/>
      <c r="AU137" s="1"/>
      <c r="AV137" s="17"/>
      <c r="AW137" s="2"/>
      <c r="AX137" s="2"/>
      <c r="AY137" s="2"/>
      <c r="AZ137" s="17"/>
      <c r="BA137" s="1"/>
      <c r="BB137" s="1"/>
      <c r="BC137" s="1"/>
      <c r="BD137" s="1"/>
      <c r="BE137" s="18"/>
      <c r="BF137" s="2">
        <f t="shared" si="53"/>
        <v>4.922211829761599E-3</v>
      </c>
      <c r="BG137" s="6"/>
      <c r="BH137" s="6"/>
    </row>
    <row r="138" spans="1:60" ht="12.75" customHeight="1" x14ac:dyDescent="0.2">
      <c r="A138" s="19">
        <v>300</v>
      </c>
      <c r="B138" s="19" t="s">
        <v>954</v>
      </c>
      <c r="C138" s="19" t="s">
        <v>885</v>
      </c>
      <c r="D138" s="20" t="s">
        <v>698</v>
      </c>
      <c r="E138" s="20"/>
      <c r="F138" s="21"/>
      <c r="G138" s="21"/>
      <c r="H138" s="21"/>
      <c r="I138" s="21"/>
      <c r="J138" s="21"/>
      <c r="K138" s="21"/>
      <c r="L138" s="21"/>
      <c r="M138" s="21"/>
      <c r="N138" s="32" t="s">
        <v>1035</v>
      </c>
      <c r="O138" s="22" t="s">
        <v>34</v>
      </c>
      <c r="P138" s="23">
        <v>0.03</v>
      </c>
      <c r="Q138" s="34">
        <f t="shared" si="46"/>
        <v>2.2380000000000001E-2</v>
      </c>
      <c r="R138" s="39"/>
      <c r="S138" s="39">
        <v>0.84</v>
      </c>
      <c r="T138" s="40">
        <v>0.93</v>
      </c>
      <c r="U138" s="40" t="s">
        <v>444</v>
      </c>
      <c r="V138" s="39">
        <v>220</v>
      </c>
      <c r="W138" s="2">
        <f t="shared" si="54"/>
        <v>0.13021924312246891</v>
      </c>
      <c r="X138" s="2">
        <f t="shared" si="47"/>
        <v>2.6642857142857145E-2</v>
      </c>
      <c r="Y138" s="2">
        <f t="shared" si="55"/>
        <v>0.78131545873481345</v>
      </c>
      <c r="Z138" s="1"/>
      <c r="AA138" s="1"/>
      <c r="AB138" s="1">
        <v>90</v>
      </c>
      <c r="AC138" s="1"/>
      <c r="AD138" s="1"/>
      <c r="AE138" s="1"/>
      <c r="AF138" s="1"/>
      <c r="AG138" s="1">
        <f t="shared" si="48"/>
        <v>90</v>
      </c>
      <c r="AH138" s="1">
        <v>1</v>
      </c>
      <c r="AI138" s="1" t="s">
        <v>1068</v>
      </c>
      <c r="AJ138" s="1">
        <f t="shared" si="49"/>
        <v>90</v>
      </c>
      <c r="AK138" s="1">
        <v>0</v>
      </c>
      <c r="AL138" s="1" t="s">
        <v>118</v>
      </c>
      <c r="AM138" s="1">
        <f t="shared" si="50"/>
        <v>0</v>
      </c>
      <c r="AN138" s="1">
        <v>0</v>
      </c>
      <c r="AO138" s="1" t="s">
        <v>118</v>
      </c>
      <c r="AP138" s="1">
        <f t="shared" si="51"/>
        <v>0</v>
      </c>
      <c r="AQ138" s="1" t="s">
        <v>57</v>
      </c>
      <c r="AR138" s="1" t="str">
        <f t="shared" si="52"/>
        <v>3/4"</v>
      </c>
      <c r="AS138" s="1">
        <v>1</v>
      </c>
      <c r="AT138" s="1"/>
      <c r="AU138" s="1"/>
      <c r="AV138" s="17"/>
      <c r="AW138" s="2"/>
      <c r="AX138" s="2"/>
      <c r="AY138" s="2"/>
      <c r="AZ138" s="17"/>
      <c r="BA138" s="1"/>
      <c r="BB138" s="1"/>
      <c r="BC138" s="1"/>
      <c r="BD138" s="1"/>
      <c r="BE138" s="18"/>
      <c r="BF138" s="2">
        <f t="shared" si="53"/>
        <v>4.922211829761599E-3</v>
      </c>
      <c r="BG138" s="6"/>
      <c r="BH138" s="6"/>
    </row>
    <row r="139" spans="1:60" ht="12.75" customHeight="1" x14ac:dyDescent="0.2">
      <c r="A139" s="19">
        <v>300</v>
      </c>
      <c r="B139" s="19" t="s">
        <v>954</v>
      </c>
      <c r="C139" s="19" t="s">
        <v>886</v>
      </c>
      <c r="D139" s="20" t="s">
        <v>698</v>
      </c>
      <c r="E139" s="20"/>
      <c r="F139" s="21"/>
      <c r="G139" s="21"/>
      <c r="H139" s="21"/>
      <c r="I139" s="21"/>
      <c r="J139" s="21"/>
      <c r="K139" s="21"/>
      <c r="L139" s="21"/>
      <c r="M139" s="21"/>
      <c r="N139" s="32" t="s">
        <v>1035</v>
      </c>
      <c r="O139" s="22" t="s">
        <v>34</v>
      </c>
      <c r="P139" s="23">
        <v>0.03</v>
      </c>
      <c r="Q139" s="34">
        <f t="shared" si="46"/>
        <v>2.2380000000000001E-2</v>
      </c>
      <c r="R139" s="39"/>
      <c r="S139" s="39">
        <v>0.84</v>
      </c>
      <c r="T139" s="40">
        <v>0.93</v>
      </c>
      <c r="U139" s="40" t="s">
        <v>444</v>
      </c>
      <c r="V139" s="39">
        <v>220</v>
      </c>
      <c r="W139" s="2">
        <f t="shared" si="54"/>
        <v>0.13021924312246891</v>
      </c>
      <c r="X139" s="2">
        <f t="shared" si="47"/>
        <v>2.6642857142857145E-2</v>
      </c>
      <c r="Y139" s="2">
        <f t="shared" si="55"/>
        <v>0.78131545873481345</v>
      </c>
      <c r="Z139" s="1"/>
      <c r="AA139" s="1"/>
      <c r="AB139" s="1">
        <v>90</v>
      </c>
      <c r="AC139" s="1"/>
      <c r="AD139" s="1"/>
      <c r="AE139" s="1"/>
      <c r="AF139" s="1"/>
      <c r="AG139" s="1">
        <f t="shared" si="48"/>
        <v>90</v>
      </c>
      <c r="AH139" s="1">
        <v>1</v>
      </c>
      <c r="AI139" s="1" t="s">
        <v>1068</v>
      </c>
      <c r="AJ139" s="1">
        <f t="shared" si="49"/>
        <v>90</v>
      </c>
      <c r="AK139" s="1">
        <v>0</v>
      </c>
      <c r="AL139" s="1" t="s">
        <v>118</v>
      </c>
      <c r="AM139" s="1">
        <f t="shared" si="50"/>
        <v>0</v>
      </c>
      <c r="AN139" s="1">
        <v>0</v>
      </c>
      <c r="AO139" s="1" t="s">
        <v>118</v>
      </c>
      <c r="AP139" s="1">
        <f t="shared" si="51"/>
        <v>0</v>
      </c>
      <c r="AQ139" s="1" t="s">
        <v>57</v>
      </c>
      <c r="AR139" s="1" t="str">
        <f t="shared" si="52"/>
        <v>3/4"</v>
      </c>
      <c r="AS139" s="1">
        <v>1</v>
      </c>
      <c r="AT139" s="1"/>
      <c r="AU139" s="1"/>
      <c r="AV139" s="17"/>
      <c r="AW139" s="2"/>
      <c r="AX139" s="2"/>
      <c r="AY139" s="2"/>
      <c r="AZ139" s="17"/>
      <c r="BA139" s="1"/>
      <c r="BB139" s="1"/>
      <c r="BC139" s="1"/>
      <c r="BD139" s="1"/>
      <c r="BE139" s="18"/>
      <c r="BF139" s="2">
        <f t="shared" si="53"/>
        <v>4.922211829761599E-3</v>
      </c>
      <c r="BG139" s="6"/>
      <c r="BH139" s="6"/>
    </row>
    <row r="140" spans="1:60" ht="12.75" customHeight="1" x14ac:dyDescent="0.2">
      <c r="A140" s="19">
        <v>300</v>
      </c>
      <c r="B140" s="19" t="s">
        <v>954</v>
      </c>
      <c r="C140" s="19" t="s">
        <v>887</v>
      </c>
      <c r="D140" s="20" t="s">
        <v>699</v>
      </c>
      <c r="E140" s="20"/>
      <c r="F140" s="21"/>
      <c r="G140" s="21"/>
      <c r="H140" s="21"/>
      <c r="I140" s="21"/>
      <c r="J140" s="21"/>
      <c r="K140" s="21"/>
      <c r="L140" s="21"/>
      <c r="M140" s="21"/>
      <c r="N140" s="32" t="s">
        <v>1035</v>
      </c>
      <c r="O140" s="22" t="s">
        <v>34</v>
      </c>
      <c r="P140" s="23">
        <v>0.03</v>
      </c>
      <c r="Q140" s="34">
        <f t="shared" si="46"/>
        <v>2.2380000000000001E-2</v>
      </c>
      <c r="R140" s="39"/>
      <c r="S140" s="39">
        <v>0.84</v>
      </c>
      <c r="T140" s="40">
        <v>0.93</v>
      </c>
      <c r="U140" s="40" t="s">
        <v>444</v>
      </c>
      <c r="V140" s="39">
        <v>220</v>
      </c>
      <c r="W140" s="2">
        <f t="shared" si="54"/>
        <v>0.13021924312246891</v>
      </c>
      <c r="X140" s="2">
        <f t="shared" si="47"/>
        <v>2.6642857142857145E-2</v>
      </c>
      <c r="Y140" s="2">
        <f t="shared" si="55"/>
        <v>0.78131545873481345</v>
      </c>
      <c r="Z140" s="1"/>
      <c r="AA140" s="1"/>
      <c r="AB140" s="1">
        <v>90</v>
      </c>
      <c r="AC140" s="1"/>
      <c r="AD140" s="1"/>
      <c r="AE140" s="1"/>
      <c r="AF140" s="1"/>
      <c r="AG140" s="1">
        <f t="shared" si="48"/>
        <v>90</v>
      </c>
      <c r="AH140" s="1">
        <v>1</v>
      </c>
      <c r="AI140" s="1" t="s">
        <v>1068</v>
      </c>
      <c r="AJ140" s="1">
        <f t="shared" si="49"/>
        <v>90</v>
      </c>
      <c r="AK140" s="1">
        <v>0</v>
      </c>
      <c r="AL140" s="1" t="s">
        <v>118</v>
      </c>
      <c r="AM140" s="1">
        <f t="shared" si="50"/>
        <v>0</v>
      </c>
      <c r="AN140" s="1">
        <v>0</v>
      </c>
      <c r="AO140" s="1" t="s">
        <v>118</v>
      </c>
      <c r="AP140" s="1">
        <f t="shared" si="51"/>
        <v>0</v>
      </c>
      <c r="AQ140" s="1" t="s">
        <v>57</v>
      </c>
      <c r="AR140" s="1" t="str">
        <f t="shared" si="52"/>
        <v>3/4"</v>
      </c>
      <c r="AS140" s="1">
        <v>1</v>
      </c>
      <c r="AT140" s="1"/>
      <c r="AU140" s="1"/>
      <c r="AV140" s="17"/>
      <c r="AW140" s="2"/>
      <c r="AX140" s="2"/>
      <c r="AY140" s="2"/>
      <c r="AZ140" s="17"/>
      <c r="BA140" s="1"/>
      <c r="BB140" s="1"/>
      <c r="BC140" s="1"/>
      <c r="BD140" s="1"/>
      <c r="BE140" s="18"/>
      <c r="BF140" s="2">
        <f t="shared" si="53"/>
        <v>4.922211829761599E-3</v>
      </c>
      <c r="BG140" s="6"/>
      <c r="BH140" s="6"/>
    </row>
    <row r="141" spans="1:60" ht="12.75" customHeight="1" x14ac:dyDescent="0.2">
      <c r="A141" s="19">
        <v>300</v>
      </c>
      <c r="B141" s="19" t="s">
        <v>954</v>
      </c>
      <c r="C141" s="19" t="s">
        <v>888</v>
      </c>
      <c r="D141" s="20" t="s">
        <v>699</v>
      </c>
      <c r="E141" s="20"/>
      <c r="F141" s="21"/>
      <c r="G141" s="21"/>
      <c r="H141" s="21"/>
      <c r="I141" s="21"/>
      <c r="J141" s="21"/>
      <c r="K141" s="21"/>
      <c r="L141" s="21"/>
      <c r="M141" s="21"/>
      <c r="N141" s="32" t="s">
        <v>1035</v>
      </c>
      <c r="O141" s="22" t="s">
        <v>34</v>
      </c>
      <c r="P141" s="23">
        <v>0.03</v>
      </c>
      <c r="Q141" s="34">
        <f t="shared" si="46"/>
        <v>2.2380000000000001E-2</v>
      </c>
      <c r="R141" s="39"/>
      <c r="S141" s="39">
        <v>0.84</v>
      </c>
      <c r="T141" s="40">
        <v>0.93</v>
      </c>
      <c r="U141" s="40" t="s">
        <v>444</v>
      </c>
      <c r="V141" s="39">
        <v>220</v>
      </c>
      <c r="W141" s="2">
        <f t="shared" si="54"/>
        <v>0.13021924312246891</v>
      </c>
      <c r="X141" s="2">
        <f t="shared" si="47"/>
        <v>2.6642857142857145E-2</v>
      </c>
      <c r="Y141" s="2">
        <f t="shared" si="55"/>
        <v>0.78131545873481345</v>
      </c>
      <c r="Z141" s="1"/>
      <c r="AA141" s="1"/>
      <c r="AB141" s="1">
        <v>90</v>
      </c>
      <c r="AC141" s="1"/>
      <c r="AD141" s="1"/>
      <c r="AE141" s="1"/>
      <c r="AF141" s="1"/>
      <c r="AG141" s="1">
        <f t="shared" si="48"/>
        <v>90</v>
      </c>
      <c r="AH141" s="1">
        <v>1</v>
      </c>
      <c r="AI141" s="1" t="s">
        <v>1068</v>
      </c>
      <c r="AJ141" s="1">
        <f t="shared" si="49"/>
        <v>90</v>
      </c>
      <c r="AK141" s="1">
        <v>0</v>
      </c>
      <c r="AL141" s="1" t="s">
        <v>118</v>
      </c>
      <c r="AM141" s="1">
        <f t="shared" si="50"/>
        <v>0</v>
      </c>
      <c r="AN141" s="1">
        <v>0</v>
      </c>
      <c r="AO141" s="1" t="s">
        <v>118</v>
      </c>
      <c r="AP141" s="1">
        <f t="shared" si="51"/>
        <v>0</v>
      </c>
      <c r="AQ141" s="1" t="s">
        <v>57</v>
      </c>
      <c r="AR141" s="1" t="str">
        <f t="shared" si="52"/>
        <v>3/4"</v>
      </c>
      <c r="AS141" s="1">
        <v>1</v>
      </c>
      <c r="AT141" s="1"/>
      <c r="AU141" s="1"/>
      <c r="AV141" s="17"/>
      <c r="AW141" s="2"/>
      <c r="AX141" s="2"/>
      <c r="AY141" s="2"/>
      <c r="AZ141" s="17"/>
      <c r="BA141" s="1"/>
      <c r="BB141" s="1"/>
      <c r="BC141" s="1"/>
      <c r="BD141" s="1"/>
      <c r="BE141" s="18"/>
      <c r="BF141" s="2">
        <f t="shared" si="53"/>
        <v>4.922211829761599E-3</v>
      </c>
      <c r="BG141" s="6"/>
      <c r="BH141" s="6"/>
    </row>
    <row r="142" spans="1:60" ht="12.75" customHeight="1" x14ac:dyDescent="0.2">
      <c r="A142" s="19">
        <v>300</v>
      </c>
      <c r="B142" s="19" t="s">
        <v>954</v>
      </c>
      <c r="C142" s="19" t="s">
        <v>889</v>
      </c>
      <c r="D142" s="20" t="s">
        <v>700</v>
      </c>
      <c r="E142" s="20"/>
      <c r="F142" s="21"/>
      <c r="G142" s="21"/>
      <c r="H142" s="21"/>
      <c r="I142" s="21"/>
      <c r="J142" s="21"/>
      <c r="K142" s="21"/>
      <c r="L142" s="21"/>
      <c r="M142" s="21"/>
      <c r="N142" s="32" t="s">
        <v>1035</v>
      </c>
      <c r="O142" s="22" t="s">
        <v>34</v>
      </c>
      <c r="P142" s="23">
        <v>0.03</v>
      </c>
      <c r="Q142" s="34">
        <f t="shared" si="46"/>
        <v>2.2380000000000001E-2</v>
      </c>
      <c r="R142" s="39"/>
      <c r="S142" s="39">
        <v>0.84</v>
      </c>
      <c r="T142" s="40">
        <v>0.93</v>
      </c>
      <c r="U142" s="40" t="s">
        <v>444</v>
      </c>
      <c r="V142" s="39">
        <v>220</v>
      </c>
      <c r="W142" s="2">
        <f t="shared" si="54"/>
        <v>0.13021924312246891</v>
      </c>
      <c r="X142" s="2">
        <f t="shared" si="47"/>
        <v>2.6642857142857145E-2</v>
      </c>
      <c r="Y142" s="2">
        <f t="shared" si="55"/>
        <v>0.78131545873481345</v>
      </c>
      <c r="Z142" s="1"/>
      <c r="AA142" s="1"/>
      <c r="AB142" s="1">
        <v>90</v>
      </c>
      <c r="AC142" s="1"/>
      <c r="AD142" s="1"/>
      <c r="AE142" s="1"/>
      <c r="AF142" s="1"/>
      <c r="AG142" s="1">
        <f t="shared" si="48"/>
        <v>90</v>
      </c>
      <c r="AH142" s="1">
        <v>1</v>
      </c>
      <c r="AI142" s="1" t="s">
        <v>1068</v>
      </c>
      <c r="AJ142" s="1">
        <f t="shared" si="49"/>
        <v>90</v>
      </c>
      <c r="AK142" s="1">
        <v>0</v>
      </c>
      <c r="AL142" s="1" t="s">
        <v>118</v>
      </c>
      <c r="AM142" s="1">
        <f t="shared" si="50"/>
        <v>0</v>
      </c>
      <c r="AN142" s="1">
        <v>0</v>
      </c>
      <c r="AO142" s="1" t="s">
        <v>118</v>
      </c>
      <c r="AP142" s="1">
        <f t="shared" si="51"/>
        <v>0</v>
      </c>
      <c r="AQ142" s="1" t="s">
        <v>57</v>
      </c>
      <c r="AR142" s="1" t="str">
        <f t="shared" si="52"/>
        <v>3/4"</v>
      </c>
      <c r="AS142" s="1">
        <v>1</v>
      </c>
      <c r="AT142" s="1"/>
      <c r="AU142" s="1"/>
      <c r="AV142" s="17"/>
      <c r="AW142" s="2"/>
      <c r="AX142" s="2"/>
      <c r="AY142" s="2"/>
      <c r="AZ142" s="17"/>
      <c r="BA142" s="1"/>
      <c r="BB142" s="1"/>
      <c r="BC142" s="1"/>
      <c r="BD142" s="1"/>
      <c r="BE142" s="18"/>
      <c r="BF142" s="2">
        <f t="shared" si="53"/>
        <v>4.922211829761599E-3</v>
      </c>
      <c r="BG142" s="6"/>
      <c r="BH142" s="6"/>
    </row>
    <row r="143" spans="1:60" ht="12.75" customHeight="1" x14ac:dyDescent="0.2">
      <c r="A143" s="19">
        <v>300</v>
      </c>
      <c r="B143" s="19" t="s">
        <v>954</v>
      </c>
      <c r="C143" s="19" t="s">
        <v>890</v>
      </c>
      <c r="D143" s="20" t="s">
        <v>700</v>
      </c>
      <c r="E143" s="20"/>
      <c r="F143" s="21"/>
      <c r="G143" s="21"/>
      <c r="H143" s="21"/>
      <c r="I143" s="21"/>
      <c r="J143" s="21"/>
      <c r="K143" s="21"/>
      <c r="L143" s="21"/>
      <c r="M143" s="21"/>
      <c r="N143" s="32" t="s">
        <v>1035</v>
      </c>
      <c r="O143" s="22" t="s">
        <v>34</v>
      </c>
      <c r="P143" s="23">
        <v>0.03</v>
      </c>
      <c r="Q143" s="34">
        <f t="shared" si="46"/>
        <v>2.2380000000000001E-2</v>
      </c>
      <c r="R143" s="39"/>
      <c r="S143" s="39">
        <v>0.84</v>
      </c>
      <c r="T143" s="40">
        <v>0.93</v>
      </c>
      <c r="U143" s="40" t="s">
        <v>444</v>
      </c>
      <c r="V143" s="39">
        <v>220</v>
      </c>
      <c r="W143" s="2">
        <f t="shared" si="54"/>
        <v>0.13021924312246891</v>
      </c>
      <c r="X143" s="2">
        <f t="shared" si="47"/>
        <v>2.6642857142857145E-2</v>
      </c>
      <c r="Y143" s="2">
        <f t="shared" si="55"/>
        <v>0.78131545873481345</v>
      </c>
      <c r="Z143" s="1"/>
      <c r="AA143" s="1"/>
      <c r="AB143" s="1">
        <v>90</v>
      </c>
      <c r="AC143" s="1"/>
      <c r="AD143" s="1"/>
      <c r="AE143" s="1"/>
      <c r="AF143" s="1"/>
      <c r="AG143" s="1">
        <f t="shared" si="48"/>
        <v>90</v>
      </c>
      <c r="AH143" s="1">
        <v>1</v>
      </c>
      <c r="AI143" s="1" t="s">
        <v>1068</v>
      </c>
      <c r="AJ143" s="1">
        <f t="shared" si="49"/>
        <v>90</v>
      </c>
      <c r="AK143" s="1">
        <v>0</v>
      </c>
      <c r="AL143" s="1" t="s">
        <v>118</v>
      </c>
      <c r="AM143" s="1">
        <f t="shared" si="50"/>
        <v>0</v>
      </c>
      <c r="AN143" s="1">
        <v>0</v>
      </c>
      <c r="AO143" s="1" t="s">
        <v>118</v>
      </c>
      <c r="AP143" s="1">
        <f t="shared" si="51"/>
        <v>0</v>
      </c>
      <c r="AQ143" s="1" t="s">
        <v>57</v>
      </c>
      <c r="AR143" s="1" t="str">
        <f t="shared" si="52"/>
        <v>3/4"</v>
      </c>
      <c r="AS143" s="1">
        <v>1</v>
      </c>
      <c r="AT143" s="1"/>
      <c r="AU143" s="1"/>
      <c r="AV143" s="17"/>
      <c r="AW143" s="2"/>
      <c r="AX143" s="2"/>
      <c r="AY143" s="2"/>
      <c r="AZ143" s="17"/>
      <c r="BA143" s="1"/>
      <c r="BB143" s="1"/>
      <c r="BC143" s="1"/>
      <c r="BD143" s="1"/>
      <c r="BE143" s="18"/>
      <c r="BF143" s="2">
        <f t="shared" si="53"/>
        <v>4.922211829761599E-3</v>
      </c>
      <c r="BG143" s="6"/>
      <c r="BH143" s="6"/>
    </row>
    <row r="144" spans="1:60" ht="12.75" customHeight="1" x14ac:dyDescent="0.2">
      <c r="A144" s="19">
        <v>300</v>
      </c>
      <c r="B144" s="19" t="s">
        <v>954</v>
      </c>
      <c r="C144" s="19" t="s">
        <v>891</v>
      </c>
      <c r="D144" s="20" t="s">
        <v>701</v>
      </c>
      <c r="E144" s="20"/>
      <c r="F144" s="21"/>
      <c r="G144" s="21"/>
      <c r="H144" s="21"/>
      <c r="I144" s="21"/>
      <c r="J144" s="21"/>
      <c r="K144" s="21"/>
      <c r="L144" s="21"/>
      <c r="M144" s="21"/>
      <c r="N144" s="32" t="s">
        <v>1035</v>
      </c>
      <c r="O144" s="22" t="s">
        <v>34</v>
      </c>
      <c r="P144" s="23">
        <v>0.03</v>
      </c>
      <c r="Q144" s="34">
        <f t="shared" si="46"/>
        <v>2.2380000000000001E-2</v>
      </c>
      <c r="R144" s="39"/>
      <c r="S144" s="39">
        <v>0.84</v>
      </c>
      <c r="T144" s="40">
        <v>0.93</v>
      </c>
      <c r="U144" s="40" t="s">
        <v>444</v>
      </c>
      <c r="V144" s="39">
        <v>220</v>
      </c>
      <c r="W144" s="2">
        <f t="shared" si="54"/>
        <v>0.13021924312246891</v>
      </c>
      <c r="X144" s="2">
        <f t="shared" si="47"/>
        <v>2.6642857142857145E-2</v>
      </c>
      <c r="Y144" s="2">
        <f t="shared" si="55"/>
        <v>0.78131545873481345</v>
      </c>
      <c r="Z144" s="1"/>
      <c r="AA144" s="1"/>
      <c r="AB144" s="1">
        <v>90</v>
      </c>
      <c r="AC144" s="1"/>
      <c r="AD144" s="1"/>
      <c r="AE144" s="1"/>
      <c r="AF144" s="1"/>
      <c r="AG144" s="1">
        <f t="shared" si="48"/>
        <v>90</v>
      </c>
      <c r="AH144" s="1">
        <v>1</v>
      </c>
      <c r="AI144" s="1" t="s">
        <v>1068</v>
      </c>
      <c r="AJ144" s="1">
        <f t="shared" si="49"/>
        <v>90</v>
      </c>
      <c r="AK144" s="1">
        <v>0</v>
      </c>
      <c r="AL144" s="1" t="s">
        <v>118</v>
      </c>
      <c r="AM144" s="1">
        <f t="shared" si="50"/>
        <v>0</v>
      </c>
      <c r="AN144" s="1">
        <v>0</v>
      </c>
      <c r="AO144" s="1" t="s">
        <v>118</v>
      </c>
      <c r="AP144" s="1">
        <f t="shared" si="51"/>
        <v>0</v>
      </c>
      <c r="AQ144" s="1" t="s">
        <v>57</v>
      </c>
      <c r="AR144" s="1" t="str">
        <f t="shared" ref="AR144:AR175" si="56">IFERROR(VLOOKUP(AQ144,$O$368:$P$412,2,1),"NA")</f>
        <v>3/4"</v>
      </c>
      <c r="AS144" s="1">
        <v>1</v>
      </c>
      <c r="AT144" s="1"/>
      <c r="AU144" s="1"/>
      <c r="AV144" s="17"/>
      <c r="AW144" s="2"/>
      <c r="AX144" s="2"/>
      <c r="AY144" s="2"/>
      <c r="AZ144" s="17"/>
      <c r="BA144" s="1"/>
      <c r="BB144" s="1"/>
      <c r="BC144" s="1"/>
      <c r="BD144" s="1"/>
      <c r="BE144" s="18"/>
      <c r="BF144" s="2">
        <f t="shared" si="53"/>
        <v>4.922211829761599E-3</v>
      </c>
      <c r="BG144" s="6"/>
      <c r="BH144" s="6"/>
    </row>
    <row r="145" spans="1:60" ht="12.75" customHeight="1" x14ac:dyDescent="0.2">
      <c r="A145" s="19">
        <v>300</v>
      </c>
      <c r="B145" s="19" t="s">
        <v>954</v>
      </c>
      <c r="C145" s="19" t="s">
        <v>892</v>
      </c>
      <c r="D145" s="20" t="s">
        <v>701</v>
      </c>
      <c r="E145" s="20"/>
      <c r="F145" s="21"/>
      <c r="G145" s="21"/>
      <c r="H145" s="21"/>
      <c r="I145" s="21"/>
      <c r="J145" s="21"/>
      <c r="K145" s="21"/>
      <c r="L145" s="21"/>
      <c r="M145" s="21"/>
      <c r="N145" s="32" t="s">
        <v>1035</v>
      </c>
      <c r="O145" s="22" t="s">
        <v>34</v>
      </c>
      <c r="P145" s="23">
        <v>0.03</v>
      </c>
      <c r="Q145" s="34">
        <f t="shared" si="46"/>
        <v>2.2380000000000001E-2</v>
      </c>
      <c r="R145" s="39"/>
      <c r="S145" s="39">
        <v>0.84</v>
      </c>
      <c r="T145" s="40">
        <v>0.93</v>
      </c>
      <c r="U145" s="40" t="s">
        <v>444</v>
      </c>
      <c r="V145" s="39">
        <v>220</v>
      </c>
      <c r="W145" s="2">
        <f t="shared" si="54"/>
        <v>0.13021924312246891</v>
      </c>
      <c r="X145" s="2">
        <f t="shared" si="47"/>
        <v>2.6642857142857145E-2</v>
      </c>
      <c r="Y145" s="2">
        <f t="shared" si="55"/>
        <v>0.78131545873481345</v>
      </c>
      <c r="Z145" s="1"/>
      <c r="AA145" s="1"/>
      <c r="AB145" s="1">
        <v>90</v>
      </c>
      <c r="AC145" s="1"/>
      <c r="AD145" s="1"/>
      <c r="AE145" s="1"/>
      <c r="AF145" s="1"/>
      <c r="AG145" s="1">
        <f t="shared" si="48"/>
        <v>90</v>
      </c>
      <c r="AH145" s="1">
        <v>1</v>
      </c>
      <c r="AI145" s="1" t="s">
        <v>1068</v>
      </c>
      <c r="AJ145" s="1">
        <f t="shared" si="49"/>
        <v>90</v>
      </c>
      <c r="AK145" s="1">
        <v>0</v>
      </c>
      <c r="AL145" s="1" t="s">
        <v>118</v>
      </c>
      <c r="AM145" s="1">
        <f t="shared" si="50"/>
        <v>0</v>
      </c>
      <c r="AN145" s="1">
        <v>0</v>
      </c>
      <c r="AO145" s="1" t="s">
        <v>118</v>
      </c>
      <c r="AP145" s="1">
        <f t="shared" si="51"/>
        <v>0</v>
      </c>
      <c r="AQ145" s="1" t="s">
        <v>57</v>
      </c>
      <c r="AR145" s="1" t="str">
        <f t="shared" si="56"/>
        <v>3/4"</v>
      </c>
      <c r="AS145" s="1">
        <v>1</v>
      </c>
      <c r="AT145" s="1"/>
      <c r="AU145" s="1"/>
      <c r="AV145" s="17"/>
      <c r="AW145" s="2"/>
      <c r="AX145" s="2"/>
      <c r="AY145" s="2"/>
      <c r="AZ145" s="17"/>
      <c r="BA145" s="1"/>
      <c r="BB145" s="1"/>
      <c r="BC145" s="1"/>
      <c r="BD145" s="1"/>
      <c r="BE145" s="18"/>
      <c r="BF145" s="2">
        <f t="shared" si="53"/>
        <v>4.922211829761599E-3</v>
      </c>
      <c r="BG145" s="6"/>
      <c r="BH145" s="6"/>
    </row>
    <row r="146" spans="1:60" s="133" customFormat="1" ht="12.75" customHeight="1" x14ac:dyDescent="0.2">
      <c r="A146" s="119">
        <v>300</v>
      </c>
      <c r="B146" s="119" t="s">
        <v>954</v>
      </c>
      <c r="C146" s="119" t="s">
        <v>534</v>
      </c>
      <c r="D146" s="120" t="s">
        <v>702</v>
      </c>
      <c r="E146" s="120"/>
      <c r="F146" s="121"/>
      <c r="G146" s="121"/>
      <c r="H146" s="121"/>
      <c r="I146" s="121"/>
      <c r="J146" s="121"/>
      <c r="K146" s="121"/>
      <c r="L146" s="121"/>
      <c r="M146" s="121"/>
      <c r="N146" s="122" t="s">
        <v>1038</v>
      </c>
      <c r="O146" s="123" t="s">
        <v>5</v>
      </c>
      <c r="P146" s="124">
        <v>25</v>
      </c>
      <c r="Q146" s="125">
        <f t="shared" si="46"/>
        <v>18.649999999999999</v>
      </c>
      <c r="R146" s="126"/>
      <c r="S146" s="126">
        <f>IF(O146="","",IF(O146="NA","",IF(O146="Mini disjuntor + DR",0.92,IF(O146="Mini disjuntor",0.92,IF(O146="Disjuntor Motor",0.92,IF(O146="Disjuntor C.M.",0.92,IF(O146="Disjuntor C.A.",0.92,IFERROR(VLOOKUP('Lista de Cargas'!P146,Motores!$B$9:$T$48,19,FALSE),"Erro"))))))))</f>
        <v>0.81</v>
      </c>
      <c r="T146" s="127">
        <f>IF(O146="","",IF(O146="NA","",IF(O146="Mini disjuntor + DR",100%,IF(O146="Mini disjuntor",100%,IF(O146="Disjuntor Motor",0.92,IF(O146="Disjuntor C.M.",100%,IF(O146="Disjuntor C.A.",100%,IFERROR(VLOOKUP('Lista de Cargas'!P146,Motores!$B$9:$T$48,16,FALSE)/100,"Erro"))))))))</f>
        <v>0.92799999999999994</v>
      </c>
      <c r="U146" s="127" t="s">
        <v>445</v>
      </c>
      <c r="V146" s="126">
        <v>440</v>
      </c>
      <c r="W146" s="128">
        <f t="shared" si="54"/>
        <v>32.556112249127175</v>
      </c>
      <c r="X146" s="128">
        <f t="shared" si="47"/>
        <v>23.02469135802469</v>
      </c>
      <c r="Y146" s="128">
        <f t="shared" si="55"/>
        <v>48.834168373690758</v>
      </c>
      <c r="Z146" s="129"/>
      <c r="AA146" s="129"/>
      <c r="AB146" s="1">
        <v>0</v>
      </c>
      <c r="AC146" s="129"/>
      <c r="AD146" s="129"/>
      <c r="AE146" s="129"/>
      <c r="AF146" s="129"/>
      <c r="AG146" s="129">
        <f t="shared" si="48"/>
        <v>0</v>
      </c>
      <c r="AH146" s="129">
        <v>1</v>
      </c>
      <c r="AI146" s="129" t="s">
        <v>1057</v>
      </c>
      <c r="AJ146" s="129">
        <f t="shared" si="49"/>
        <v>0</v>
      </c>
      <c r="AK146" s="129">
        <v>0</v>
      </c>
      <c r="AL146" s="129" t="s">
        <v>118</v>
      </c>
      <c r="AM146" s="129">
        <f t="shared" si="50"/>
        <v>0</v>
      </c>
      <c r="AN146" s="129">
        <v>0</v>
      </c>
      <c r="AO146" s="129" t="s">
        <v>118</v>
      </c>
      <c r="AP146" s="129">
        <f t="shared" si="51"/>
        <v>0</v>
      </c>
      <c r="AQ146" s="1" t="s">
        <v>60</v>
      </c>
      <c r="AR146" s="129" t="str">
        <f t="shared" si="56"/>
        <v>1"</v>
      </c>
      <c r="AS146" s="1">
        <v>1</v>
      </c>
      <c r="AT146" s="129"/>
      <c r="AU146" s="129"/>
      <c r="AV146" s="130"/>
      <c r="AW146" s="128"/>
      <c r="AX146" s="128"/>
      <c r="AY146" s="128"/>
      <c r="AZ146" s="130"/>
      <c r="BA146" s="129"/>
      <c r="BB146" s="129"/>
      <c r="BC146" s="129"/>
      <c r="BD146" s="129"/>
      <c r="BE146" s="131"/>
      <c r="BF146" s="128">
        <f t="shared" si="53"/>
        <v>0</v>
      </c>
      <c r="BG146" s="132"/>
      <c r="BH146" s="132"/>
    </row>
    <row r="147" spans="1:60" ht="12.75" customHeight="1" x14ac:dyDescent="0.2">
      <c r="A147" s="19">
        <v>300</v>
      </c>
      <c r="B147" s="19" t="s">
        <v>954</v>
      </c>
      <c r="C147" s="19" t="s">
        <v>893</v>
      </c>
      <c r="D147" s="20" t="s">
        <v>703</v>
      </c>
      <c r="E147" s="20"/>
      <c r="F147" s="21"/>
      <c r="G147" s="21"/>
      <c r="H147" s="21"/>
      <c r="I147" s="21"/>
      <c r="J147" s="21"/>
      <c r="K147" s="21"/>
      <c r="L147" s="21"/>
      <c r="M147" s="21"/>
      <c r="N147" s="32" t="s">
        <v>1035</v>
      </c>
      <c r="O147" s="22" t="s">
        <v>34</v>
      </c>
      <c r="P147" s="23">
        <v>0.03</v>
      </c>
      <c r="Q147" s="34">
        <f t="shared" si="46"/>
        <v>2.2380000000000001E-2</v>
      </c>
      <c r="R147" s="39"/>
      <c r="S147" s="39">
        <v>0.84</v>
      </c>
      <c r="T147" s="40">
        <v>0.93</v>
      </c>
      <c r="U147" s="40" t="s">
        <v>444</v>
      </c>
      <c r="V147" s="39">
        <v>220</v>
      </c>
      <c r="W147" s="2">
        <f t="shared" si="54"/>
        <v>0.13021924312246891</v>
      </c>
      <c r="X147" s="2">
        <f t="shared" si="47"/>
        <v>2.6642857142857145E-2</v>
      </c>
      <c r="Y147" s="2">
        <f t="shared" si="55"/>
        <v>0.78131545873481345</v>
      </c>
      <c r="Z147" s="1"/>
      <c r="AA147" s="1"/>
      <c r="AB147" s="1">
        <v>90</v>
      </c>
      <c r="AC147" s="1"/>
      <c r="AD147" s="1"/>
      <c r="AE147" s="1"/>
      <c r="AF147" s="1"/>
      <c r="AG147" s="1">
        <f t="shared" si="48"/>
        <v>90</v>
      </c>
      <c r="AH147" s="1">
        <v>1</v>
      </c>
      <c r="AI147" s="1" t="s">
        <v>1068</v>
      </c>
      <c r="AJ147" s="1">
        <f t="shared" si="49"/>
        <v>90</v>
      </c>
      <c r="AK147" s="1">
        <v>0</v>
      </c>
      <c r="AL147" s="1" t="s">
        <v>118</v>
      </c>
      <c r="AM147" s="1">
        <f t="shared" si="50"/>
        <v>0</v>
      </c>
      <c r="AN147" s="1">
        <v>0</v>
      </c>
      <c r="AO147" s="1" t="s">
        <v>118</v>
      </c>
      <c r="AP147" s="1">
        <f t="shared" si="51"/>
        <v>0</v>
      </c>
      <c r="AQ147" s="1" t="s">
        <v>57</v>
      </c>
      <c r="AR147" s="1" t="str">
        <f t="shared" si="56"/>
        <v>3/4"</v>
      </c>
      <c r="AS147" s="1">
        <v>1</v>
      </c>
      <c r="AT147" s="1"/>
      <c r="AU147" s="1"/>
      <c r="AV147" s="17"/>
      <c r="AW147" s="2"/>
      <c r="AX147" s="2"/>
      <c r="AY147" s="2"/>
      <c r="AZ147" s="17"/>
      <c r="BA147" s="1"/>
      <c r="BB147" s="1"/>
      <c r="BC147" s="1"/>
      <c r="BD147" s="1"/>
      <c r="BE147" s="18"/>
      <c r="BF147" s="2">
        <f t="shared" si="53"/>
        <v>4.922211829761599E-3</v>
      </c>
      <c r="BG147" s="6"/>
      <c r="BH147" s="6"/>
    </row>
    <row r="148" spans="1:60" ht="12.75" customHeight="1" x14ac:dyDescent="0.2">
      <c r="A148" s="19">
        <v>300</v>
      </c>
      <c r="B148" s="19" t="s">
        <v>954</v>
      </c>
      <c r="C148" s="19" t="s">
        <v>894</v>
      </c>
      <c r="D148" s="20" t="s">
        <v>703</v>
      </c>
      <c r="E148" s="20"/>
      <c r="F148" s="21"/>
      <c r="G148" s="21"/>
      <c r="H148" s="21"/>
      <c r="I148" s="21"/>
      <c r="J148" s="21"/>
      <c r="K148" s="21"/>
      <c r="L148" s="21"/>
      <c r="M148" s="21"/>
      <c r="N148" s="32" t="s">
        <v>1035</v>
      </c>
      <c r="O148" s="22" t="s">
        <v>34</v>
      </c>
      <c r="P148" s="23">
        <v>0.03</v>
      </c>
      <c r="Q148" s="34">
        <f t="shared" si="46"/>
        <v>2.2380000000000001E-2</v>
      </c>
      <c r="R148" s="39"/>
      <c r="S148" s="39">
        <v>0.84</v>
      </c>
      <c r="T148" s="40">
        <v>0.93</v>
      </c>
      <c r="U148" s="40" t="s">
        <v>444</v>
      </c>
      <c r="V148" s="39">
        <v>220</v>
      </c>
      <c r="W148" s="2">
        <f t="shared" si="54"/>
        <v>0.13021924312246891</v>
      </c>
      <c r="X148" s="2">
        <f t="shared" si="47"/>
        <v>2.6642857142857145E-2</v>
      </c>
      <c r="Y148" s="2">
        <f t="shared" si="55"/>
        <v>0.78131545873481345</v>
      </c>
      <c r="Z148" s="1"/>
      <c r="AA148" s="1"/>
      <c r="AB148" s="1">
        <v>90</v>
      </c>
      <c r="AC148" s="1"/>
      <c r="AD148" s="1"/>
      <c r="AE148" s="1"/>
      <c r="AF148" s="1"/>
      <c r="AG148" s="1">
        <f t="shared" si="48"/>
        <v>90</v>
      </c>
      <c r="AH148" s="1">
        <v>1</v>
      </c>
      <c r="AI148" s="1" t="s">
        <v>1068</v>
      </c>
      <c r="AJ148" s="1">
        <f t="shared" si="49"/>
        <v>90</v>
      </c>
      <c r="AK148" s="1">
        <v>0</v>
      </c>
      <c r="AL148" s="1" t="s">
        <v>118</v>
      </c>
      <c r="AM148" s="1">
        <f t="shared" si="50"/>
        <v>0</v>
      </c>
      <c r="AN148" s="1">
        <v>0</v>
      </c>
      <c r="AO148" s="1" t="s">
        <v>118</v>
      </c>
      <c r="AP148" s="1">
        <f t="shared" si="51"/>
        <v>0</v>
      </c>
      <c r="AQ148" s="1" t="s">
        <v>57</v>
      </c>
      <c r="AR148" s="1" t="str">
        <f t="shared" si="56"/>
        <v>3/4"</v>
      </c>
      <c r="AS148" s="1">
        <v>1</v>
      </c>
      <c r="AT148" s="1"/>
      <c r="AU148" s="1"/>
      <c r="AV148" s="17"/>
      <c r="AW148" s="2"/>
      <c r="AX148" s="2"/>
      <c r="AY148" s="2"/>
      <c r="AZ148" s="17"/>
      <c r="BA148" s="1"/>
      <c r="BB148" s="1"/>
      <c r="BC148" s="1"/>
      <c r="BD148" s="1"/>
      <c r="BE148" s="18"/>
      <c r="BF148" s="2">
        <f t="shared" si="53"/>
        <v>4.922211829761599E-3</v>
      </c>
      <c r="BG148" s="6"/>
      <c r="BH148" s="6"/>
    </row>
    <row r="149" spans="1:60" s="133" customFormat="1" ht="12.75" customHeight="1" x14ac:dyDescent="0.2">
      <c r="A149" s="119">
        <v>300</v>
      </c>
      <c r="B149" s="119" t="s">
        <v>954</v>
      </c>
      <c r="C149" s="119" t="s">
        <v>535</v>
      </c>
      <c r="D149" s="120" t="s">
        <v>704</v>
      </c>
      <c r="E149" s="120"/>
      <c r="F149" s="121"/>
      <c r="G149" s="121"/>
      <c r="H149" s="121"/>
      <c r="I149" s="121"/>
      <c r="J149" s="121"/>
      <c r="K149" s="121"/>
      <c r="L149" s="121"/>
      <c r="M149" s="121"/>
      <c r="N149" s="122" t="s">
        <v>1038</v>
      </c>
      <c r="O149" s="123" t="s">
        <v>5</v>
      </c>
      <c r="P149" s="124">
        <v>1</v>
      </c>
      <c r="Q149" s="125">
        <f t="shared" si="46"/>
        <v>0.746</v>
      </c>
      <c r="R149" s="126"/>
      <c r="S149" s="126">
        <f>IF(O149="","",IF(O149="NA","",IF(O149="Mini disjuntor + DR",0.92,IF(O149="Mini disjuntor",0.92,IF(O149="Disjuntor Motor",0.92,IF(O149="Disjuntor C.M.",0.92,IF(O149="Disjuntor C.A.",0.92,IFERROR(VLOOKUP('Lista de Cargas'!P149,Motores!$B$9:$T$48,19,FALSE),"Erro"))))))))</f>
        <v>0.81</v>
      </c>
      <c r="T149" s="127">
        <f>IF(O149="","",IF(O149="NA","",IF(O149="Mini disjuntor + DR",100%,IF(O149="Mini disjuntor",100%,IF(O149="Disjuntor Motor",0.92,IF(O149="Disjuntor C.M.",100%,IF(O149="Disjuntor C.A.",100%,IFERROR(VLOOKUP('Lista de Cargas'!P149,Motores!$B$9:$T$48,16,FALSE)/100,"Erro"))))))))</f>
        <v>0.80500000000000005</v>
      </c>
      <c r="U149" s="127" t="s">
        <v>445</v>
      </c>
      <c r="V149" s="126">
        <v>440</v>
      </c>
      <c r="W149" s="128">
        <f t="shared" ref="W149:W151" si="57">IFERROR(IF(U149=$U$344,(P149*746)/(SQRT(3)*S149*T149*V149),(P149*746)/(S149*T149*V149)),0)</f>
        <v>1.5012209772516776</v>
      </c>
      <c r="X149" s="128">
        <f t="shared" si="47"/>
        <v>0.92098765432098761</v>
      </c>
      <c r="Y149" s="128">
        <f t="shared" ref="Y149:Y151" si="58">IFERROR(IF(O149=$O$344,6*W149,IF(O149=$O$345,6*W149,IF(O149=$O$346,3*W149,IF(O149=$O$347,1.5*W149,W149)))),0)</f>
        <v>2.2518314658775163</v>
      </c>
      <c r="Z149" s="129"/>
      <c r="AA149" s="129"/>
      <c r="AB149" s="1">
        <v>0</v>
      </c>
      <c r="AC149" s="129"/>
      <c r="AD149" s="129"/>
      <c r="AE149" s="129"/>
      <c r="AF149" s="129"/>
      <c r="AG149" s="129">
        <f t="shared" si="48"/>
        <v>0</v>
      </c>
      <c r="AH149" s="129">
        <v>1</v>
      </c>
      <c r="AI149" s="129" t="s">
        <v>1054</v>
      </c>
      <c r="AJ149" s="129">
        <f t="shared" si="49"/>
        <v>0</v>
      </c>
      <c r="AK149" s="129">
        <v>0</v>
      </c>
      <c r="AL149" s="129" t="s">
        <v>118</v>
      </c>
      <c r="AM149" s="129">
        <f t="shared" si="50"/>
        <v>0</v>
      </c>
      <c r="AN149" s="129">
        <v>0</v>
      </c>
      <c r="AO149" s="129" t="s">
        <v>118</v>
      </c>
      <c r="AP149" s="129">
        <f t="shared" si="51"/>
        <v>0</v>
      </c>
      <c r="AQ149" s="1" t="s">
        <v>57</v>
      </c>
      <c r="AR149" s="129" t="str">
        <f t="shared" ref="AR149:AR151" si="59">IFERROR(VLOOKUP(AQ149,$O$368:$P$412,2,1),"NA")</f>
        <v>3/4"</v>
      </c>
      <c r="AS149" s="1">
        <v>1</v>
      </c>
      <c r="AT149" s="129"/>
      <c r="AU149" s="129"/>
      <c r="AV149" s="130"/>
      <c r="AW149" s="128"/>
      <c r="AX149" s="128"/>
      <c r="AY149" s="128"/>
      <c r="AZ149" s="130"/>
      <c r="BA149" s="129"/>
      <c r="BB149" s="129"/>
      <c r="BC149" s="129"/>
      <c r="BD149" s="129"/>
      <c r="BE149" s="131"/>
      <c r="BF149" s="128">
        <f t="shared" ref="BF149:BF151" si="60">IFERROR(IF(F149=$O$358,0,IF(S149&gt;$BH$1,0,IF(O149=$O$347,0,SQRT((X149^2)-(Q149^2))-(SQRT(((Q149/$BH$1)^2)-(Q149^2)))))),0)</f>
        <v>0</v>
      </c>
      <c r="BG149" s="132"/>
      <c r="BH149" s="132"/>
    </row>
    <row r="150" spans="1:60" s="133" customFormat="1" ht="12.75" customHeight="1" x14ac:dyDescent="0.2">
      <c r="A150" s="119">
        <v>300</v>
      </c>
      <c r="B150" s="119" t="s">
        <v>954</v>
      </c>
      <c r="C150" s="119" t="s">
        <v>536</v>
      </c>
      <c r="D150" s="120" t="s">
        <v>705</v>
      </c>
      <c r="E150" s="120"/>
      <c r="F150" s="121"/>
      <c r="G150" s="121"/>
      <c r="H150" s="121"/>
      <c r="I150" s="121"/>
      <c r="J150" s="121"/>
      <c r="K150" s="121"/>
      <c r="L150" s="121"/>
      <c r="M150" s="121"/>
      <c r="N150" s="122" t="s">
        <v>1038</v>
      </c>
      <c r="O150" s="123" t="s">
        <v>5</v>
      </c>
      <c r="P150" s="124">
        <v>0.75</v>
      </c>
      <c r="Q150" s="125">
        <f t="shared" si="46"/>
        <v>0.5595</v>
      </c>
      <c r="R150" s="126"/>
      <c r="S150" s="126">
        <f>IF(O150="","",IF(O150="NA","",IF(O150="Mini disjuntor + DR",0.92,IF(O150="Mini disjuntor",0.92,IF(O150="Disjuntor Motor",0.92,IF(O150="Disjuntor C.M.",0.92,IF(O150="Disjuntor C.A.",0.92,IFERROR(VLOOKUP('Lista de Cargas'!P150,Motores!$B$9:$T$48,19,FALSE),"Erro"))))))))</f>
        <v>0.66</v>
      </c>
      <c r="T150" s="127">
        <f>IF(O150="","",IF(O150="NA","",IF(O150="Mini disjuntor + DR",100%,IF(O150="Mini disjuntor",100%,IF(O150="Disjuntor Motor",0.92,IF(O150="Disjuntor C.M.",100%,IF(O150="Disjuntor C.A.",100%,IFERROR(VLOOKUP('Lista de Cargas'!P150,Motores!$B$9:$T$48,16,FALSE)/100,"Erro"))))))))</f>
        <v>0.72</v>
      </c>
      <c r="U150" s="127" t="s">
        <v>445</v>
      </c>
      <c r="V150" s="126">
        <v>440</v>
      </c>
      <c r="W150" s="128">
        <f t="shared" si="57"/>
        <v>1.5449355085494896</v>
      </c>
      <c r="X150" s="128">
        <f t="shared" si="47"/>
        <v>0.84772727272727266</v>
      </c>
      <c r="Y150" s="128">
        <f t="shared" si="58"/>
        <v>2.3174032628242345</v>
      </c>
      <c r="Z150" s="129"/>
      <c r="AA150" s="129"/>
      <c r="AB150" s="1">
        <v>0</v>
      </c>
      <c r="AC150" s="129"/>
      <c r="AD150" s="129"/>
      <c r="AE150" s="129"/>
      <c r="AF150" s="129"/>
      <c r="AG150" s="129">
        <f t="shared" si="48"/>
        <v>0</v>
      </c>
      <c r="AH150" s="129">
        <v>1</v>
      </c>
      <c r="AI150" s="129" t="s">
        <v>1054</v>
      </c>
      <c r="AJ150" s="129">
        <f t="shared" si="49"/>
        <v>0</v>
      </c>
      <c r="AK150" s="129">
        <v>0</v>
      </c>
      <c r="AL150" s="129" t="s">
        <v>118</v>
      </c>
      <c r="AM150" s="129">
        <f t="shared" si="50"/>
        <v>0</v>
      </c>
      <c r="AN150" s="129">
        <v>0</v>
      </c>
      <c r="AO150" s="129" t="s">
        <v>118</v>
      </c>
      <c r="AP150" s="129">
        <f t="shared" si="51"/>
        <v>0</v>
      </c>
      <c r="AQ150" s="1" t="s">
        <v>57</v>
      </c>
      <c r="AR150" s="129" t="str">
        <f t="shared" si="59"/>
        <v>3/4"</v>
      </c>
      <c r="AS150" s="1">
        <v>1</v>
      </c>
      <c r="AT150" s="129"/>
      <c r="AU150" s="129"/>
      <c r="AV150" s="130"/>
      <c r="AW150" s="128"/>
      <c r="AX150" s="128"/>
      <c r="AY150" s="128"/>
      <c r="AZ150" s="130"/>
      <c r="BA150" s="129"/>
      <c r="BB150" s="129"/>
      <c r="BC150" s="129"/>
      <c r="BD150" s="129"/>
      <c r="BE150" s="131"/>
      <c r="BF150" s="128">
        <f t="shared" si="60"/>
        <v>0</v>
      </c>
      <c r="BG150" s="132"/>
      <c r="BH150" s="132"/>
    </row>
    <row r="151" spans="1:60" s="133" customFormat="1" ht="12.75" customHeight="1" x14ac:dyDescent="0.2">
      <c r="A151" s="119">
        <v>300</v>
      </c>
      <c r="B151" s="119" t="s">
        <v>954</v>
      </c>
      <c r="C151" s="119" t="s">
        <v>536</v>
      </c>
      <c r="D151" s="120" t="s">
        <v>705</v>
      </c>
      <c r="E151" s="120"/>
      <c r="F151" s="121"/>
      <c r="G151" s="121"/>
      <c r="H151" s="121"/>
      <c r="I151" s="121"/>
      <c r="J151" s="121"/>
      <c r="K151" s="121"/>
      <c r="L151" s="121"/>
      <c r="M151" s="121"/>
      <c r="N151" s="122" t="s">
        <v>1038</v>
      </c>
      <c r="O151" s="123" t="s">
        <v>5</v>
      </c>
      <c r="P151" s="124">
        <v>0.75</v>
      </c>
      <c r="Q151" s="125">
        <f t="shared" si="46"/>
        <v>0.5595</v>
      </c>
      <c r="R151" s="126"/>
      <c r="S151" s="126">
        <f>IF(O151="","",IF(O151="NA","",IF(O151="Mini disjuntor + DR",0.92,IF(O151="Mini disjuntor",0.92,IF(O151="Disjuntor Motor",0.92,IF(O151="Disjuntor C.M.",0.92,IF(O151="Disjuntor C.A.",0.92,IFERROR(VLOOKUP('Lista de Cargas'!P151,Motores!$B$9:$T$48,19,FALSE),"Erro"))))))))</f>
        <v>0.66</v>
      </c>
      <c r="T151" s="127">
        <f>IF(O151="","",IF(O151="NA","",IF(O151="Mini disjuntor + DR",100%,IF(O151="Mini disjuntor",100%,IF(O151="Disjuntor Motor",0.92,IF(O151="Disjuntor C.M.",100%,IF(O151="Disjuntor C.A.",100%,IFERROR(VLOOKUP('Lista de Cargas'!P151,Motores!$B$9:$T$48,16,FALSE)/100,"Erro"))))))))</f>
        <v>0.72</v>
      </c>
      <c r="U151" s="127" t="s">
        <v>445</v>
      </c>
      <c r="V151" s="126">
        <v>440</v>
      </c>
      <c r="W151" s="128">
        <f t="shared" si="57"/>
        <v>1.5449355085494896</v>
      </c>
      <c r="X151" s="128">
        <f t="shared" si="47"/>
        <v>0.84772727272727266</v>
      </c>
      <c r="Y151" s="128">
        <f t="shared" si="58"/>
        <v>2.3174032628242345</v>
      </c>
      <c r="Z151" s="129"/>
      <c r="AA151" s="129"/>
      <c r="AB151" s="1">
        <v>0</v>
      </c>
      <c r="AC151" s="129"/>
      <c r="AD151" s="129"/>
      <c r="AE151" s="129"/>
      <c r="AF151" s="129"/>
      <c r="AG151" s="129">
        <f t="shared" si="48"/>
        <v>0</v>
      </c>
      <c r="AH151" s="129">
        <v>1</v>
      </c>
      <c r="AI151" s="129" t="s">
        <v>1054</v>
      </c>
      <c r="AJ151" s="129">
        <f t="shared" si="49"/>
        <v>0</v>
      </c>
      <c r="AK151" s="129">
        <v>0</v>
      </c>
      <c r="AL151" s="129" t="s">
        <v>118</v>
      </c>
      <c r="AM151" s="129">
        <f t="shared" si="50"/>
        <v>0</v>
      </c>
      <c r="AN151" s="129">
        <v>0</v>
      </c>
      <c r="AO151" s="129" t="s">
        <v>118</v>
      </c>
      <c r="AP151" s="129">
        <f t="shared" si="51"/>
        <v>0</v>
      </c>
      <c r="AQ151" s="1" t="s">
        <v>57</v>
      </c>
      <c r="AR151" s="129" t="str">
        <f t="shared" si="59"/>
        <v>3/4"</v>
      </c>
      <c r="AS151" s="1">
        <v>1</v>
      </c>
      <c r="AT151" s="129"/>
      <c r="AU151" s="129"/>
      <c r="AV151" s="130"/>
      <c r="AW151" s="128"/>
      <c r="AX151" s="128"/>
      <c r="AY151" s="128"/>
      <c r="AZ151" s="130"/>
      <c r="BA151" s="129"/>
      <c r="BB151" s="129"/>
      <c r="BC151" s="129"/>
      <c r="BD151" s="129"/>
      <c r="BE151" s="131"/>
      <c r="BF151" s="128">
        <f t="shared" si="60"/>
        <v>0</v>
      </c>
      <c r="BG151" s="132"/>
      <c r="BH151" s="132"/>
    </row>
    <row r="152" spans="1:60" ht="12.75" customHeight="1" x14ac:dyDescent="0.2">
      <c r="A152" s="19">
        <v>300</v>
      </c>
      <c r="B152" s="19" t="s">
        <v>954</v>
      </c>
      <c r="C152" s="19" t="s">
        <v>537</v>
      </c>
      <c r="D152" s="20" t="s">
        <v>706</v>
      </c>
      <c r="E152" s="20"/>
      <c r="F152" s="21"/>
      <c r="G152" s="21"/>
      <c r="H152" s="21"/>
      <c r="I152" s="21"/>
      <c r="J152" s="21"/>
      <c r="K152" s="21"/>
      <c r="L152" s="21"/>
      <c r="M152" s="21"/>
      <c r="N152" s="32" t="s">
        <v>1035</v>
      </c>
      <c r="O152" s="22" t="s">
        <v>34</v>
      </c>
      <c r="P152" s="23">
        <v>0.5</v>
      </c>
      <c r="Q152" s="34">
        <f t="shared" si="46"/>
        <v>0.373</v>
      </c>
      <c r="R152" s="39"/>
      <c r="S152" s="39">
        <f>IF(O152="","",IF(O152="NA","",IF(O152="Mini disjuntor + DR",0.92,IF(O152="Mini disjuntor",0.92,IF(O152="Disjuntor Motor",0.92,IF(O152="Disjuntor C.M.",0.92,IF(O152="Disjuntor C.A.",0.92,IFERROR(VLOOKUP('Lista de Cargas'!P152,Motores!$B$9:$T$48,19,FALSE),"Erro"))))))))</f>
        <v>0.69</v>
      </c>
      <c r="T152" s="40">
        <f>IF(O152="","",IF(O152="NA","",IF(O152="Mini disjuntor + DR",100%,IF(O152="Mini disjuntor",100%,IF(O152="Disjuntor Motor",0.92,IF(O152="Disjuntor C.M.",100%,IF(O152="Disjuntor C.A.",100%,IFERROR(VLOOKUP('Lista de Cargas'!P152,Motores!$B$9:$T$48,16,FALSE)/100,"Erro"))))))))</f>
        <v>0.7</v>
      </c>
      <c r="U152" s="40" t="s">
        <v>445</v>
      </c>
      <c r="V152" s="39">
        <v>440</v>
      </c>
      <c r="W152" s="2">
        <f t="shared" ref="W152:W183" si="61">IFERROR(IF(U152=$U$344,(P152*746)/(SQRT(3)*S152*T152*V152),(P152*746)/(S152*T152*V152)),0)</f>
        <v>1.0133241596448825</v>
      </c>
      <c r="X152" s="2">
        <f t="shared" si="47"/>
        <v>0.54057971014492756</v>
      </c>
      <c r="Y152" s="2">
        <f t="shared" ref="Y152:Y183" si="62">IFERROR(IF(O152=$O$344,6*W152,IF(O152=$O$345,6*W152,IF(O152=$O$346,3*W152,IF(O152=$O$347,1.5*W152,W152)))),0)</f>
        <v>6.0799449578692952</v>
      </c>
      <c r="Z152" s="1"/>
      <c r="AA152" s="1"/>
      <c r="AB152" s="1">
        <v>90</v>
      </c>
      <c r="AC152" s="1"/>
      <c r="AD152" s="1"/>
      <c r="AE152" s="1"/>
      <c r="AF152" s="1"/>
      <c r="AG152" s="1">
        <f t="shared" si="48"/>
        <v>90</v>
      </c>
      <c r="AH152" s="1">
        <v>1</v>
      </c>
      <c r="AI152" s="1" t="s">
        <v>1054</v>
      </c>
      <c r="AJ152" s="1">
        <f t="shared" si="49"/>
        <v>90</v>
      </c>
      <c r="AK152" s="1">
        <v>0</v>
      </c>
      <c r="AL152" s="1" t="s">
        <v>118</v>
      </c>
      <c r="AM152" s="1">
        <f t="shared" si="50"/>
        <v>0</v>
      </c>
      <c r="AN152" s="1">
        <v>0</v>
      </c>
      <c r="AO152" s="1" t="s">
        <v>118</v>
      </c>
      <c r="AP152" s="1">
        <f t="shared" si="51"/>
        <v>0</v>
      </c>
      <c r="AQ152" s="1" t="s">
        <v>57</v>
      </c>
      <c r="AR152" s="1" t="str">
        <f t="shared" ref="AR152:AR183" si="63">IFERROR(VLOOKUP(AQ152,$O$368:$P$412,2,1),"NA")</f>
        <v>3/4"</v>
      </c>
      <c r="AS152" s="1">
        <v>1</v>
      </c>
      <c r="AT152" s="1"/>
      <c r="AU152" s="1"/>
      <c r="AV152" s="17"/>
      <c r="AW152" s="2"/>
      <c r="AX152" s="2"/>
      <c r="AY152" s="2"/>
      <c r="AZ152" s="17"/>
      <c r="BA152" s="1"/>
      <c r="BB152" s="1"/>
      <c r="BC152" s="1"/>
      <c r="BD152" s="1"/>
      <c r="BE152" s="18"/>
      <c r="BF152" s="2">
        <f t="shared" ref="BF152:BF183" si="64">IFERROR(IF(F152=$O$358,0,IF(S152&gt;$BH$1,0,IF(O152=$O$347,0,SQRT((X152^2)-(Q152^2))-(SQRT(((Q152/$BH$1)^2)-(Q152^2)))))),0)</f>
        <v>0.23237932328500399</v>
      </c>
      <c r="BG152" s="6"/>
      <c r="BH152" s="6"/>
    </row>
    <row r="153" spans="1:60" s="72" customFormat="1" ht="12.75" customHeight="1" x14ac:dyDescent="0.2">
      <c r="A153" s="19">
        <v>300</v>
      </c>
      <c r="B153" s="19" t="s">
        <v>954</v>
      </c>
      <c r="C153" s="19" t="s">
        <v>538</v>
      </c>
      <c r="D153" s="60" t="s">
        <v>707</v>
      </c>
      <c r="E153" s="60"/>
      <c r="F153" s="61"/>
      <c r="G153" s="61"/>
      <c r="H153" s="61"/>
      <c r="I153" s="61"/>
      <c r="J153" s="61"/>
      <c r="K153" s="61"/>
      <c r="L153" s="61"/>
      <c r="M153" s="61"/>
      <c r="N153" s="73" t="s">
        <v>9</v>
      </c>
      <c r="O153" s="62" t="s">
        <v>5</v>
      </c>
      <c r="P153" s="63">
        <v>100</v>
      </c>
      <c r="Q153" s="64">
        <f t="shared" si="46"/>
        <v>74.599999999999994</v>
      </c>
      <c r="R153" s="65"/>
      <c r="S153" s="65">
        <f>IF(O153="","",IF(O153="NA","",IF(O153="Mini disjuntor + DR",0.92,IF(O153="Mini disjuntor",0.92,IF(O153="Disjuntor Motor",0.92,IF(O153="Disjuntor C.M.",0.92,IF(O153="Disjuntor C.A.",0.92,IFERROR(VLOOKUP('Lista de Cargas'!P153,Motores!$B$9:$T$48,19,FALSE),"Erro"))))))))</f>
        <v>0.87</v>
      </c>
      <c r="T153" s="66">
        <f>IF(O153="","",IF(O153="NA","",IF(O153="Mini disjuntor + DR",100%,IF(O153="Mini disjuntor",100%,IF(O153="Disjuntor Motor",0.92,IF(O153="Disjuntor C.M.",100%,IF(O153="Disjuntor C.A.",100%,IFERROR(VLOOKUP('Lista de Cargas'!P153,Motores!$B$9:$T$48,16,FALSE)/100,"Erro"))))))))</f>
        <v>0.94599999999999995</v>
      </c>
      <c r="U153" s="66" t="s">
        <v>445</v>
      </c>
      <c r="V153" s="65">
        <v>440</v>
      </c>
      <c r="W153" s="67">
        <f t="shared" si="61"/>
        <v>118.93649464374577</v>
      </c>
      <c r="X153" s="67">
        <f t="shared" si="47"/>
        <v>85.747126436781599</v>
      </c>
      <c r="Y153" s="67">
        <f t="shared" si="62"/>
        <v>178.40474196561865</v>
      </c>
      <c r="Z153" s="68"/>
      <c r="AA153" s="68"/>
      <c r="AB153" s="68">
        <v>120</v>
      </c>
      <c r="AC153" s="68"/>
      <c r="AD153" s="68"/>
      <c r="AE153" s="68"/>
      <c r="AF153" s="68"/>
      <c r="AG153" s="68">
        <f t="shared" si="48"/>
        <v>120</v>
      </c>
      <c r="AH153" s="68">
        <v>3</v>
      </c>
      <c r="AI153" s="68" t="s">
        <v>1060</v>
      </c>
      <c r="AJ153" s="68">
        <f t="shared" si="49"/>
        <v>360</v>
      </c>
      <c r="AK153" s="68">
        <v>0</v>
      </c>
      <c r="AL153" s="68" t="s">
        <v>118</v>
      </c>
      <c r="AM153" s="68">
        <f t="shared" si="50"/>
        <v>0</v>
      </c>
      <c r="AN153" s="68">
        <v>1</v>
      </c>
      <c r="AO153" s="68" t="s">
        <v>1059</v>
      </c>
      <c r="AP153" s="68">
        <f t="shared" si="51"/>
        <v>120</v>
      </c>
      <c r="AQ153" s="1" t="s">
        <v>62</v>
      </c>
      <c r="AR153" s="68" t="str">
        <f t="shared" si="63"/>
        <v>1.1/2"</v>
      </c>
      <c r="AS153" s="1">
        <v>1</v>
      </c>
      <c r="AT153" s="68"/>
      <c r="AU153" s="68"/>
      <c r="AV153" s="69"/>
      <c r="AW153" s="67"/>
      <c r="AX153" s="67"/>
      <c r="AY153" s="67"/>
      <c r="AZ153" s="69"/>
      <c r="BA153" s="68"/>
      <c r="BB153" s="68"/>
      <c r="BC153" s="68"/>
      <c r="BD153" s="68"/>
      <c r="BE153" s="70"/>
      <c r="BF153" s="67">
        <f t="shared" si="64"/>
        <v>0</v>
      </c>
      <c r="BG153" s="71"/>
      <c r="BH153" s="71"/>
    </row>
    <row r="154" spans="1:60" s="72" customFormat="1" ht="12.75" customHeight="1" x14ac:dyDescent="0.2">
      <c r="A154" s="19">
        <v>300</v>
      </c>
      <c r="B154" s="19" t="s">
        <v>954</v>
      </c>
      <c r="C154" s="19" t="s">
        <v>539</v>
      </c>
      <c r="D154" s="60" t="s">
        <v>708</v>
      </c>
      <c r="E154" s="60"/>
      <c r="F154" s="61"/>
      <c r="G154" s="61"/>
      <c r="H154" s="61"/>
      <c r="I154" s="61"/>
      <c r="J154" s="61"/>
      <c r="K154" s="61"/>
      <c r="L154" s="61"/>
      <c r="M154" s="61"/>
      <c r="N154" s="73" t="s">
        <v>9</v>
      </c>
      <c r="O154" s="62" t="s">
        <v>5</v>
      </c>
      <c r="P154" s="63">
        <v>15</v>
      </c>
      <c r="Q154" s="64">
        <f t="shared" si="46"/>
        <v>11.19</v>
      </c>
      <c r="R154" s="65"/>
      <c r="S154" s="65">
        <f>IF(O154="","",IF(O154="NA","",IF(O154="Mini disjuntor + DR",0.92,IF(O154="Mini disjuntor",0.92,IF(O154="Disjuntor Motor",0.92,IF(O154="Disjuntor C.M.",0.92,IF(O154="Disjuntor C.A.",0.92,IFERROR(VLOOKUP('Lista de Cargas'!P154,Motores!$B$9:$T$48,19,FALSE),"Erro"))))))))</f>
        <v>0.85</v>
      </c>
      <c r="T154" s="66">
        <f>IF(O154="","",IF(O154="NA","",IF(O154="Mini disjuntor + DR",100%,IF(O154="Mini disjuntor",100%,IF(O154="Disjuntor Motor",0.92,IF(O154="Disjuntor C.M.",100%,IF(O154="Disjuntor C.A.",100%,IFERROR(VLOOKUP('Lista de Cargas'!P154,Motores!$B$9:$T$48,16,FALSE)/100,"Erro"))))))))</f>
        <v>0.91700000000000004</v>
      </c>
      <c r="U154" s="66" t="s">
        <v>445</v>
      </c>
      <c r="V154" s="65">
        <v>440</v>
      </c>
      <c r="W154" s="67">
        <f t="shared" si="61"/>
        <v>18.837727979029246</v>
      </c>
      <c r="X154" s="67">
        <f t="shared" si="47"/>
        <v>13.164705882352941</v>
      </c>
      <c r="Y154" s="67">
        <f t="shared" si="62"/>
        <v>28.256591968543869</v>
      </c>
      <c r="Z154" s="68"/>
      <c r="AA154" s="68"/>
      <c r="AB154" s="68">
        <v>120</v>
      </c>
      <c r="AC154" s="68"/>
      <c r="AD154" s="68"/>
      <c r="AE154" s="68"/>
      <c r="AF154" s="68"/>
      <c r="AG154" s="68">
        <f t="shared" si="48"/>
        <v>120</v>
      </c>
      <c r="AH154" s="68">
        <v>1</v>
      </c>
      <c r="AI154" s="68" t="s">
        <v>1062</v>
      </c>
      <c r="AJ154" s="68">
        <f t="shared" si="49"/>
        <v>120</v>
      </c>
      <c r="AK154" s="68">
        <v>0</v>
      </c>
      <c r="AL154" s="68" t="s">
        <v>118</v>
      </c>
      <c r="AM154" s="68">
        <f t="shared" si="50"/>
        <v>0</v>
      </c>
      <c r="AN154" s="68">
        <v>0</v>
      </c>
      <c r="AO154" s="68" t="s">
        <v>118</v>
      </c>
      <c r="AP154" s="68">
        <f t="shared" si="51"/>
        <v>0</v>
      </c>
      <c r="AQ154" s="1" t="s">
        <v>69</v>
      </c>
      <c r="AR154" s="68" t="str">
        <f t="shared" si="63"/>
        <v>1"</v>
      </c>
      <c r="AS154" s="1">
        <v>1</v>
      </c>
      <c r="AT154" s="68"/>
      <c r="AU154" s="68"/>
      <c r="AV154" s="69"/>
      <c r="AW154" s="67"/>
      <c r="AX154" s="67"/>
      <c r="AY154" s="67"/>
      <c r="AZ154" s="69"/>
      <c r="BA154" s="68"/>
      <c r="BB154" s="68"/>
      <c r="BC154" s="68"/>
      <c r="BD154" s="68"/>
      <c r="BE154" s="70"/>
      <c r="BF154" s="67">
        <f t="shared" si="64"/>
        <v>0</v>
      </c>
      <c r="BG154" s="71"/>
      <c r="BH154" s="71"/>
    </row>
    <row r="155" spans="1:60" s="72" customFormat="1" ht="12.75" customHeight="1" x14ac:dyDescent="0.2">
      <c r="A155" s="19">
        <v>300</v>
      </c>
      <c r="B155" s="19" t="s">
        <v>954</v>
      </c>
      <c r="C155" s="19" t="s">
        <v>540</v>
      </c>
      <c r="D155" s="60" t="s">
        <v>709</v>
      </c>
      <c r="E155" s="60"/>
      <c r="F155" s="61"/>
      <c r="G155" s="61"/>
      <c r="H155" s="61"/>
      <c r="I155" s="61"/>
      <c r="J155" s="61"/>
      <c r="K155" s="61"/>
      <c r="L155" s="61"/>
      <c r="M155" s="61"/>
      <c r="N155" s="73" t="s">
        <v>9</v>
      </c>
      <c r="O155" s="62" t="s">
        <v>34</v>
      </c>
      <c r="P155" s="63">
        <v>0.05</v>
      </c>
      <c r="Q155" s="64">
        <f t="shared" si="46"/>
        <v>3.73E-2</v>
      </c>
      <c r="R155" s="65"/>
      <c r="S155" s="65">
        <v>0.84</v>
      </c>
      <c r="T155" s="66">
        <v>0.93</v>
      </c>
      <c r="U155" s="66" t="s">
        <v>445</v>
      </c>
      <c r="V155" s="65">
        <v>440</v>
      </c>
      <c r="W155" s="67">
        <f t="shared" si="61"/>
        <v>6.2651762558688984E-2</v>
      </c>
      <c r="X155" s="67">
        <f t="shared" si="47"/>
        <v>4.4404761904761905E-2</v>
      </c>
      <c r="Y155" s="67">
        <f t="shared" si="62"/>
        <v>0.3759105753521339</v>
      </c>
      <c r="Z155" s="68"/>
      <c r="AA155" s="68"/>
      <c r="AB155" s="68">
        <v>120</v>
      </c>
      <c r="AC155" s="68"/>
      <c r="AD155" s="68"/>
      <c r="AE155" s="68"/>
      <c r="AF155" s="68"/>
      <c r="AG155" s="68">
        <f t="shared" si="48"/>
        <v>120</v>
      </c>
      <c r="AH155" s="68">
        <v>1</v>
      </c>
      <c r="AI155" s="1" t="s">
        <v>1054</v>
      </c>
      <c r="AJ155" s="68">
        <f t="shared" si="49"/>
        <v>120</v>
      </c>
      <c r="AK155" s="68">
        <v>0</v>
      </c>
      <c r="AL155" s="68" t="s">
        <v>118</v>
      </c>
      <c r="AM155" s="68">
        <f t="shared" si="50"/>
        <v>0</v>
      </c>
      <c r="AN155" s="68">
        <v>0</v>
      </c>
      <c r="AO155" s="68" t="s">
        <v>118</v>
      </c>
      <c r="AP155" s="68">
        <f t="shared" si="51"/>
        <v>0</v>
      </c>
      <c r="AQ155" s="1" t="s">
        <v>57</v>
      </c>
      <c r="AR155" s="68" t="str">
        <f t="shared" si="63"/>
        <v>3/4"</v>
      </c>
      <c r="AS155" s="1">
        <v>1</v>
      </c>
      <c r="AT155" s="68"/>
      <c r="AU155" s="68"/>
      <c r="AV155" s="69"/>
      <c r="AW155" s="67"/>
      <c r="AX155" s="67"/>
      <c r="AY155" s="67"/>
      <c r="AZ155" s="69"/>
      <c r="BA155" s="68"/>
      <c r="BB155" s="68"/>
      <c r="BC155" s="68"/>
      <c r="BD155" s="68"/>
      <c r="BE155" s="70"/>
      <c r="BF155" s="67">
        <f t="shared" si="64"/>
        <v>8.2036863829359971E-3</v>
      </c>
      <c r="BG155" s="71"/>
      <c r="BH155" s="71"/>
    </row>
    <row r="156" spans="1:60" s="72" customFormat="1" ht="12.75" customHeight="1" x14ac:dyDescent="0.2">
      <c r="A156" s="19">
        <v>300</v>
      </c>
      <c r="B156" s="19" t="s">
        <v>954</v>
      </c>
      <c r="C156" s="19" t="s">
        <v>541</v>
      </c>
      <c r="D156" s="60" t="s">
        <v>710</v>
      </c>
      <c r="E156" s="60"/>
      <c r="F156" s="61"/>
      <c r="G156" s="61"/>
      <c r="H156" s="61"/>
      <c r="I156" s="61"/>
      <c r="J156" s="61"/>
      <c r="K156" s="61"/>
      <c r="L156" s="61"/>
      <c r="M156" s="61"/>
      <c r="N156" s="74" t="s">
        <v>9</v>
      </c>
      <c r="O156" s="62" t="s">
        <v>5</v>
      </c>
      <c r="P156" s="63">
        <v>100</v>
      </c>
      <c r="Q156" s="64">
        <f t="shared" si="46"/>
        <v>74.599999999999994</v>
      </c>
      <c r="R156" s="65"/>
      <c r="S156" s="65">
        <f>IF(O156="","",IF(O156="NA","",IF(O156="Mini disjuntor + DR",0.92,IF(O156="Mini disjuntor",0.92,IF(O156="Disjuntor Motor",0.92,IF(O156="Disjuntor C.M.",0.92,IF(O156="Disjuntor C.A.",0.92,IFERROR(VLOOKUP('Lista de Cargas'!P156,Motores!$B$9:$T$48,19,FALSE),"Erro"))))))))</f>
        <v>0.87</v>
      </c>
      <c r="T156" s="66">
        <f>IF(O156="","",IF(O156="NA","",IF(O156="Mini disjuntor + DR",100%,IF(O156="Mini disjuntor",100%,IF(O156="Disjuntor Motor",0.92,IF(O156="Disjuntor C.M.",100%,IF(O156="Disjuntor C.A.",100%,IFERROR(VLOOKUP('Lista de Cargas'!P156,Motores!$B$9:$T$48,16,FALSE)/100,"Erro"))))))))</f>
        <v>0.94599999999999995</v>
      </c>
      <c r="U156" s="66" t="s">
        <v>445</v>
      </c>
      <c r="V156" s="65">
        <v>440</v>
      </c>
      <c r="W156" s="67">
        <f t="shared" si="61"/>
        <v>118.93649464374577</v>
      </c>
      <c r="X156" s="67">
        <f t="shared" si="47"/>
        <v>85.747126436781599</v>
      </c>
      <c r="Y156" s="67">
        <f t="shared" si="62"/>
        <v>178.40474196561865</v>
      </c>
      <c r="Z156" s="68"/>
      <c r="AA156" s="68"/>
      <c r="AB156" s="68">
        <v>120</v>
      </c>
      <c r="AC156" s="68"/>
      <c r="AD156" s="68"/>
      <c r="AE156" s="68"/>
      <c r="AF156" s="68"/>
      <c r="AG156" s="68">
        <f t="shared" si="48"/>
        <v>120</v>
      </c>
      <c r="AH156" s="68">
        <v>3</v>
      </c>
      <c r="AI156" s="68" t="s">
        <v>1060</v>
      </c>
      <c r="AJ156" s="68">
        <f t="shared" si="49"/>
        <v>360</v>
      </c>
      <c r="AK156" s="68">
        <v>0</v>
      </c>
      <c r="AL156" s="68" t="s">
        <v>118</v>
      </c>
      <c r="AM156" s="68">
        <f t="shared" si="50"/>
        <v>0</v>
      </c>
      <c r="AN156" s="68">
        <v>1</v>
      </c>
      <c r="AO156" s="68" t="s">
        <v>1059</v>
      </c>
      <c r="AP156" s="68">
        <f t="shared" si="51"/>
        <v>120</v>
      </c>
      <c r="AQ156" s="1" t="s">
        <v>62</v>
      </c>
      <c r="AR156" s="68" t="str">
        <f t="shared" si="63"/>
        <v>1.1/2"</v>
      </c>
      <c r="AS156" s="1">
        <v>1</v>
      </c>
      <c r="AT156" s="68"/>
      <c r="AU156" s="68"/>
      <c r="AV156" s="69"/>
      <c r="AW156" s="67"/>
      <c r="AX156" s="67"/>
      <c r="AY156" s="67"/>
      <c r="AZ156" s="69"/>
      <c r="BA156" s="68"/>
      <c r="BB156" s="68"/>
      <c r="BC156" s="68"/>
      <c r="BD156" s="68"/>
      <c r="BE156" s="70"/>
      <c r="BF156" s="67">
        <f t="shared" si="64"/>
        <v>0</v>
      </c>
      <c r="BG156" s="71"/>
      <c r="BH156" s="71"/>
    </row>
    <row r="157" spans="1:60" s="72" customFormat="1" ht="12.75" customHeight="1" x14ac:dyDescent="0.2">
      <c r="A157" s="19">
        <v>300</v>
      </c>
      <c r="B157" s="19" t="s">
        <v>954</v>
      </c>
      <c r="C157" s="19" t="s">
        <v>542</v>
      </c>
      <c r="D157" s="60" t="s">
        <v>711</v>
      </c>
      <c r="E157" s="60"/>
      <c r="F157" s="61"/>
      <c r="G157" s="61"/>
      <c r="H157" s="61"/>
      <c r="I157" s="61"/>
      <c r="J157" s="61"/>
      <c r="K157" s="61"/>
      <c r="L157" s="61"/>
      <c r="M157" s="61"/>
      <c r="N157" s="74" t="s">
        <v>9</v>
      </c>
      <c r="O157" s="62" t="s">
        <v>5</v>
      </c>
      <c r="P157" s="63">
        <v>15</v>
      </c>
      <c r="Q157" s="64">
        <f t="shared" si="46"/>
        <v>11.19</v>
      </c>
      <c r="R157" s="65"/>
      <c r="S157" s="65">
        <f>IF(O157="","",IF(O157="NA","",IF(O157="Mini disjuntor + DR",0.92,IF(O157="Mini disjuntor",0.92,IF(O157="Disjuntor Motor",0.92,IF(O157="Disjuntor C.M.",0.92,IF(O157="Disjuntor C.A.",0.92,IFERROR(VLOOKUP('Lista de Cargas'!P157,Motores!$B$9:$T$48,19,FALSE),"Erro"))))))))</f>
        <v>0.85</v>
      </c>
      <c r="T157" s="66">
        <f>IF(O157="","",IF(O157="NA","",IF(O157="Mini disjuntor + DR",100%,IF(O157="Mini disjuntor",100%,IF(O157="Disjuntor Motor",0.92,IF(O157="Disjuntor C.M.",100%,IF(O157="Disjuntor C.A.",100%,IFERROR(VLOOKUP('Lista de Cargas'!P157,Motores!$B$9:$T$48,16,FALSE)/100,"Erro"))))))))</f>
        <v>0.91700000000000004</v>
      </c>
      <c r="U157" s="66" t="s">
        <v>445</v>
      </c>
      <c r="V157" s="65">
        <v>440</v>
      </c>
      <c r="W157" s="67">
        <f t="shared" si="61"/>
        <v>18.837727979029246</v>
      </c>
      <c r="X157" s="67">
        <f t="shared" si="47"/>
        <v>13.164705882352941</v>
      </c>
      <c r="Y157" s="67">
        <f t="shared" si="62"/>
        <v>28.256591968543869</v>
      </c>
      <c r="Z157" s="68"/>
      <c r="AA157" s="68"/>
      <c r="AB157" s="68">
        <v>120</v>
      </c>
      <c r="AC157" s="68"/>
      <c r="AD157" s="68"/>
      <c r="AE157" s="68"/>
      <c r="AF157" s="68"/>
      <c r="AG157" s="68">
        <f t="shared" si="48"/>
        <v>120</v>
      </c>
      <c r="AH157" s="68">
        <v>1</v>
      </c>
      <c r="AI157" s="68" t="s">
        <v>1062</v>
      </c>
      <c r="AJ157" s="68">
        <f t="shared" si="49"/>
        <v>120</v>
      </c>
      <c r="AK157" s="68">
        <v>0</v>
      </c>
      <c r="AL157" s="68" t="s">
        <v>118</v>
      </c>
      <c r="AM157" s="68">
        <f t="shared" si="50"/>
        <v>0</v>
      </c>
      <c r="AN157" s="68">
        <v>0</v>
      </c>
      <c r="AO157" s="68" t="s">
        <v>118</v>
      </c>
      <c r="AP157" s="68">
        <f t="shared" si="51"/>
        <v>0</v>
      </c>
      <c r="AQ157" s="1" t="s">
        <v>69</v>
      </c>
      <c r="AR157" s="68" t="str">
        <f t="shared" si="63"/>
        <v>1"</v>
      </c>
      <c r="AS157" s="1">
        <v>1</v>
      </c>
      <c r="AT157" s="68"/>
      <c r="AU157" s="68"/>
      <c r="AV157" s="69"/>
      <c r="AW157" s="67"/>
      <c r="AX157" s="67"/>
      <c r="AY157" s="67"/>
      <c r="AZ157" s="69"/>
      <c r="BA157" s="68"/>
      <c r="BB157" s="68"/>
      <c r="BC157" s="68"/>
      <c r="BD157" s="68"/>
      <c r="BE157" s="70"/>
      <c r="BF157" s="67">
        <f t="shared" si="64"/>
        <v>0</v>
      </c>
      <c r="BG157" s="71"/>
      <c r="BH157" s="71"/>
    </row>
    <row r="158" spans="1:60" s="72" customFormat="1" ht="12.75" customHeight="1" x14ac:dyDescent="0.2">
      <c r="A158" s="19">
        <v>300</v>
      </c>
      <c r="B158" s="19" t="s">
        <v>954</v>
      </c>
      <c r="C158" s="19" t="s">
        <v>543</v>
      </c>
      <c r="D158" s="60" t="s">
        <v>712</v>
      </c>
      <c r="E158" s="60"/>
      <c r="F158" s="61"/>
      <c r="G158" s="61"/>
      <c r="H158" s="61"/>
      <c r="I158" s="61"/>
      <c r="J158" s="61"/>
      <c r="K158" s="61"/>
      <c r="L158" s="61"/>
      <c r="M158" s="61"/>
      <c r="N158" s="74" t="s">
        <v>9</v>
      </c>
      <c r="O158" s="62" t="s">
        <v>34</v>
      </c>
      <c r="P158" s="63">
        <v>0.05</v>
      </c>
      <c r="Q158" s="64">
        <f t="shared" si="46"/>
        <v>3.73E-2</v>
      </c>
      <c r="R158" s="65"/>
      <c r="S158" s="65">
        <v>0.84</v>
      </c>
      <c r="T158" s="66">
        <v>0.93</v>
      </c>
      <c r="U158" s="66" t="s">
        <v>445</v>
      </c>
      <c r="V158" s="65">
        <v>440</v>
      </c>
      <c r="W158" s="67">
        <f t="shared" si="61"/>
        <v>6.2651762558688984E-2</v>
      </c>
      <c r="X158" s="67">
        <f t="shared" si="47"/>
        <v>4.4404761904761905E-2</v>
      </c>
      <c r="Y158" s="67">
        <f t="shared" si="62"/>
        <v>0.3759105753521339</v>
      </c>
      <c r="Z158" s="68"/>
      <c r="AA158" s="68"/>
      <c r="AB158" s="68">
        <v>120</v>
      </c>
      <c r="AC158" s="68"/>
      <c r="AD158" s="68"/>
      <c r="AE158" s="68"/>
      <c r="AF158" s="68"/>
      <c r="AG158" s="68">
        <f t="shared" si="48"/>
        <v>120</v>
      </c>
      <c r="AH158" s="68">
        <v>1</v>
      </c>
      <c r="AI158" s="1" t="s">
        <v>1054</v>
      </c>
      <c r="AJ158" s="68">
        <f t="shared" si="49"/>
        <v>120</v>
      </c>
      <c r="AK158" s="68">
        <v>0</v>
      </c>
      <c r="AL158" s="68" t="s">
        <v>118</v>
      </c>
      <c r="AM158" s="68">
        <f t="shared" si="50"/>
        <v>0</v>
      </c>
      <c r="AN158" s="68">
        <v>0</v>
      </c>
      <c r="AO158" s="68" t="s">
        <v>118</v>
      </c>
      <c r="AP158" s="68">
        <f t="shared" si="51"/>
        <v>0</v>
      </c>
      <c r="AQ158" s="1" t="s">
        <v>57</v>
      </c>
      <c r="AR158" s="68" t="str">
        <f t="shared" si="63"/>
        <v>3/4"</v>
      </c>
      <c r="AS158" s="1">
        <v>1</v>
      </c>
      <c r="AT158" s="68"/>
      <c r="AU158" s="68"/>
      <c r="AV158" s="69"/>
      <c r="AW158" s="67"/>
      <c r="AX158" s="67"/>
      <c r="AY158" s="67"/>
      <c r="AZ158" s="69"/>
      <c r="BA158" s="68"/>
      <c r="BB158" s="68"/>
      <c r="BC158" s="68"/>
      <c r="BD158" s="68"/>
      <c r="BE158" s="70"/>
      <c r="BF158" s="67">
        <f t="shared" si="64"/>
        <v>8.2036863829359971E-3</v>
      </c>
      <c r="BG158" s="71"/>
      <c r="BH158" s="71"/>
    </row>
    <row r="159" spans="1:60" s="72" customFormat="1" ht="12.75" customHeight="1" x14ac:dyDescent="0.2">
      <c r="A159" s="19">
        <v>300</v>
      </c>
      <c r="B159" s="19" t="s">
        <v>954</v>
      </c>
      <c r="C159" s="19" t="s">
        <v>544</v>
      </c>
      <c r="D159" s="60" t="s">
        <v>713</v>
      </c>
      <c r="E159" s="60"/>
      <c r="F159" s="61"/>
      <c r="G159" s="61"/>
      <c r="H159" s="61"/>
      <c r="I159" s="61"/>
      <c r="J159" s="61"/>
      <c r="K159" s="61"/>
      <c r="L159" s="61"/>
      <c r="M159" s="61"/>
      <c r="N159" s="73" t="s">
        <v>9</v>
      </c>
      <c r="O159" s="62" t="s">
        <v>5</v>
      </c>
      <c r="P159" s="63">
        <v>100</v>
      </c>
      <c r="Q159" s="64">
        <f t="shared" si="46"/>
        <v>74.599999999999994</v>
      </c>
      <c r="R159" s="65"/>
      <c r="S159" s="65">
        <f>IF(O159="","",IF(O159="NA","",IF(O159="Mini disjuntor + DR",0.92,IF(O159="Mini disjuntor",0.92,IF(O159="Disjuntor Motor",0.92,IF(O159="Disjuntor C.M.",0.92,IF(O159="Disjuntor C.A.",0.92,IFERROR(VLOOKUP('Lista de Cargas'!P159,Motores!$B$9:$T$48,19,FALSE),"Erro"))))))))</f>
        <v>0.87</v>
      </c>
      <c r="T159" s="66">
        <f>IF(O159="","",IF(O159="NA","",IF(O159="Mini disjuntor + DR",100%,IF(O159="Mini disjuntor",100%,IF(O159="Disjuntor Motor",0.92,IF(O159="Disjuntor C.M.",100%,IF(O159="Disjuntor C.A.",100%,IFERROR(VLOOKUP('Lista de Cargas'!P159,Motores!$B$9:$T$48,16,FALSE)/100,"Erro"))))))))</f>
        <v>0.94599999999999995</v>
      </c>
      <c r="U159" s="66" t="s">
        <v>445</v>
      </c>
      <c r="V159" s="65">
        <v>440</v>
      </c>
      <c r="W159" s="67">
        <f t="shared" si="61"/>
        <v>118.93649464374577</v>
      </c>
      <c r="X159" s="67">
        <f t="shared" si="47"/>
        <v>85.747126436781599</v>
      </c>
      <c r="Y159" s="67">
        <f t="shared" si="62"/>
        <v>178.40474196561865</v>
      </c>
      <c r="Z159" s="68"/>
      <c r="AA159" s="68"/>
      <c r="AB159" s="68">
        <v>120</v>
      </c>
      <c r="AC159" s="68"/>
      <c r="AD159" s="68"/>
      <c r="AE159" s="68"/>
      <c r="AF159" s="68"/>
      <c r="AG159" s="68">
        <f t="shared" si="48"/>
        <v>120</v>
      </c>
      <c r="AH159" s="68">
        <v>3</v>
      </c>
      <c r="AI159" s="68" t="s">
        <v>1060</v>
      </c>
      <c r="AJ159" s="68">
        <f t="shared" si="49"/>
        <v>360</v>
      </c>
      <c r="AK159" s="68">
        <v>0</v>
      </c>
      <c r="AL159" s="68" t="s">
        <v>118</v>
      </c>
      <c r="AM159" s="68">
        <f t="shared" si="50"/>
        <v>0</v>
      </c>
      <c r="AN159" s="68">
        <v>1</v>
      </c>
      <c r="AO159" s="68" t="s">
        <v>1059</v>
      </c>
      <c r="AP159" s="68">
        <f t="shared" si="51"/>
        <v>120</v>
      </c>
      <c r="AQ159" s="1" t="s">
        <v>62</v>
      </c>
      <c r="AR159" s="68" t="str">
        <f t="shared" si="63"/>
        <v>1.1/2"</v>
      </c>
      <c r="AS159" s="1">
        <v>1</v>
      </c>
      <c r="AT159" s="68"/>
      <c r="AU159" s="68"/>
      <c r="AV159" s="69"/>
      <c r="AW159" s="67"/>
      <c r="AX159" s="67"/>
      <c r="AY159" s="67"/>
      <c r="AZ159" s="69"/>
      <c r="BA159" s="68"/>
      <c r="BB159" s="68"/>
      <c r="BC159" s="68"/>
      <c r="BD159" s="68"/>
      <c r="BE159" s="70"/>
      <c r="BF159" s="67">
        <f t="shared" si="64"/>
        <v>0</v>
      </c>
      <c r="BG159" s="71"/>
      <c r="BH159" s="71"/>
    </row>
    <row r="160" spans="1:60" s="72" customFormat="1" ht="12.75" customHeight="1" x14ac:dyDescent="0.2">
      <c r="A160" s="19">
        <v>300</v>
      </c>
      <c r="B160" s="19" t="s">
        <v>954</v>
      </c>
      <c r="C160" s="19" t="s">
        <v>545</v>
      </c>
      <c r="D160" s="60" t="s">
        <v>714</v>
      </c>
      <c r="E160" s="60"/>
      <c r="F160" s="61"/>
      <c r="G160" s="61"/>
      <c r="H160" s="61"/>
      <c r="I160" s="61"/>
      <c r="J160" s="61"/>
      <c r="K160" s="61"/>
      <c r="L160" s="61"/>
      <c r="M160" s="61"/>
      <c r="N160" s="73" t="s">
        <v>9</v>
      </c>
      <c r="O160" s="62" t="s">
        <v>5</v>
      </c>
      <c r="P160" s="63">
        <v>15</v>
      </c>
      <c r="Q160" s="64">
        <f t="shared" si="46"/>
        <v>11.19</v>
      </c>
      <c r="R160" s="68"/>
      <c r="S160" s="65">
        <f>IF(O160="","",IF(O160="NA","",IF(O160="Mini disjuntor + DR",0.92,IF(O160="Mini disjuntor",0.92,IF(O160="Disjuntor Motor",0.92,IF(O160="Disjuntor C.M.",0.92,IF(O160="Disjuntor C.A.",0.92,IFERROR(VLOOKUP('Lista de Cargas'!P160,Motores!$B$9:$T$48,19,FALSE),"Erro"))))))))</f>
        <v>0.85</v>
      </c>
      <c r="T160" s="66">
        <f>IF(O160="","",IF(O160="NA","",IF(O160="Mini disjuntor + DR",100%,IF(O160="Mini disjuntor",100%,IF(O160="Disjuntor Motor",0.92,IF(O160="Disjuntor C.M.",100%,IF(O160="Disjuntor C.A.",100%,IFERROR(VLOOKUP('Lista de Cargas'!P160,Motores!$B$9:$T$48,16,FALSE)/100,"Erro"))))))))</f>
        <v>0.91700000000000004</v>
      </c>
      <c r="U160" s="66" t="s">
        <v>445</v>
      </c>
      <c r="V160" s="65">
        <v>440</v>
      </c>
      <c r="W160" s="67">
        <f t="shared" si="61"/>
        <v>18.837727979029246</v>
      </c>
      <c r="X160" s="67">
        <f t="shared" si="47"/>
        <v>13.164705882352941</v>
      </c>
      <c r="Y160" s="67">
        <f t="shared" si="62"/>
        <v>28.256591968543869</v>
      </c>
      <c r="Z160" s="68"/>
      <c r="AA160" s="68"/>
      <c r="AB160" s="68">
        <v>120</v>
      </c>
      <c r="AC160" s="68"/>
      <c r="AD160" s="68"/>
      <c r="AE160" s="68"/>
      <c r="AF160" s="68"/>
      <c r="AG160" s="68">
        <f t="shared" si="48"/>
        <v>120</v>
      </c>
      <c r="AH160" s="68">
        <v>1</v>
      </c>
      <c r="AI160" s="68" t="s">
        <v>1062</v>
      </c>
      <c r="AJ160" s="68">
        <f t="shared" si="49"/>
        <v>120</v>
      </c>
      <c r="AK160" s="68">
        <v>0</v>
      </c>
      <c r="AL160" s="68" t="s">
        <v>118</v>
      </c>
      <c r="AM160" s="68">
        <f t="shared" si="50"/>
        <v>0</v>
      </c>
      <c r="AN160" s="68">
        <v>0</v>
      </c>
      <c r="AO160" s="68" t="s">
        <v>118</v>
      </c>
      <c r="AP160" s="68">
        <f t="shared" si="51"/>
        <v>0</v>
      </c>
      <c r="AQ160" s="1" t="s">
        <v>69</v>
      </c>
      <c r="AR160" s="68" t="str">
        <f t="shared" si="63"/>
        <v>1"</v>
      </c>
      <c r="AS160" s="1">
        <v>1</v>
      </c>
      <c r="AT160" s="68"/>
      <c r="AU160" s="68"/>
      <c r="AV160" s="69"/>
      <c r="AW160" s="67"/>
      <c r="AX160" s="67"/>
      <c r="AY160" s="67"/>
      <c r="AZ160" s="69"/>
      <c r="BA160" s="68"/>
      <c r="BB160" s="68"/>
      <c r="BC160" s="68"/>
      <c r="BD160" s="68"/>
      <c r="BE160" s="70"/>
      <c r="BF160" s="67">
        <f t="shared" si="64"/>
        <v>0</v>
      </c>
      <c r="BG160" s="71"/>
      <c r="BH160" s="71"/>
    </row>
    <row r="161" spans="1:60" s="72" customFormat="1" ht="12.75" customHeight="1" x14ac:dyDescent="0.2">
      <c r="A161" s="19">
        <v>300</v>
      </c>
      <c r="B161" s="19" t="s">
        <v>954</v>
      </c>
      <c r="C161" s="19" t="s">
        <v>546</v>
      </c>
      <c r="D161" s="60" t="s">
        <v>715</v>
      </c>
      <c r="E161" s="60"/>
      <c r="F161" s="61"/>
      <c r="G161" s="61"/>
      <c r="H161" s="61"/>
      <c r="I161" s="61"/>
      <c r="J161" s="61"/>
      <c r="K161" s="61"/>
      <c r="L161" s="61"/>
      <c r="M161" s="61"/>
      <c r="N161" s="73" t="s">
        <v>9</v>
      </c>
      <c r="O161" s="62" t="s">
        <v>34</v>
      </c>
      <c r="P161" s="63">
        <v>0.05</v>
      </c>
      <c r="Q161" s="64">
        <f t="shared" si="46"/>
        <v>3.73E-2</v>
      </c>
      <c r="R161" s="68"/>
      <c r="S161" s="65">
        <v>0.84</v>
      </c>
      <c r="T161" s="66">
        <v>0.93</v>
      </c>
      <c r="U161" s="66" t="s">
        <v>445</v>
      </c>
      <c r="V161" s="65">
        <v>440</v>
      </c>
      <c r="W161" s="67">
        <f t="shared" si="61"/>
        <v>6.2651762558688984E-2</v>
      </c>
      <c r="X161" s="67">
        <f t="shared" si="47"/>
        <v>4.4404761904761905E-2</v>
      </c>
      <c r="Y161" s="67">
        <f t="shared" si="62"/>
        <v>0.3759105753521339</v>
      </c>
      <c r="Z161" s="68"/>
      <c r="AA161" s="68"/>
      <c r="AB161" s="68">
        <v>120</v>
      </c>
      <c r="AC161" s="68"/>
      <c r="AD161" s="68"/>
      <c r="AE161" s="68"/>
      <c r="AF161" s="68"/>
      <c r="AG161" s="68">
        <f t="shared" si="48"/>
        <v>120</v>
      </c>
      <c r="AH161" s="68">
        <v>1</v>
      </c>
      <c r="AI161" s="1" t="s">
        <v>1054</v>
      </c>
      <c r="AJ161" s="68">
        <f t="shared" si="49"/>
        <v>120</v>
      </c>
      <c r="AK161" s="68">
        <v>0</v>
      </c>
      <c r="AL161" s="68" t="s">
        <v>118</v>
      </c>
      <c r="AM161" s="68">
        <f t="shared" si="50"/>
        <v>0</v>
      </c>
      <c r="AN161" s="68">
        <v>0</v>
      </c>
      <c r="AO161" s="68" t="s">
        <v>118</v>
      </c>
      <c r="AP161" s="68">
        <f t="shared" si="51"/>
        <v>0</v>
      </c>
      <c r="AQ161" s="1" t="s">
        <v>57</v>
      </c>
      <c r="AR161" s="68" t="str">
        <f t="shared" si="63"/>
        <v>3/4"</v>
      </c>
      <c r="AS161" s="1">
        <v>1</v>
      </c>
      <c r="AT161" s="68"/>
      <c r="AU161" s="68"/>
      <c r="AV161" s="69"/>
      <c r="AW161" s="67"/>
      <c r="AX161" s="67"/>
      <c r="AY161" s="67"/>
      <c r="AZ161" s="69"/>
      <c r="BA161" s="68"/>
      <c r="BB161" s="68"/>
      <c r="BC161" s="68"/>
      <c r="BD161" s="68"/>
      <c r="BE161" s="70"/>
      <c r="BF161" s="67">
        <f t="shared" si="64"/>
        <v>8.2036863829359971E-3</v>
      </c>
      <c r="BG161" s="71"/>
      <c r="BH161" s="71"/>
    </row>
    <row r="162" spans="1:60" ht="12.75" customHeight="1" x14ac:dyDescent="0.2">
      <c r="A162" s="19">
        <v>300</v>
      </c>
      <c r="B162" s="19" t="s">
        <v>954</v>
      </c>
      <c r="C162" s="19" t="s">
        <v>895</v>
      </c>
      <c r="D162" s="20" t="s">
        <v>716</v>
      </c>
      <c r="E162" s="20"/>
      <c r="F162" s="21"/>
      <c r="G162" s="21"/>
      <c r="H162" s="21"/>
      <c r="I162" s="21"/>
      <c r="J162" s="21"/>
      <c r="K162" s="21"/>
      <c r="L162" s="21"/>
      <c r="M162" s="21"/>
      <c r="N162" s="32" t="s">
        <v>1035</v>
      </c>
      <c r="O162" s="22" t="s">
        <v>34</v>
      </c>
      <c r="P162" s="23">
        <v>0.03</v>
      </c>
      <c r="Q162" s="34">
        <f t="shared" si="46"/>
        <v>2.2380000000000001E-2</v>
      </c>
      <c r="R162" s="1"/>
      <c r="S162" s="39">
        <v>0.84</v>
      </c>
      <c r="T162" s="40">
        <v>0.93</v>
      </c>
      <c r="U162" s="40" t="s">
        <v>444</v>
      </c>
      <c r="V162" s="39">
        <v>220</v>
      </c>
      <c r="W162" s="2">
        <f t="shared" si="61"/>
        <v>0.13021924312246891</v>
      </c>
      <c r="X162" s="2">
        <f t="shared" si="47"/>
        <v>2.6642857142857145E-2</v>
      </c>
      <c r="Y162" s="2">
        <f t="shared" si="62"/>
        <v>0.78131545873481345</v>
      </c>
      <c r="Z162" s="1"/>
      <c r="AA162" s="1"/>
      <c r="AB162" s="1">
        <v>90</v>
      </c>
      <c r="AC162" s="1"/>
      <c r="AD162" s="1"/>
      <c r="AE162" s="1"/>
      <c r="AF162" s="1"/>
      <c r="AG162" s="1">
        <f t="shared" si="48"/>
        <v>90</v>
      </c>
      <c r="AH162" s="1">
        <v>1</v>
      </c>
      <c r="AI162" s="1" t="s">
        <v>1068</v>
      </c>
      <c r="AJ162" s="1">
        <f t="shared" si="49"/>
        <v>90</v>
      </c>
      <c r="AK162" s="1">
        <v>0</v>
      </c>
      <c r="AL162" s="1" t="s">
        <v>118</v>
      </c>
      <c r="AM162" s="1">
        <f t="shared" si="50"/>
        <v>0</v>
      </c>
      <c r="AN162" s="1">
        <v>0</v>
      </c>
      <c r="AO162" s="1" t="s">
        <v>118</v>
      </c>
      <c r="AP162" s="1">
        <f t="shared" si="51"/>
        <v>0</v>
      </c>
      <c r="AQ162" s="1" t="s">
        <v>57</v>
      </c>
      <c r="AR162" s="1" t="str">
        <f t="shared" si="63"/>
        <v>3/4"</v>
      </c>
      <c r="AS162" s="1">
        <v>1</v>
      </c>
      <c r="AT162" s="1"/>
      <c r="AU162" s="1"/>
      <c r="AV162" s="17"/>
      <c r="AW162" s="2"/>
      <c r="AX162" s="2"/>
      <c r="AY162" s="2"/>
      <c r="AZ162" s="17"/>
      <c r="BA162" s="1"/>
      <c r="BB162" s="1"/>
      <c r="BC162" s="1"/>
      <c r="BD162" s="1"/>
      <c r="BE162" s="18"/>
      <c r="BF162" s="2">
        <f t="shared" si="64"/>
        <v>4.922211829761599E-3</v>
      </c>
      <c r="BG162" s="6"/>
      <c r="BH162" s="6"/>
    </row>
    <row r="163" spans="1:60" ht="12.75" customHeight="1" x14ac:dyDescent="0.2">
      <c r="A163" s="19">
        <v>300</v>
      </c>
      <c r="B163" s="19" t="s">
        <v>954</v>
      </c>
      <c r="C163" s="19" t="s">
        <v>896</v>
      </c>
      <c r="D163" s="20" t="s">
        <v>716</v>
      </c>
      <c r="E163" s="20"/>
      <c r="F163" s="21"/>
      <c r="G163" s="21"/>
      <c r="H163" s="21"/>
      <c r="I163" s="21"/>
      <c r="J163" s="21"/>
      <c r="K163" s="21"/>
      <c r="L163" s="21"/>
      <c r="M163" s="21"/>
      <c r="N163" s="32" t="s">
        <v>1035</v>
      </c>
      <c r="O163" s="22" t="s">
        <v>34</v>
      </c>
      <c r="P163" s="23">
        <v>0.03</v>
      </c>
      <c r="Q163" s="34">
        <f t="shared" si="46"/>
        <v>2.2380000000000001E-2</v>
      </c>
      <c r="R163" s="1"/>
      <c r="S163" s="39">
        <v>0.84</v>
      </c>
      <c r="T163" s="40">
        <v>0.93</v>
      </c>
      <c r="U163" s="40" t="s">
        <v>444</v>
      </c>
      <c r="V163" s="39">
        <v>220</v>
      </c>
      <c r="W163" s="2">
        <f t="shared" si="61"/>
        <v>0.13021924312246891</v>
      </c>
      <c r="X163" s="2">
        <f t="shared" si="47"/>
        <v>2.6642857142857145E-2</v>
      </c>
      <c r="Y163" s="2">
        <f t="shared" si="62"/>
        <v>0.78131545873481345</v>
      </c>
      <c r="Z163" s="1"/>
      <c r="AA163" s="1"/>
      <c r="AB163" s="1">
        <v>90</v>
      </c>
      <c r="AC163" s="1"/>
      <c r="AD163" s="1"/>
      <c r="AE163" s="1"/>
      <c r="AF163" s="1"/>
      <c r="AG163" s="1">
        <f t="shared" si="48"/>
        <v>90</v>
      </c>
      <c r="AH163" s="1">
        <v>1</v>
      </c>
      <c r="AI163" s="1" t="s">
        <v>1068</v>
      </c>
      <c r="AJ163" s="1">
        <f t="shared" si="49"/>
        <v>90</v>
      </c>
      <c r="AK163" s="1">
        <v>0</v>
      </c>
      <c r="AL163" s="1" t="s">
        <v>118</v>
      </c>
      <c r="AM163" s="1">
        <f t="shared" si="50"/>
        <v>0</v>
      </c>
      <c r="AN163" s="1">
        <v>0</v>
      </c>
      <c r="AO163" s="1" t="s">
        <v>118</v>
      </c>
      <c r="AP163" s="1">
        <f t="shared" si="51"/>
        <v>0</v>
      </c>
      <c r="AQ163" s="1" t="s">
        <v>57</v>
      </c>
      <c r="AR163" s="1" t="str">
        <f t="shared" si="63"/>
        <v>3/4"</v>
      </c>
      <c r="AS163" s="1">
        <v>1</v>
      </c>
      <c r="AT163" s="1"/>
      <c r="AU163" s="1"/>
      <c r="AV163" s="17"/>
      <c r="AW163" s="2"/>
      <c r="AX163" s="2"/>
      <c r="AY163" s="2"/>
      <c r="AZ163" s="17"/>
      <c r="BA163" s="1"/>
      <c r="BB163" s="1"/>
      <c r="BC163" s="1"/>
      <c r="BD163" s="1"/>
      <c r="BE163" s="18"/>
      <c r="BF163" s="2">
        <f t="shared" si="64"/>
        <v>4.922211829761599E-3</v>
      </c>
      <c r="BG163" s="6"/>
      <c r="BH163" s="6"/>
    </row>
    <row r="164" spans="1:60" ht="12.75" customHeight="1" x14ac:dyDescent="0.2">
      <c r="A164" s="19">
        <v>300</v>
      </c>
      <c r="B164" s="19" t="s">
        <v>954</v>
      </c>
      <c r="C164" s="19" t="s">
        <v>897</v>
      </c>
      <c r="D164" s="20" t="s">
        <v>717</v>
      </c>
      <c r="E164" s="20"/>
      <c r="F164" s="21"/>
      <c r="G164" s="21"/>
      <c r="H164" s="21"/>
      <c r="I164" s="21"/>
      <c r="J164" s="21"/>
      <c r="K164" s="21"/>
      <c r="L164" s="21"/>
      <c r="M164" s="21"/>
      <c r="N164" s="32" t="s">
        <v>1035</v>
      </c>
      <c r="O164" s="22" t="s">
        <v>34</v>
      </c>
      <c r="P164" s="23">
        <v>0.03</v>
      </c>
      <c r="Q164" s="34">
        <f t="shared" si="46"/>
        <v>2.2380000000000001E-2</v>
      </c>
      <c r="R164" s="1"/>
      <c r="S164" s="39">
        <v>0.84</v>
      </c>
      <c r="T164" s="40">
        <v>0.93</v>
      </c>
      <c r="U164" s="40" t="s">
        <v>444</v>
      </c>
      <c r="V164" s="39">
        <v>220</v>
      </c>
      <c r="W164" s="2">
        <f t="shared" si="61"/>
        <v>0.13021924312246891</v>
      </c>
      <c r="X164" s="2">
        <f t="shared" si="47"/>
        <v>2.6642857142857145E-2</v>
      </c>
      <c r="Y164" s="2">
        <f t="shared" si="62"/>
        <v>0.78131545873481345</v>
      </c>
      <c r="Z164" s="1"/>
      <c r="AA164" s="1"/>
      <c r="AB164" s="1">
        <v>90</v>
      </c>
      <c r="AC164" s="1"/>
      <c r="AD164" s="1"/>
      <c r="AE164" s="1"/>
      <c r="AF164" s="1"/>
      <c r="AG164" s="1">
        <f t="shared" si="48"/>
        <v>90</v>
      </c>
      <c r="AH164" s="1">
        <v>1</v>
      </c>
      <c r="AI164" s="1" t="s">
        <v>1068</v>
      </c>
      <c r="AJ164" s="1">
        <f t="shared" si="49"/>
        <v>90</v>
      </c>
      <c r="AK164" s="1">
        <v>0</v>
      </c>
      <c r="AL164" s="1" t="s">
        <v>118</v>
      </c>
      <c r="AM164" s="1">
        <f t="shared" si="50"/>
        <v>0</v>
      </c>
      <c r="AN164" s="1">
        <v>0</v>
      </c>
      <c r="AO164" s="1" t="s">
        <v>118</v>
      </c>
      <c r="AP164" s="1">
        <f t="shared" si="51"/>
        <v>0</v>
      </c>
      <c r="AQ164" s="1" t="s">
        <v>57</v>
      </c>
      <c r="AR164" s="1" t="str">
        <f t="shared" si="63"/>
        <v>3/4"</v>
      </c>
      <c r="AS164" s="1">
        <v>1</v>
      </c>
      <c r="AT164" s="1"/>
      <c r="AU164" s="1"/>
      <c r="AV164" s="17"/>
      <c r="AW164" s="2"/>
      <c r="AX164" s="2"/>
      <c r="AY164" s="2"/>
      <c r="AZ164" s="17"/>
      <c r="BA164" s="1"/>
      <c r="BB164" s="1"/>
      <c r="BC164" s="1"/>
      <c r="BD164" s="1"/>
      <c r="BE164" s="18"/>
      <c r="BF164" s="2">
        <f t="shared" si="64"/>
        <v>4.922211829761599E-3</v>
      </c>
      <c r="BG164" s="6"/>
      <c r="BH164" s="6"/>
    </row>
    <row r="165" spans="1:60" ht="12.75" customHeight="1" x14ac:dyDescent="0.2">
      <c r="A165" s="19">
        <v>300</v>
      </c>
      <c r="B165" s="19" t="s">
        <v>954</v>
      </c>
      <c r="C165" s="19" t="s">
        <v>898</v>
      </c>
      <c r="D165" s="20" t="s">
        <v>717</v>
      </c>
      <c r="E165" s="20"/>
      <c r="F165" s="21"/>
      <c r="G165" s="21"/>
      <c r="H165" s="21"/>
      <c r="I165" s="21"/>
      <c r="J165" s="21"/>
      <c r="K165" s="21"/>
      <c r="L165" s="21"/>
      <c r="M165" s="21"/>
      <c r="N165" s="32" t="s">
        <v>1035</v>
      </c>
      <c r="O165" s="22" t="s">
        <v>34</v>
      </c>
      <c r="P165" s="23">
        <v>0.03</v>
      </c>
      <c r="Q165" s="34">
        <f t="shared" si="46"/>
        <v>2.2380000000000001E-2</v>
      </c>
      <c r="R165" s="1"/>
      <c r="S165" s="39">
        <v>0.84</v>
      </c>
      <c r="T165" s="40">
        <v>0.93</v>
      </c>
      <c r="U165" s="40" t="s">
        <v>444</v>
      </c>
      <c r="V165" s="39">
        <v>220</v>
      </c>
      <c r="W165" s="2">
        <f t="shared" si="61"/>
        <v>0.13021924312246891</v>
      </c>
      <c r="X165" s="2">
        <f t="shared" si="47"/>
        <v>2.6642857142857145E-2</v>
      </c>
      <c r="Y165" s="2">
        <f t="shared" si="62"/>
        <v>0.78131545873481345</v>
      </c>
      <c r="Z165" s="1"/>
      <c r="AA165" s="1"/>
      <c r="AB165" s="1">
        <v>90</v>
      </c>
      <c r="AC165" s="1"/>
      <c r="AD165" s="1"/>
      <c r="AE165" s="1"/>
      <c r="AF165" s="1"/>
      <c r="AG165" s="1">
        <f t="shared" si="48"/>
        <v>90</v>
      </c>
      <c r="AH165" s="1">
        <v>1</v>
      </c>
      <c r="AI165" s="1" t="s">
        <v>1068</v>
      </c>
      <c r="AJ165" s="1">
        <f t="shared" si="49"/>
        <v>90</v>
      </c>
      <c r="AK165" s="1">
        <v>0</v>
      </c>
      <c r="AL165" s="1" t="s">
        <v>118</v>
      </c>
      <c r="AM165" s="1">
        <f t="shared" si="50"/>
        <v>0</v>
      </c>
      <c r="AN165" s="1">
        <v>0</v>
      </c>
      <c r="AO165" s="1" t="s">
        <v>118</v>
      </c>
      <c r="AP165" s="1">
        <f t="shared" si="51"/>
        <v>0</v>
      </c>
      <c r="AQ165" s="1" t="s">
        <v>57</v>
      </c>
      <c r="AR165" s="1" t="str">
        <f t="shared" si="63"/>
        <v>3/4"</v>
      </c>
      <c r="AS165" s="1">
        <v>1</v>
      </c>
      <c r="AT165" s="1"/>
      <c r="AU165" s="1"/>
      <c r="AV165" s="17"/>
      <c r="AW165" s="2"/>
      <c r="AX165" s="2"/>
      <c r="AY165" s="2"/>
      <c r="AZ165" s="17"/>
      <c r="BA165" s="1"/>
      <c r="BB165" s="1"/>
      <c r="BC165" s="1"/>
      <c r="BD165" s="1"/>
      <c r="BE165" s="18"/>
      <c r="BF165" s="2">
        <f t="shared" si="64"/>
        <v>4.922211829761599E-3</v>
      </c>
      <c r="BG165" s="6"/>
      <c r="BH165" s="6"/>
    </row>
    <row r="166" spans="1:60" s="72" customFormat="1" ht="12.75" customHeight="1" x14ac:dyDescent="0.2">
      <c r="A166" s="19">
        <v>300</v>
      </c>
      <c r="B166" s="19" t="s">
        <v>954</v>
      </c>
      <c r="C166" s="19" t="s">
        <v>547</v>
      </c>
      <c r="D166" s="60" t="s">
        <v>713</v>
      </c>
      <c r="E166" s="60"/>
      <c r="F166" s="61"/>
      <c r="G166" s="61"/>
      <c r="H166" s="61"/>
      <c r="I166" s="61"/>
      <c r="J166" s="61"/>
      <c r="K166" s="61"/>
      <c r="L166" s="61"/>
      <c r="M166" s="61"/>
      <c r="N166" s="73" t="s">
        <v>9</v>
      </c>
      <c r="O166" s="62" t="s">
        <v>5</v>
      </c>
      <c r="P166" s="63">
        <v>100</v>
      </c>
      <c r="Q166" s="64">
        <f t="shared" si="46"/>
        <v>74.599999999999994</v>
      </c>
      <c r="R166" s="68"/>
      <c r="S166" s="65">
        <f>IF(O166="","",IF(O166="NA","",IF(O166="Mini disjuntor + DR",0.92,IF(O166="Mini disjuntor",0.92,IF(O166="Disjuntor Motor",0.92,IF(O166="Disjuntor C.M.",0.92,IF(O166="Disjuntor C.A.",0.92,IFERROR(VLOOKUP('Lista de Cargas'!P166,Motores!$B$9:$T$48,19,FALSE),"Erro"))))))))</f>
        <v>0.87</v>
      </c>
      <c r="T166" s="66">
        <f>IF(O166="","",IF(O166="NA","",IF(O166="Mini disjuntor + DR",100%,IF(O166="Mini disjuntor",100%,IF(O166="Disjuntor Motor",0.92,IF(O166="Disjuntor C.M.",100%,IF(O166="Disjuntor C.A.",100%,IFERROR(VLOOKUP('Lista de Cargas'!P166,Motores!$B$9:$T$48,16,FALSE)/100,"Erro"))))))))</f>
        <v>0.94599999999999995</v>
      </c>
      <c r="U166" s="66" t="s">
        <v>445</v>
      </c>
      <c r="V166" s="65">
        <v>440</v>
      </c>
      <c r="W166" s="67">
        <f t="shared" si="61"/>
        <v>118.93649464374577</v>
      </c>
      <c r="X166" s="67">
        <f t="shared" si="47"/>
        <v>85.747126436781599</v>
      </c>
      <c r="Y166" s="67">
        <f t="shared" si="62"/>
        <v>178.40474196561865</v>
      </c>
      <c r="Z166" s="68"/>
      <c r="AA166" s="68"/>
      <c r="AB166" s="68">
        <v>120</v>
      </c>
      <c r="AC166" s="68"/>
      <c r="AD166" s="68"/>
      <c r="AE166" s="68"/>
      <c r="AF166" s="68"/>
      <c r="AG166" s="68">
        <f t="shared" si="48"/>
        <v>120</v>
      </c>
      <c r="AH166" s="68">
        <v>3</v>
      </c>
      <c r="AI166" s="68" t="s">
        <v>1060</v>
      </c>
      <c r="AJ166" s="68">
        <f t="shared" si="49"/>
        <v>360</v>
      </c>
      <c r="AK166" s="68">
        <v>0</v>
      </c>
      <c r="AL166" s="68" t="s">
        <v>118</v>
      </c>
      <c r="AM166" s="68">
        <f t="shared" si="50"/>
        <v>0</v>
      </c>
      <c r="AN166" s="68">
        <v>1</v>
      </c>
      <c r="AO166" s="68" t="s">
        <v>1059</v>
      </c>
      <c r="AP166" s="68">
        <f t="shared" si="51"/>
        <v>120</v>
      </c>
      <c r="AQ166" s="1" t="s">
        <v>62</v>
      </c>
      <c r="AR166" s="68" t="str">
        <f t="shared" si="63"/>
        <v>1.1/2"</v>
      </c>
      <c r="AS166" s="1">
        <v>1</v>
      </c>
      <c r="AT166" s="68"/>
      <c r="AU166" s="68"/>
      <c r="AV166" s="69"/>
      <c r="AW166" s="67"/>
      <c r="AX166" s="67"/>
      <c r="AY166" s="67"/>
      <c r="AZ166" s="69"/>
      <c r="BA166" s="68"/>
      <c r="BB166" s="68"/>
      <c r="BC166" s="68"/>
      <c r="BD166" s="68"/>
      <c r="BE166" s="70"/>
      <c r="BF166" s="67">
        <f t="shared" si="64"/>
        <v>0</v>
      </c>
      <c r="BG166" s="71"/>
      <c r="BH166" s="71"/>
    </row>
    <row r="167" spans="1:60" s="72" customFormat="1" ht="12.75" customHeight="1" x14ac:dyDescent="0.2">
      <c r="A167" s="19">
        <v>300</v>
      </c>
      <c r="B167" s="19" t="s">
        <v>954</v>
      </c>
      <c r="C167" s="19" t="s">
        <v>548</v>
      </c>
      <c r="D167" s="60" t="s">
        <v>714</v>
      </c>
      <c r="E167" s="60"/>
      <c r="F167" s="61"/>
      <c r="G167" s="61"/>
      <c r="H167" s="61"/>
      <c r="I167" s="61"/>
      <c r="J167" s="61"/>
      <c r="K167" s="61"/>
      <c r="L167" s="61"/>
      <c r="M167" s="61"/>
      <c r="N167" s="73" t="s">
        <v>9</v>
      </c>
      <c r="O167" s="62" t="s">
        <v>5</v>
      </c>
      <c r="P167" s="63">
        <v>15</v>
      </c>
      <c r="Q167" s="64">
        <f t="shared" si="46"/>
        <v>11.19</v>
      </c>
      <c r="R167" s="68"/>
      <c r="S167" s="65">
        <f>IF(O167="","",IF(O167="NA","",IF(O167="Mini disjuntor + DR",0.92,IF(O167="Mini disjuntor",0.92,IF(O167="Disjuntor Motor",0.92,IF(O167="Disjuntor C.M.",0.92,IF(O167="Disjuntor C.A.",0.92,IFERROR(VLOOKUP('Lista de Cargas'!P167,Motores!$B$9:$T$48,19,FALSE),"Erro"))))))))</f>
        <v>0.85</v>
      </c>
      <c r="T167" s="66">
        <f>IF(O167="","",IF(O167="NA","",IF(O167="Mini disjuntor + DR",100%,IF(O167="Mini disjuntor",100%,IF(O167="Disjuntor Motor",0.92,IF(O167="Disjuntor C.M.",100%,IF(O167="Disjuntor C.A.",100%,IFERROR(VLOOKUP('Lista de Cargas'!P167,Motores!$B$9:$T$48,16,FALSE)/100,"Erro"))))))))</f>
        <v>0.91700000000000004</v>
      </c>
      <c r="U167" s="66" t="s">
        <v>445</v>
      </c>
      <c r="V167" s="65">
        <v>440</v>
      </c>
      <c r="W167" s="67">
        <f t="shared" si="61"/>
        <v>18.837727979029246</v>
      </c>
      <c r="X167" s="67">
        <f t="shared" si="47"/>
        <v>13.164705882352941</v>
      </c>
      <c r="Y167" s="67">
        <f t="shared" si="62"/>
        <v>28.256591968543869</v>
      </c>
      <c r="Z167" s="68"/>
      <c r="AA167" s="68"/>
      <c r="AB167" s="68">
        <v>120</v>
      </c>
      <c r="AC167" s="68"/>
      <c r="AD167" s="68"/>
      <c r="AE167" s="68"/>
      <c r="AF167" s="68"/>
      <c r="AG167" s="68">
        <f t="shared" si="48"/>
        <v>120</v>
      </c>
      <c r="AH167" s="68">
        <v>1</v>
      </c>
      <c r="AI167" s="68" t="s">
        <v>1062</v>
      </c>
      <c r="AJ167" s="68">
        <f t="shared" si="49"/>
        <v>120</v>
      </c>
      <c r="AK167" s="68">
        <v>0</v>
      </c>
      <c r="AL167" s="68" t="s">
        <v>118</v>
      </c>
      <c r="AM167" s="68">
        <f t="shared" si="50"/>
        <v>0</v>
      </c>
      <c r="AN167" s="68">
        <v>0</v>
      </c>
      <c r="AO167" s="68" t="s">
        <v>118</v>
      </c>
      <c r="AP167" s="68">
        <f t="shared" si="51"/>
        <v>0</v>
      </c>
      <c r="AQ167" s="1" t="s">
        <v>69</v>
      </c>
      <c r="AR167" s="68" t="str">
        <f t="shared" si="63"/>
        <v>1"</v>
      </c>
      <c r="AS167" s="1">
        <v>1</v>
      </c>
      <c r="AT167" s="68"/>
      <c r="AU167" s="68"/>
      <c r="AV167" s="69"/>
      <c r="AW167" s="67"/>
      <c r="AX167" s="67"/>
      <c r="AY167" s="67"/>
      <c r="AZ167" s="69"/>
      <c r="BA167" s="68"/>
      <c r="BB167" s="68"/>
      <c r="BC167" s="68"/>
      <c r="BD167" s="68"/>
      <c r="BE167" s="70"/>
      <c r="BF167" s="67">
        <f t="shared" si="64"/>
        <v>0</v>
      </c>
      <c r="BG167" s="71"/>
      <c r="BH167" s="71"/>
    </row>
    <row r="168" spans="1:60" s="72" customFormat="1" ht="12.75" customHeight="1" x14ac:dyDescent="0.2">
      <c r="A168" s="19">
        <v>300</v>
      </c>
      <c r="B168" s="19" t="s">
        <v>954</v>
      </c>
      <c r="C168" s="19" t="s">
        <v>549</v>
      </c>
      <c r="D168" s="60" t="s">
        <v>715</v>
      </c>
      <c r="E168" s="60"/>
      <c r="F168" s="61"/>
      <c r="G168" s="61"/>
      <c r="H168" s="61"/>
      <c r="I168" s="61"/>
      <c r="J168" s="61"/>
      <c r="K168" s="61"/>
      <c r="L168" s="61"/>
      <c r="M168" s="61"/>
      <c r="N168" s="73" t="s">
        <v>9</v>
      </c>
      <c r="O168" s="62" t="s">
        <v>34</v>
      </c>
      <c r="P168" s="63">
        <v>0.05</v>
      </c>
      <c r="Q168" s="64">
        <f t="shared" si="46"/>
        <v>3.73E-2</v>
      </c>
      <c r="R168" s="68"/>
      <c r="S168" s="65">
        <v>0.84</v>
      </c>
      <c r="T168" s="66">
        <v>0.93</v>
      </c>
      <c r="U168" s="66" t="s">
        <v>445</v>
      </c>
      <c r="V168" s="65">
        <v>440</v>
      </c>
      <c r="W168" s="67">
        <f t="shared" si="61"/>
        <v>6.2651762558688984E-2</v>
      </c>
      <c r="X168" s="67">
        <f t="shared" si="47"/>
        <v>4.4404761904761905E-2</v>
      </c>
      <c r="Y168" s="67">
        <f t="shared" si="62"/>
        <v>0.3759105753521339</v>
      </c>
      <c r="Z168" s="68"/>
      <c r="AA168" s="68"/>
      <c r="AB168" s="68">
        <v>120</v>
      </c>
      <c r="AC168" s="68"/>
      <c r="AD168" s="68"/>
      <c r="AE168" s="68"/>
      <c r="AF168" s="68"/>
      <c r="AG168" s="68">
        <f t="shared" si="48"/>
        <v>120</v>
      </c>
      <c r="AH168" s="68">
        <v>1</v>
      </c>
      <c r="AI168" s="1" t="s">
        <v>1054</v>
      </c>
      <c r="AJ168" s="68">
        <f t="shared" si="49"/>
        <v>120</v>
      </c>
      <c r="AK168" s="68">
        <v>0</v>
      </c>
      <c r="AL168" s="68" t="s">
        <v>118</v>
      </c>
      <c r="AM168" s="68">
        <f t="shared" si="50"/>
        <v>0</v>
      </c>
      <c r="AN168" s="68">
        <v>0</v>
      </c>
      <c r="AO168" s="68" t="s">
        <v>118</v>
      </c>
      <c r="AP168" s="68">
        <f t="shared" si="51"/>
        <v>0</v>
      </c>
      <c r="AQ168" s="1" t="s">
        <v>57</v>
      </c>
      <c r="AR168" s="68" t="str">
        <f t="shared" si="63"/>
        <v>3/4"</v>
      </c>
      <c r="AS168" s="1">
        <v>1</v>
      </c>
      <c r="AT168" s="68"/>
      <c r="AU168" s="68"/>
      <c r="AV168" s="69"/>
      <c r="AW168" s="67"/>
      <c r="AX168" s="67"/>
      <c r="AY168" s="67"/>
      <c r="AZ168" s="69"/>
      <c r="BA168" s="68"/>
      <c r="BB168" s="68"/>
      <c r="BC168" s="68"/>
      <c r="BD168" s="68"/>
      <c r="BE168" s="70"/>
      <c r="BF168" s="67">
        <f t="shared" si="64"/>
        <v>8.2036863829359971E-3</v>
      </c>
      <c r="BG168" s="71"/>
      <c r="BH168" s="71"/>
    </row>
    <row r="169" spans="1:60" ht="12.75" customHeight="1" x14ac:dyDescent="0.2">
      <c r="A169" s="47">
        <v>300</v>
      </c>
      <c r="B169" s="47" t="s">
        <v>954</v>
      </c>
      <c r="C169" s="47" t="s">
        <v>550</v>
      </c>
      <c r="D169" s="48" t="s">
        <v>718</v>
      </c>
      <c r="E169" s="48"/>
      <c r="F169" s="49"/>
      <c r="G169" s="49"/>
      <c r="H169" s="49"/>
      <c r="I169" s="49"/>
      <c r="J169" s="49"/>
      <c r="K169" s="49"/>
      <c r="L169" s="49"/>
      <c r="M169" s="49"/>
      <c r="N169" s="50"/>
      <c r="O169" s="51" t="s">
        <v>5</v>
      </c>
      <c r="P169" s="52"/>
      <c r="Q169" s="53">
        <f t="shared" si="46"/>
        <v>0</v>
      </c>
      <c r="R169" s="54"/>
      <c r="S169" s="55">
        <v>0.84</v>
      </c>
      <c r="T169" s="56">
        <v>0.93</v>
      </c>
      <c r="U169" s="40" t="s">
        <v>445</v>
      </c>
      <c r="V169" s="39">
        <v>440</v>
      </c>
      <c r="W169" s="57">
        <f t="shared" si="61"/>
        <v>0</v>
      </c>
      <c r="X169" s="57">
        <f t="shared" si="47"/>
        <v>0</v>
      </c>
      <c r="Y169" s="57">
        <f t="shared" si="62"/>
        <v>0</v>
      </c>
      <c r="Z169" s="54"/>
      <c r="AA169" s="54"/>
      <c r="AB169" s="54">
        <v>0</v>
      </c>
      <c r="AC169" s="54"/>
      <c r="AD169" s="54"/>
      <c r="AE169" s="54"/>
      <c r="AF169" s="54"/>
      <c r="AG169" s="54">
        <f t="shared" si="48"/>
        <v>0</v>
      </c>
      <c r="AH169" s="54"/>
      <c r="AI169" s="54"/>
      <c r="AJ169" s="54">
        <f t="shared" si="49"/>
        <v>0</v>
      </c>
      <c r="AK169" s="54"/>
      <c r="AL169" s="54"/>
      <c r="AM169" s="54">
        <f t="shared" si="50"/>
        <v>0</v>
      </c>
      <c r="AN169" s="54"/>
      <c r="AO169" s="54"/>
      <c r="AP169" s="54">
        <f t="shared" si="51"/>
        <v>0</v>
      </c>
      <c r="AQ169" s="54"/>
      <c r="AR169" s="54" t="str">
        <f t="shared" si="63"/>
        <v>NA</v>
      </c>
      <c r="AS169" s="1">
        <v>1</v>
      </c>
      <c r="AT169" s="54"/>
      <c r="AU169" s="54"/>
      <c r="AV169" s="58"/>
      <c r="AW169" s="57"/>
      <c r="AX169" s="57"/>
      <c r="AY169" s="57"/>
      <c r="AZ169" s="58"/>
      <c r="BA169" s="54"/>
      <c r="BB169" s="54"/>
      <c r="BC169" s="54"/>
      <c r="BD169" s="54"/>
      <c r="BE169" s="59"/>
      <c r="BF169" s="57">
        <f t="shared" si="64"/>
        <v>0</v>
      </c>
      <c r="BG169" s="6"/>
      <c r="BH169" s="6"/>
    </row>
    <row r="170" spans="1:60" ht="12.75" customHeight="1" x14ac:dyDescent="0.2">
      <c r="A170" s="47">
        <v>300</v>
      </c>
      <c r="B170" s="47" t="s">
        <v>954</v>
      </c>
      <c r="C170" s="47" t="s">
        <v>550</v>
      </c>
      <c r="D170" s="48" t="s">
        <v>718</v>
      </c>
      <c r="E170" s="48"/>
      <c r="F170" s="49"/>
      <c r="G170" s="49"/>
      <c r="H170" s="49"/>
      <c r="I170" s="49"/>
      <c r="J170" s="49"/>
      <c r="K170" s="49"/>
      <c r="L170" s="49"/>
      <c r="M170" s="49"/>
      <c r="N170" s="50"/>
      <c r="O170" s="51" t="s">
        <v>5</v>
      </c>
      <c r="P170" s="52"/>
      <c r="Q170" s="53">
        <f t="shared" si="46"/>
        <v>0</v>
      </c>
      <c r="R170" s="54"/>
      <c r="S170" s="55">
        <v>0.84</v>
      </c>
      <c r="T170" s="56">
        <v>0.93</v>
      </c>
      <c r="U170" s="40" t="s">
        <v>445</v>
      </c>
      <c r="V170" s="39">
        <v>440</v>
      </c>
      <c r="W170" s="57">
        <f t="shared" si="61"/>
        <v>0</v>
      </c>
      <c r="X170" s="57">
        <f t="shared" si="47"/>
        <v>0</v>
      </c>
      <c r="Y170" s="57">
        <f t="shared" si="62"/>
        <v>0</v>
      </c>
      <c r="Z170" s="54"/>
      <c r="AA170" s="54"/>
      <c r="AB170" s="54">
        <v>0</v>
      </c>
      <c r="AC170" s="54"/>
      <c r="AD170" s="54"/>
      <c r="AE170" s="54"/>
      <c r="AF170" s="54"/>
      <c r="AG170" s="54">
        <f t="shared" si="48"/>
        <v>0</v>
      </c>
      <c r="AH170" s="54"/>
      <c r="AI170" s="54"/>
      <c r="AJ170" s="54">
        <f t="shared" si="49"/>
        <v>0</v>
      </c>
      <c r="AK170" s="54"/>
      <c r="AL170" s="54"/>
      <c r="AM170" s="54">
        <f t="shared" si="50"/>
        <v>0</v>
      </c>
      <c r="AN170" s="54"/>
      <c r="AO170" s="54"/>
      <c r="AP170" s="54">
        <f t="shared" si="51"/>
        <v>0</v>
      </c>
      <c r="AQ170" s="54"/>
      <c r="AR170" s="54" t="str">
        <f t="shared" si="63"/>
        <v>NA</v>
      </c>
      <c r="AS170" s="1">
        <v>1</v>
      </c>
      <c r="AT170" s="54"/>
      <c r="AU170" s="54"/>
      <c r="AV170" s="58"/>
      <c r="AW170" s="57"/>
      <c r="AX170" s="57"/>
      <c r="AY170" s="57"/>
      <c r="AZ170" s="58"/>
      <c r="BA170" s="54"/>
      <c r="BB170" s="54"/>
      <c r="BC170" s="54"/>
      <c r="BD170" s="54"/>
      <c r="BE170" s="59"/>
      <c r="BF170" s="57">
        <f t="shared" si="64"/>
        <v>0</v>
      </c>
      <c r="BG170" s="6"/>
      <c r="BH170" s="6"/>
    </row>
    <row r="171" spans="1:60" ht="12.75" customHeight="1" x14ac:dyDescent="0.2">
      <c r="A171" s="47">
        <v>300</v>
      </c>
      <c r="B171" s="47" t="s">
        <v>954</v>
      </c>
      <c r="C171" s="47" t="s">
        <v>550</v>
      </c>
      <c r="D171" s="48" t="s">
        <v>718</v>
      </c>
      <c r="E171" s="48"/>
      <c r="F171" s="49"/>
      <c r="G171" s="49"/>
      <c r="H171" s="49"/>
      <c r="I171" s="49"/>
      <c r="J171" s="49"/>
      <c r="K171" s="49"/>
      <c r="L171" s="49"/>
      <c r="M171" s="49"/>
      <c r="N171" s="50"/>
      <c r="O171" s="51" t="s">
        <v>5</v>
      </c>
      <c r="P171" s="52"/>
      <c r="Q171" s="53">
        <f t="shared" si="46"/>
        <v>0</v>
      </c>
      <c r="R171" s="54"/>
      <c r="S171" s="55">
        <v>0.84</v>
      </c>
      <c r="T171" s="56">
        <v>0.93</v>
      </c>
      <c r="U171" s="40" t="s">
        <v>445</v>
      </c>
      <c r="V171" s="39">
        <v>440</v>
      </c>
      <c r="W171" s="57">
        <f t="shared" si="61"/>
        <v>0</v>
      </c>
      <c r="X171" s="57">
        <f t="shared" si="47"/>
        <v>0</v>
      </c>
      <c r="Y171" s="57">
        <f t="shared" si="62"/>
        <v>0</v>
      </c>
      <c r="Z171" s="54"/>
      <c r="AA171" s="54"/>
      <c r="AB171" s="54">
        <v>0</v>
      </c>
      <c r="AC171" s="54"/>
      <c r="AD171" s="54"/>
      <c r="AE171" s="54"/>
      <c r="AF171" s="54"/>
      <c r="AG171" s="54">
        <f t="shared" si="48"/>
        <v>0</v>
      </c>
      <c r="AH171" s="54"/>
      <c r="AI171" s="54"/>
      <c r="AJ171" s="54">
        <f t="shared" si="49"/>
        <v>0</v>
      </c>
      <c r="AK171" s="54"/>
      <c r="AL171" s="54"/>
      <c r="AM171" s="54">
        <f t="shared" si="50"/>
        <v>0</v>
      </c>
      <c r="AN171" s="54"/>
      <c r="AO171" s="54"/>
      <c r="AP171" s="54">
        <f t="shared" si="51"/>
        <v>0</v>
      </c>
      <c r="AQ171" s="54"/>
      <c r="AR171" s="54" t="str">
        <f t="shared" si="63"/>
        <v>NA</v>
      </c>
      <c r="AS171" s="1">
        <v>1</v>
      </c>
      <c r="AT171" s="54"/>
      <c r="AU171" s="54"/>
      <c r="AV171" s="58"/>
      <c r="AW171" s="57"/>
      <c r="AX171" s="57"/>
      <c r="AY171" s="57"/>
      <c r="AZ171" s="58"/>
      <c r="BA171" s="54"/>
      <c r="BB171" s="54"/>
      <c r="BC171" s="54"/>
      <c r="BD171" s="54"/>
      <c r="BE171" s="59"/>
      <c r="BF171" s="57">
        <f t="shared" si="64"/>
        <v>0</v>
      </c>
      <c r="BG171" s="6"/>
      <c r="BH171" s="6"/>
    </row>
    <row r="172" spans="1:60" ht="12.75" customHeight="1" x14ac:dyDescent="0.2">
      <c r="A172" s="47">
        <v>300</v>
      </c>
      <c r="B172" s="47" t="s">
        <v>954</v>
      </c>
      <c r="C172" s="47" t="s">
        <v>551</v>
      </c>
      <c r="D172" s="48" t="s">
        <v>719</v>
      </c>
      <c r="E172" s="48"/>
      <c r="F172" s="49"/>
      <c r="G172" s="49"/>
      <c r="H172" s="49"/>
      <c r="I172" s="49"/>
      <c r="J172" s="49"/>
      <c r="K172" s="49"/>
      <c r="L172" s="49"/>
      <c r="M172" s="49"/>
      <c r="N172" s="50"/>
      <c r="O172" s="51" t="s">
        <v>5</v>
      </c>
      <c r="P172" s="52"/>
      <c r="Q172" s="53">
        <f t="shared" si="46"/>
        <v>0</v>
      </c>
      <c r="R172" s="54"/>
      <c r="S172" s="55">
        <v>0.84</v>
      </c>
      <c r="T172" s="56">
        <v>0.93</v>
      </c>
      <c r="U172" s="40" t="s">
        <v>445</v>
      </c>
      <c r="V172" s="39">
        <v>440</v>
      </c>
      <c r="W172" s="57">
        <f t="shared" si="61"/>
        <v>0</v>
      </c>
      <c r="X172" s="57">
        <f t="shared" si="47"/>
        <v>0</v>
      </c>
      <c r="Y172" s="57">
        <f t="shared" si="62"/>
        <v>0</v>
      </c>
      <c r="Z172" s="54"/>
      <c r="AA172" s="54"/>
      <c r="AB172" s="54">
        <v>0</v>
      </c>
      <c r="AC172" s="54"/>
      <c r="AD172" s="54"/>
      <c r="AE172" s="54"/>
      <c r="AF172" s="54"/>
      <c r="AG172" s="54">
        <f t="shared" si="48"/>
        <v>0</v>
      </c>
      <c r="AH172" s="54"/>
      <c r="AI172" s="54"/>
      <c r="AJ172" s="54">
        <f t="shared" si="49"/>
        <v>0</v>
      </c>
      <c r="AK172" s="54"/>
      <c r="AL172" s="54"/>
      <c r="AM172" s="54">
        <f t="shared" si="50"/>
        <v>0</v>
      </c>
      <c r="AN172" s="54"/>
      <c r="AO172" s="54"/>
      <c r="AP172" s="54">
        <f t="shared" si="51"/>
        <v>0</v>
      </c>
      <c r="AQ172" s="54"/>
      <c r="AR172" s="54" t="str">
        <f t="shared" si="63"/>
        <v>NA</v>
      </c>
      <c r="AS172" s="1">
        <v>1</v>
      </c>
      <c r="AT172" s="54"/>
      <c r="AU172" s="54"/>
      <c r="AV172" s="58"/>
      <c r="AW172" s="57"/>
      <c r="AX172" s="57"/>
      <c r="AY172" s="57"/>
      <c r="AZ172" s="58"/>
      <c r="BA172" s="54"/>
      <c r="BB172" s="54"/>
      <c r="BC172" s="54"/>
      <c r="BD172" s="54"/>
      <c r="BE172" s="59"/>
      <c r="BF172" s="57">
        <f t="shared" si="64"/>
        <v>0</v>
      </c>
      <c r="BG172" s="6"/>
      <c r="BH172" s="6"/>
    </row>
    <row r="173" spans="1:60" ht="12.75" customHeight="1" x14ac:dyDescent="0.2">
      <c r="A173" s="19">
        <v>400</v>
      </c>
      <c r="B173" s="19" t="s">
        <v>955</v>
      </c>
      <c r="C173" s="19" t="s">
        <v>899</v>
      </c>
      <c r="D173" s="20" t="s">
        <v>720</v>
      </c>
      <c r="E173" s="20"/>
      <c r="F173" s="21"/>
      <c r="G173" s="21"/>
      <c r="H173" s="21"/>
      <c r="I173" s="21"/>
      <c r="J173" s="21"/>
      <c r="K173" s="21"/>
      <c r="L173" s="21"/>
      <c r="M173" s="21"/>
      <c r="N173" s="32" t="s">
        <v>1032</v>
      </c>
      <c r="O173" s="22" t="s">
        <v>35</v>
      </c>
      <c r="P173" s="23">
        <v>30</v>
      </c>
      <c r="Q173" s="34">
        <f t="shared" si="46"/>
        <v>22.38</v>
      </c>
      <c r="R173" s="1"/>
      <c r="S173" s="39">
        <f>IF(O173="","",IF(O173="NA","",IF(O173="Mini disjuntor + DR",0.92,IF(O173="Mini disjuntor",0.92,IF(O173="Disjuntor Motor",0.92,IF(O173="Disjuntor C.M.",0.92,IF(O173="Disjuntor C.A.",0.92,IFERROR(VLOOKUP('Lista de Cargas'!P173,Motores!$B$9:$T$48,19,FALSE),"Erro"))))))))</f>
        <v>0.84</v>
      </c>
      <c r="T173" s="40">
        <f>IF(O173="","",IF(O173="NA","",IF(O173="Mini disjuntor + DR",100%,IF(O173="Mini disjuntor",100%,IF(O173="Disjuntor Motor",0.92,IF(O173="Disjuntor C.M.",100%,IF(O173="Disjuntor C.A.",100%,IFERROR(VLOOKUP('Lista de Cargas'!P173,Motores!$B$9:$T$48,16,FALSE)/100,"Erro"))))))))</f>
        <v>0.93</v>
      </c>
      <c r="U173" s="40" t="s">
        <v>445</v>
      </c>
      <c r="V173" s="39">
        <v>440</v>
      </c>
      <c r="W173" s="2">
        <f t="shared" si="61"/>
        <v>37.59105753521338</v>
      </c>
      <c r="X173" s="2">
        <f t="shared" si="47"/>
        <v>26.642857142857142</v>
      </c>
      <c r="Y173" s="2">
        <f t="shared" si="62"/>
        <v>112.77317260564014</v>
      </c>
      <c r="Z173" s="1"/>
      <c r="AA173" s="1"/>
      <c r="AB173" s="1">
        <v>150</v>
      </c>
      <c r="AC173" s="1"/>
      <c r="AD173" s="1"/>
      <c r="AE173" s="1"/>
      <c r="AF173" s="1"/>
      <c r="AG173" s="1">
        <f t="shared" si="48"/>
        <v>150</v>
      </c>
      <c r="AH173" s="1">
        <v>1</v>
      </c>
      <c r="AI173" s="1" t="s">
        <v>1067</v>
      </c>
      <c r="AJ173" s="1">
        <f t="shared" si="49"/>
        <v>150</v>
      </c>
      <c r="AK173" s="1"/>
      <c r="AL173" s="1"/>
      <c r="AM173" s="1">
        <f t="shared" si="50"/>
        <v>0</v>
      </c>
      <c r="AN173" s="1"/>
      <c r="AO173" s="1"/>
      <c r="AP173" s="1">
        <f t="shared" si="51"/>
        <v>0</v>
      </c>
      <c r="AQ173" s="1" t="s">
        <v>71</v>
      </c>
      <c r="AR173" s="1" t="str">
        <f t="shared" si="63"/>
        <v>1.1/2"</v>
      </c>
      <c r="AS173" s="1">
        <v>1</v>
      </c>
      <c r="AT173" s="1"/>
      <c r="AU173" s="1"/>
      <c r="AV173" s="17"/>
      <c r="AW173" s="2"/>
      <c r="AX173" s="2"/>
      <c r="AY173" s="2"/>
      <c r="AZ173" s="17"/>
      <c r="BA173" s="1"/>
      <c r="BB173" s="1"/>
      <c r="BC173" s="1"/>
      <c r="BD173" s="1"/>
      <c r="BE173" s="18"/>
      <c r="BF173" s="2">
        <f t="shared" si="64"/>
        <v>4.9222118297615935</v>
      </c>
      <c r="BG173" s="6"/>
      <c r="BH173" s="6"/>
    </row>
    <row r="174" spans="1:60" ht="12.75" customHeight="1" x14ac:dyDescent="0.2">
      <c r="A174" s="19">
        <v>400</v>
      </c>
      <c r="B174" s="19" t="s">
        <v>955</v>
      </c>
      <c r="C174" s="19" t="s">
        <v>900</v>
      </c>
      <c r="D174" s="20" t="s">
        <v>720</v>
      </c>
      <c r="E174" s="20"/>
      <c r="F174" s="21"/>
      <c r="G174" s="21"/>
      <c r="H174" s="21"/>
      <c r="I174" s="21"/>
      <c r="J174" s="21"/>
      <c r="K174" s="21"/>
      <c r="L174" s="21"/>
      <c r="M174" s="21"/>
      <c r="N174" s="32" t="s">
        <v>1032</v>
      </c>
      <c r="O174" s="22" t="s">
        <v>35</v>
      </c>
      <c r="P174" s="23">
        <v>30</v>
      </c>
      <c r="Q174" s="34">
        <f t="shared" ref="Q174:Q233" si="65">P174*0.746</f>
        <v>22.38</v>
      </c>
      <c r="R174" s="1"/>
      <c r="S174" s="39">
        <f>IF(O174="","",IF(O174="NA","",IF(O174="Mini disjuntor + DR",0.92,IF(O174="Mini disjuntor",0.92,IF(O174="Disjuntor Motor",0.92,IF(O174="Disjuntor C.M.",0.92,IF(O174="Disjuntor C.A.",0.92,IFERROR(VLOOKUP('Lista de Cargas'!P174,Motores!$B$9:$T$48,19,FALSE),"Erro"))))))))</f>
        <v>0.84</v>
      </c>
      <c r="T174" s="40">
        <f>IF(O174="","",IF(O174="NA","",IF(O174="Mini disjuntor + DR",100%,IF(O174="Mini disjuntor",100%,IF(O174="Disjuntor Motor",0.92,IF(O174="Disjuntor C.M.",100%,IF(O174="Disjuntor C.A.",100%,IFERROR(VLOOKUP('Lista de Cargas'!P174,Motores!$B$9:$T$48,16,FALSE)/100,"Erro"))))))))</f>
        <v>0.93</v>
      </c>
      <c r="U174" s="40" t="s">
        <v>445</v>
      </c>
      <c r="V174" s="39">
        <v>440</v>
      </c>
      <c r="W174" s="2">
        <f t="shared" si="61"/>
        <v>37.59105753521338</v>
      </c>
      <c r="X174" s="2">
        <f t="shared" ref="X174:X233" si="66">IFERROR(Q174/S174,0)</f>
        <v>26.642857142857142</v>
      </c>
      <c r="Y174" s="2">
        <f t="shared" si="62"/>
        <v>112.77317260564014</v>
      </c>
      <c r="Z174" s="1"/>
      <c r="AA174" s="1"/>
      <c r="AB174" s="1">
        <v>150</v>
      </c>
      <c r="AC174" s="1"/>
      <c r="AD174" s="1"/>
      <c r="AE174" s="1"/>
      <c r="AF174" s="1"/>
      <c r="AG174" s="1">
        <f t="shared" ref="AG174:AG233" si="67">SUM(AB174:AF174)</f>
        <v>150</v>
      </c>
      <c r="AH174" s="1">
        <v>1</v>
      </c>
      <c r="AI174" s="1" t="s">
        <v>1067</v>
      </c>
      <c r="AJ174" s="1">
        <f t="shared" ref="AJ174:AJ233" si="68">$AG174*AH174*(1+$BJ$1)</f>
        <v>150</v>
      </c>
      <c r="AK174" s="1">
        <v>0</v>
      </c>
      <c r="AL174" s="1" t="s">
        <v>118</v>
      </c>
      <c r="AM174" s="1">
        <f t="shared" ref="AM174:AM233" si="69">$AG174*AK174*(1+$BJ$1)</f>
        <v>0</v>
      </c>
      <c r="AN174" s="1">
        <v>0</v>
      </c>
      <c r="AO174" s="1" t="s">
        <v>118</v>
      </c>
      <c r="AP174" s="1">
        <f t="shared" ref="AP174:AP233" si="70">$AG174*AN174*(1+$BJ$1)</f>
        <v>0</v>
      </c>
      <c r="AQ174" s="1" t="s">
        <v>71</v>
      </c>
      <c r="AR174" s="1" t="str">
        <f t="shared" si="63"/>
        <v>1.1/2"</v>
      </c>
      <c r="AS174" s="1">
        <v>1</v>
      </c>
      <c r="AT174" s="1"/>
      <c r="AU174" s="1"/>
      <c r="AV174" s="17"/>
      <c r="AW174" s="2"/>
      <c r="AX174" s="2"/>
      <c r="AY174" s="2"/>
      <c r="AZ174" s="17"/>
      <c r="BA174" s="1"/>
      <c r="BB174" s="1"/>
      <c r="BC174" s="1"/>
      <c r="BD174" s="1"/>
      <c r="BE174" s="18"/>
      <c r="BF174" s="2">
        <f t="shared" si="64"/>
        <v>4.9222118297615935</v>
      </c>
      <c r="BG174" s="6"/>
      <c r="BH174" s="6"/>
    </row>
    <row r="175" spans="1:60" ht="12.75" customHeight="1" x14ac:dyDescent="0.2">
      <c r="A175" s="19">
        <v>400</v>
      </c>
      <c r="B175" s="19" t="s">
        <v>955</v>
      </c>
      <c r="C175" s="19" t="s">
        <v>901</v>
      </c>
      <c r="D175" s="20" t="s">
        <v>721</v>
      </c>
      <c r="E175" s="20"/>
      <c r="F175" s="21"/>
      <c r="G175" s="21"/>
      <c r="H175" s="21"/>
      <c r="I175" s="21"/>
      <c r="J175" s="21"/>
      <c r="K175" s="21"/>
      <c r="L175" s="21"/>
      <c r="M175" s="21"/>
      <c r="N175" s="32" t="s">
        <v>1032</v>
      </c>
      <c r="O175" s="22" t="s">
        <v>5</v>
      </c>
      <c r="P175" s="23">
        <v>12.5</v>
      </c>
      <c r="Q175" s="34">
        <f t="shared" si="65"/>
        <v>9.3249999999999993</v>
      </c>
      <c r="R175" s="1"/>
      <c r="S175" s="39">
        <f>IF(O175="","",IF(O175="NA","",IF(O175="Mini disjuntor + DR",0.92,IF(O175="Mini disjuntor",0.92,IF(O175="Disjuntor Motor",0.92,IF(O175="Disjuntor C.M.",0.92,IF(O175="Disjuntor C.A.",0.92,IFERROR(VLOOKUP('Lista de Cargas'!P175,Motores!$B$9:$T$48,19,FALSE),"Erro"))))))))</f>
        <v>0.84</v>
      </c>
      <c r="T175" s="40">
        <f>IF(O175="","",IF(O175="NA","",IF(O175="Mini disjuntor + DR",100%,IF(O175="Mini disjuntor",100%,IF(O175="Disjuntor Motor",0.92,IF(O175="Disjuntor C.M.",100%,IF(O175="Disjuntor C.A.",100%,IFERROR(VLOOKUP('Lista de Cargas'!P175,Motores!$B$9:$T$48,16,FALSE)/100,"Erro"))))))))</f>
        <v>0.91</v>
      </c>
      <c r="U175" s="40" t="s">
        <v>445</v>
      </c>
      <c r="V175" s="39">
        <v>440</v>
      </c>
      <c r="W175" s="2">
        <f t="shared" si="61"/>
        <v>16.007181093291411</v>
      </c>
      <c r="X175" s="2">
        <f t="shared" si="66"/>
        <v>11.101190476190476</v>
      </c>
      <c r="Y175" s="2">
        <f t="shared" si="62"/>
        <v>24.010771639937118</v>
      </c>
      <c r="Z175" s="1"/>
      <c r="AA175" s="1"/>
      <c r="AB175" s="1">
        <v>150</v>
      </c>
      <c r="AC175" s="1"/>
      <c r="AD175" s="1"/>
      <c r="AE175" s="1"/>
      <c r="AF175" s="1"/>
      <c r="AG175" s="1">
        <f t="shared" si="67"/>
        <v>150</v>
      </c>
      <c r="AH175" s="1">
        <v>1</v>
      </c>
      <c r="AI175" s="1" t="s">
        <v>1062</v>
      </c>
      <c r="AJ175" s="1">
        <f t="shared" si="68"/>
        <v>150</v>
      </c>
      <c r="AK175" s="1">
        <v>0</v>
      </c>
      <c r="AL175" s="1" t="s">
        <v>118</v>
      </c>
      <c r="AM175" s="1">
        <f t="shared" si="69"/>
        <v>0</v>
      </c>
      <c r="AN175" s="1">
        <v>0</v>
      </c>
      <c r="AO175" s="1" t="s">
        <v>118</v>
      </c>
      <c r="AP175" s="1">
        <f t="shared" si="70"/>
        <v>0</v>
      </c>
      <c r="AQ175" s="1" t="s">
        <v>69</v>
      </c>
      <c r="AR175" s="1" t="str">
        <f t="shared" si="63"/>
        <v>1"</v>
      </c>
      <c r="AS175" s="1">
        <v>1</v>
      </c>
      <c r="AT175" s="1"/>
      <c r="AU175" s="1"/>
      <c r="AV175" s="17"/>
      <c r="AW175" s="2"/>
      <c r="AX175" s="2"/>
      <c r="AY175" s="2"/>
      <c r="AZ175" s="17"/>
      <c r="BA175" s="1"/>
      <c r="BB175" s="1"/>
      <c r="BC175" s="1"/>
      <c r="BD175" s="1"/>
      <c r="BE175" s="18"/>
      <c r="BF175" s="2">
        <f t="shared" si="64"/>
        <v>0</v>
      </c>
      <c r="BG175" s="6"/>
      <c r="BH175" s="6"/>
    </row>
    <row r="176" spans="1:60" ht="12.75" customHeight="1" x14ac:dyDescent="0.2">
      <c r="A176" s="19">
        <v>400</v>
      </c>
      <c r="B176" s="19" t="s">
        <v>955</v>
      </c>
      <c r="C176" s="19" t="s">
        <v>902</v>
      </c>
      <c r="D176" s="20" t="s">
        <v>721</v>
      </c>
      <c r="E176" s="20"/>
      <c r="F176" s="21"/>
      <c r="G176" s="21"/>
      <c r="H176" s="21"/>
      <c r="I176" s="21"/>
      <c r="J176" s="21"/>
      <c r="K176" s="21"/>
      <c r="L176" s="21"/>
      <c r="M176" s="21"/>
      <c r="N176" s="32" t="s">
        <v>1032</v>
      </c>
      <c r="O176" s="22" t="s">
        <v>5</v>
      </c>
      <c r="P176" s="23">
        <v>12.5</v>
      </c>
      <c r="Q176" s="34">
        <f t="shared" si="65"/>
        <v>9.3249999999999993</v>
      </c>
      <c r="R176" s="1"/>
      <c r="S176" s="39">
        <f>IF(O176="","",IF(O176="NA","",IF(O176="Mini disjuntor + DR",0.92,IF(O176="Mini disjuntor",0.92,IF(O176="Disjuntor Motor",0.92,IF(O176="Disjuntor C.M.",0.92,IF(O176="Disjuntor C.A.",0.92,IFERROR(VLOOKUP('Lista de Cargas'!P176,Motores!$B$9:$T$48,19,FALSE),"Erro"))))))))</f>
        <v>0.84</v>
      </c>
      <c r="T176" s="40">
        <f>IF(O176="","",IF(O176="NA","",IF(O176="Mini disjuntor + DR",100%,IF(O176="Mini disjuntor",100%,IF(O176="Disjuntor Motor",0.92,IF(O176="Disjuntor C.M.",100%,IF(O176="Disjuntor C.A.",100%,IFERROR(VLOOKUP('Lista de Cargas'!P176,Motores!$B$9:$T$48,16,FALSE)/100,"Erro"))))))))</f>
        <v>0.91</v>
      </c>
      <c r="U176" s="40" t="s">
        <v>445</v>
      </c>
      <c r="V176" s="39">
        <v>440</v>
      </c>
      <c r="W176" s="2">
        <f t="shared" si="61"/>
        <v>16.007181093291411</v>
      </c>
      <c r="X176" s="2">
        <f t="shared" si="66"/>
        <v>11.101190476190476</v>
      </c>
      <c r="Y176" s="2">
        <f t="shared" si="62"/>
        <v>24.010771639937118</v>
      </c>
      <c r="Z176" s="1"/>
      <c r="AA176" s="1"/>
      <c r="AB176" s="1">
        <v>150</v>
      </c>
      <c r="AC176" s="1"/>
      <c r="AD176" s="1"/>
      <c r="AE176" s="1"/>
      <c r="AF176" s="1"/>
      <c r="AG176" s="1">
        <f t="shared" si="67"/>
        <v>150</v>
      </c>
      <c r="AH176" s="1">
        <v>1</v>
      </c>
      <c r="AI176" s="1" t="s">
        <v>1062</v>
      </c>
      <c r="AJ176" s="1">
        <f t="shared" si="68"/>
        <v>150</v>
      </c>
      <c r="AK176" s="1">
        <v>0</v>
      </c>
      <c r="AL176" s="1" t="s">
        <v>118</v>
      </c>
      <c r="AM176" s="1">
        <f t="shared" si="69"/>
        <v>0</v>
      </c>
      <c r="AN176" s="1">
        <v>0</v>
      </c>
      <c r="AO176" s="1" t="s">
        <v>118</v>
      </c>
      <c r="AP176" s="1">
        <f t="shared" si="70"/>
        <v>0</v>
      </c>
      <c r="AQ176" s="1" t="s">
        <v>69</v>
      </c>
      <c r="AR176" s="1" t="str">
        <f t="shared" si="63"/>
        <v>1"</v>
      </c>
      <c r="AS176" s="1">
        <v>1</v>
      </c>
      <c r="AT176" s="1"/>
      <c r="AU176" s="1"/>
      <c r="AV176" s="17"/>
      <c r="AW176" s="2"/>
      <c r="AX176" s="2"/>
      <c r="AY176" s="2"/>
      <c r="AZ176" s="17"/>
      <c r="BA176" s="1"/>
      <c r="BB176" s="1"/>
      <c r="BC176" s="1"/>
      <c r="BD176" s="1"/>
      <c r="BE176" s="18"/>
      <c r="BF176" s="2">
        <f t="shared" si="64"/>
        <v>0</v>
      </c>
      <c r="BG176" s="6"/>
      <c r="BH176" s="6"/>
    </row>
    <row r="177" spans="1:60" ht="12.75" customHeight="1" x14ac:dyDescent="0.2">
      <c r="A177" s="19">
        <v>400</v>
      </c>
      <c r="B177" s="19" t="s">
        <v>955</v>
      </c>
      <c r="C177" s="19" t="s">
        <v>903</v>
      </c>
      <c r="D177" s="20" t="s">
        <v>722</v>
      </c>
      <c r="E177" s="20"/>
      <c r="F177" s="21"/>
      <c r="G177" s="21"/>
      <c r="H177" s="21"/>
      <c r="I177" s="21"/>
      <c r="J177" s="21"/>
      <c r="K177" s="21"/>
      <c r="L177" s="21"/>
      <c r="M177" s="21"/>
      <c r="N177" s="32" t="s">
        <v>1032</v>
      </c>
      <c r="O177" s="22" t="s">
        <v>34</v>
      </c>
      <c r="P177" s="23">
        <v>12.5</v>
      </c>
      <c r="Q177" s="34">
        <f t="shared" si="65"/>
        <v>9.3249999999999993</v>
      </c>
      <c r="R177" s="1"/>
      <c r="S177" s="39">
        <f>IF(O177="","",IF(O177="NA","",IF(O177="Mini disjuntor + DR",0.92,IF(O177="Mini disjuntor",0.92,IF(O177="Disjuntor Motor",0.92,IF(O177="Disjuntor C.M.",0.92,IF(O177="Disjuntor C.A.",0.92,IFERROR(VLOOKUP('Lista de Cargas'!P177,Motores!$B$9:$T$48,19,FALSE),"Erro"))))))))</f>
        <v>0.84</v>
      </c>
      <c r="T177" s="40">
        <f>IF(O177="","",IF(O177="NA","",IF(O177="Mini disjuntor + DR",100%,IF(O177="Mini disjuntor",100%,IF(O177="Disjuntor Motor",0.92,IF(O177="Disjuntor C.M.",100%,IF(O177="Disjuntor C.A.",100%,IFERROR(VLOOKUP('Lista de Cargas'!P177,Motores!$B$9:$T$48,16,FALSE)/100,"Erro"))))))))</f>
        <v>0.91</v>
      </c>
      <c r="U177" s="40" t="s">
        <v>445</v>
      </c>
      <c r="V177" s="39">
        <v>440</v>
      </c>
      <c r="W177" s="2">
        <f t="shared" si="61"/>
        <v>16.007181093291411</v>
      </c>
      <c r="X177" s="2">
        <f t="shared" si="66"/>
        <v>11.101190476190476</v>
      </c>
      <c r="Y177" s="2">
        <f t="shared" si="62"/>
        <v>96.043086559748474</v>
      </c>
      <c r="Z177" s="1"/>
      <c r="AA177" s="1"/>
      <c r="AB177" s="1">
        <v>150</v>
      </c>
      <c r="AC177" s="1"/>
      <c r="AD177" s="1"/>
      <c r="AE177" s="1"/>
      <c r="AF177" s="1"/>
      <c r="AG177" s="1">
        <f t="shared" si="67"/>
        <v>150</v>
      </c>
      <c r="AH177" s="1">
        <v>1</v>
      </c>
      <c r="AI177" s="1" t="s">
        <v>1067</v>
      </c>
      <c r="AJ177" s="1">
        <f t="shared" si="68"/>
        <v>150</v>
      </c>
      <c r="AK177" s="1">
        <v>0</v>
      </c>
      <c r="AL177" s="1" t="s">
        <v>118</v>
      </c>
      <c r="AM177" s="1">
        <f t="shared" si="69"/>
        <v>0</v>
      </c>
      <c r="AN177" s="1">
        <v>0</v>
      </c>
      <c r="AO177" s="1" t="s">
        <v>118</v>
      </c>
      <c r="AP177" s="1">
        <f t="shared" si="70"/>
        <v>0</v>
      </c>
      <c r="AQ177" s="1" t="s">
        <v>71</v>
      </c>
      <c r="AR177" s="1" t="str">
        <f t="shared" si="63"/>
        <v>1.1/2"</v>
      </c>
      <c r="AS177" s="1">
        <v>1</v>
      </c>
      <c r="AT177" s="1"/>
      <c r="AU177" s="1"/>
      <c r="AV177" s="17"/>
      <c r="AW177" s="2"/>
      <c r="AX177" s="2"/>
      <c r="AY177" s="2"/>
      <c r="AZ177" s="17"/>
      <c r="BA177" s="1"/>
      <c r="BB177" s="1"/>
      <c r="BC177" s="1"/>
      <c r="BD177" s="1"/>
      <c r="BE177" s="18"/>
      <c r="BF177" s="2">
        <f t="shared" si="64"/>
        <v>2.0509215957339983</v>
      </c>
      <c r="BG177" s="6"/>
      <c r="BH177" s="6"/>
    </row>
    <row r="178" spans="1:60" ht="12.75" customHeight="1" x14ac:dyDescent="0.2">
      <c r="A178" s="19">
        <v>400</v>
      </c>
      <c r="B178" s="19" t="s">
        <v>955</v>
      </c>
      <c r="C178" s="19" t="s">
        <v>904</v>
      </c>
      <c r="D178" s="20" t="s">
        <v>722</v>
      </c>
      <c r="E178" s="20"/>
      <c r="F178" s="21"/>
      <c r="G178" s="21"/>
      <c r="H178" s="21"/>
      <c r="I178" s="21"/>
      <c r="J178" s="21"/>
      <c r="K178" s="21"/>
      <c r="L178" s="21"/>
      <c r="M178" s="21"/>
      <c r="N178" s="32" t="s">
        <v>1032</v>
      </c>
      <c r="O178" s="22" t="s">
        <v>34</v>
      </c>
      <c r="P178" s="23">
        <v>12.5</v>
      </c>
      <c r="Q178" s="34">
        <f t="shared" si="65"/>
        <v>9.3249999999999993</v>
      </c>
      <c r="R178" s="1"/>
      <c r="S178" s="39">
        <f>IF(O178="","",IF(O178="NA","",IF(O178="Mini disjuntor + DR",0.92,IF(O178="Mini disjuntor",0.92,IF(O178="Disjuntor Motor",0.92,IF(O178="Disjuntor C.M.",0.92,IF(O178="Disjuntor C.A.",0.92,IFERROR(VLOOKUP('Lista de Cargas'!P178,Motores!$B$9:$T$48,19,FALSE),"Erro"))))))))</f>
        <v>0.84</v>
      </c>
      <c r="T178" s="40">
        <f>IF(O178="","",IF(O178="NA","",IF(O178="Mini disjuntor + DR",100%,IF(O178="Mini disjuntor",100%,IF(O178="Disjuntor Motor",0.92,IF(O178="Disjuntor C.M.",100%,IF(O178="Disjuntor C.A.",100%,IFERROR(VLOOKUP('Lista de Cargas'!P178,Motores!$B$9:$T$48,16,FALSE)/100,"Erro"))))))))</f>
        <v>0.91</v>
      </c>
      <c r="U178" s="40" t="s">
        <v>445</v>
      </c>
      <c r="V178" s="39">
        <v>440</v>
      </c>
      <c r="W178" s="2">
        <f t="shared" si="61"/>
        <v>16.007181093291411</v>
      </c>
      <c r="X178" s="2">
        <f t="shared" si="66"/>
        <v>11.101190476190476</v>
      </c>
      <c r="Y178" s="2">
        <f t="shared" si="62"/>
        <v>96.043086559748474</v>
      </c>
      <c r="Z178" s="1"/>
      <c r="AA178" s="1"/>
      <c r="AB178" s="1">
        <v>150</v>
      </c>
      <c r="AC178" s="1"/>
      <c r="AD178" s="1"/>
      <c r="AE178" s="1"/>
      <c r="AF178" s="1"/>
      <c r="AG178" s="1">
        <f t="shared" si="67"/>
        <v>150</v>
      </c>
      <c r="AH178" s="1">
        <v>1</v>
      </c>
      <c r="AI178" s="1" t="s">
        <v>1067</v>
      </c>
      <c r="AJ178" s="1">
        <f t="shared" si="68"/>
        <v>150</v>
      </c>
      <c r="AK178" s="1">
        <v>0</v>
      </c>
      <c r="AL178" s="1" t="s">
        <v>118</v>
      </c>
      <c r="AM178" s="1">
        <f t="shared" si="69"/>
        <v>0</v>
      </c>
      <c r="AN178" s="1">
        <v>0</v>
      </c>
      <c r="AO178" s="1" t="s">
        <v>118</v>
      </c>
      <c r="AP178" s="1">
        <f t="shared" si="70"/>
        <v>0</v>
      </c>
      <c r="AQ178" s="1" t="s">
        <v>71</v>
      </c>
      <c r="AR178" s="1" t="str">
        <f t="shared" si="63"/>
        <v>1.1/2"</v>
      </c>
      <c r="AS178" s="1">
        <v>1</v>
      </c>
      <c r="AT178" s="1"/>
      <c r="AU178" s="1"/>
      <c r="AV178" s="17"/>
      <c r="AW178" s="2"/>
      <c r="AX178" s="2"/>
      <c r="AY178" s="2"/>
      <c r="AZ178" s="17"/>
      <c r="BA178" s="1"/>
      <c r="BB178" s="1"/>
      <c r="BC178" s="1"/>
      <c r="BD178" s="1"/>
      <c r="BE178" s="18"/>
      <c r="BF178" s="2">
        <f t="shared" si="64"/>
        <v>2.0509215957339983</v>
      </c>
      <c r="BG178" s="6"/>
      <c r="BH178" s="6"/>
    </row>
    <row r="179" spans="1:60" ht="12.75" customHeight="1" x14ac:dyDescent="0.2">
      <c r="A179" s="19">
        <v>400</v>
      </c>
      <c r="B179" s="19" t="s">
        <v>955</v>
      </c>
      <c r="C179" s="19" t="s">
        <v>905</v>
      </c>
      <c r="D179" s="20" t="s">
        <v>722</v>
      </c>
      <c r="E179" s="20"/>
      <c r="F179" s="21"/>
      <c r="G179" s="21"/>
      <c r="H179" s="21"/>
      <c r="I179" s="21"/>
      <c r="J179" s="21"/>
      <c r="K179" s="21"/>
      <c r="L179" s="21"/>
      <c r="M179" s="21"/>
      <c r="N179" s="32" t="s">
        <v>1032</v>
      </c>
      <c r="O179" s="22" t="s">
        <v>34</v>
      </c>
      <c r="P179" s="23">
        <v>12.5</v>
      </c>
      <c r="Q179" s="34">
        <f t="shared" si="65"/>
        <v>9.3249999999999993</v>
      </c>
      <c r="R179" s="1"/>
      <c r="S179" s="39">
        <f>IF(O179="","",IF(O179="NA","",IF(O179="Mini disjuntor + DR",0.92,IF(O179="Mini disjuntor",0.92,IF(O179="Disjuntor Motor",0.92,IF(O179="Disjuntor C.M.",0.92,IF(O179="Disjuntor C.A.",0.92,IFERROR(VLOOKUP('Lista de Cargas'!P179,Motores!$B$9:$T$48,19,FALSE),"Erro"))))))))</f>
        <v>0.84</v>
      </c>
      <c r="T179" s="40">
        <f>IF(O179="","",IF(O179="NA","",IF(O179="Mini disjuntor + DR",100%,IF(O179="Mini disjuntor",100%,IF(O179="Disjuntor Motor",0.92,IF(O179="Disjuntor C.M.",100%,IF(O179="Disjuntor C.A.",100%,IFERROR(VLOOKUP('Lista de Cargas'!P179,Motores!$B$9:$T$48,16,FALSE)/100,"Erro"))))))))</f>
        <v>0.91</v>
      </c>
      <c r="U179" s="40" t="s">
        <v>445</v>
      </c>
      <c r="V179" s="39">
        <v>440</v>
      </c>
      <c r="W179" s="2">
        <f t="shared" si="61"/>
        <v>16.007181093291411</v>
      </c>
      <c r="X179" s="2">
        <f t="shared" si="66"/>
        <v>11.101190476190476</v>
      </c>
      <c r="Y179" s="2">
        <f t="shared" si="62"/>
        <v>96.043086559748474</v>
      </c>
      <c r="Z179" s="1"/>
      <c r="AA179" s="1"/>
      <c r="AB179" s="1">
        <v>150</v>
      </c>
      <c r="AC179" s="1"/>
      <c r="AD179" s="1"/>
      <c r="AE179" s="1"/>
      <c r="AF179" s="1"/>
      <c r="AG179" s="1">
        <f t="shared" si="67"/>
        <v>150</v>
      </c>
      <c r="AH179" s="1">
        <v>1</v>
      </c>
      <c r="AI179" s="1" t="s">
        <v>1067</v>
      </c>
      <c r="AJ179" s="1">
        <f t="shared" si="68"/>
        <v>150</v>
      </c>
      <c r="AK179" s="1">
        <v>0</v>
      </c>
      <c r="AL179" s="1" t="s">
        <v>118</v>
      </c>
      <c r="AM179" s="1">
        <f t="shared" si="69"/>
        <v>0</v>
      </c>
      <c r="AN179" s="1">
        <v>0</v>
      </c>
      <c r="AO179" s="1" t="s">
        <v>118</v>
      </c>
      <c r="AP179" s="1">
        <f t="shared" si="70"/>
        <v>0</v>
      </c>
      <c r="AQ179" s="1" t="s">
        <v>71</v>
      </c>
      <c r="AR179" s="1" t="str">
        <f t="shared" si="63"/>
        <v>1.1/2"</v>
      </c>
      <c r="AS179" s="1">
        <v>1</v>
      </c>
      <c r="AT179" s="1"/>
      <c r="AU179" s="1"/>
      <c r="AV179" s="17"/>
      <c r="AW179" s="2"/>
      <c r="AX179" s="2"/>
      <c r="AY179" s="2"/>
      <c r="AZ179" s="17"/>
      <c r="BA179" s="1"/>
      <c r="BB179" s="1"/>
      <c r="BC179" s="1"/>
      <c r="BD179" s="1"/>
      <c r="BE179" s="18"/>
      <c r="BF179" s="2">
        <f t="shared" si="64"/>
        <v>2.0509215957339983</v>
      </c>
      <c r="BG179" s="6"/>
      <c r="BH179" s="6"/>
    </row>
    <row r="180" spans="1:60" ht="12.75" customHeight="1" x14ac:dyDescent="0.2">
      <c r="A180" s="19">
        <v>400</v>
      </c>
      <c r="B180" s="19" t="s">
        <v>955</v>
      </c>
      <c r="C180" s="19" t="s">
        <v>906</v>
      </c>
      <c r="D180" s="20" t="s">
        <v>722</v>
      </c>
      <c r="E180" s="20"/>
      <c r="F180" s="21"/>
      <c r="G180" s="21"/>
      <c r="H180" s="21"/>
      <c r="I180" s="21"/>
      <c r="J180" s="21"/>
      <c r="K180" s="21"/>
      <c r="L180" s="21"/>
      <c r="M180" s="21"/>
      <c r="N180" s="32" t="s">
        <v>1032</v>
      </c>
      <c r="O180" s="22" t="s">
        <v>34</v>
      </c>
      <c r="P180" s="23">
        <v>12.5</v>
      </c>
      <c r="Q180" s="34">
        <f t="shared" si="65"/>
        <v>9.3249999999999993</v>
      </c>
      <c r="R180" s="1"/>
      <c r="S180" s="39">
        <f>IF(O180="","",IF(O180="NA","",IF(O180="Mini disjuntor + DR",0.92,IF(O180="Mini disjuntor",0.92,IF(O180="Disjuntor Motor",0.92,IF(O180="Disjuntor C.M.",0.92,IF(O180="Disjuntor C.A.",0.92,IFERROR(VLOOKUP('Lista de Cargas'!P180,Motores!$B$9:$T$48,19,FALSE),"Erro"))))))))</f>
        <v>0.84</v>
      </c>
      <c r="T180" s="40">
        <f>IF(O180="","",IF(O180="NA","",IF(O180="Mini disjuntor + DR",100%,IF(O180="Mini disjuntor",100%,IF(O180="Disjuntor Motor",0.92,IF(O180="Disjuntor C.M.",100%,IF(O180="Disjuntor C.A.",100%,IFERROR(VLOOKUP('Lista de Cargas'!P180,Motores!$B$9:$T$48,16,FALSE)/100,"Erro"))))))))</f>
        <v>0.91</v>
      </c>
      <c r="U180" s="40" t="s">
        <v>445</v>
      </c>
      <c r="V180" s="39">
        <v>440</v>
      </c>
      <c r="W180" s="2">
        <f t="shared" si="61"/>
        <v>16.007181093291411</v>
      </c>
      <c r="X180" s="2">
        <f t="shared" si="66"/>
        <v>11.101190476190476</v>
      </c>
      <c r="Y180" s="2">
        <f t="shared" si="62"/>
        <v>96.043086559748474</v>
      </c>
      <c r="Z180" s="1"/>
      <c r="AA180" s="1"/>
      <c r="AB180" s="1">
        <v>150</v>
      </c>
      <c r="AC180" s="1"/>
      <c r="AD180" s="1"/>
      <c r="AE180" s="1"/>
      <c r="AF180" s="1"/>
      <c r="AG180" s="1">
        <f t="shared" si="67"/>
        <v>150</v>
      </c>
      <c r="AH180" s="1">
        <v>1</v>
      </c>
      <c r="AI180" s="1" t="s">
        <v>1067</v>
      </c>
      <c r="AJ180" s="1">
        <f t="shared" si="68"/>
        <v>150</v>
      </c>
      <c r="AK180" s="1">
        <v>0</v>
      </c>
      <c r="AL180" s="1" t="s">
        <v>118</v>
      </c>
      <c r="AM180" s="1">
        <f t="shared" si="69"/>
        <v>0</v>
      </c>
      <c r="AN180" s="1">
        <v>0</v>
      </c>
      <c r="AO180" s="1" t="s">
        <v>118</v>
      </c>
      <c r="AP180" s="1">
        <f t="shared" si="70"/>
        <v>0</v>
      </c>
      <c r="AQ180" s="1" t="s">
        <v>71</v>
      </c>
      <c r="AR180" s="1" t="str">
        <f t="shared" si="63"/>
        <v>1.1/2"</v>
      </c>
      <c r="AS180" s="1">
        <v>1</v>
      </c>
      <c r="AT180" s="1"/>
      <c r="AU180" s="1"/>
      <c r="AV180" s="17"/>
      <c r="AW180" s="2"/>
      <c r="AX180" s="2"/>
      <c r="AY180" s="2"/>
      <c r="AZ180" s="17"/>
      <c r="BA180" s="1"/>
      <c r="BB180" s="1"/>
      <c r="BC180" s="1"/>
      <c r="BD180" s="1"/>
      <c r="BE180" s="18"/>
      <c r="BF180" s="2">
        <f t="shared" si="64"/>
        <v>2.0509215957339983</v>
      </c>
      <c r="BG180" s="6"/>
      <c r="BH180" s="6"/>
    </row>
    <row r="181" spans="1:60" ht="12.75" customHeight="1" x14ac:dyDescent="0.2">
      <c r="A181" s="19">
        <v>400</v>
      </c>
      <c r="B181" s="19" t="s">
        <v>955</v>
      </c>
      <c r="C181" s="19" t="s">
        <v>907</v>
      </c>
      <c r="D181" s="20" t="s">
        <v>723</v>
      </c>
      <c r="E181" s="20"/>
      <c r="F181" s="21"/>
      <c r="G181" s="21"/>
      <c r="H181" s="21"/>
      <c r="I181" s="21"/>
      <c r="J181" s="21"/>
      <c r="K181" s="21"/>
      <c r="L181" s="21"/>
      <c r="M181" s="21"/>
      <c r="N181" s="32" t="s">
        <v>1032</v>
      </c>
      <c r="O181" s="22" t="s">
        <v>5</v>
      </c>
      <c r="P181" s="23">
        <v>12.5</v>
      </c>
      <c r="Q181" s="34">
        <f t="shared" si="65"/>
        <v>9.3249999999999993</v>
      </c>
      <c r="R181" s="1"/>
      <c r="S181" s="39">
        <f>IF(O181="","",IF(O181="NA","",IF(O181="Mini disjuntor + DR",0.92,IF(O181="Mini disjuntor",0.92,IF(O181="Disjuntor Motor",0.92,IF(O181="Disjuntor C.M.",0.92,IF(O181="Disjuntor C.A.",0.92,IFERROR(VLOOKUP('Lista de Cargas'!P181,Motores!$B$9:$T$48,19,FALSE),"Erro"))))))))</f>
        <v>0.84</v>
      </c>
      <c r="T181" s="40">
        <f>IF(O181="","",IF(O181="NA","",IF(O181="Mini disjuntor + DR",100%,IF(O181="Mini disjuntor",100%,IF(O181="Disjuntor Motor",0.92,IF(O181="Disjuntor C.M.",100%,IF(O181="Disjuntor C.A.",100%,IFERROR(VLOOKUP('Lista de Cargas'!P181,Motores!$B$9:$T$48,16,FALSE)/100,"Erro"))))))))</f>
        <v>0.91</v>
      </c>
      <c r="U181" s="40" t="s">
        <v>445</v>
      </c>
      <c r="V181" s="39">
        <v>440</v>
      </c>
      <c r="W181" s="2">
        <f t="shared" si="61"/>
        <v>16.007181093291411</v>
      </c>
      <c r="X181" s="2">
        <f t="shared" si="66"/>
        <v>11.101190476190476</v>
      </c>
      <c r="Y181" s="2">
        <f t="shared" si="62"/>
        <v>24.010771639937118</v>
      </c>
      <c r="Z181" s="1"/>
      <c r="AA181" s="1"/>
      <c r="AB181" s="1">
        <v>150</v>
      </c>
      <c r="AC181" s="1"/>
      <c r="AD181" s="1"/>
      <c r="AE181" s="1"/>
      <c r="AF181" s="1"/>
      <c r="AG181" s="1">
        <f t="shared" si="67"/>
        <v>150</v>
      </c>
      <c r="AH181" s="1">
        <v>1</v>
      </c>
      <c r="AI181" s="1" t="s">
        <v>1062</v>
      </c>
      <c r="AJ181" s="1">
        <f t="shared" si="68"/>
        <v>150</v>
      </c>
      <c r="AK181" s="1">
        <v>0</v>
      </c>
      <c r="AL181" s="1" t="s">
        <v>118</v>
      </c>
      <c r="AM181" s="1">
        <f t="shared" si="69"/>
        <v>0</v>
      </c>
      <c r="AN181" s="1">
        <v>0</v>
      </c>
      <c r="AO181" s="1" t="s">
        <v>118</v>
      </c>
      <c r="AP181" s="1">
        <f t="shared" si="70"/>
        <v>0</v>
      </c>
      <c r="AQ181" s="1" t="s">
        <v>69</v>
      </c>
      <c r="AR181" s="1" t="str">
        <f t="shared" si="63"/>
        <v>1"</v>
      </c>
      <c r="AS181" s="1">
        <v>1</v>
      </c>
      <c r="AT181" s="1"/>
      <c r="AU181" s="1"/>
      <c r="AV181" s="17"/>
      <c r="AW181" s="2"/>
      <c r="AX181" s="2"/>
      <c r="AY181" s="2"/>
      <c r="AZ181" s="17"/>
      <c r="BA181" s="1"/>
      <c r="BB181" s="1"/>
      <c r="BC181" s="1"/>
      <c r="BD181" s="1"/>
      <c r="BE181" s="18"/>
      <c r="BF181" s="2">
        <f t="shared" si="64"/>
        <v>0</v>
      </c>
      <c r="BG181" s="6"/>
      <c r="BH181" s="6"/>
    </row>
    <row r="182" spans="1:60" ht="12.75" customHeight="1" x14ac:dyDescent="0.2">
      <c r="A182" s="19">
        <v>400</v>
      </c>
      <c r="B182" s="19" t="s">
        <v>955</v>
      </c>
      <c r="C182" s="19" t="s">
        <v>908</v>
      </c>
      <c r="D182" s="20" t="s">
        <v>723</v>
      </c>
      <c r="E182" s="20"/>
      <c r="F182" s="21"/>
      <c r="G182" s="21"/>
      <c r="H182" s="21"/>
      <c r="I182" s="21"/>
      <c r="J182" s="21"/>
      <c r="K182" s="21"/>
      <c r="L182" s="21"/>
      <c r="M182" s="21"/>
      <c r="N182" s="32" t="s">
        <v>1032</v>
      </c>
      <c r="O182" s="22" t="s">
        <v>5</v>
      </c>
      <c r="P182" s="23">
        <v>12.5</v>
      </c>
      <c r="Q182" s="34">
        <f t="shared" si="65"/>
        <v>9.3249999999999993</v>
      </c>
      <c r="R182" s="1"/>
      <c r="S182" s="39">
        <f>IF(O182="","",IF(O182="NA","",IF(O182="Mini disjuntor + DR",0.92,IF(O182="Mini disjuntor",0.92,IF(O182="Disjuntor Motor",0.92,IF(O182="Disjuntor C.M.",0.92,IF(O182="Disjuntor C.A.",0.92,IFERROR(VLOOKUP('Lista de Cargas'!P182,Motores!$B$9:$T$48,19,FALSE),"Erro"))))))))</f>
        <v>0.84</v>
      </c>
      <c r="T182" s="40">
        <f>IF(O182="","",IF(O182="NA","",IF(O182="Mini disjuntor + DR",100%,IF(O182="Mini disjuntor",100%,IF(O182="Disjuntor Motor",0.92,IF(O182="Disjuntor C.M.",100%,IF(O182="Disjuntor C.A.",100%,IFERROR(VLOOKUP('Lista de Cargas'!P182,Motores!$B$9:$T$48,16,FALSE)/100,"Erro"))))))))</f>
        <v>0.91</v>
      </c>
      <c r="U182" s="40" t="s">
        <v>445</v>
      </c>
      <c r="V182" s="39">
        <v>440</v>
      </c>
      <c r="W182" s="2">
        <f t="shared" si="61"/>
        <v>16.007181093291411</v>
      </c>
      <c r="X182" s="2">
        <f t="shared" si="66"/>
        <v>11.101190476190476</v>
      </c>
      <c r="Y182" s="2">
        <f t="shared" si="62"/>
        <v>24.010771639937118</v>
      </c>
      <c r="Z182" s="1"/>
      <c r="AA182" s="1"/>
      <c r="AB182" s="1">
        <v>150</v>
      </c>
      <c r="AC182" s="1"/>
      <c r="AD182" s="1"/>
      <c r="AE182" s="1"/>
      <c r="AF182" s="1"/>
      <c r="AG182" s="1">
        <f t="shared" si="67"/>
        <v>150</v>
      </c>
      <c r="AH182" s="1">
        <v>1</v>
      </c>
      <c r="AI182" s="1" t="s">
        <v>1062</v>
      </c>
      <c r="AJ182" s="1">
        <f t="shared" si="68"/>
        <v>150</v>
      </c>
      <c r="AK182" s="1">
        <v>0</v>
      </c>
      <c r="AL182" s="1" t="s">
        <v>118</v>
      </c>
      <c r="AM182" s="1">
        <f t="shared" si="69"/>
        <v>0</v>
      </c>
      <c r="AN182" s="1">
        <v>0</v>
      </c>
      <c r="AO182" s="1" t="s">
        <v>118</v>
      </c>
      <c r="AP182" s="1">
        <f t="shared" si="70"/>
        <v>0</v>
      </c>
      <c r="AQ182" s="1" t="s">
        <v>69</v>
      </c>
      <c r="AR182" s="1" t="str">
        <f t="shared" si="63"/>
        <v>1"</v>
      </c>
      <c r="AS182" s="1">
        <v>1</v>
      </c>
      <c r="AT182" s="1"/>
      <c r="AU182" s="1"/>
      <c r="AV182" s="17"/>
      <c r="AW182" s="2"/>
      <c r="AX182" s="2"/>
      <c r="AY182" s="2"/>
      <c r="AZ182" s="17"/>
      <c r="BA182" s="1"/>
      <c r="BB182" s="1"/>
      <c r="BC182" s="1"/>
      <c r="BD182" s="1"/>
      <c r="BE182" s="18"/>
      <c r="BF182" s="2">
        <f t="shared" si="64"/>
        <v>0</v>
      </c>
      <c r="BG182" s="6"/>
      <c r="BH182" s="6"/>
    </row>
    <row r="183" spans="1:60" ht="12.75" customHeight="1" x14ac:dyDescent="0.2">
      <c r="A183" s="19">
        <v>400</v>
      </c>
      <c r="B183" s="19" t="s">
        <v>955</v>
      </c>
      <c r="C183" s="19" t="s">
        <v>909</v>
      </c>
      <c r="D183" s="20" t="s">
        <v>723</v>
      </c>
      <c r="E183" s="20"/>
      <c r="F183" s="21"/>
      <c r="G183" s="21"/>
      <c r="H183" s="21"/>
      <c r="I183" s="21"/>
      <c r="J183" s="21"/>
      <c r="K183" s="21"/>
      <c r="L183" s="21"/>
      <c r="M183" s="21"/>
      <c r="N183" s="32" t="s">
        <v>1032</v>
      </c>
      <c r="O183" s="22" t="s">
        <v>5</v>
      </c>
      <c r="P183" s="23">
        <v>12.5</v>
      </c>
      <c r="Q183" s="34">
        <f t="shared" si="65"/>
        <v>9.3249999999999993</v>
      </c>
      <c r="R183" s="1"/>
      <c r="S183" s="39">
        <f>IF(O183="","",IF(O183="NA","",IF(O183="Mini disjuntor + DR",0.92,IF(O183="Mini disjuntor",0.92,IF(O183="Disjuntor Motor",0.92,IF(O183="Disjuntor C.M.",0.92,IF(O183="Disjuntor C.A.",0.92,IFERROR(VLOOKUP('Lista de Cargas'!P183,Motores!$B$9:$T$48,19,FALSE),"Erro"))))))))</f>
        <v>0.84</v>
      </c>
      <c r="T183" s="40">
        <f>IF(O183="","",IF(O183="NA","",IF(O183="Mini disjuntor + DR",100%,IF(O183="Mini disjuntor",100%,IF(O183="Disjuntor Motor",0.92,IF(O183="Disjuntor C.M.",100%,IF(O183="Disjuntor C.A.",100%,IFERROR(VLOOKUP('Lista de Cargas'!P183,Motores!$B$9:$T$48,16,FALSE)/100,"Erro"))))))))</f>
        <v>0.91</v>
      </c>
      <c r="U183" s="40" t="s">
        <v>445</v>
      </c>
      <c r="V183" s="39">
        <v>440</v>
      </c>
      <c r="W183" s="2">
        <f t="shared" si="61"/>
        <v>16.007181093291411</v>
      </c>
      <c r="X183" s="2">
        <f t="shared" si="66"/>
        <v>11.101190476190476</v>
      </c>
      <c r="Y183" s="2">
        <f t="shared" si="62"/>
        <v>24.010771639937118</v>
      </c>
      <c r="Z183" s="1"/>
      <c r="AA183" s="1"/>
      <c r="AB183" s="1">
        <v>150</v>
      </c>
      <c r="AC183" s="1"/>
      <c r="AD183" s="1"/>
      <c r="AE183" s="1"/>
      <c r="AF183" s="1"/>
      <c r="AG183" s="1">
        <f t="shared" si="67"/>
        <v>150</v>
      </c>
      <c r="AH183" s="1">
        <v>1</v>
      </c>
      <c r="AI183" s="1" t="s">
        <v>1062</v>
      </c>
      <c r="AJ183" s="1">
        <f t="shared" si="68"/>
        <v>150</v>
      </c>
      <c r="AK183" s="1">
        <v>0</v>
      </c>
      <c r="AL183" s="1" t="s">
        <v>118</v>
      </c>
      <c r="AM183" s="1">
        <f t="shared" si="69"/>
        <v>0</v>
      </c>
      <c r="AN183" s="1">
        <v>0</v>
      </c>
      <c r="AO183" s="1" t="s">
        <v>118</v>
      </c>
      <c r="AP183" s="1">
        <f t="shared" si="70"/>
        <v>0</v>
      </c>
      <c r="AQ183" s="1" t="s">
        <v>69</v>
      </c>
      <c r="AR183" s="1" t="str">
        <f t="shared" si="63"/>
        <v>1"</v>
      </c>
      <c r="AS183" s="1">
        <v>1</v>
      </c>
      <c r="AT183" s="1"/>
      <c r="AU183" s="1"/>
      <c r="AV183" s="17"/>
      <c r="AW183" s="2"/>
      <c r="AX183" s="2"/>
      <c r="AY183" s="2"/>
      <c r="AZ183" s="17"/>
      <c r="BA183" s="1"/>
      <c r="BB183" s="1"/>
      <c r="BC183" s="1"/>
      <c r="BD183" s="1"/>
      <c r="BE183" s="18"/>
      <c r="BF183" s="2">
        <f t="shared" si="64"/>
        <v>0</v>
      </c>
      <c r="BG183" s="6"/>
      <c r="BH183" s="6"/>
    </row>
    <row r="184" spans="1:60" ht="12.75" customHeight="1" x14ac:dyDescent="0.2">
      <c r="A184" s="19">
        <v>400</v>
      </c>
      <c r="B184" s="19" t="s">
        <v>955</v>
      </c>
      <c r="C184" s="19" t="s">
        <v>910</v>
      </c>
      <c r="D184" s="20" t="s">
        <v>723</v>
      </c>
      <c r="E184" s="20"/>
      <c r="F184" s="21"/>
      <c r="G184" s="21"/>
      <c r="H184" s="21"/>
      <c r="I184" s="21"/>
      <c r="J184" s="21"/>
      <c r="K184" s="21"/>
      <c r="L184" s="21"/>
      <c r="M184" s="21"/>
      <c r="N184" s="32" t="s">
        <v>1032</v>
      </c>
      <c r="O184" s="22" t="s">
        <v>5</v>
      </c>
      <c r="P184" s="23">
        <v>12.5</v>
      </c>
      <c r="Q184" s="34">
        <f t="shared" si="65"/>
        <v>9.3249999999999993</v>
      </c>
      <c r="R184" s="1"/>
      <c r="S184" s="39">
        <f>IF(O184="","",IF(O184="NA","",IF(O184="Mini disjuntor + DR",0.92,IF(O184="Mini disjuntor",0.92,IF(O184="Disjuntor Motor",0.92,IF(O184="Disjuntor C.M.",0.92,IF(O184="Disjuntor C.A.",0.92,IFERROR(VLOOKUP('Lista de Cargas'!P184,Motores!$B$9:$T$48,19,FALSE),"Erro"))))))))</f>
        <v>0.84</v>
      </c>
      <c r="T184" s="40">
        <f>IF(O184="","",IF(O184="NA","",IF(O184="Mini disjuntor + DR",100%,IF(O184="Mini disjuntor",100%,IF(O184="Disjuntor Motor",0.92,IF(O184="Disjuntor C.M.",100%,IF(O184="Disjuntor C.A.",100%,IFERROR(VLOOKUP('Lista de Cargas'!P184,Motores!$B$9:$T$48,16,FALSE)/100,"Erro"))))))))</f>
        <v>0.91</v>
      </c>
      <c r="U184" s="40" t="s">
        <v>445</v>
      </c>
      <c r="V184" s="39">
        <v>440</v>
      </c>
      <c r="W184" s="2">
        <f t="shared" ref="W184:W215" si="71">IFERROR(IF(U184=$U$344,(P184*746)/(SQRT(3)*S184*T184*V184),(P184*746)/(S184*T184*V184)),0)</f>
        <v>16.007181093291411</v>
      </c>
      <c r="X184" s="2">
        <f t="shared" si="66"/>
        <v>11.101190476190476</v>
      </c>
      <c r="Y184" s="2">
        <f t="shared" ref="Y184:Y211" si="72">IFERROR(IF(O184=$O$344,6*W184,IF(O184=$O$345,6*W184,IF(O184=$O$346,3*W184,IF(O184=$O$347,1.5*W184,W184)))),0)</f>
        <v>24.010771639937118</v>
      </c>
      <c r="Z184" s="1"/>
      <c r="AA184" s="1"/>
      <c r="AB184" s="1">
        <v>150</v>
      </c>
      <c r="AC184" s="1"/>
      <c r="AD184" s="1"/>
      <c r="AE184" s="1"/>
      <c r="AF184" s="1"/>
      <c r="AG184" s="1">
        <f t="shared" si="67"/>
        <v>150</v>
      </c>
      <c r="AH184" s="1">
        <v>1</v>
      </c>
      <c r="AI184" s="1" t="s">
        <v>1062</v>
      </c>
      <c r="AJ184" s="1">
        <f t="shared" si="68"/>
        <v>150</v>
      </c>
      <c r="AK184" s="1">
        <v>0</v>
      </c>
      <c r="AL184" s="1" t="s">
        <v>118</v>
      </c>
      <c r="AM184" s="1">
        <f t="shared" si="69"/>
        <v>0</v>
      </c>
      <c r="AN184" s="1">
        <v>0</v>
      </c>
      <c r="AO184" s="1" t="s">
        <v>118</v>
      </c>
      <c r="AP184" s="1">
        <f t="shared" si="70"/>
        <v>0</v>
      </c>
      <c r="AQ184" s="1" t="s">
        <v>69</v>
      </c>
      <c r="AR184" s="1" t="str">
        <f t="shared" ref="AR184:AR215" si="73">IFERROR(VLOOKUP(AQ184,$O$368:$P$412,2,1),"NA")</f>
        <v>1"</v>
      </c>
      <c r="AS184" s="1">
        <v>1</v>
      </c>
      <c r="AT184" s="1"/>
      <c r="AU184" s="1"/>
      <c r="AV184" s="17"/>
      <c r="AW184" s="2"/>
      <c r="AX184" s="2"/>
      <c r="AY184" s="2"/>
      <c r="AZ184" s="17"/>
      <c r="BA184" s="1"/>
      <c r="BB184" s="1"/>
      <c r="BC184" s="1"/>
      <c r="BD184" s="1"/>
      <c r="BE184" s="18"/>
      <c r="BF184" s="2">
        <f t="shared" ref="BF184:BF215" si="74">IFERROR(IF(F184=$O$358,0,IF(S184&gt;$BH$1,0,IF(O184=$O$347,0,SQRT((X184^2)-(Q184^2))-(SQRT(((Q184/$BH$1)^2)-(Q184^2)))))),0)</f>
        <v>0</v>
      </c>
      <c r="BG184" s="6"/>
      <c r="BH184" s="6"/>
    </row>
    <row r="185" spans="1:60" ht="12.75" customHeight="1" x14ac:dyDescent="0.2">
      <c r="A185" s="19">
        <v>400</v>
      </c>
      <c r="B185" s="19" t="s">
        <v>955</v>
      </c>
      <c r="C185" s="19" t="s">
        <v>911</v>
      </c>
      <c r="D185" s="20" t="s">
        <v>724</v>
      </c>
      <c r="E185" s="20"/>
      <c r="F185" s="21"/>
      <c r="G185" s="21"/>
      <c r="H185" s="21"/>
      <c r="I185" s="21"/>
      <c r="J185" s="21"/>
      <c r="K185" s="21"/>
      <c r="L185" s="21"/>
      <c r="M185" s="21"/>
      <c r="N185" s="32" t="s">
        <v>1032</v>
      </c>
      <c r="O185" s="22" t="s">
        <v>35</v>
      </c>
      <c r="P185" s="23">
        <v>250</v>
      </c>
      <c r="Q185" s="34">
        <f t="shared" si="65"/>
        <v>186.5</v>
      </c>
      <c r="R185" s="1"/>
      <c r="S185" s="39">
        <f>IF(O185="","",IF(O185="NA","",IF(O185="Mini disjuntor + DR",0.92,IF(O185="Mini disjuntor",0.92,IF(O185="Disjuntor Motor",0.92,IF(O185="Disjuntor C.M.",0.92,IF(O185="Disjuntor C.A.",0.92,IFERROR(VLOOKUP('Lista de Cargas'!P185,Motores!$B$9:$T$48,19,FALSE),"Erro"))))))))</f>
        <v>0.87</v>
      </c>
      <c r="T185" s="40">
        <f>IF(O185="","",IF(O185="NA","",IF(O185="Mini disjuntor + DR",100%,IF(O185="Mini disjuntor",100%,IF(O185="Disjuntor Motor",0.92,IF(O185="Disjuntor C.M.",100%,IF(O185="Disjuntor C.A.",100%,IFERROR(VLOOKUP('Lista de Cargas'!P185,Motores!$B$9:$T$48,16,FALSE)/100,"Erro"))))))))</f>
        <v>0.95700000000000007</v>
      </c>
      <c r="U185" s="40" t="s">
        <v>445</v>
      </c>
      <c r="V185" s="39">
        <v>440</v>
      </c>
      <c r="W185" s="2">
        <f t="shared" si="71"/>
        <v>293.92352124603838</v>
      </c>
      <c r="X185" s="2">
        <f t="shared" si="66"/>
        <v>214.36781609195401</v>
      </c>
      <c r="Y185" s="2">
        <f t="shared" si="72"/>
        <v>881.77056373811513</v>
      </c>
      <c r="Z185" s="1"/>
      <c r="AA185" s="1"/>
      <c r="AB185" s="1">
        <v>150</v>
      </c>
      <c r="AC185" s="1"/>
      <c r="AD185" s="1"/>
      <c r="AE185" s="1"/>
      <c r="AF185" s="1"/>
      <c r="AG185" s="1">
        <f t="shared" si="67"/>
        <v>150</v>
      </c>
      <c r="AH185" s="1">
        <v>3</v>
      </c>
      <c r="AI185" s="1" t="s">
        <v>1061</v>
      </c>
      <c r="AJ185" s="1">
        <f t="shared" si="68"/>
        <v>450</v>
      </c>
      <c r="AK185" s="1">
        <v>0</v>
      </c>
      <c r="AL185" s="1" t="s">
        <v>118</v>
      </c>
      <c r="AM185" s="1">
        <f t="shared" si="69"/>
        <v>0</v>
      </c>
      <c r="AN185" s="1">
        <v>1</v>
      </c>
      <c r="AO185" s="1" t="s">
        <v>1064</v>
      </c>
      <c r="AP185" s="1">
        <f t="shared" si="70"/>
        <v>150</v>
      </c>
      <c r="AQ185" s="1" t="s">
        <v>77</v>
      </c>
      <c r="AR185" s="1" t="str">
        <f t="shared" si="73"/>
        <v>2 x 3"</v>
      </c>
      <c r="AS185" s="1">
        <v>1</v>
      </c>
      <c r="AT185" s="1"/>
      <c r="AU185" s="1"/>
      <c r="AV185" s="17"/>
      <c r="AW185" s="2"/>
      <c r="AX185" s="2"/>
      <c r="AY185" s="2"/>
      <c r="AZ185" s="17"/>
      <c r="BA185" s="1"/>
      <c r="BB185" s="1"/>
      <c r="BC185" s="1"/>
      <c r="BD185" s="1"/>
      <c r="BE185" s="18"/>
      <c r="BF185" s="2">
        <f t="shared" si="74"/>
        <v>26.245753432819669</v>
      </c>
      <c r="BG185" s="6"/>
      <c r="BH185" s="6"/>
    </row>
    <row r="186" spans="1:60" ht="12.75" customHeight="1" x14ac:dyDescent="0.2">
      <c r="A186" s="19">
        <v>400</v>
      </c>
      <c r="B186" s="19" t="s">
        <v>955</v>
      </c>
      <c r="C186" s="19" t="s">
        <v>912</v>
      </c>
      <c r="D186" s="20" t="s">
        <v>724</v>
      </c>
      <c r="E186" s="20"/>
      <c r="F186" s="21"/>
      <c r="G186" s="21"/>
      <c r="H186" s="21"/>
      <c r="I186" s="21"/>
      <c r="J186" s="21"/>
      <c r="K186" s="21"/>
      <c r="L186" s="21"/>
      <c r="M186" s="21"/>
      <c r="N186" s="32" t="s">
        <v>1032</v>
      </c>
      <c r="O186" s="22" t="s">
        <v>35</v>
      </c>
      <c r="P186" s="23">
        <v>250</v>
      </c>
      <c r="Q186" s="34">
        <f t="shared" si="65"/>
        <v>186.5</v>
      </c>
      <c r="R186" s="1"/>
      <c r="S186" s="39">
        <f>IF(O186="","",IF(O186="NA","",IF(O186="Mini disjuntor + DR",0.92,IF(O186="Mini disjuntor",0.92,IF(O186="Disjuntor Motor",0.92,IF(O186="Disjuntor C.M.",0.92,IF(O186="Disjuntor C.A.",0.92,IFERROR(VLOOKUP('Lista de Cargas'!P186,Motores!$B$9:$T$48,19,FALSE),"Erro"))))))))</f>
        <v>0.87</v>
      </c>
      <c r="T186" s="40">
        <f>IF(O186="","",IF(O186="NA","",IF(O186="Mini disjuntor + DR",100%,IF(O186="Mini disjuntor",100%,IF(O186="Disjuntor Motor",0.92,IF(O186="Disjuntor C.M.",100%,IF(O186="Disjuntor C.A.",100%,IFERROR(VLOOKUP('Lista de Cargas'!P186,Motores!$B$9:$T$48,16,FALSE)/100,"Erro"))))))))</f>
        <v>0.95700000000000007</v>
      </c>
      <c r="U186" s="40" t="s">
        <v>445</v>
      </c>
      <c r="V186" s="39">
        <v>440</v>
      </c>
      <c r="W186" s="2">
        <f t="shared" si="71"/>
        <v>293.92352124603838</v>
      </c>
      <c r="X186" s="2">
        <f t="shared" si="66"/>
        <v>214.36781609195401</v>
      </c>
      <c r="Y186" s="2">
        <f t="shared" si="72"/>
        <v>881.77056373811513</v>
      </c>
      <c r="Z186" s="1"/>
      <c r="AA186" s="1"/>
      <c r="AB186" s="1">
        <v>150</v>
      </c>
      <c r="AC186" s="1"/>
      <c r="AD186" s="1"/>
      <c r="AE186" s="1"/>
      <c r="AF186" s="1"/>
      <c r="AG186" s="1">
        <f t="shared" si="67"/>
        <v>150</v>
      </c>
      <c r="AH186" s="1">
        <v>3</v>
      </c>
      <c r="AI186" s="1" t="s">
        <v>1061</v>
      </c>
      <c r="AJ186" s="1">
        <f t="shared" si="68"/>
        <v>450</v>
      </c>
      <c r="AK186" s="1">
        <v>0</v>
      </c>
      <c r="AL186" s="1" t="s">
        <v>118</v>
      </c>
      <c r="AM186" s="1">
        <f t="shared" si="69"/>
        <v>0</v>
      </c>
      <c r="AN186" s="1">
        <v>1</v>
      </c>
      <c r="AO186" s="1" t="s">
        <v>1064</v>
      </c>
      <c r="AP186" s="1">
        <f t="shared" si="70"/>
        <v>150</v>
      </c>
      <c r="AQ186" s="1" t="s">
        <v>77</v>
      </c>
      <c r="AR186" s="1" t="str">
        <f t="shared" si="73"/>
        <v>2 x 3"</v>
      </c>
      <c r="AS186" s="1">
        <v>1</v>
      </c>
      <c r="AT186" s="1"/>
      <c r="AU186" s="1"/>
      <c r="AV186" s="17"/>
      <c r="AW186" s="2"/>
      <c r="AX186" s="2"/>
      <c r="AY186" s="2"/>
      <c r="AZ186" s="17"/>
      <c r="BA186" s="1"/>
      <c r="BB186" s="1"/>
      <c r="BC186" s="1"/>
      <c r="BD186" s="1"/>
      <c r="BE186" s="18"/>
      <c r="BF186" s="2">
        <f t="shared" si="74"/>
        <v>26.245753432819669</v>
      </c>
      <c r="BG186" s="6"/>
      <c r="BH186" s="6"/>
    </row>
    <row r="187" spans="1:60" ht="12.75" customHeight="1" x14ac:dyDescent="0.2">
      <c r="A187" s="19">
        <v>400</v>
      </c>
      <c r="B187" s="19" t="s">
        <v>955</v>
      </c>
      <c r="C187" s="19" t="s">
        <v>913</v>
      </c>
      <c r="D187" s="20" t="s">
        <v>724</v>
      </c>
      <c r="E187" s="20"/>
      <c r="F187" s="21"/>
      <c r="G187" s="21"/>
      <c r="H187" s="21"/>
      <c r="I187" s="21"/>
      <c r="J187" s="21"/>
      <c r="K187" s="21"/>
      <c r="L187" s="21"/>
      <c r="M187" s="21"/>
      <c r="N187" s="32" t="s">
        <v>1032</v>
      </c>
      <c r="O187" s="22" t="s">
        <v>35</v>
      </c>
      <c r="P187" s="23">
        <v>250</v>
      </c>
      <c r="Q187" s="34">
        <f t="shared" si="65"/>
        <v>186.5</v>
      </c>
      <c r="R187" s="1"/>
      <c r="S187" s="39">
        <f>IF(O187="","",IF(O187="NA","",IF(O187="Mini disjuntor + DR",0.92,IF(O187="Mini disjuntor",0.92,IF(O187="Disjuntor Motor",0.92,IF(O187="Disjuntor C.M.",0.92,IF(O187="Disjuntor C.A.",0.92,IFERROR(VLOOKUP('Lista de Cargas'!P187,Motores!$B$9:$T$48,19,FALSE),"Erro"))))))))</f>
        <v>0.87</v>
      </c>
      <c r="T187" s="40">
        <f>IF(O187="","",IF(O187="NA","",IF(O187="Mini disjuntor + DR",100%,IF(O187="Mini disjuntor",100%,IF(O187="Disjuntor Motor",0.92,IF(O187="Disjuntor C.M.",100%,IF(O187="Disjuntor C.A.",100%,IFERROR(VLOOKUP('Lista de Cargas'!P187,Motores!$B$9:$T$48,16,FALSE)/100,"Erro"))))))))</f>
        <v>0.95700000000000007</v>
      </c>
      <c r="U187" s="40" t="s">
        <v>445</v>
      </c>
      <c r="V187" s="39">
        <v>440</v>
      </c>
      <c r="W187" s="2">
        <f t="shared" si="71"/>
        <v>293.92352124603838</v>
      </c>
      <c r="X187" s="2">
        <f t="shared" si="66"/>
        <v>214.36781609195401</v>
      </c>
      <c r="Y187" s="2">
        <f t="shared" si="72"/>
        <v>881.77056373811513</v>
      </c>
      <c r="Z187" s="1"/>
      <c r="AA187" s="1"/>
      <c r="AB187" s="1">
        <v>150</v>
      </c>
      <c r="AC187" s="1"/>
      <c r="AD187" s="1"/>
      <c r="AE187" s="1"/>
      <c r="AF187" s="1"/>
      <c r="AG187" s="1">
        <f t="shared" si="67"/>
        <v>150</v>
      </c>
      <c r="AH187" s="1">
        <v>3</v>
      </c>
      <c r="AI187" s="1" t="s">
        <v>1061</v>
      </c>
      <c r="AJ187" s="1">
        <f t="shared" si="68"/>
        <v>450</v>
      </c>
      <c r="AK187" s="1">
        <v>0</v>
      </c>
      <c r="AL187" s="1" t="s">
        <v>118</v>
      </c>
      <c r="AM187" s="1">
        <f t="shared" si="69"/>
        <v>0</v>
      </c>
      <c r="AN187" s="1">
        <v>1</v>
      </c>
      <c r="AO187" s="1" t="s">
        <v>1064</v>
      </c>
      <c r="AP187" s="1">
        <f t="shared" si="70"/>
        <v>150</v>
      </c>
      <c r="AQ187" s="1" t="s">
        <v>77</v>
      </c>
      <c r="AR187" s="1" t="str">
        <f t="shared" si="73"/>
        <v>2 x 3"</v>
      </c>
      <c r="AS187" s="1">
        <v>1</v>
      </c>
      <c r="AT187" s="1"/>
      <c r="AU187" s="1"/>
      <c r="AV187" s="17"/>
      <c r="AW187" s="2"/>
      <c r="AX187" s="2"/>
      <c r="AY187" s="2"/>
      <c r="AZ187" s="17"/>
      <c r="BA187" s="1"/>
      <c r="BB187" s="1"/>
      <c r="BC187" s="1"/>
      <c r="BD187" s="1"/>
      <c r="BE187" s="18"/>
      <c r="BF187" s="2">
        <f t="shared" si="74"/>
        <v>26.245753432819669</v>
      </c>
      <c r="BG187" s="6"/>
      <c r="BH187" s="6"/>
    </row>
    <row r="188" spans="1:60" ht="12.75" customHeight="1" x14ac:dyDescent="0.2">
      <c r="A188" s="19">
        <v>400</v>
      </c>
      <c r="B188" s="19" t="s">
        <v>955</v>
      </c>
      <c r="C188" s="19" t="s">
        <v>552</v>
      </c>
      <c r="D188" s="20" t="s">
        <v>725</v>
      </c>
      <c r="E188" s="20"/>
      <c r="F188" s="21"/>
      <c r="G188" s="21"/>
      <c r="H188" s="21"/>
      <c r="I188" s="21"/>
      <c r="J188" s="21"/>
      <c r="K188" s="21"/>
      <c r="L188" s="21"/>
      <c r="M188" s="21"/>
      <c r="N188" s="32" t="s">
        <v>1032</v>
      </c>
      <c r="O188" s="22" t="s">
        <v>34</v>
      </c>
      <c r="P188" s="23">
        <v>10</v>
      </c>
      <c r="Q188" s="34">
        <f t="shared" si="65"/>
        <v>7.46</v>
      </c>
      <c r="R188" s="1"/>
      <c r="S188" s="39">
        <f>IF(O188="","",IF(O188="NA","",IF(O188="Mini disjuntor + DR",0.92,IF(O188="Mini disjuntor",0.92,IF(O188="Disjuntor Motor",0.92,IF(O188="Disjuntor C.M.",0.92,IF(O188="Disjuntor C.A.",0.92,IFERROR(VLOOKUP('Lista de Cargas'!P188,Motores!$B$9:$T$48,19,FALSE),"Erro"))))))))</f>
        <v>0.84</v>
      </c>
      <c r="T188" s="40">
        <f>IF(O188="","",IF(O188="NA","",IF(O188="Mini disjuntor + DR",100%,IF(O188="Mini disjuntor",100%,IF(O188="Disjuntor Motor",0.92,IF(O188="Disjuntor C.M.",100%,IF(O188="Disjuntor C.A.",100%,IFERROR(VLOOKUP('Lista de Cargas'!P188,Motores!$B$9:$T$48,16,FALSE)/100,"Erro"))))))))</f>
        <v>0.91</v>
      </c>
      <c r="U188" s="40" t="s">
        <v>445</v>
      </c>
      <c r="V188" s="39">
        <v>440</v>
      </c>
      <c r="W188" s="2">
        <f t="shared" si="71"/>
        <v>12.805744874633129</v>
      </c>
      <c r="X188" s="2">
        <f t="shared" si="66"/>
        <v>8.8809523809523814</v>
      </c>
      <c r="Y188" s="2">
        <f t="shared" si="72"/>
        <v>76.834469247798779</v>
      </c>
      <c r="Z188" s="1"/>
      <c r="AA188" s="1"/>
      <c r="AB188" s="1">
        <v>150</v>
      </c>
      <c r="AC188" s="1"/>
      <c r="AD188" s="1"/>
      <c r="AE188" s="1"/>
      <c r="AF188" s="1"/>
      <c r="AG188" s="1">
        <f t="shared" si="67"/>
        <v>150</v>
      </c>
      <c r="AH188" s="1">
        <v>1</v>
      </c>
      <c r="AI188" s="1" t="s">
        <v>1057</v>
      </c>
      <c r="AJ188" s="1">
        <f t="shared" si="68"/>
        <v>150</v>
      </c>
      <c r="AK188" s="1">
        <v>0</v>
      </c>
      <c r="AL188" s="1" t="s">
        <v>118</v>
      </c>
      <c r="AM188" s="1">
        <f t="shared" si="69"/>
        <v>0</v>
      </c>
      <c r="AN188" s="1">
        <v>0</v>
      </c>
      <c r="AO188" s="1" t="s">
        <v>118</v>
      </c>
      <c r="AP188" s="1">
        <f t="shared" si="70"/>
        <v>0</v>
      </c>
      <c r="AQ188" s="1" t="s">
        <v>60</v>
      </c>
      <c r="AR188" s="1" t="str">
        <f t="shared" si="73"/>
        <v>1"</v>
      </c>
      <c r="AS188" s="1">
        <v>1</v>
      </c>
      <c r="AT188" s="1"/>
      <c r="AU188" s="1"/>
      <c r="AV188" s="17"/>
      <c r="AW188" s="2"/>
      <c r="AX188" s="2"/>
      <c r="AY188" s="2"/>
      <c r="AZ188" s="17"/>
      <c r="BA188" s="1"/>
      <c r="BB188" s="1"/>
      <c r="BC188" s="1"/>
      <c r="BD188" s="1"/>
      <c r="BE188" s="18"/>
      <c r="BF188" s="2">
        <f t="shared" si="74"/>
        <v>1.6407372765871995</v>
      </c>
      <c r="BG188" s="6"/>
      <c r="BH188" s="6"/>
    </row>
    <row r="189" spans="1:60" ht="12.75" customHeight="1" x14ac:dyDescent="0.2">
      <c r="A189" s="19">
        <v>400</v>
      </c>
      <c r="B189" s="19" t="s">
        <v>955</v>
      </c>
      <c r="C189" s="19" t="s">
        <v>914</v>
      </c>
      <c r="D189" s="20" t="s">
        <v>726</v>
      </c>
      <c r="E189" s="20"/>
      <c r="F189" s="21"/>
      <c r="G189" s="21"/>
      <c r="H189" s="21"/>
      <c r="I189" s="21"/>
      <c r="J189" s="21"/>
      <c r="K189" s="21"/>
      <c r="L189" s="21"/>
      <c r="M189" s="21"/>
      <c r="N189" s="32" t="s">
        <v>1032</v>
      </c>
      <c r="O189" s="22" t="s">
        <v>35</v>
      </c>
      <c r="P189" s="23">
        <v>125</v>
      </c>
      <c r="Q189" s="34">
        <f t="shared" si="65"/>
        <v>93.25</v>
      </c>
      <c r="R189" s="1"/>
      <c r="S189" s="39">
        <f>IF(O189="","",IF(O189="NA","",IF(O189="Mini disjuntor + DR",0.92,IF(O189="Mini disjuntor",0.92,IF(O189="Disjuntor Motor",0.92,IF(O189="Disjuntor C.M.",0.92,IF(O189="Disjuntor C.A.",0.92,IFERROR(VLOOKUP('Lista de Cargas'!P189,Motores!$B$9:$T$48,19,FALSE),"Erro"))))))))</f>
        <v>0.85</v>
      </c>
      <c r="T189" s="40">
        <f>IF(O189="","",IF(O189="NA","",IF(O189="Mini disjuntor + DR",100%,IF(O189="Mini disjuntor",100%,IF(O189="Disjuntor Motor",0.92,IF(O189="Disjuntor C.M.",100%,IF(O189="Disjuntor C.A.",100%,IFERROR(VLOOKUP('Lista de Cargas'!P189,Motores!$B$9:$T$48,16,FALSE)/100,"Erro"))))))))</f>
        <v>0.94900000000000007</v>
      </c>
      <c r="U189" s="40" t="s">
        <v>445</v>
      </c>
      <c r="V189" s="39">
        <v>440</v>
      </c>
      <c r="W189" s="2">
        <f t="shared" si="71"/>
        <v>151.68771124666156</v>
      </c>
      <c r="X189" s="2">
        <f t="shared" si="66"/>
        <v>109.70588235294117</v>
      </c>
      <c r="Y189" s="2">
        <f t="shared" si="72"/>
        <v>455.06313373998466</v>
      </c>
      <c r="Z189" s="1"/>
      <c r="AA189" s="1"/>
      <c r="AB189" s="1">
        <v>150</v>
      </c>
      <c r="AC189" s="1"/>
      <c r="AD189" s="1"/>
      <c r="AE189" s="1"/>
      <c r="AF189" s="1"/>
      <c r="AG189" s="1">
        <f t="shared" si="67"/>
        <v>150</v>
      </c>
      <c r="AH189" s="1">
        <v>3</v>
      </c>
      <c r="AI189" s="1" t="s">
        <v>1052</v>
      </c>
      <c r="AJ189" s="1">
        <f t="shared" si="68"/>
        <v>450</v>
      </c>
      <c r="AK189" s="1">
        <v>0</v>
      </c>
      <c r="AL189" s="1" t="s">
        <v>118</v>
      </c>
      <c r="AM189" s="1">
        <f t="shared" si="69"/>
        <v>0</v>
      </c>
      <c r="AN189" s="1">
        <v>1</v>
      </c>
      <c r="AO189" s="1" t="s">
        <v>1053</v>
      </c>
      <c r="AP189" s="1">
        <f t="shared" si="70"/>
        <v>150</v>
      </c>
      <c r="AQ189" s="1" t="s">
        <v>72</v>
      </c>
      <c r="AR189" s="1" t="str">
        <f t="shared" si="73"/>
        <v>2"</v>
      </c>
      <c r="AS189" s="1">
        <v>1</v>
      </c>
      <c r="AT189" s="1"/>
      <c r="AU189" s="1"/>
      <c r="AV189" s="17"/>
      <c r="AW189" s="2"/>
      <c r="AX189" s="2"/>
      <c r="AY189" s="2"/>
      <c r="AZ189" s="17"/>
      <c r="BA189" s="1"/>
      <c r="BB189" s="1"/>
      <c r="BC189" s="1"/>
      <c r="BD189" s="1"/>
      <c r="BE189" s="18"/>
      <c r="BF189" s="2">
        <f t="shared" si="74"/>
        <v>18.066825901388206</v>
      </c>
      <c r="BG189" s="6"/>
      <c r="BH189" s="6"/>
    </row>
    <row r="190" spans="1:60" ht="12.75" customHeight="1" x14ac:dyDescent="0.2">
      <c r="A190" s="19">
        <v>400</v>
      </c>
      <c r="B190" s="19" t="s">
        <v>955</v>
      </c>
      <c r="C190" s="19" t="s">
        <v>915</v>
      </c>
      <c r="D190" s="20" t="s">
        <v>726</v>
      </c>
      <c r="E190" s="20"/>
      <c r="F190" s="21"/>
      <c r="G190" s="21"/>
      <c r="H190" s="21"/>
      <c r="I190" s="21"/>
      <c r="J190" s="21"/>
      <c r="K190" s="21"/>
      <c r="L190" s="21"/>
      <c r="M190" s="21"/>
      <c r="N190" s="32" t="s">
        <v>1032</v>
      </c>
      <c r="O190" s="22" t="s">
        <v>35</v>
      </c>
      <c r="P190" s="23">
        <v>125</v>
      </c>
      <c r="Q190" s="34">
        <f t="shared" si="65"/>
        <v>93.25</v>
      </c>
      <c r="R190" s="1"/>
      <c r="S190" s="39">
        <f>IF(O190="","",IF(O190="NA","",IF(O190="Mini disjuntor + DR",0.92,IF(O190="Mini disjuntor",0.92,IF(O190="Disjuntor Motor",0.92,IF(O190="Disjuntor C.M.",0.92,IF(O190="Disjuntor C.A.",0.92,IFERROR(VLOOKUP('Lista de Cargas'!P190,Motores!$B$9:$T$48,19,FALSE),"Erro"))))))))</f>
        <v>0.85</v>
      </c>
      <c r="T190" s="40">
        <f>IF(O190="","",IF(O190="NA","",IF(O190="Mini disjuntor + DR",100%,IF(O190="Mini disjuntor",100%,IF(O190="Disjuntor Motor",0.92,IF(O190="Disjuntor C.M.",100%,IF(O190="Disjuntor C.A.",100%,IFERROR(VLOOKUP('Lista de Cargas'!P190,Motores!$B$9:$T$48,16,FALSE)/100,"Erro"))))))))</f>
        <v>0.94900000000000007</v>
      </c>
      <c r="U190" s="40" t="s">
        <v>445</v>
      </c>
      <c r="V190" s="39">
        <v>440</v>
      </c>
      <c r="W190" s="2">
        <f t="shared" si="71"/>
        <v>151.68771124666156</v>
      </c>
      <c r="X190" s="2">
        <f t="shared" si="66"/>
        <v>109.70588235294117</v>
      </c>
      <c r="Y190" s="2">
        <f t="shared" si="72"/>
        <v>455.06313373998466</v>
      </c>
      <c r="Z190" s="1"/>
      <c r="AA190" s="1"/>
      <c r="AB190" s="1">
        <v>150</v>
      </c>
      <c r="AC190" s="1"/>
      <c r="AD190" s="1"/>
      <c r="AE190" s="1"/>
      <c r="AF190" s="1"/>
      <c r="AG190" s="1">
        <f t="shared" si="67"/>
        <v>150</v>
      </c>
      <c r="AH190" s="1">
        <v>3</v>
      </c>
      <c r="AI190" s="1" t="s">
        <v>1052</v>
      </c>
      <c r="AJ190" s="1">
        <f t="shared" si="68"/>
        <v>450</v>
      </c>
      <c r="AK190" s="1">
        <v>0</v>
      </c>
      <c r="AL190" s="1" t="s">
        <v>118</v>
      </c>
      <c r="AM190" s="1">
        <f t="shared" si="69"/>
        <v>0</v>
      </c>
      <c r="AN190" s="1">
        <v>1</v>
      </c>
      <c r="AO190" s="1" t="s">
        <v>1053</v>
      </c>
      <c r="AP190" s="1">
        <f t="shared" si="70"/>
        <v>150</v>
      </c>
      <c r="AQ190" s="1" t="s">
        <v>72</v>
      </c>
      <c r="AR190" s="1" t="str">
        <f t="shared" si="73"/>
        <v>2"</v>
      </c>
      <c r="AS190" s="1">
        <v>1</v>
      </c>
      <c r="AT190" s="1"/>
      <c r="AU190" s="1"/>
      <c r="AV190" s="17"/>
      <c r="AW190" s="2"/>
      <c r="AX190" s="2"/>
      <c r="AY190" s="2"/>
      <c r="AZ190" s="17"/>
      <c r="BA190" s="1"/>
      <c r="BB190" s="1"/>
      <c r="BC190" s="1"/>
      <c r="BD190" s="1"/>
      <c r="BE190" s="18"/>
      <c r="BF190" s="2">
        <f t="shared" si="74"/>
        <v>18.066825901388206</v>
      </c>
      <c r="BG190" s="6"/>
      <c r="BH190" s="6"/>
    </row>
    <row r="191" spans="1:60" ht="12.75" customHeight="1" x14ac:dyDescent="0.2">
      <c r="A191" s="19">
        <v>400</v>
      </c>
      <c r="B191" s="19" t="s">
        <v>955</v>
      </c>
      <c r="C191" s="19" t="s">
        <v>916</v>
      </c>
      <c r="D191" s="20" t="s">
        <v>726</v>
      </c>
      <c r="E191" s="20"/>
      <c r="F191" s="21"/>
      <c r="G191" s="21"/>
      <c r="H191" s="21"/>
      <c r="I191" s="21"/>
      <c r="J191" s="21"/>
      <c r="K191" s="21"/>
      <c r="L191" s="21"/>
      <c r="M191" s="21"/>
      <c r="N191" s="32" t="s">
        <v>1032</v>
      </c>
      <c r="O191" s="22" t="s">
        <v>35</v>
      </c>
      <c r="P191" s="23">
        <v>125</v>
      </c>
      <c r="Q191" s="34">
        <f t="shared" si="65"/>
        <v>93.25</v>
      </c>
      <c r="R191" s="1"/>
      <c r="S191" s="39">
        <f>IF(O191="","",IF(O191="NA","",IF(O191="Mini disjuntor + DR",0.92,IF(O191="Mini disjuntor",0.92,IF(O191="Disjuntor Motor",0.92,IF(O191="Disjuntor C.M.",0.92,IF(O191="Disjuntor C.A.",0.92,IFERROR(VLOOKUP('Lista de Cargas'!P191,Motores!$B$9:$T$48,19,FALSE),"Erro"))))))))</f>
        <v>0.85</v>
      </c>
      <c r="T191" s="40">
        <f>IF(O191="","",IF(O191="NA","",IF(O191="Mini disjuntor + DR",100%,IF(O191="Mini disjuntor",100%,IF(O191="Disjuntor Motor",0.92,IF(O191="Disjuntor C.M.",100%,IF(O191="Disjuntor C.A.",100%,IFERROR(VLOOKUP('Lista de Cargas'!P191,Motores!$B$9:$T$48,16,FALSE)/100,"Erro"))))))))</f>
        <v>0.94900000000000007</v>
      </c>
      <c r="U191" s="40" t="s">
        <v>445</v>
      </c>
      <c r="V191" s="39">
        <v>440</v>
      </c>
      <c r="W191" s="2">
        <f t="shared" si="71"/>
        <v>151.68771124666156</v>
      </c>
      <c r="X191" s="2">
        <f t="shared" si="66"/>
        <v>109.70588235294117</v>
      </c>
      <c r="Y191" s="2">
        <f t="shared" si="72"/>
        <v>455.06313373998466</v>
      </c>
      <c r="Z191" s="1"/>
      <c r="AA191" s="1"/>
      <c r="AB191" s="1">
        <v>150</v>
      </c>
      <c r="AC191" s="1"/>
      <c r="AD191" s="1"/>
      <c r="AE191" s="1"/>
      <c r="AF191" s="1"/>
      <c r="AG191" s="1">
        <f t="shared" si="67"/>
        <v>150</v>
      </c>
      <c r="AH191" s="1">
        <v>3</v>
      </c>
      <c r="AI191" s="1" t="s">
        <v>1052</v>
      </c>
      <c r="AJ191" s="1">
        <f t="shared" si="68"/>
        <v>450</v>
      </c>
      <c r="AK191" s="1">
        <v>0</v>
      </c>
      <c r="AL191" s="1" t="s">
        <v>118</v>
      </c>
      <c r="AM191" s="1">
        <f t="shared" si="69"/>
        <v>0</v>
      </c>
      <c r="AN191" s="1">
        <v>1</v>
      </c>
      <c r="AO191" s="1" t="s">
        <v>1053</v>
      </c>
      <c r="AP191" s="1">
        <f t="shared" si="70"/>
        <v>150</v>
      </c>
      <c r="AQ191" s="1" t="s">
        <v>72</v>
      </c>
      <c r="AR191" s="1" t="str">
        <f t="shared" si="73"/>
        <v>2"</v>
      </c>
      <c r="AS191" s="1">
        <v>1</v>
      </c>
      <c r="AT191" s="1"/>
      <c r="AU191" s="1"/>
      <c r="AV191" s="17"/>
      <c r="AW191" s="2"/>
      <c r="AX191" s="2"/>
      <c r="AY191" s="2"/>
      <c r="AZ191" s="17"/>
      <c r="BA191" s="1"/>
      <c r="BB191" s="1"/>
      <c r="BC191" s="1"/>
      <c r="BD191" s="1"/>
      <c r="BE191" s="18"/>
      <c r="BF191" s="2">
        <f t="shared" si="74"/>
        <v>18.066825901388206</v>
      </c>
      <c r="BG191" s="6"/>
      <c r="BH191" s="6"/>
    </row>
    <row r="192" spans="1:60" ht="12.75" customHeight="1" x14ac:dyDescent="0.2">
      <c r="A192" s="19">
        <v>400</v>
      </c>
      <c r="B192" s="19" t="s">
        <v>955</v>
      </c>
      <c r="C192" s="19" t="s">
        <v>917</v>
      </c>
      <c r="D192" s="20" t="s">
        <v>726</v>
      </c>
      <c r="E192" s="20"/>
      <c r="F192" s="21"/>
      <c r="G192" s="21"/>
      <c r="H192" s="21"/>
      <c r="I192" s="21"/>
      <c r="J192" s="21"/>
      <c r="K192" s="21"/>
      <c r="L192" s="21"/>
      <c r="M192" s="21"/>
      <c r="N192" s="32" t="s">
        <v>1032</v>
      </c>
      <c r="O192" s="22" t="s">
        <v>35</v>
      </c>
      <c r="P192" s="23">
        <v>125</v>
      </c>
      <c r="Q192" s="34">
        <f t="shared" si="65"/>
        <v>93.25</v>
      </c>
      <c r="R192" s="1"/>
      <c r="S192" s="39">
        <f>IF(O192="","",IF(O192="NA","",IF(O192="Mini disjuntor + DR",0.92,IF(O192="Mini disjuntor",0.92,IF(O192="Disjuntor Motor",0.92,IF(O192="Disjuntor C.M.",0.92,IF(O192="Disjuntor C.A.",0.92,IFERROR(VLOOKUP('Lista de Cargas'!P192,Motores!$B$9:$T$48,19,FALSE),"Erro"))))))))</f>
        <v>0.85</v>
      </c>
      <c r="T192" s="40">
        <f>IF(O192="","",IF(O192="NA","",IF(O192="Mini disjuntor + DR",100%,IF(O192="Mini disjuntor",100%,IF(O192="Disjuntor Motor",0.92,IF(O192="Disjuntor C.M.",100%,IF(O192="Disjuntor C.A.",100%,IFERROR(VLOOKUP('Lista de Cargas'!P192,Motores!$B$9:$T$48,16,FALSE)/100,"Erro"))))))))</f>
        <v>0.94900000000000007</v>
      </c>
      <c r="U192" s="40" t="s">
        <v>445</v>
      </c>
      <c r="V192" s="39">
        <v>440</v>
      </c>
      <c r="W192" s="2">
        <f t="shared" si="71"/>
        <v>151.68771124666156</v>
      </c>
      <c r="X192" s="2">
        <f t="shared" si="66"/>
        <v>109.70588235294117</v>
      </c>
      <c r="Y192" s="2">
        <f t="shared" si="72"/>
        <v>455.06313373998466</v>
      </c>
      <c r="Z192" s="1"/>
      <c r="AA192" s="1"/>
      <c r="AB192" s="1">
        <v>150</v>
      </c>
      <c r="AC192" s="1"/>
      <c r="AD192" s="1"/>
      <c r="AE192" s="1"/>
      <c r="AF192" s="1"/>
      <c r="AG192" s="1">
        <f t="shared" si="67"/>
        <v>150</v>
      </c>
      <c r="AH192" s="1">
        <v>3</v>
      </c>
      <c r="AI192" s="1" t="s">
        <v>1052</v>
      </c>
      <c r="AJ192" s="1">
        <f t="shared" si="68"/>
        <v>450</v>
      </c>
      <c r="AK192" s="1">
        <v>0</v>
      </c>
      <c r="AL192" s="1" t="s">
        <v>118</v>
      </c>
      <c r="AM192" s="1">
        <f t="shared" si="69"/>
        <v>0</v>
      </c>
      <c r="AN192" s="1">
        <v>1</v>
      </c>
      <c r="AO192" s="1" t="s">
        <v>1053</v>
      </c>
      <c r="AP192" s="1">
        <f t="shared" si="70"/>
        <v>150</v>
      </c>
      <c r="AQ192" s="1" t="s">
        <v>72</v>
      </c>
      <c r="AR192" s="1" t="str">
        <f t="shared" si="73"/>
        <v>2"</v>
      </c>
      <c r="AS192" s="1">
        <v>1</v>
      </c>
      <c r="AT192" s="1"/>
      <c r="AU192" s="1"/>
      <c r="AV192" s="17"/>
      <c r="AW192" s="2"/>
      <c r="AX192" s="2"/>
      <c r="AY192" s="2"/>
      <c r="AZ192" s="17"/>
      <c r="BA192" s="1"/>
      <c r="BB192" s="1"/>
      <c r="BC192" s="1"/>
      <c r="BD192" s="1"/>
      <c r="BE192" s="18"/>
      <c r="BF192" s="2">
        <f t="shared" si="74"/>
        <v>18.066825901388206</v>
      </c>
      <c r="BG192" s="6"/>
      <c r="BH192" s="6"/>
    </row>
    <row r="193" spans="1:60" ht="12.75" customHeight="1" x14ac:dyDescent="0.2">
      <c r="A193" s="19">
        <v>400</v>
      </c>
      <c r="B193" s="19" t="s">
        <v>955</v>
      </c>
      <c r="C193" s="19" t="s">
        <v>918</v>
      </c>
      <c r="D193" s="20" t="s">
        <v>727</v>
      </c>
      <c r="E193" s="20"/>
      <c r="F193" s="21"/>
      <c r="G193" s="21"/>
      <c r="H193" s="21"/>
      <c r="I193" s="21"/>
      <c r="J193" s="21"/>
      <c r="K193" s="21"/>
      <c r="L193" s="21"/>
      <c r="M193" s="21"/>
      <c r="N193" s="32" t="s">
        <v>1032</v>
      </c>
      <c r="O193" s="22" t="s">
        <v>5</v>
      </c>
      <c r="P193" s="23">
        <v>7.5</v>
      </c>
      <c r="Q193" s="34">
        <f t="shared" si="65"/>
        <v>5.5949999999999998</v>
      </c>
      <c r="R193" s="39"/>
      <c r="S193" s="39">
        <f>IF(O193="","",IF(O193="NA","",IF(O193="Mini disjuntor + DR",0.92,IF(O193="Mini disjuntor",0.92,IF(O193="Disjuntor Motor",0.92,IF(O193="Disjuntor C.M.",0.92,IF(O193="Disjuntor C.A.",0.92,IFERROR(VLOOKUP('Lista de Cargas'!P193,Motores!$B$9:$T$48,19,FALSE),"Erro"))))))))</f>
        <v>0.79</v>
      </c>
      <c r="T193" s="40">
        <f>IF(O193="","",IF(O193="NA","",IF(O193="Mini disjuntor + DR",100%,IF(O193="Mini disjuntor",100%,IF(O193="Disjuntor Motor",0.92,IF(O193="Disjuntor C.M.",100%,IF(O193="Disjuntor C.A.",100%,IFERROR(VLOOKUP('Lista de Cargas'!P193,Motores!$B$9:$T$48,16,FALSE)/100,"Erro"))))))))</f>
        <v>0.9</v>
      </c>
      <c r="U193" s="40" t="s">
        <v>445</v>
      </c>
      <c r="V193" s="39">
        <v>440</v>
      </c>
      <c r="W193" s="2">
        <f t="shared" si="71"/>
        <v>10.325644917900386</v>
      </c>
      <c r="X193" s="2">
        <f t="shared" si="66"/>
        <v>7.0822784810126578</v>
      </c>
      <c r="Y193" s="2">
        <f t="shared" si="72"/>
        <v>15.488467376850579</v>
      </c>
      <c r="Z193" s="1"/>
      <c r="AA193" s="1"/>
      <c r="AB193" s="1">
        <v>120</v>
      </c>
      <c r="AC193" s="1"/>
      <c r="AD193" s="1"/>
      <c r="AE193" s="1"/>
      <c r="AF193" s="1"/>
      <c r="AG193" s="1">
        <f t="shared" si="67"/>
        <v>120</v>
      </c>
      <c r="AH193" s="1">
        <v>1</v>
      </c>
      <c r="AI193" s="1" t="s">
        <v>1054</v>
      </c>
      <c r="AJ193" s="1">
        <f t="shared" si="68"/>
        <v>120</v>
      </c>
      <c r="AK193" s="1">
        <v>0</v>
      </c>
      <c r="AL193" s="1" t="s">
        <v>118</v>
      </c>
      <c r="AM193" s="1">
        <f t="shared" si="69"/>
        <v>0</v>
      </c>
      <c r="AN193" s="1">
        <v>0</v>
      </c>
      <c r="AO193" s="1" t="s">
        <v>118</v>
      </c>
      <c r="AP193" s="1">
        <f t="shared" si="70"/>
        <v>0</v>
      </c>
      <c r="AQ193" s="1" t="s">
        <v>57</v>
      </c>
      <c r="AR193" s="1" t="str">
        <f t="shared" si="73"/>
        <v>3/4"</v>
      </c>
      <c r="AS193" s="1">
        <v>1</v>
      </c>
      <c r="AT193" s="1"/>
      <c r="AU193" s="1"/>
      <c r="AV193" s="17"/>
      <c r="AW193" s="2"/>
      <c r="AX193" s="2"/>
      <c r="AY193" s="2"/>
      <c r="AZ193" s="17"/>
      <c r="BA193" s="1"/>
      <c r="BB193" s="1"/>
      <c r="BC193" s="1"/>
      <c r="BD193" s="1"/>
      <c r="BE193" s="18"/>
      <c r="BF193" s="2">
        <f t="shared" si="74"/>
        <v>0</v>
      </c>
      <c r="BG193" s="6"/>
      <c r="BH193" s="6"/>
    </row>
    <row r="194" spans="1:60" ht="12.75" customHeight="1" x14ac:dyDescent="0.2">
      <c r="A194" s="19">
        <v>400</v>
      </c>
      <c r="B194" s="19" t="s">
        <v>955</v>
      </c>
      <c r="C194" s="19" t="s">
        <v>919</v>
      </c>
      <c r="D194" s="20" t="s">
        <v>727</v>
      </c>
      <c r="E194" s="20"/>
      <c r="F194" s="21"/>
      <c r="G194" s="21"/>
      <c r="H194" s="21"/>
      <c r="I194" s="21"/>
      <c r="J194" s="21"/>
      <c r="K194" s="21"/>
      <c r="L194" s="21"/>
      <c r="M194" s="21"/>
      <c r="N194" s="32" t="s">
        <v>1032</v>
      </c>
      <c r="O194" s="22" t="s">
        <v>5</v>
      </c>
      <c r="P194" s="23">
        <v>7.5</v>
      </c>
      <c r="Q194" s="34">
        <f t="shared" si="65"/>
        <v>5.5949999999999998</v>
      </c>
      <c r="R194" s="39"/>
      <c r="S194" s="39">
        <f>IF(O194="","",IF(O194="NA","",IF(O194="Mini disjuntor + DR",0.92,IF(O194="Mini disjuntor",0.92,IF(O194="Disjuntor Motor",0.92,IF(O194="Disjuntor C.M.",0.92,IF(O194="Disjuntor C.A.",0.92,IFERROR(VLOOKUP('Lista de Cargas'!P194,Motores!$B$9:$T$48,19,FALSE),"Erro"))))))))</f>
        <v>0.79</v>
      </c>
      <c r="T194" s="40">
        <f>IF(O194="","",IF(O194="NA","",IF(O194="Mini disjuntor + DR",100%,IF(O194="Mini disjuntor",100%,IF(O194="Disjuntor Motor",0.92,IF(O194="Disjuntor C.M.",100%,IF(O194="Disjuntor C.A.",100%,IFERROR(VLOOKUP('Lista de Cargas'!P194,Motores!$B$9:$T$48,16,FALSE)/100,"Erro"))))))))</f>
        <v>0.9</v>
      </c>
      <c r="U194" s="40" t="s">
        <v>445</v>
      </c>
      <c r="V194" s="39">
        <v>440</v>
      </c>
      <c r="W194" s="2">
        <f t="shared" si="71"/>
        <v>10.325644917900386</v>
      </c>
      <c r="X194" s="2">
        <f t="shared" si="66"/>
        <v>7.0822784810126578</v>
      </c>
      <c r="Y194" s="2">
        <f t="shared" si="72"/>
        <v>15.488467376850579</v>
      </c>
      <c r="Z194" s="1"/>
      <c r="AA194" s="1"/>
      <c r="AB194" s="1">
        <v>120</v>
      </c>
      <c r="AC194" s="1"/>
      <c r="AD194" s="1"/>
      <c r="AE194" s="1"/>
      <c r="AF194" s="1"/>
      <c r="AG194" s="1">
        <f t="shared" si="67"/>
        <v>120</v>
      </c>
      <c r="AH194" s="1">
        <v>1</v>
      </c>
      <c r="AI194" s="1" t="s">
        <v>1054</v>
      </c>
      <c r="AJ194" s="1">
        <f t="shared" si="68"/>
        <v>120</v>
      </c>
      <c r="AK194" s="1">
        <v>0</v>
      </c>
      <c r="AL194" s="1" t="s">
        <v>118</v>
      </c>
      <c r="AM194" s="1">
        <f t="shared" si="69"/>
        <v>0</v>
      </c>
      <c r="AN194" s="1">
        <v>0</v>
      </c>
      <c r="AO194" s="1" t="s">
        <v>118</v>
      </c>
      <c r="AP194" s="1">
        <f t="shared" si="70"/>
        <v>0</v>
      </c>
      <c r="AQ194" s="1" t="s">
        <v>57</v>
      </c>
      <c r="AR194" s="1" t="str">
        <f t="shared" si="73"/>
        <v>3/4"</v>
      </c>
      <c r="AS194" s="1">
        <v>1</v>
      </c>
      <c r="AT194" s="1"/>
      <c r="AU194" s="1"/>
      <c r="AV194" s="17"/>
      <c r="AW194" s="2"/>
      <c r="AX194" s="2"/>
      <c r="AY194" s="2"/>
      <c r="AZ194" s="17"/>
      <c r="BA194" s="1"/>
      <c r="BB194" s="1"/>
      <c r="BC194" s="1"/>
      <c r="BD194" s="1"/>
      <c r="BE194" s="18"/>
      <c r="BF194" s="2">
        <f t="shared" si="74"/>
        <v>0</v>
      </c>
      <c r="BG194" s="6"/>
      <c r="BH194" s="6"/>
    </row>
    <row r="195" spans="1:60" ht="12.75" customHeight="1" x14ac:dyDescent="0.2">
      <c r="A195" s="19">
        <v>400</v>
      </c>
      <c r="B195" s="19" t="s">
        <v>955</v>
      </c>
      <c r="C195" s="19" t="s">
        <v>553</v>
      </c>
      <c r="D195" s="20" t="s">
        <v>728</v>
      </c>
      <c r="E195" s="20"/>
      <c r="F195" s="21"/>
      <c r="G195" s="21"/>
      <c r="H195" s="21"/>
      <c r="I195" s="21"/>
      <c r="J195" s="21"/>
      <c r="K195" s="21"/>
      <c r="L195" s="21"/>
      <c r="M195" s="21"/>
      <c r="N195" s="32" t="s">
        <v>1032</v>
      </c>
      <c r="O195" s="22" t="s">
        <v>5</v>
      </c>
      <c r="P195" s="23">
        <v>10</v>
      </c>
      <c r="Q195" s="34">
        <f t="shared" si="65"/>
        <v>7.46</v>
      </c>
      <c r="R195" s="39"/>
      <c r="S195" s="39">
        <f>IF(O195="","",IF(O195="NA","",IF(O195="Mini disjuntor + DR",0.92,IF(O195="Mini disjuntor",0.92,IF(O195="Disjuntor Motor",0.92,IF(O195="Disjuntor C.M.",0.92,IF(O195="Disjuntor C.A.",0.92,IFERROR(VLOOKUP('Lista de Cargas'!P195,Motores!$B$9:$T$48,19,FALSE),"Erro"))))))))</f>
        <v>0.84</v>
      </c>
      <c r="T195" s="40">
        <f>IF(O195="","",IF(O195="NA","",IF(O195="Mini disjuntor + DR",100%,IF(O195="Mini disjuntor",100%,IF(O195="Disjuntor Motor",0.92,IF(O195="Disjuntor C.M.",100%,IF(O195="Disjuntor C.A.",100%,IFERROR(VLOOKUP('Lista de Cargas'!P195,Motores!$B$9:$T$48,16,FALSE)/100,"Erro"))))))))</f>
        <v>0.91</v>
      </c>
      <c r="U195" s="40" t="s">
        <v>445</v>
      </c>
      <c r="V195" s="39">
        <v>440</v>
      </c>
      <c r="W195" s="2">
        <f t="shared" si="71"/>
        <v>12.805744874633129</v>
      </c>
      <c r="X195" s="2">
        <f t="shared" si="66"/>
        <v>8.8809523809523814</v>
      </c>
      <c r="Y195" s="2">
        <f t="shared" si="72"/>
        <v>19.208617311949695</v>
      </c>
      <c r="Z195" s="1"/>
      <c r="AA195" s="1"/>
      <c r="AB195" s="1">
        <v>120</v>
      </c>
      <c r="AC195" s="1"/>
      <c r="AD195" s="1"/>
      <c r="AE195" s="1"/>
      <c r="AF195" s="1"/>
      <c r="AG195" s="1">
        <f t="shared" si="67"/>
        <v>120</v>
      </c>
      <c r="AH195" s="1">
        <v>1</v>
      </c>
      <c r="AI195" s="1" t="s">
        <v>1063</v>
      </c>
      <c r="AJ195" s="1">
        <f t="shared" si="68"/>
        <v>120</v>
      </c>
      <c r="AK195" s="1">
        <v>0</v>
      </c>
      <c r="AL195" s="1" t="s">
        <v>118</v>
      </c>
      <c r="AM195" s="1">
        <f t="shared" si="69"/>
        <v>0</v>
      </c>
      <c r="AN195" s="1">
        <v>0</v>
      </c>
      <c r="AO195" s="1" t="s">
        <v>118</v>
      </c>
      <c r="AP195" s="1">
        <f t="shared" si="70"/>
        <v>0</v>
      </c>
      <c r="AQ195" s="1" t="s">
        <v>57</v>
      </c>
      <c r="AR195" s="1" t="str">
        <f t="shared" si="73"/>
        <v>3/4"</v>
      </c>
      <c r="AS195" s="1">
        <v>1</v>
      </c>
      <c r="AT195" s="1"/>
      <c r="AU195" s="1"/>
      <c r="AV195" s="17"/>
      <c r="AW195" s="2"/>
      <c r="AX195" s="2"/>
      <c r="AY195" s="2"/>
      <c r="AZ195" s="17"/>
      <c r="BA195" s="1"/>
      <c r="BB195" s="1"/>
      <c r="BC195" s="1"/>
      <c r="BD195" s="1"/>
      <c r="BE195" s="18"/>
      <c r="BF195" s="2">
        <f t="shared" si="74"/>
        <v>0</v>
      </c>
      <c r="BG195" s="6"/>
      <c r="BH195" s="6"/>
    </row>
    <row r="196" spans="1:60" ht="12.75" customHeight="1" x14ac:dyDescent="0.2">
      <c r="A196" s="19">
        <v>400</v>
      </c>
      <c r="B196" s="19" t="s">
        <v>955</v>
      </c>
      <c r="C196" s="19" t="s">
        <v>554</v>
      </c>
      <c r="D196" s="20" t="s">
        <v>729</v>
      </c>
      <c r="E196" s="20"/>
      <c r="F196" s="21"/>
      <c r="G196" s="21"/>
      <c r="H196" s="21"/>
      <c r="I196" s="21"/>
      <c r="J196" s="21"/>
      <c r="K196" s="21"/>
      <c r="L196" s="21"/>
      <c r="M196" s="21"/>
      <c r="N196" s="32" t="s">
        <v>1032</v>
      </c>
      <c r="O196" s="22" t="s">
        <v>5</v>
      </c>
      <c r="P196" s="23">
        <v>40</v>
      </c>
      <c r="Q196" s="34">
        <f t="shared" si="65"/>
        <v>29.84</v>
      </c>
      <c r="R196" s="39"/>
      <c r="S196" s="39">
        <f>IF(O196="","",IF(O196="NA","",IF(O196="Mini disjuntor + DR",0.92,IF(O196="Mini disjuntor",0.92,IF(O196="Disjuntor Motor",0.92,IF(O196="Disjuntor C.M.",0.92,IF(O196="Disjuntor C.A.",0.92,IFERROR(VLOOKUP('Lista de Cargas'!P196,Motores!$B$9:$T$48,19,FALSE),"Erro"))))))))</f>
        <v>0.85</v>
      </c>
      <c r="T196" s="40">
        <f>IF(O196="","",IF(O196="NA","",IF(O196="Mini disjuntor + DR",100%,IF(O196="Mini disjuntor",100%,IF(O196="Disjuntor Motor",0.92,IF(O196="Disjuntor C.M.",100%,IF(O196="Disjuntor C.A.",100%,IFERROR(VLOOKUP('Lista de Cargas'!P196,Motores!$B$9:$T$48,16,FALSE)/100,"Erro"))))))))</f>
        <v>0.93400000000000005</v>
      </c>
      <c r="U196" s="40" t="s">
        <v>445</v>
      </c>
      <c r="V196" s="39">
        <v>440</v>
      </c>
      <c r="W196" s="2">
        <f t="shared" si="71"/>
        <v>49.319619005766796</v>
      </c>
      <c r="X196" s="2">
        <f t="shared" si="66"/>
        <v>35.10588235294118</v>
      </c>
      <c r="Y196" s="2">
        <f t="shared" si="72"/>
        <v>73.979428508650187</v>
      </c>
      <c r="Z196" s="1"/>
      <c r="AA196" s="1"/>
      <c r="AB196" s="1">
        <v>120</v>
      </c>
      <c r="AC196" s="1"/>
      <c r="AD196" s="1"/>
      <c r="AE196" s="1"/>
      <c r="AF196" s="1"/>
      <c r="AG196" s="1">
        <f t="shared" si="67"/>
        <v>120</v>
      </c>
      <c r="AH196" s="1">
        <v>1</v>
      </c>
      <c r="AI196" s="1" t="s">
        <v>1067</v>
      </c>
      <c r="AJ196" s="1">
        <f t="shared" si="68"/>
        <v>120</v>
      </c>
      <c r="AK196" s="1">
        <v>0</v>
      </c>
      <c r="AL196" s="1" t="s">
        <v>118</v>
      </c>
      <c r="AM196" s="1">
        <f t="shared" si="69"/>
        <v>0</v>
      </c>
      <c r="AN196" s="1">
        <v>0</v>
      </c>
      <c r="AO196" s="1" t="s">
        <v>118</v>
      </c>
      <c r="AP196" s="1">
        <f t="shared" si="70"/>
        <v>0</v>
      </c>
      <c r="AQ196" s="1" t="s">
        <v>71</v>
      </c>
      <c r="AR196" s="1" t="str">
        <f t="shared" si="73"/>
        <v>1.1/2"</v>
      </c>
      <c r="AS196" s="1">
        <v>1</v>
      </c>
      <c r="AT196" s="1"/>
      <c r="AU196" s="1"/>
      <c r="AV196" s="17"/>
      <c r="AW196" s="2"/>
      <c r="AX196" s="2"/>
      <c r="AY196" s="2"/>
      <c r="AZ196" s="17"/>
      <c r="BA196" s="1"/>
      <c r="BB196" s="1"/>
      <c r="BC196" s="1"/>
      <c r="BD196" s="1"/>
      <c r="BE196" s="18"/>
      <c r="BF196" s="2">
        <f t="shared" si="74"/>
        <v>0</v>
      </c>
      <c r="BG196" s="6"/>
      <c r="BH196" s="6"/>
    </row>
    <row r="197" spans="1:60" ht="12.75" customHeight="1" x14ac:dyDescent="0.2">
      <c r="A197" s="19">
        <v>400</v>
      </c>
      <c r="B197" s="19" t="s">
        <v>955</v>
      </c>
      <c r="C197" s="19" t="s">
        <v>554</v>
      </c>
      <c r="D197" s="20" t="s">
        <v>729</v>
      </c>
      <c r="E197" s="20"/>
      <c r="F197" s="21"/>
      <c r="G197" s="21"/>
      <c r="H197" s="21"/>
      <c r="I197" s="21"/>
      <c r="J197" s="21"/>
      <c r="K197" s="21"/>
      <c r="L197" s="21"/>
      <c r="M197" s="21"/>
      <c r="N197" s="32" t="s">
        <v>1032</v>
      </c>
      <c r="O197" s="22" t="s">
        <v>5</v>
      </c>
      <c r="P197" s="23">
        <v>40</v>
      </c>
      <c r="Q197" s="34">
        <f t="shared" si="65"/>
        <v>29.84</v>
      </c>
      <c r="R197" s="39"/>
      <c r="S197" s="39">
        <f>IF(O197="","",IF(O197="NA","",IF(O197="Mini disjuntor + DR",0.92,IF(O197="Mini disjuntor",0.92,IF(O197="Disjuntor Motor",0.92,IF(O197="Disjuntor C.M.",0.92,IF(O197="Disjuntor C.A.",0.92,IFERROR(VLOOKUP('Lista de Cargas'!P197,Motores!$B$9:$T$48,19,FALSE),"Erro"))))))))</f>
        <v>0.85</v>
      </c>
      <c r="T197" s="40">
        <f>IF(O197="","",IF(O197="NA","",IF(O197="Mini disjuntor + DR",100%,IF(O197="Mini disjuntor",100%,IF(O197="Disjuntor Motor",0.92,IF(O197="Disjuntor C.M.",100%,IF(O197="Disjuntor C.A.",100%,IFERROR(VLOOKUP('Lista de Cargas'!P197,Motores!$B$9:$T$48,16,FALSE)/100,"Erro"))))))))</f>
        <v>0.93400000000000005</v>
      </c>
      <c r="U197" s="40" t="s">
        <v>445</v>
      </c>
      <c r="V197" s="39">
        <v>440</v>
      </c>
      <c r="W197" s="2">
        <f t="shared" si="71"/>
        <v>49.319619005766796</v>
      </c>
      <c r="X197" s="2">
        <f t="shared" si="66"/>
        <v>35.10588235294118</v>
      </c>
      <c r="Y197" s="2">
        <f t="shared" si="72"/>
        <v>73.979428508650187</v>
      </c>
      <c r="Z197" s="1"/>
      <c r="AA197" s="1"/>
      <c r="AB197" s="1">
        <v>120</v>
      </c>
      <c r="AC197" s="1"/>
      <c r="AD197" s="1"/>
      <c r="AE197" s="1"/>
      <c r="AF197" s="1"/>
      <c r="AG197" s="1">
        <f t="shared" si="67"/>
        <v>120</v>
      </c>
      <c r="AH197" s="1">
        <v>1</v>
      </c>
      <c r="AI197" s="1" t="s">
        <v>1067</v>
      </c>
      <c r="AJ197" s="1">
        <f t="shared" si="68"/>
        <v>120</v>
      </c>
      <c r="AK197" s="1">
        <v>0</v>
      </c>
      <c r="AL197" s="1" t="s">
        <v>118</v>
      </c>
      <c r="AM197" s="1">
        <f t="shared" si="69"/>
        <v>0</v>
      </c>
      <c r="AN197" s="1">
        <v>0</v>
      </c>
      <c r="AO197" s="1" t="s">
        <v>118</v>
      </c>
      <c r="AP197" s="1">
        <f t="shared" si="70"/>
        <v>0</v>
      </c>
      <c r="AQ197" s="1" t="s">
        <v>71</v>
      </c>
      <c r="AR197" s="1" t="str">
        <f t="shared" si="73"/>
        <v>1.1/2"</v>
      </c>
      <c r="AS197" s="1">
        <v>1</v>
      </c>
      <c r="AT197" s="1"/>
      <c r="AU197" s="1"/>
      <c r="AV197" s="17"/>
      <c r="AW197" s="2"/>
      <c r="AX197" s="2"/>
      <c r="AY197" s="2"/>
      <c r="AZ197" s="17"/>
      <c r="BA197" s="1"/>
      <c r="BB197" s="1"/>
      <c r="BC197" s="1"/>
      <c r="BD197" s="1"/>
      <c r="BE197" s="18"/>
      <c r="BF197" s="2">
        <f t="shared" si="74"/>
        <v>0</v>
      </c>
      <c r="BG197" s="6"/>
      <c r="BH197" s="6"/>
    </row>
    <row r="198" spans="1:60" ht="12.75" customHeight="1" x14ac:dyDescent="0.2">
      <c r="A198" s="19">
        <v>400</v>
      </c>
      <c r="B198" s="19" t="s">
        <v>955</v>
      </c>
      <c r="C198" s="19" t="s">
        <v>920</v>
      </c>
      <c r="D198" s="20" t="s">
        <v>730</v>
      </c>
      <c r="E198" s="20"/>
      <c r="F198" s="21"/>
      <c r="G198" s="21"/>
      <c r="H198" s="21"/>
      <c r="I198" s="21"/>
      <c r="J198" s="21"/>
      <c r="K198" s="21"/>
      <c r="L198" s="21"/>
      <c r="M198" s="21"/>
      <c r="N198" s="32" t="s">
        <v>1032</v>
      </c>
      <c r="O198" s="22" t="s">
        <v>5</v>
      </c>
      <c r="P198" s="23">
        <v>5</v>
      </c>
      <c r="Q198" s="34">
        <f t="shared" si="65"/>
        <v>3.73</v>
      </c>
      <c r="R198" s="39"/>
      <c r="S198" s="39">
        <f>IF(O198="","",IF(O198="NA","",IF(O198="Mini disjuntor + DR",0.92,IF(O198="Mini disjuntor",0.92,IF(O198="Disjuntor Motor",0.92,IF(O198="Disjuntor C.M.",0.92,IF(O198="Disjuntor C.A.",0.92,IFERROR(VLOOKUP('Lista de Cargas'!P198,Motores!$B$9:$T$48,19,FALSE),"Erro"))))))))</f>
        <v>0.8</v>
      </c>
      <c r="T198" s="40">
        <f>IF(O198="","",IF(O198="NA","",IF(O198="Mini disjuntor + DR",100%,IF(O198="Mini disjuntor",100%,IF(O198="Disjuntor Motor",0.92,IF(O198="Disjuntor C.M.",100%,IF(O198="Disjuntor C.A.",100%,IFERROR(VLOOKUP('Lista de Cargas'!P198,Motores!$B$9:$T$48,16,FALSE)/100,"Erro"))))))))</f>
        <v>0.88</v>
      </c>
      <c r="U198" s="40" t="s">
        <v>445</v>
      </c>
      <c r="V198" s="39">
        <v>440</v>
      </c>
      <c r="W198" s="2">
        <f t="shared" si="71"/>
        <v>6.9522097884727003</v>
      </c>
      <c r="X198" s="2">
        <f t="shared" si="66"/>
        <v>4.6624999999999996</v>
      </c>
      <c r="Y198" s="2">
        <f t="shared" si="72"/>
        <v>10.42831468270905</v>
      </c>
      <c r="Z198" s="1"/>
      <c r="AA198" s="1"/>
      <c r="AB198" s="1">
        <v>120</v>
      </c>
      <c r="AC198" s="1"/>
      <c r="AD198" s="1"/>
      <c r="AE198" s="1"/>
      <c r="AF198" s="1"/>
      <c r="AG198" s="1">
        <f t="shared" si="67"/>
        <v>120</v>
      </c>
      <c r="AH198" s="1">
        <v>1</v>
      </c>
      <c r="AI198" s="1" t="s">
        <v>1054</v>
      </c>
      <c r="AJ198" s="1">
        <f t="shared" si="68"/>
        <v>120</v>
      </c>
      <c r="AK198" s="1">
        <v>0</v>
      </c>
      <c r="AL198" s="1" t="s">
        <v>118</v>
      </c>
      <c r="AM198" s="1">
        <f t="shared" si="69"/>
        <v>0</v>
      </c>
      <c r="AN198" s="1">
        <v>0</v>
      </c>
      <c r="AO198" s="1" t="s">
        <v>118</v>
      </c>
      <c r="AP198" s="1">
        <f t="shared" si="70"/>
        <v>0</v>
      </c>
      <c r="AQ198" s="1" t="s">
        <v>57</v>
      </c>
      <c r="AR198" s="1" t="str">
        <f t="shared" si="73"/>
        <v>3/4"</v>
      </c>
      <c r="AS198" s="1">
        <v>1</v>
      </c>
      <c r="AT198" s="1"/>
      <c r="AU198" s="1"/>
      <c r="AV198" s="17"/>
      <c r="AW198" s="2"/>
      <c r="AX198" s="2"/>
      <c r="AY198" s="2"/>
      <c r="AZ198" s="17"/>
      <c r="BA198" s="1"/>
      <c r="BB198" s="1"/>
      <c r="BC198" s="1"/>
      <c r="BD198" s="1"/>
      <c r="BE198" s="18"/>
      <c r="BF198" s="2">
        <f t="shared" si="74"/>
        <v>0</v>
      </c>
      <c r="BG198" s="6"/>
      <c r="BH198" s="6"/>
    </row>
    <row r="199" spans="1:60" ht="12.75" customHeight="1" x14ac:dyDescent="0.2">
      <c r="A199" s="19">
        <v>400</v>
      </c>
      <c r="B199" s="19" t="s">
        <v>955</v>
      </c>
      <c r="C199" s="19" t="s">
        <v>921</v>
      </c>
      <c r="D199" s="20" t="s">
        <v>730</v>
      </c>
      <c r="E199" s="20"/>
      <c r="F199" s="21"/>
      <c r="G199" s="21"/>
      <c r="H199" s="21"/>
      <c r="I199" s="21"/>
      <c r="J199" s="21"/>
      <c r="K199" s="21"/>
      <c r="L199" s="21"/>
      <c r="M199" s="21"/>
      <c r="N199" s="32" t="s">
        <v>1032</v>
      </c>
      <c r="O199" s="22" t="s">
        <v>5</v>
      </c>
      <c r="P199" s="23">
        <v>5</v>
      </c>
      <c r="Q199" s="34">
        <f t="shared" si="65"/>
        <v>3.73</v>
      </c>
      <c r="R199" s="39"/>
      <c r="S199" s="39">
        <f>IF(O199="","",IF(O199="NA","",IF(O199="Mini disjuntor + DR",0.92,IF(O199="Mini disjuntor",0.92,IF(O199="Disjuntor Motor",0.92,IF(O199="Disjuntor C.M.",0.92,IF(O199="Disjuntor C.A.",0.92,IFERROR(VLOOKUP('Lista de Cargas'!P199,Motores!$B$9:$T$48,19,FALSE),"Erro"))))))))</f>
        <v>0.8</v>
      </c>
      <c r="T199" s="40">
        <f>IF(O199="","",IF(O199="NA","",IF(O199="Mini disjuntor + DR",100%,IF(O199="Mini disjuntor",100%,IF(O199="Disjuntor Motor",0.92,IF(O199="Disjuntor C.M.",100%,IF(O199="Disjuntor C.A.",100%,IFERROR(VLOOKUP('Lista de Cargas'!P199,Motores!$B$9:$T$48,16,FALSE)/100,"Erro"))))))))</f>
        <v>0.88</v>
      </c>
      <c r="U199" s="40" t="s">
        <v>445</v>
      </c>
      <c r="V199" s="39">
        <v>440</v>
      </c>
      <c r="W199" s="2">
        <f t="shared" si="71"/>
        <v>6.9522097884727003</v>
      </c>
      <c r="X199" s="2">
        <f t="shared" si="66"/>
        <v>4.6624999999999996</v>
      </c>
      <c r="Y199" s="2">
        <f t="shared" si="72"/>
        <v>10.42831468270905</v>
      </c>
      <c r="Z199" s="1"/>
      <c r="AA199" s="1"/>
      <c r="AB199" s="1">
        <v>120</v>
      </c>
      <c r="AC199" s="1"/>
      <c r="AD199" s="1"/>
      <c r="AE199" s="1"/>
      <c r="AF199" s="1"/>
      <c r="AG199" s="1">
        <f t="shared" si="67"/>
        <v>120</v>
      </c>
      <c r="AH199" s="1">
        <v>1</v>
      </c>
      <c r="AI199" s="1" t="s">
        <v>1054</v>
      </c>
      <c r="AJ199" s="1">
        <f t="shared" si="68"/>
        <v>120</v>
      </c>
      <c r="AK199" s="1">
        <v>0</v>
      </c>
      <c r="AL199" s="1" t="s">
        <v>118</v>
      </c>
      <c r="AM199" s="1">
        <f t="shared" si="69"/>
        <v>0</v>
      </c>
      <c r="AN199" s="1">
        <v>0</v>
      </c>
      <c r="AO199" s="1" t="s">
        <v>118</v>
      </c>
      <c r="AP199" s="1">
        <f t="shared" si="70"/>
        <v>0</v>
      </c>
      <c r="AQ199" s="1" t="s">
        <v>57</v>
      </c>
      <c r="AR199" s="1" t="str">
        <f t="shared" si="73"/>
        <v>3/4"</v>
      </c>
      <c r="AS199" s="1">
        <v>1</v>
      </c>
      <c r="AT199" s="1"/>
      <c r="AU199" s="1"/>
      <c r="AV199" s="17"/>
      <c r="AW199" s="2"/>
      <c r="AX199" s="2"/>
      <c r="AY199" s="2"/>
      <c r="AZ199" s="17"/>
      <c r="BA199" s="1"/>
      <c r="BB199" s="1"/>
      <c r="BC199" s="1"/>
      <c r="BD199" s="1"/>
      <c r="BE199" s="18"/>
      <c r="BF199" s="2">
        <f t="shared" si="74"/>
        <v>0</v>
      </c>
      <c r="BG199" s="6"/>
      <c r="BH199" s="6"/>
    </row>
    <row r="200" spans="1:60" ht="12.75" customHeight="1" x14ac:dyDescent="0.2">
      <c r="A200" s="19">
        <v>400</v>
      </c>
      <c r="B200" s="19" t="s">
        <v>955</v>
      </c>
      <c r="C200" s="19" t="s">
        <v>922</v>
      </c>
      <c r="D200" s="20" t="s">
        <v>730</v>
      </c>
      <c r="E200" s="20"/>
      <c r="F200" s="21"/>
      <c r="G200" s="21"/>
      <c r="H200" s="21"/>
      <c r="I200" s="21"/>
      <c r="J200" s="21"/>
      <c r="K200" s="21"/>
      <c r="L200" s="21"/>
      <c r="M200" s="21"/>
      <c r="N200" s="32" t="s">
        <v>1032</v>
      </c>
      <c r="O200" s="22" t="s">
        <v>5</v>
      </c>
      <c r="P200" s="23">
        <v>5</v>
      </c>
      <c r="Q200" s="34">
        <f t="shared" si="65"/>
        <v>3.73</v>
      </c>
      <c r="R200" s="39"/>
      <c r="S200" s="39">
        <f>IF(O200="","",IF(O200="NA","",IF(O200="Mini disjuntor + DR",0.92,IF(O200="Mini disjuntor",0.92,IF(O200="Disjuntor Motor",0.92,IF(O200="Disjuntor C.M.",0.92,IF(O200="Disjuntor C.A.",0.92,IFERROR(VLOOKUP('Lista de Cargas'!P200,Motores!$B$9:$T$48,19,FALSE),"Erro"))))))))</f>
        <v>0.8</v>
      </c>
      <c r="T200" s="40">
        <f>IF(O200="","",IF(O200="NA","",IF(O200="Mini disjuntor + DR",100%,IF(O200="Mini disjuntor",100%,IF(O200="Disjuntor Motor",0.92,IF(O200="Disjuntor C.M.",100%,IF(O200="Disjuntor C.A.",100%,IFERROR(VLOOKUP('Lista de Cargas'!P200,Motores!$B$9:$T$48,16,FALSE)/100,"Erro"))))))))</f>
        <v>0.88</v>
      </c>
      <c r="U200" s="40" t="s">
        <v>445</v>
      </c>
      <c r="V200" s="39">
        <v>440</v>
      </c>
      <c r="W200" s="2">
        <f t="shared" si="71"/>
        <v>6.9522097884727003</v>
      </c>
      <c r="X200" s="2">
        <f t="shared" si="66"/>
        <v>4.6624999999999996</v>
      </c>
      <c r="Y200" s="2">
        <f t="shared" si="72"/>
        <v>10.42831468270905</v>
      </c>
      <c r="Z200" s="1"/>
      <c r="AA200" s="1"/>
      <c r="AB200" s="1">
        <v>120</v>
      </c>
      <c r="AC200" s="1"/>
      <c r="AD200" s="1"/>
      <c r="AE200" s="1"/>
      <c r="AF200" s="1"/>
      <c r="AG200" s="1">
        <f t="shared" si="67"/>
        <v>120</v>
      </c>
      <c r="AH200" s="1">
        <v>1</v>
      </c>
      <c r="AI200" s="1" t="s">
        <v>1054</v>
      </c>
      <c r="AJ200" s="1">
        <f t="shared" si="68"/>
        <v>120</v>
      </c>
      <c r="AK200" s="1">
        <v>0</v>
      </c>
      <c r="AL200" s="1" t="s">
        <v>118</v>
      </c>
      <c r="AM200" s="1">
        <f t="shared" si="69"/>
        <v>0</v>
      </c>
      <c r="AN200" s="1">
        <v>0</v>
      </c>
      <c r="AO200" s="1" t="s">
        <v>118</v>
      </c>
      <c r="AP200" s="1">
        <f t="shared" si="70"/>
        <v>0</v>
      </c>
      <c r="AQ200" s="1" t="s">
        <v>57</v>
      </c>
      <c r="AR200" s="1" t="str">
        <f t="shared" si="73"/>
        <v>3/4"</v>
      </c>
      <c r="AS200" s="1">
        <v>1</v>
      </c>
      <c r="AT200" s="1"/>
      <c r="AU200" s="1"/>
      <c r="AV200" s="17"/>
      <c r="AW200" s="2"/>
      <c r="AX200" s="2"/>
      <c r="AY200" s="2"/>
      <c r="AZ200" s="17"/>
      <c r="BA200" s="1"/>
      <c r="BB200" s="1"/>
      <c r="BC200" s="1"/>
      <c r="BD200" s="1"/>
      <c r="BE200" s="18"/>
      <c r="BF200" s="2">
        <f t="shared" si="74"/>
        <v>0</v>
      </c>
      <c r="BG200" s="6"/>
      <c r="BH200" s="6"/>
    </row>
    <row r="201" spans="1:60" ht="12.75" customHeight="1" x14ac:dyDescent="0.2">
      <c r="A201" s="19">
        <v>400</v>
      </c>
      <c r="B201" s="19" t="s">
        <v>955</v>
      </c>
      <c r="C201" s="19" t="s">
        <v>923</v>
      </c>
      <c r="D201" s="20" t="s">
        <v>731</v>
      </c>
      <c r="E201" s="20"/>
      <c r="F201" s="21"/>
      <c r="G201" s="21"/>
      <c r="H201" s="21"/>
      <c r="I201" s="21"/>
      <c r="J201" s="21"/>
      <c r="K201" s="21"/>
      <c r="L201" s="21"/>
      <c r="M201" s="21"/>
      <c r="N201" s="32" t="s">
        <v>1032</v>
      </c>
      <c r="O201" s="22" t="s">
        <v>5</v>
      </c>
      <c r="P201" s="23">
        <v>3</v>
      </c>
      <c r="Q201" s="34">
        <f t="shared" si="65"/>
        <v>2.238</v>
      </c>
      <c r="R201" s="39"/>
      <c r="S201" s="39">
        <f>IF(O201="","",IF(O201="NA","",IF(O201="Mini disjuntor + DR",0.92,IF(O201="Mini disjuntor",0.92,IF(O201="Disjuntor Motor",0.92,IF(O201="Disjuntor C.M.",0.92,IF(O201="Disjuntor C.A.",0.92,IFERROR(VLOOKUP('Lista de Cargas'!P201,Motores!$B$9:$T$48,19,FALSE),"Erro"))))))))</f>
        <v>0.83</v>
      </c>
      <c r="T201" s="40">
        <f>IF(O201="","",IF(O201="NA","",IF(O201="Mini disjuntor + DR",100%,IF(O201="Mini disjuntor",100%,IF(O201="Disjuntor Motor",0.92,IF(O201="Disjuntor C.M.",100%,IF(O201="Disjuntor C.A.",100%,IFERROR(VLOOKUP('Lista de Cargas'!P201,Motores!$B$9:$T$48,16,FALSE)/100,"Erro"))))))))</f>
        <v>0.85099999999999998</v>
      </c>
      <c r="U201" s="40" t="s">
        <v>445</v>
      </c>
      <c r="V201" s="39">
        <v>440</v>
      </c>
      <c r="W201" s="2">
        <f t="shared" si="71"/>
        <v>4.1575657478103292</v>
      </c>
      <c r="X201" s="2">
        <f t="shared" si="66"/>
        <v>2.6963855421686747</v>
      </c>
      <c r="Y201" s="2">
        <f t="shared" si="72"/>
        <v>6.2363486217154938</v>
      </c>
      <c r="Z201" s="1"/>
      <c r="AA201" s="1"/>
      <c r="AB201" s="1">
        <v>120</v>
      </c>
      <c r="AC201" s="1"/>
      <c r="AD201" s="1"/>
      <c r="AE201" s="1"/>
      <c r="AF201" s="1"/>
      <c r="AG201" s="1">
        <f t="shared" si="67"/>
        <v>120</v>
      </c>
      <c r="AH201" s="1">
        <v>1</v>
      </c>
      <c r="AI201" s="1" t="s">
        <v>1054</v>
      </c>
      <c r="AJ201" s="1">
        <f t="shared" si="68"/>
        <v>120</v>
      </c>
      <c r="AK201" s="1">
        <v>0</v>
      </c>
      <c r="AL201" s="1" t="s">
        <v>118</v>
      </c>
      <c r="AM201" s="1">
        <f t="shared" si="69"/>
        <v>0</v>
      </c>
      <c r="AN201" s="1">
        <v>0</v>
      </c>
      <c r="AO201" s="1" t="s">
        <v>118</v>
      </c>
      <c r="AP201" s="1">
        <f t="shared" si="70"/>
        <v>0</v>
      </c>
      <c r="AQ201" s="1" t="s">
        <v>57</v>
      </c>
      <c r="AR201" s="1" t="str">
        <f t="shared" si="73"/>
        <v>3/4"</v>
      </c>
      <c r="AS201" s="1">
        <v>1</v>
      </c>
      <c r="AT201" s="1"/>
      <c r="AU201" s="1"/>
      <c r="AV201" s="17"/>
      <c r="AW201" s="2"/>
      <c r="AX201" s="2"/>
      <c r="AY201" s="2"/>
      <c r="AZ201" s="17"/>
      <c r="BA201" s="1"/>
      <c r="BB201" s="1"/>
      <c r="BC201" s="1"/>
      <c r="BD201" s="1"/>
      <c r="BE201" s="18"/>
      <c r="BF201" s="2">
        <f t="shared" si="74"/>
        <v>0</v>
      </c>
      <c r="BG201" s="6"/>
      <c r="BH201" s="6"/>
    </row>
    <row r="202" spans="1:60" ht="12.75" customHeight="1" x14ac:dyDescent="0.2">
      <c r="A202" s="19">
        <v>400</v>
      </c>
      <c r="B202" s="19" t="s">
        <v>955</v>
      </c>
      <c r="C202" s="19" t="s">
        <v>924</v>
      </c>
      <c r="D202" s="20" t="s">
        <v>731</v>
      </c>
      <c r="E202" s="20"/>
      <c r="F202" s="21"/>
      <c r="G202" s="21"/>
      <c r="H202" s="21"/>
      <c r="I202" s="21"/>
      <c r="J202" s="21"/>
      <c r="K202" s="21"/>
      <c r="L202" s="21"/>
      <c r="M202" s="21"/>
      <c r="N202" s="32" t="s">
        <v>1032</v>
      </c>
      <c r="O202" s="22" t="s">
        <v>5</v>
      </c>
      <c r="P202" s="23">
        <v>3</v>
      </c>
      <c r="Q202" s="34">
        <f t="shared" si="65"/>
        <v>2.238</v>
      </c>
      <c r="R202" s="39"/>
      <c r="S202" s="39">
        <f>IF(O202="","",IF(O202="NA","",IF(O202="Mini disjuntor + DR",0.92,IF(O202="Mini disjuntor",0.92,IF(O202="Disjuntor Motor",0.92,IF(O202="Disjuntor C.M.",0.92,IF(O202="Disjuntor C.A.",0.92,IFERROR(VLOOKUP('Lista de Cargas'!P202,Motores!$B$9:$T$48,19,FALSE),"Erro"))))))))</f>
        <v>0.83</v>
      </c>
      <c r="T202" s="40">
        <f>IF(O202="","",IF(O202="NA","",IF(O202="Mini disjuntor + DR",100%,IF(O202="Mini disjuntor",100%,IF(O202="Disjuntor Motor",0.92,IF(O202="Disjuntor C.M.",100%,IF(O202="Disjuntor C.A.",100%,IFERROR(VLOOKUP('Lista de Cargas'!P202,Motores!$B$9:$T$48,16,FALSE)/100,"Erro"))))))))</f>
        <v>0.85099999999999998</v>
      </c>
      <c r="U202" s="40" t="s">
        <v>445</v>
      </c>
      <c r="V202" s="39">
        <v>440</v>
      </c>
      <c r="W202" s="2">
        <f t="shared" si="71"/>
        <v>4.1575657478103292</v>
      </c>
      <c r="X202" s="2">
        <f t="shared" si="66"/>
        <v>2.6963855421686747</v>
      </c>
      <c r="Y202" s="2">
        <f t="shared" si="72"/>
        <v>6.2363486217154938</v>
      </c>
      <c r="Z202" s="1"/>
      <c r="AA202" s="1"/>
      <c r="AB202" s="1">
        <v>120</v>
      </c>
      <c r="AC202" s="1"/>
      <c r="AD202" s="1"/>
      <c r="AE202" s="1"/>
      <c r="AF202" s="1"/>
      <c r="AG202" s="1">
        <f t="shared" si="67"/>
        <v>120</v>
      </c>
      <c r="AH202" s="1">
        <v>1</v>
      </c>
      <c r="AI202" s="1" t="s">
        <v>1054</v>
      </c>
      <c r="AJ202" s="1">
        <f t="shared" si="68"/>
        <v>120</v>
      </c>
      <c r="AK202" s="1">
        <v>0</v>
      </c>
      <c r="AL202" s="1" t="s">
        <v>118</v>
      </c>
      <c r="AM202" s="1">
        <f t="shared" si="69"/>
        <v>0</v>
      </c>
      <c r="AN202" s="1">
        <v>0</v>
      </c>
      <c r="AO202" s="1" t="s">
        <v>118</v>
      </c>
      <c r="AP202" s="1">
        <f t="shared" si="70"/>
        <v>0</v>
      </c>
      <c r="AQ202" s="1" t="s">
        <v>57</v>
      </c>
      <c r="AR202" s="1" t="str">
        <f t="shared" si="73"/>
        <v>3/4"</v>
      </c>
      <c r="AS202" s="1">
        <v>1</v>
      </c>
      <c r="AT202" s="1"/>
      <c r="AU202" s="1"/>
      <c r="AV202" s="17"/>
      <c r="AW202" s="2"/>
      <c r="AX202" s="2"/>
      <c r="AY202" s="2"/>
      <c r="AZ202" s="17"/>
      <c r="BA202" s="1"/>
      <c r="BB202" s="1"/>
      <c r="BC202" s="1"/>
      <c r="BD202" s="1"/>
      <c r="BE202" s="18"/>
      <c r="BF202" s="2">
        <f t="shared" si="74"/>
        <v>0</v>
      </c>
      <c r="BG202" s="6"/>
      <c r="BH202" s="6"/>
    </row>
    <row r="203" spans="1:60" ht="12.75" customHeight="1" x14ac:dyDescent="0.2">
      <c r="A203" s="19">
        <v>400</v>
      </c>
      <c r="B203" s="19" t="s">
        <v>955</v>
      </c>
      <c r="C203" s="19" t="s">
        <v>925</v>
      </c>
      <c r="D203" s="20" t="s">
        <v>731</v>
      </c>
      <c r="E203" s="20"/>
      <c r="F203" s="21"/>
      <c r="G203" s="21"/>
      <c r="H203" s="21"/>
      <c r="I203" s="21"/>
      <c r="J203" s="21"/>
      <c r="K203" s="21"/>
      <c r="L203" s="21"/>
      <c r="M203" s="21"/>
      <c r="N203" s="32" t="s">
        <v>1032</v>
      </c>
      <c r="O203" s="22" t="s">
        <v>5</v>
      </c>
      <c r="P203" s="23">
        <v>3</v>
      </c>
      <c r="Q203" s="34">
        <f t="shared" si="65"/>
        <v>2.238</v>
      </c>
      <c r="R203" s="39"/>
      <c r="S203" s="39">
        <f>IF(O203="","",IF(O203="NA","",IF(O203="Mini disjuntor + DR",0.92,IF(O203="Mini disjuntor",0.92,IF(O203="Disjuntor Motor",0.92,IF(O203="Disjuntor C.M.",0.92,IF(O203="Disjuntor C.A.",0.92,IFERROR(VLOOKUP('Lista de Cargas'!P203,Motores!$B$9:$T$48,19,FALSE),"Erro"))))))))</f>
        <v>0.83</v>
      </c>
      <c r="T203" s="40">
        <f>IF(O203="","",IF(O203="NA","",IF(O203="Mini disjuntor + DR",100%,IF(O203="Mini disjuntor",100%,IF(O203="Disjuntor Motor",0.92,IF(O203="Disjuntor C.M.",100%,IF(O203="Disjuntor C.A.",100%,IFERROR(VLOOKUP('Lista de Cargas'!P203,Motores!$B$9:$T$48,16,FALSE)/100,"Erro"))))))))</f>
        <v>0.85099999999999998</v>
      </c>
      <c r="U203" s="40" t="s">
        <v>445</v>
      </c>
      <c r="V203" s="39">
        <v>440</v>
      </c>
      <c r="W203" s="2">
        <f t="shared" si="71"/>
        <v>4.1575657478103292</v>
      </c>
      <c r="X203" s="2">
        <f t="shared" si="66"/>
        <v>2.6963855421686747</v>
      </c>
      <c r="Y203" s="2">
        <f t="shared" si="72"/>
        <v>6.2363486217154938</v>
      </c>
      <c r="Z203" s="1"/>
      <c r="AA203" s="1"/>
      <c r="AB203" s="1">
        <v>120</v>
      </c>
      <c r="AC203" s="1"/>
      <c r="AD203" s="1"/>
      <c r="AE203" s="1"/>
      <c r="AF203" s="1"/>
      <c r="AG203" s="1">
        <f t="shared" si="67"/>
        <v>120</v>
      </c>
      <c r="AH203" s="1">
        <v>1</v>
      </c>
      <c r="AI203" s="1" t="s">
        <v>1054</v>
      </c>
      <c r="AJ203" s="1">
        <f t="shared" si="68"/>
        <v>120</v>
      </c>
      <c r="AK203" s="1">
        <v>0</v>
      </c>
      <c r="AL203" s="1" t="s">
        <v>118</v>
      </c>
      <c r="AM203" s="1">
        <f t="shared" si="69"/>
        <v>0</v>
      </c>
      <c r="AN203" s="1">
        <v>0</v>
      </c>
      <c r="AO203" s="1" t="s">
        <v>118</v>
      </c>
      <c r="AP203" s="1">
        <f t="shared" si="70"/>
        <v>0</v>
      </c>
      <c r="AQ203" s="1" t="s">
        <v>57</v>
      </c>
      <c r="AR203" s="1" t="str">
        <f t="shared" si="73"/>
        <v>3/4"</v>
      </c>
      <c r="AS203" s="1">
        <v>1</v>
      </c>
      <c r="AT203" s="1"/>
      <c r="AU203" s="1"/>
      <c r="AV203" s="17"/>
      <c r="AW203" s="2"/>
      <c r="AX203" s="2"/>
      <c r="AY203" s="2"/>
      <c r="AZ203" s="17"/>
      <c r="BA203" s="1"/>
      <c r="BB203" s="1"/>
      <c r="BC203" s="1"/>
      <c r="BD203" s="1"/>
      <c r="BE203" s="18"/>
      <c r="BF203" s="2">
        <f t="shared" si="74"/>
        <v>0</v>
      </c>
      <c r="BG203" s="6"/>
      <c r="BH203" s="6"/>
    </row>
    <row r="204" spans="1:60" ht="12.75" customHeight="1" x14ac:dyDescent="0.2">
      <c r="A204" s="19">
        <v>400</v>
      </c>
      <c r="B204" s="19" t="s">
        <v>955</v>
      </c>
      <c r="C204" s="19" t="s">
        <v>926</v>
      </c>
      <c r="D204" s="20" t="s">
        <v>732</v>
      </c>
      <c r="E204" s="20"/>
      <c r="F204" s="21"/>
      <c r="G204" s="21"/>
      <c r="H204" s="21"/>
      <c r="I204" s="21"/>
      <c r="J204" s="21"/>
      <c r="K204" s="21"/>
      <c r="L204" s="21"/>
      <c r="M204" s="21"/>
      <c r="N204" s="32" t="s">
        <v>1032</v>
      </c>
      <c r="O204" s="22" t="s">
        <v>5</v>
      </c>
      <c r="P204" s="23">
        <v>2</v>
      </c>
      <c r="Q204" s="34">
        <f t="shared" si="65"/>
        <v>1.492</v>
      </c>
      <c r="R204" s="39"/>
      <c r="S204" s="39">
        <f>IF(O204="","",IF(O204="NA","",IF(O204="Mini disjuntor + DR",0.92,IF(O204="Mini disjuntor",0.92,IF(O204="Disjuntor Motor",0.92,IF(O204="Disjuntor C.M.",0.92,IF(O204="Disjuntor C.A.",0.92,IFERROR(VLOOKUP('Lista de Cargas'!P204,Motores!$B$9:$T$48,19,FALSE),"Erro"))))))))</f>
        <v>0.78</v>
      </c>
      <c r="T204" s="40">
        <f>IF(O204="","",IF(O204="NA","",IF(O204="Mini disjuntor + DR",100%,IF(O204="Mini disjuntor",100%,IF(O204="Disjuntor Motor",0.92,IF(O204="Disjuntor C.M.",100%,IF(O204="Disjuntor C.A.",100%,IFERROR(VLOOKUP('Lista de Cargas'!P204,Motores!$B$9:$T$48,16,FALSE)/100,"Erro"))))))))</f>
        <v>0.84200000000000008</v>
      </c>
      <c r="U204" s="40" t="s">
        <v>445</v>
      </c>
      <c r="V204" s="39">
        <v>440</v>
      </c>
      <c r="W204" s="2">
        <f t="shared" si="71"/>
        <v>2.9809097332875214</v>
      </c>
      <c r="X204" s="2">
        <f t="shared" si="66"/>
        <v>1.9128205128205127</v>
      </c>
      <c r="Y204" s="2">
        <f t="shared" si="72"/>
        <v>4.4713645999312819</v>
      </c>
      <c r="Z204" s="1"/>
      <c r="AA204" s="1"/>
      <c r="AB204" s="1">
        <v>120</v>
      </c>
      <c r="AC204" s="1"/>
      <c r="AD204" s="1"/>
      <c r="AE204" s="1"/>
      <c r="AF204" s="1"/>
      <c r="AG204" s="1">
        <f t="shared" si="67"/>
        <v>120</v>
      </c>
      <c r="AH204" s="1">
        <v>1</v>
      </c>
      <c r="AI204" s="1" t="s">
        <v>1054</v>
      </c>
      <c r="AJ204" s="1">
        <f t="shared" si="68"/>
        <v>120</v>
      </c>
      <c r="AK204" s="1">
        <v>0</v>
      </c>
      <c r="AL204" s="1" t="s">
        <v>118</v>
      </c>
      <c r="AM204" s="1">
        <f t="shared" si="69"/>
        <v>0</v>
      </c>
      <c r="AN204" s="1">
        <v>0</v>
      </c>
      <c r="AO204" s="1" t="s">
        <v>118</v>
      </c>
      <c r="AP204" s="1">
        <f t="shared" si="70"/>
        <v>0</v>
      </c>
      <c r="AQ204" s="1" t="s">
        <v>57</v>
      </c>
      <c r="AR204" s="1" t="str">
        <f t="shared" si="73"/>
        <v>3/4"</v>
      </c>
      <c r="AS204" s="1">
        <v>1</v>
      </c>
      <c r="AT204" s="1"/>
      <c r="AU204" s="1"/>
      <c r="AV204" s="17"/>
      <c r="AW204" s="2"/>
      <c r="AX204" s="2"/>
      <c r="AY204" s="2"/>
      <c r="AZ204" s="17"/>
      <c r="BA204" s="1"/>
      <c r="BB204" s="1"/>
      <c r="BC204" s="1"/>
      <c r="BD204" s="1"/>
      <c r="BE204" s="18"/>
      <c r="BF204" s="2">
        <f t="shared" si="74"/>
        <v>0</v>
      </c>
      <c r="BG204" s="6"/>
      <c r="BH204" s="6"/>
    </row>
    <row r="205" spans="1:60" ht="12.75" customHeight="1" x14ac:dyDescent="0.2">
      <c r="A205" s="19">
        <v>400</v>
      </c>
      <c r="B205" s="19" t="s">
        <v>955</v>
      </c>
      <c r="C205" s="19" t="s">
        <v>927</v>
      </c>
      <c r="D205" s="20" t="s">
        <v>732</v>
      </c>
      <c r="E205" s="20"/>
      <c r="F205" s="21"/>
      <c r="G205" s="21"/>
      <c r="H205" s="21"/>
      <c r="I205" s="21"/>
      <c r="J205" s="21"/>
      <c r="K205" s="21"/>
      <c r="L205" s="21"/>
      <c r="M205" s="21"/>
      <c r="N205" s="32" t="s">
        <v>1032</v>
      </c>
      <c r="O205" s="22" t="s">
        <v>5</v>
      </c>
      <c r="P205" s="23">
        <v>2</v>
      </c>
      <c r="Q205" s="34">
        <f t="shared" si="65"/>
        <v>1.492</v>
      </c>
      <c r="R205" s="39"/>
      <c r="S205" s="39">
        <f>IF(O205="","",IF(O205="NA","",IF(O205="Mini disjuntor + DR",0.92,IF(O205="Mini disjuntor",0.92,IF(O205="Disjuntor Motor",0.92,IF(O205="Disjuntor C.M.",0.92,IF(O205="Disjuntor C.A.",0.92,IFERROR(VLOOKUP('Lista de Cargas'!P205,Motores!$B$9:$T$48,19,FALSE),"Erro"))))))))</f>
        <v>0.78</v>
      </c>
      <c r="T205" s="40">
        <f>IF(O205="","",IF(O205="NA","",IF(O205="Mini disjuntor + DR",100%,IF(O205="Mini disjuntor",100%,IF(O205="Disjuntor Motor",0.92,IF(O205="Disjuntor C.M.",100%,IF(O205="Disjuntor C.A.",100%,IFERROR(VLOOKUP('Lista de Cargas'!P205,Motores!$B$9:$T$48,16,FALSE)/100,"Erro"))))))))</f>
        <v>0.84200000000000008</v>
      </c>
      <c r="U205" s="40" t="s">
        <v>445</v>
      </c>
      <c r="V205" s="39">
        <v>440</v>
      </c>
      <c r="W205" s="2">
        <f t="shared" si="71"/>
        <v>2.9809097332875214</v>
      </c>
      <c r="X205" s="2">
        <f t="shared" si="66"/>
        <v>1.9128205128205127</v>
      </c>
      <c r="Y205" s="2">
        <f t="shared" si="72"/>
        <v>4.4713645999312819</v>
      </c>
      <c r="Z205" s="1"/>
      <c r="AA205" s="1"/>
      <c r="AB205" s="1">
        <v>120</v>
      </c>
      <c r="AC205" s="1"/>
      <c r="AD205" s="1"/>
      <c r="AE205" s="1"/>
      <c r="AF205" s="1"/>
      <c r="AG205" s="1">
        <f t="shared" si="67"/>
        <v>120</v>
      </c>
      <c r="AH205" s="1">
        <v>1</v>
      </c>
      <c r="AI205" s="1" t="s">
        <v>1054</v>
      </c>
      <c r="AJ205" s="1">
        <f t="shared" si="68"/>
        <v>120</v>
      </c>
      <c r="AK205" s="1">
        <v>0</v>
      </c>
      <c r="AL205" s="1" t="s">
        <v>118</v>
      </c>
      <c r="AM205" s="1">
        <f t="shared" si="69"/>
        <v>0</v>
      </c>
      <c r="AN205" s="1">
        <v>0</v>
      </c>
      <c r="AO205" s="1" t="s">
        <v>118</v>
      </c>
      <c r="AP205" s="1">
        <f t="shared" si="70"/>
        <v>0</v>
      </c>
      <c r="AQ205" s="1" t="s">
        <v>57</v>
      </c>
      <c r="AR205" s="1" t="str">
        <f t="shared" si="73"/>
        <v>3/4"</v>
      </c>
      <c r="AS205" s="1">
        <v>1</v>
      </c>
      <c r="AT205" s="1"/>
      <c r="AU205" s="1"/>
      <c r="AV205" s="17"/>
      <c r="AW205" s="2"/>
      <c r="AX205" s="2"/>
      <c r="AY205" s="2"/>
      <c r="AZ205" s="17"/>
      <c r="BA205" s="1"/>
      <c r="BB205" s="1"/>
      <c r="BC205" s="1"/>
      <c r="BD205" s="1"/>
      <c r="BE205" s="18"/>
      <c r="BF205" s="2">
        <f t="shared" si="74"/>
        <v>0</v>
      </c>
      <c r="BG205" s="6"/>
      <c r="BH205" s="6"/>
    </row>
    <row r="206" spans="1:60" ht="12.75" customHeight="1" x14ac:dyDescent="0.2">
      <c r="A206" s="19">
        <v>400</v>
      </c>
      <c r="B206" s="19" t="s">
        <v>955</v>
      </c>
      <c r="C206" s="19" t="s">
        <v>928</v>
      </c>
      <c r="D206" s="20" t="s">
        <v>732</v>
      </c>
      <c r="E206" s="20"/>
      <c r="F206" s="21"/>
      <c r="G206" s="21"/>
      <c r="H206" s="21"/>
      <c r="I206" s="21"/>
      <c r="J206" s="21"/>
      <c r="K206" s="21"/>
      <c r="L206" s="21"/>
      <c r="M206" s="21"/>
      <c r="N206" s="32" t="s">
        <v>1032</v>
      </c>
      <c r="O206" s="22" t="s">
        <v>5</v>
      </c>
      <c r="P206" s="23">
        <v>2</v>
      </c>
      <c r="Q206" s="34">
        <f t="shared" si="65"/>
        <v>1.492</v>
      </c>
      <c r="R206" s="39"/>
      <c r="S206" s="39">
        <f>IF(O206="","",IF(O206="NA","",IF(O206="Mini disjuntor + DR",0.92,IF(O206="Mini disjuntor",0.92,IF(O206="Disjuntor Motor",0.92,IF(O206="Disjuntor C.M.",0.92,IF(O206="Disjuntor C.A.",0.92,IFERROR(VLOOKUP('Lista de Cargas'!P206,Motores!$B$9:$T$48,19,FALSE),"Erro"))))))))</f>
        <v>0.78</v>
      </c>
      <c r="T206" s="40">
        <f>IF(O206="","",IF(O206="NA","",IF(O206="Mini disjuntor + DR",100%,IF(O206="Mini disjuntor",100%,IF(O206="Disjuntor Motor",0.92,IF(O206="Disjuntor C.M.",100%,IF(O206="Disjuntor C.A.",100%,IFERROR(VLOOKUP('Lista de Cargas'!P206,Motores!$B$9:$T$48,16,FALSE)/100,"Erro"))))))))</f>
        <v>0.84200000000000008</v>
      </c>
      <c r="U206" s="40" t="s">
        <v>445</v>
      </c>
      <c r="V206" s="39">
        <v>440</v>
      </c>
      <c r="W206" s="2">
        <f t="shared" si="71"/>
        <v>2.9809097332875214</v>
      </c>
      <c r="X206" s="2">
        <f t="shared" si="66"/>
        <v>1.9128205128205127</v>
      </c>
      <c r="Y206" s="2">
        <f t="shared" si="72"/>
        <v>4.4713645999312819</v>
      </c>
      <c r="Z206" s="1"/>
      <c r="AA206" s="1"/>
      <c r="AB206" s="1">
        <v>120</v>
      </c>
      <c r="AC206" s="1"/>
      <c r="AD206" s="1"/>
      <c r="AE206" s="1"/>
      <c r="AF206" s="1"/>
      <c r="AG206" s="1">
        <f t="shared" si="67"/>
        <v>120</v>
      </c>
      <c r="AH206" s="1">
        <v>1</v>
      </c>
      <c r="AI206" s="1" t="s">
        <v>1054</v>
      </c>
      <c r="AJ206" s="1">
        <f t="shared" si="68"/>
        <v>120</v>
      </c>
      <c r="AK206" s="1">
        <v>0</v>
      </c>
      <c r="AL206" s="1" t="s">
        <v>118</v>
      </c>
      <c r="AM206" s="1">
        <f t="shared" si="69"/>
        <v>0</v>
      </c>
      <c r="AN206" s="1">
        <v>0</v>
      </c>
      <c r="AO206" s="1" t="s">
        <v>118</v>
      </c>
      <c r="AP206" s="1">
        <f t="shared" si="70"/>
        <v>0</v>
      </c>
      <c r="AQ206" s="1" t="s">
        <v>57</v>
      </c>
      <c r="AR206" s="1" t="str">
        <f t="shared" si="73"/>
        <v>3/4"</v>
      </c>
      <c r="AS206" s="1">
        <v>1</v>
      </c>
      <c r="AT206" s="1"/>
      <c r="AU206" s="1"/>
      <c r="AV206" s="17"/>
      <c r="AW206" s="2"/>
      <c r="AX206" s="2"/>
      <c r="AY206" s="2"/>
      <c r="AZ206" s="17"/>
      <c r="BA206" s="1"/>
      <c r="BB206" s="1"/>
      <c r="BC206" s="1"/>
      <c r="BD206" s="1"/>
      <c r="BE206" s="18"/>
      <c r="BF206" s="2">
        <f t="shared" si="74"/>
        <v>0</v>
      </c>
      <c r="BG206" s="6"/>
      <c r="BH206" s="6"/>
    </row>
    <row r="207" spans="1:60" ht="12.75" customHeight="1" x14ac:dyDescent="0.2">
      <c r="A207" s="19">
        <v>400</v>
      </c>
      <c r="B207" s="19" t="s">
        <v>955</v>
      </c>
      <c r="C207" s="19" t="s">
        <v>555</v>
      </c>
      <c r="D207" s="20" t="s">
        <v>733</v>
      </c>
      <c r="E207" s="20"/>
      <c r="F207" s="21"/>
      <c r="G207" s="21"/>
      <c r="H207" s="21"/>
      <c r="I207" s="21"/>
      <c r="J207" s="21"/>
      <c r="K207" s="21"/>
      <c r="L207" s="21"/>
      <c r="M207" s="21"/>
      <c r="N207" s="32" t="s">
        <v>1032</v>
      </c>
      <c r="O207" s="22" t="s">
        <v>5</v>
      </c>
      <c r="P207" s="23">
        <v>15</v>
      </c>
      <c r="Q207" s="34">
        <f t="shared" si="65"/>
        <v>11.19</v>
      </c>
      <c r="R207" s="39"/>
      <c r="S207" s="39">
        <f>IF(O207="","",IF(O207="NA","",IF(O207="Mini disjuntor + DR",0.92,IF(O207="Mini disjuntor",0.92,IF(O207="Disjuntor Motor",0.92,IF(O207="Disjuntor C.M.",0.92,IF(O207="Disjuntor C.A.",0.92,IFERROR(VLOOKUP('Lista de Cargas'!P207,Motores!$B$9:$T$48,19,FALSE),"Erro"))))))))</f>
        <v>0.85</v>
      </c>
      <c r="T207" s="40">
        <f>IF(O207="","",IF(O207="NA","",IF(O207="Mini disjuntor + DR",100%,IF(O207="Mini disjuntor",100%,IF(O207="Disjuntor Motor",0.92,IF(O207="Disjuntor C.M.",100%,IF(O207="Disjuntor C.A.",100%,IFERROR(VLOOKUP('Lista de Cargas'!P207,Motores!$B$9:$T$48,16,FALSE)/100,"Erro"))))))))</f>
        <v>0.91700000000000004</v>
      </c>
      <c r="U207" s="40" t="s">
        <v>445</v>
      </c>
      <c r="V207" s="39">
        <v>440</v>
      </c>
      <c r="W207" s="2">
        <f t="shared" si="71"/>
        <v>18.837727979029246</v>
      </c>
      <c r="X207" s="2">
        <f t="shared" si="66"/>
        <v>13.164705882352941</v>
      </c>
      <c r="Y207" s="2">
        <f t="shared" si="72"/>
        <v>28.256591968543869</v>
      </c>
      <c r="Z207" s="1"/>
      <c r="AA207" s="1"/>
      <c r="AB207" s="1">
        <v>120</v>
      </c>
      <c r="AC207" s="1"/>
      <c r="AD207" s="1"/>
      <c r="AE207" s="1"/>
      <c r="AF207" s="1"/>
      <c r="AG207" s="1">
        <f t="shared" si="67"/>
        <v>120</v>
      </c>
      <c r="AH207" s="1">
        <v>1</v>
      </c>
      <c r="AI207" s="1" t="s">
        <v>1062</v>
      </c>
      <c r="AJ207" s="1">
        <f t="shared" si="68"/>
        <v>120</v>
      </c>
      <c r="AK207" s="1">
        <v>0</v>
      </c>
      <c r="AL207" s="1" t="s">
        <v>118</v>
      </c>
      <c r="AM207" s="1">
        <f t="shared" si="69"/>
        <v>0</v>
      </c>
      <c r="AN207" s="1">
        <v>0</v>
      </c>
      <c r="AO207" s="1" t="s">
        <v>118</v>
      </c>
      <c r="AP207" s="1">
        <f t="shared" si="70"/>
        <v>0</v>
      </c>
      <c r="AQ207" s="1" t="s">
        <v>69</v>
      </c>
      <c r="AR207" s="1" t="str">
        <f t="shared" si="73"/>
        <v>1"</v>
      </c>
      <c r="AS207" s="1">
        <v>1</v>
      </c>
      <c r="AT207" s="1"/>
      <c r="AU207" s="1"/>
      <c r="AV207" s="17"/>
      <c r="AW207" s="2"/>
      <c r="AX207" s="2"/>
      <c r="AY207" s="2"/>
      <c r="AZ207" s="17"/>
      <c r="BA207" s="1"/>
      <c r="BB207" s="1"/>
      <c r="BC207" s="1"/>
      <c r="BD207" s="1"/>
      <c r="BE207" s="18"/>
      <c r="BF207" s="2">
        <f t="shared" si="74"/>
        <v>0</v>
      </c>
      <c r="BG207" s="6"/>
      <c r="BH207" s="6"/>
    </row>
    <row r="208" spans="1:60" ht="12.75" customHeight="1" x14ac:dyDescent="0.2">
      <c r="A208" s="19">
        <v>400</v>
      </c>
      <c r="B208" s="19" t="s">
        <v>955</v>
      </c>
      <c r="C208" s="19" t="s">
        <v>555</v>
      </c>
      <c r="D208" s="20" t="s">
        <v>733</v>
      </c>
      <c r="E208" s="20"/>
      <c r="F208" s="21"/>
      <c r="G208" s="21"/>
      <c r="H208" s="21"/>
      <c r="I208" s="21"/>
      <c r="J208" s="21"/>
      <c r="K208" s="21"/>
      <c r="L208" s="21"/>
      <c r="M208" s="21"/>
      <c r="N208" s="32" t="s">
        <v>1032</v>
      </c>
      <c r="O208" s="22" t="s">
        <v>5</v>
      </c>
      <c r="P208" s="23">
        <v>15</v>
      </c>
      <c r="Q208" s="34">
        <f t="shared" si="65"/>
        <v>11.19</v>
      </c>
      <c r="R208" s="39"/>
      <c r="S208" s="39">
        <f>IF(O208="","",IF(O208="NA","",IF(O208="Mini disjuntor + DR",0.92,IF(O208="Mini disjuntor",0.92,IF(O208="Disjuntor Motor",0.92,IF(O208="Disjuntor C.M.",0.92,IF(O208="Disjuntor C.A.",0.92,IFERROR(VLOOKUP('Lista de Cargas'!P208,Motores!$B$9:$T$48,19,FALSE),"Erro"))))))))</f>
        <v>0.85</v>
      </c>
      <c r="T208" s="40">
        <f>IF(O208="","",IF(O208="NA","",IF(O208="Mini disjuntor + DR",100%,IF(O208="Mini disjuntor",100%,IF(O208="Disjuntor Motor",0.92,IF(O208="Disjuntor C.M.",100%,IF(O208="Disjuntor C.A.",100%,IFERROR(VLOOKUP('Lista de Cargas'!P208,Motores!$B$9:$T$48,16,FALSE)/100,"Erro"))))))))</f>
        <v>0.91700000000000004</v>
      </c>
      <c r="U208" s="40" t="s">
        <v>445</v>
      </c>
      <c r="V208" s="39">
        <v>440</v>
      </c>
      <c r="W208" s="2">
        <f t="shared" si="71"/>
        <v>18.837727979029246</v>
      </c>
      <c r="X208" s="2">
        <f t="shared" si="66"/>
        <v>13.164705882352941</v>
      </c>
      <c r="Y208" s="2">
        <f t="shared" si="72"/>
        <v>28.256591968543869</v>
      </c>
      <c r="Z208" s="1"/>
      <c r="AA208" s="1"/>
      <c r="AB208" s="1">
        <v>120</v>
      </c>
      <c r="AC208" s="1"/>
      <c r="AD208" s="1"/>
      <c r="AE208" s="1"/>
      <c r="AF208" s="1"/>
      <c r="AG208" s="1">
        <f t="shared" si="67"/>
        <v>120</v>
      </c>
      <c r="AH208" s="1">
        <v>1</v>
      </c>
      <c r="AI208" s="1" t="s">
        <v>1062</v>
      </c>
      <c r="AJ208" s="1">
        <f t="shared" si="68"/>
        <v>120</v>
      </c>
      <c r="AK208" s="1">
        <v>0</v>
      </c>
      <c r="AL208" s="1" t="s">
        <v>118</v>
      </c>
      <c r="AM208" s="1">
        <f t="shared" si="69"/>
        <v>0</v>
      </c>
      <c r="AN208" s="1">
        <v>0</v>
      </c>
      <c r="AO208" s="1" t="s">
        <v>118</v>
      </c>
      <c r="AP208" s="1">
        <f t="shared" si="70"/>
        <v>0</v>
      </c>
      <c r="AQ208" s="1" t="s">
        <v>69</v>
      </c>
      <c r="AR208" s="1" t="str">
        <f t="shared" si="73"/>
        <v>1"</v>
      </c>
      <c r="AS208" s="1">
        <v>1</v>
      </c>
      <c r="AT208" s="1"/>
      <c r="AU208" s="1"/>
      <c r="AV208" s="17"/>
      <c r="AW208" s="2"/>
      <c r="AX208" s="2"/>
      <c r="AY208" s="2"/>
      <c r="AZ208" s="17"/>
      <c r="BA208" s="1"/>
      <c r="BB208" s="1"/>
      <c r="BC208" s="1"/>
      <c r="BD208" s="1"/>
      <c r="BE208" s="18"/>
      <c r="BF208" s="2">
        <f t="shared" si="74"/>
        <v>0</v>
      </c>
      <c r="BG208" s="6"/>
      <c r="BH208" s="6"/>
    </row>
    <row r="209" spans="1:60" ht="12.75" customHeight="1" x14ac:dyDescent="0.2">
      <c r="A209" s="19">
        <v>400</v>
      </c>
      <c r="B209" s="19" t="s">
        <v>955</v>
      </c>
      <c r="C209" s="19" t="s">
        <v>556</v>
      </c>
      <c r="D209" s="20" t="s">
        <v>734</v>
      </c>
      <c r="E209" s="20"/>
      <c r="F209" s="21"/>
      <c r="G209" s="21"/>
      <c r="H209" s="21"/>
      <c r="I209" s="21"/>
      <c r="J209" s="21"/>
      <c r="K209" s="21"/>
      <c r="L209" s="21"/>
      <c r="M209" s="21"/>
      <c r="N209" s="32" t="s">
        <v>1032</v>
      </c>
      <c r="O209" s="22" t="s">
        <v>5</v>
      </c>
      <c r="P209" s="23">
        <v>7.5</v>
      </c>
      <c r="Q209" s="34">
        <f t="shared" si="65"/>
        <v>5.5949999999999998</v>
      </c>
      <c r="R209" s="39"/>
      <c r="S209" s="39">
        <f>IF(O209="","",IF(O209="NA","",IF(O209="Mini disjuntor + DR",0.92,IF(O209="Mini disjuntor",0.92,IF(O209="Disjuntor Motor",0.92,IF(O209="Disjuntor C.M.",0.92,IF(O209="Disjuntor C.A.",0.92,IFERROR(VLOOKUP('Lista de Cargas'!P209,Motores!$B$9:$T$48,19,FALSE),"Erro"))))))))</f>
        <v>0.79</v>
      </c>
      <c r="T209" s="40">
        <f>IF(O209="","",IF(O209="NA","",IF(O209="Mini disjuntor + DR",100%,IF(O209="Mini disjuntor",100%,IF(O209="Disjuntor Motor",0.92,IF(O209="Disjuntor C.M.",100%,IF(O209="Disjuntor C.A.",100%,IFERROR(VLOOKUP('Lista de Cargas'!P209,Motores!$B$9:$T$48,16,FALSE)/100,"Erro"))))))))</f>
        <v>0.9</v>
      </c>
      <c r="U209" s="40" t="s">
        <v>445</v>
      </c>
      <c r="V209" s="39">
        <v>440</v>
      </c>
      <c r="W209" s="2">
        <f t="shared" si="71"/>
        <v>10.325644917900386</v>
      </c>
      <c r="X209" s="2">
        <f t="shared" si="66"/>
        <v>7.0822784810126578</v>
      </c>
      <c r="Y209" s="2">
        <f t="shared" si="72"/>
        <v>15.488467376850579</v>
      </c>
      <c r="Z209" s="1"/>
      <c r="AA209" s="1"/>
      <c r="AB209" s="1">
        <v>120</v>
      </c>
      <c r="AC209" s="1"/>
      <c r="AD209" s="1"/>
      <c r="AE209" s="1"/>
      <c r="AF209" s="1"/>
      <c r="AG209" s="1">
        <f t="shared" si="67"/>
        <v>120</v>
      </c>
      <c r="AH209" s="1">
        <v>1</v>
      </c>
      <c r="AI209" s="1" t="s">
        <v>1054</v>
      </c>
      <c r="AJ209" s="1">
        <f t="shared" si="68"/>
        <v>120</v>
      </c>
      <c r="AK209" s="1">
        <v>0</v>
      </c>
      <c r="AL209" s="1" t="s">
        <v>118</v>
      </c>
      <c r="AM209" s="1">
        <f t="shared" si="69"/>
        <v>0</v>
      </c>
      <c r="AN209" s="1">
        <v>0</v>
      </c>
      <c r="AO209" s="1" t="s">
        <v>118</v>
      </c>
      <c r="AP209" s="1">
        <f t="shared" si="70"/>
        <v>0</v>
      </c>
      <c r="AQ209" s="1" t="s">
        <v>57</v>
      </c>
      <c r="AR209" s="1" t="str">
        <f t="shared" si="73"/>
        <v>3/4"</v>
      </c>
      <c r="AS209" s="1">
        <v>1</v>
      </c>
      <c r="AT209" s="1"/>
      <c r="AU209" s="1"/>
      <c r="AV209" s="17"/>
      <c r="AW209" s="2"/>
      <c r="AX209" s="2"/>
      <c r="AY209" s="2"/>
      <c r="AZ209" s="17"/>
      <c r="BA209" s="1"/>
      <c r="BB209" s="1"/>
      <c r="BC209" s="1"/>
      <c r="BD209" s="1"/>
      <c r="BE209" s="18"/>
      <c r="BF209" s="2">
        <f t="shared" si="74"/>
        <v>0</v>
      </c>
      <c r="BG209" s="6"/>
      <c r="BH209" s="6"/>
    </row>
    <row r="210" spans="1:60" ht="12.75" customHeight="1" x14ac:dyDescent="0.2">
      <c r="A210" s="19">
        <v>400</v>
      </c>
      <c r="B210" s="19" t="s">
        <v>955</v>
      </c>
      <c r="C210" s="19" t="s">
        <v>557</v>
      </c>
      <c r="D210" s="20" t="s">
        <v>735</v>
      </c>
      <c r="E210" s="20"/>
      <c r="F210" s="21"/>
      <c r="G210" s="21"/>
      <c r="H210" s="21"/>
      <c r="I210" s="21"/>
      <c r="J210" s="21"/>
      <c r="K210" s="21"/>
      <c r="L210" s="21"/>
      <c r="M210" s="21"/>
      <c r="N210" s="32" t="s">
        <v>1032</v>
      </c>
      <c r="O210" s="22" t="s">
        <v>5</v>
      </c>
      <c r="P210" s="23">
        <v>15</v>
      </c>
      <c r="Q210" s="34">
        <f t="shared" si="65"/>
        <v>11.19</v>
      </c>
      <c r="R210" s="39"/>
      <c r="S210" s="39">
        <f>IF(O210="","",IF(O210="NA","",IF(O210="Mini disjuntor + DR",0.92,IF(O210="Mini disjuntor",0.92,IF(O210="Disjuntor Motor",0.92,IF(O210="Disjuntor C.M.",0.92,IF(O210="Disjuntor C.A.",0.92,IFERROR(VLOOKUP('Lista de Cargas'!P210,Motores!$B$9:$T$48,19,FALSE),"Erro"))))))))</f>
        <v>0.85</v>
      </c>
      <c r="T210" s="40">
        <f>IF(O210="","",IF(O210="NA","",IF(O210="Mini disjuntor + DR",100%,IF(O210="Mini disjuntor",100%,IF(O210="Disjuntor Motor",0.92,IF(O210="Disjuntor C.M.",100%,IF(O210="Disjuntor C.A.",100%,IFERROR(VLOOKUP('Lista de Cargas'!P210,Motores!$B$9:$T$48,16,FALSE)/100,"Erro"))))))))</f>
        <v>0.91700000000000004</v>
      </c>
      <c r="U210" s="40" t="s">
        <v>445</v>
      </c>
      <c r="V210" s="39">
        <v>440</v>
      </c>
      <c r="W210" s="2">
        <f t="shared" si="71"/>
        <v>18.837727979029246</v>
      </c>
      <c r="X210" s="2">
        <f t="shared" si="66"/>
        <v>13.164705882352941</v>
      </c>
      <c r="Y210" s="2">
        <f t="shared" si="72"/>
        <v>28.256591968543869</v>
      </c>
      <c r="Z210" s="1"/>
      <c r="AA210" s="1"/>
      <c r="AB210" s="1">
        <v>150</v>
      </c>
      <c r="AC210" s="1"/>
      <c r="AD210" s="1"/>
      <c r="AE210" s="1"/>
      <c r="AF210" s="1"/>
      <c r="AG210" s="1">
        <f t="shared" si="67"/>
        <v>150</v>
      </c>
      <c r="AH210" s="1">
        <v>1</v>
      </c>
      <c r="AI210" s="1" t="s">
        <v>1057</v>
      </c>
      <c r="AJ210" s="1">
        <f t="shared" si="68"/>
        <v>150</v>
      </c>
      <c r="AK210" s="1">
        <v>0</v>
      </c>
      <c r="AL210" s="1" t="s">
        <v>118</v>
      </c>
      <c r="AM210" s="1">
        <f t="shared" si="69"/>
        <v>0</v>
      </c>
      <c r="AN210" s="1">
        <v>0</v>
      </c>
      <c r="AO210" s="1" t="s">
        <v>118</v>
      </c>
      <c r="AP210" s="1">
        <f t="shared" si="70"/>
        <v>0</v>
      </c>
      <c r="AQ210" s="1" t="s">
        <v>60</v>
      </c>
      <c r="AR210" s="1" t="str">
        <f t="shared" si="73"/>
        <v>1"</v>
      </c>
      <c r="AS210" s="1">
        <v>1</v>
      </c>
      <c r="AT210" s="1"/>
      <c r="AU210" s="1"/>
      <c r="AV210" s="17"/>
      <c r="AW210" s="2"/>
      <c r="AX210" s="2"/>
      <c r="AY210" s="2"/>
      <c r="AZ210" s="17"/>
      <c r="BA210" s="1"/>
      <c r="BB210" s="1"/>
      <c r="BC210" s="1"/>
      <c r="BD210" s="1"/>
      <c r="BE210" s="18"/>
      <c r="BF210" s="2">
        <f t="shared" si="74"/>
        <v>0</v>
      </c>
      <c r="BG210" s="6"/>
      <c r="BH210" s="6"/>
    </row>
    <row r="211" spans="1:60" ht="12.75" customHeight="1" x14ac:dyDescent="0.2">
      <c r="A211" s="19">
        <v>400</v>
      </c>
      <c r="B211" s="19" t="s">
        <v>955</v>
      </c>
      <c r="C211" s="19" t="s">
        <v>558</v>
      </c>
      <c r="D211" s="20" t="s">
        <v>736</v>
      </c>
      <c r="E211" s="20"/>
      <c r="F211" s="21"/>
      <c r="G211" s="21"/>
      <c r="H211" s="21"/>
      <c r="I211" s="21"/>
      <c r="J211" s="21"/>
      <c r="K211" s="21"/>
      <c r="L211" s="21"/>
      <c r="M211" s="21"/>
      <c r="N211" s="32" t="s">
        <v>1032</v>
      </c>
      <c r="O211" s="22" t="s">
        <v>5</v>
      </c>
      <c r="P211" s="23">
        <v>40</v>
      </c>
      <c r="Q211" s="34">
        <f t="shared" si="65"/>
        <v>29.84</v>
      </c>
      <c r="R211" s="39"/>
      <c r="S211" s="39">
        <f>IF(O211="","",IF(O211="NA","",IF(O211="Mini disjuntor + DR",0.92,IF(O211="Mini disjuntor",0.92,IF(O211="Disjuntor Motor",0.92,IF(O211="Disjuntor C.M.",0.92,IF(O211="Disjuntor C.A.",0.92,IFERROR(VLOOKUP('Lista de Cargas'!P211,Motores!$B$9:$T$48,19,FALSE),"Erro"))))))))</f>
        <v>0.85</v>
      </c>
      <c r="T211" s="40">
        <f>IF(O211="","",IF(O211="NA","",IF(O211="Mini disjuntor + DR",100%,IF(O211="Mini disjuntor",100%,IF(O211="Disjuntor Motor",0.92,IF(O211="Disjuntor C.M.",100%,IF(O211="Disjuntor C.A.",100%,IFERROR(VLOOKUP('Lista de Cargas'!P211,Motores!$B$9:$T$48,16,FALSE)/100,"Erro"))))))))</f>
        <v>0.93400000000000005</v>
      </c>
      <c r="U211" s="40" t="s">
        <v>445</v>
      </c>
      <c r="V211" s="39">
        <v>440</v>
      </c>
      <c r="W211" s="2">
        <f t="shared" si="71"/>
        <v>49.319619005766796</v>
      </c>
      <c r="X211" s="2">
        <f t="shared" si="66"/>
        <v>35.10588235294118</v>
      </c>
      <c r="Y211" s="2">
        <f t="shared" si="72"/>
        <v>73.979428508650187</v>
      </c>
      <c r="Z211" s="1"/>
      <c r="AA211" s="1"/>
      <c r="AB211" s="1">
        <v>120</v>
      </c>
      <c r="AC211" s="1"/>
      <c r="AD211" s="1"/>
      <c r="AE211" s="1"/>
      <c r="AF211" s="1"/>
      <c r="AG211" s="1">
        <f t="shared" si="67"/>
        <v>120</v>
      </c>
      <c r="AH211" s="1">
        <v>1</v>
      </c>
      <c r="AI211" s="1" t="s">
        <v>1067</v>
      </c>
      <c r="AJ211" s="1">
        <f t="shared" si="68"/>
        <v>120</v>
      </c>
      <c r="AK211" s="1">
        <v>0</v>
      </c>
      <c r="AL211" s="1" t="s">
        <v>118</v>
      </c>
      <c r="AM211" s="1">
        <f t="shared" si="69"/>
        <v>0</v>
      </c>
      <c r="AN211" s="1">
        <v>0</v>
      </c>
      <c r="AO211" s="1" t="s">
        <v>118</v>
      </c>
      <c r="AP211" s="1">
        <f t="shared" si="70"/>
        <v>0</v>
      </c>
      <c r="AQ211" s="1" t="s">
        <v>71</v>
      </c>
      <c r="AR211" s="1" t="str">
        <f t="shared" si="73"/>
        <v>1.1/2"</v>
      </c>
      <c r="AS211" s="1">
        <v>1</v>
      </c>
      <c r="AT211" s="1"/>
      <c r="AU211" s="1"/>
      <c r="AV211" s="17"/>
      <c r="AW211" s="2"/>
      <c r="AX211" s="2"/>
      <c r="AY211" s="2"/>
      <c r="AZ211" s="17"/>
      <c r="BA211" s="1"/>
      <c r="BB211" s="1"/>
      <c r="BC211" s="1"/>
      <c r="BD211" s="1"/>
      <c r="BE211" s="18"/>
      <c r="BF211" s="2">
        <f t="shared" si="74"/>
        <v>0</v>
      </c>
      <c r="BG211" s="6"/>
      <c r="BH211" s="6"/>
    </row>
    <row r="212" spans="1:60" s="133" customFormat="1" ht="12.75" customHeight="1" x14ac:dyDescent="0.2">
      <c r="A212" s="119">
        <v>400</v>
      </c>
      <c r="B212" s="119" t="s">
        <v>955</v>
      </c>
      <c r="C212" s="119" t="s">
        <v>559</v>
      </c>
      <c r="D212" s="120" t="s">
        <v>702</v>
      </c>
      <c r="E212" s="120"/>
      <c r="F212" s="121"/>
      <c r="G212" s="121"/>
      <c r="H212" s="121"/>
      <c r="I212" s="121"/>
      <c r="J212" s="121"/>
      <c r="K212" s="121"/>
      <c r="L212" s="121"/>
      <c r="M212" s="121"/>
      <c r="N212" s="122" t="s">
        <v>1038</v>
      </c>
      <c r="O212" s="123" t="s">
        <v>5</v>
      </c>
      <c r="P212" s="124">
        <v>25</v>
      </c>
      <c r="Q212" s="125">
        <f t="shared" si="65"/>
        <v>18.649999999999999</v>
      </c>
      <c r="R212" s="126"/>
      <c r="S212" s="126">
        <f>IF(O212="","",IF(O212="NA","",IF(O212="Mini disjuntor + DR",0.92,IF(O212="Mini disjuntor",0.92,IF(O212="Disjuntor Motor",0.92,IF(O212="Disjuntor C.M.",0.92,IF(O212="Disjuntor C.A.",0.92,IFERROR(VLOOKUP('Lista de Cargas'!P212,Motores!$B$9:$T$48,19,FALSE),"Erro"))))))))</f>
        <v>0.81</v>
      </c>
      <c r="T212" s="127">
        <f>IF(O212="","",IF(O212="NA","",IF(O212="Mini disjuntor + DR",100%,IF(O212="Mini disjuntor",100%,IF(O212="Disjuntor Motor",0.92,IF(O212="Disjuntor C.M.",100%,IF(O212="Disjuntor C.A.",100%,IFERROR(VLOOKUP('Lista de Cargas'!P212,Motores!$B$9:$T$48,16,FALSE)/100,"Erro"))))))))</f>
        <v>0.92799999999999994</v>
      </c>
      <c r="U212" s="127" t="s">
        <v>445</v>
      </c>
      <c r="V212" s="126">
        <v>440</v>
      </c>
      <c r="W212" s="128">
        <f t="shared" ref="W212:W215" si="75">IFERROR(IF(U212=$U$344,(P212*746)/(SQRT(3)*S212*T212*V212),(P212*746)/(S212*T212*V212)),0)</f>
        <v>32.556112249127175</v>
      </c>
      <c r="X212" s="128">
        <f t="shared" si="66"/>
        <v>23.02469135802469</v>
      </c>
      <c r="Y212" s="128">
        <f t="shared" ref="Y212:Y215" si="76">IFERROR(IF(O212=$O$344,6*W212,IF(O212=$O$345,6*W212,IF(O212=$O$346,3*W212,IF(O212=$O$347,1.5*W212,W212)))),0)</f>
        <v>48.834168373690758</v>
      </c>
      <c r="Z212" s="129"/>
      <c r="AA212" s="129"/>
      <c r="AB212" s="129">
        <v>0</v>
      </c>
      <c r="AC212" s="129"/>
      <c r="AD212" s="129"/>
      <c r="AE212" s="129"/>
      <c r="AF212" s="129"/>
      <c r="AG212" s="129">
        <f t="shared" si="67"/>
        <v>0</v>
      </c>
      <c r="AH212" s="129"/>
      <c r="AI212" s="129"/>
      <c r="AJ212" s="129">
        <f t="shared" si="68"/>
        <v>0</v>
      </c>
      <c r="AK212" s="129"/>
      <c r="AL212" s="129"/>
      <c r="AM212" s="129">
        <f t="shared" si="69"/>
        <v>0</v>
      </c>
      <c r="AN212" s="129"/>
      <c r="AO212" s="129"/>
      <c r="AP212" s="129">
        <f t="shared" si="70"/>
        <v>0</v>
      </c>
      <c r="AQ212" s="1" t="s">
        <v>71</v>
      </c>
      <c r="AR212" s="129" t="str">
        <f t="shared" ref="AR212:AR215" si="77">IFERROR(VLOOKUP(AQ212,$O$368:$P$412,2,1),"NA")</f>
        <v>1.1/2"</v>
      </c>
      <c r="AS212" s="1">
        <v>1</v>
      </c>
      <c r="AT212" s="129"/>
      <c r="AU212" s="129"/>
      <c r="AV212" s="130"/>
      <c r="AW212" s="128"/>
      <c r="AX212" s="128"/>
      <c r="AY212" s="128"/>
      <c r="AZ212" s="130"/>
      <c r="BA212" s="129"/>
      <c r="BB212" s="129"/>
      <c r="BC212" s="129"/>
      <c r="BD212" s="129"/>
      <c r="BE212" s="131"/>
      <c r="BF212" s="128">
        <f t="shared" si="74"/>
        <v>0</v>
      </c>
      <c r="BG212" s="132"/>
      <c r="BH212" s="132"/>
    </row>
    <row r="213" spans="1:60" s="133" customFormat="1" ht="12.75" customHeight="1" x14ac:dyDescent="0.2">
      <c r="A213" s="119">
        <v>400</v>
      </c>
      <c r="B213" s="119" t="s">
        <v>955</v>
      </c>
      <c r="C213" s="119" t="s">
        <v>560</v>
      </c>
      <c r="D213" s="120" t="s">
        <v>704</v>
      </c>
      <c r="E213" s="120"/>
      <c r="F213" s="121"/>
      <c r="G213" s="121"/>
      <c r="H213" s="121"/>
      <c r="I213" s="121"/>
      <c r="J213" s="121"/>
      <c r="K213" s="121"/>
      <c r="L213" s="121"/>
      <c r="M213" s="121"/>
      <c r="N213" s="122" t="s">
        <v>1038</v>
      </c>
      <c r="O213" s="123" t="s">
        <v>5</v>
      </c>
      <c r="P213" s="124">
        <v>1</v>
      </c>
      <c r="Q213" s="125">
        <f t="shared" si="65"/>
        <v>0.746</v>
      </c>
      <c r="R213" s="126"/>
      <c r="S213" s="126">
        <f>IF(O213="","",IF(O213="NA","",IF(O213="Mini disjuntor + DR",0.92,IF(O213="Mini disjuntor",0.92,IF(O213="Disjuntor Motor",0.92,IF(O213="Disjuntor C.M.",0.92,IF(O213="Disjuntor C.A.",0.92,IFERROR(VLOOKUP('Lista de Cargas'!P213,Motores!$B$9:$T$48,19,FALSE),"Erro"))))))))</f>
        <v>0.81</v>
      </c>
      <c r="T213" s="127">
        <f>IF(O213="","",IF(O213="NA","",IF(O213="Mini disjuntor + DR",100%,IF(O213="Mini disjuntor",100%,IF(O213="Disjuntor Motor",0.92,IF(O213="Disjuntor C.M.",100%,IF(O213="Disjuntor C.A.",100%,IFERROR(VLOOKUP('Lista de Cargas'!P213,Motores!$B$9:$T$48,16,FALSE)/100,"Erro"))))))))</f>
        <v>0.80500000000000005</v>
      </c>
      <c r="U213" s="127" t="s">
        <v>445</v>
      </c>
      <c r="V213" s="126">
        <v>440</v>
      </c>
      <c r="W213" s="128">
        <f t="shared" si="75"/>
        <v>1.5012209772516776</v>
      </c>
      <c r="X213" s="128">
        <f t="shared" si="66"/>
        <v>0.92098765432098761</v>
      </c>
      <c r="Y213" s="128">
        <f t="shared" si="76"/>
        <v>2.2518314658775163</v>
      </c>
      <c r="Z213" s="129"/>
      <c r="AA213" s="129"/>
      <c r="AB213" s="129">
        <v>0</v>
      </c>
      <c r="AC213" s="129"/>
      <c r="AD213" s="129"/>
      <c r="AE213" s="129"/>
      <c r="AF213" s="129"/>
      <c r="AG213" s="129">
        <f t="shared" si="67"/>
        <v>0</v>
      </c>
      <c r="AH213" s="129"/>
      <c r="AI213" s="129"/>
      <c r="AJ213" s="129">
        <f t="shared" si="68"/>
        <v>0</v>
      </c>
      <c r="AK213" s="129"/>
      <c r="AL213" s="129"/>
      <c r="AM213" s="129">
        <f t="shared" si="69"/>
        <v>0</v>
      </c>
      <c r="AN213" s="129"/>
      <c r="AO213" s="129"/>
      <c r="AP213" s="129">
        <f t="shared" si="70"/>
        <v>0</v>
      </c>
      <c r="AQ213" s="1" t="s">
        <v>57</v>
      </c>
      <c r="AR213" s="129" t="str">
        <f t="shared" si="77"/>
        <v>3/4"</v>
      </c>
      <c r="AS213" s="1">
        <v>1</v>
      </c>
      <c r="AT213" s="129"/>
      <c r="AU213" s="129"/>
      <c r="AV213" s="130"/>
      <c r="AW213" s="128"/>
      <c r="AX213" s="128"/>
      <c r="AY213" s="128"/>
      <c r="AZ213" s="130"/>
      <c r="BA213" s="129"/>
      <c r="BB213" s="129"/>
      <c r="BC213" s="129"/>
      <c r="BD213" s="129"/>
      <c r="BE213" s="131"/>
      <c r="BF213" s="128">
        <f t="shared" si="74"/>
        <v>0</v>
      </c>
      <c r="BG213" s="132"/>
      <c r="BH213" s="132"/>
    </row>
    <row r="214" spans="1:60" s="133" customFormat="1" ht="12.75" customHeight="1" x14ac:dyDescent="0.2">
      <c r="A214" s="119">
        <v>400</v>
      </c>
      <c r="B214" s="119" t="s">
        <v>955</v>
      </c>
      <c r="C214" s="119" t="s">
        <v>561</v>
      </c>
      <c r="D214" s="120" t="s">
        <v>705</v>
      </c>
      <c r="E214" s="120"/>
      <c r="F214" s="121"/>
      <c r="G214" s="121"/>
      <c r="H214" s="121"/>
      <c r="I214" s="121"/>
      <c r="J214" s="121"/>
      <c r="K214" s="121"/>
      <c r="L214" s="121"/>
      <c r="M214" s="121"/>
      <c r="N214" s="122" t="s">
        <v>1038</v>
      </c>
      <c r="O214" s="123" t="s">
        <v>5</v>
      </c>
      <c r="P214" s="124">
        <v>0.75</v>
      </c>
      <c r="Q214" s="125">
        <f t="shared" si="65"/>
        <v>0.5595</v>
      </c>
      <c r="R214" s="126"/>
      <c r="S214" s="126">
        <f>IF(O214="","",IF(O214="NA","",IF(O214="Mini disjuntor + DR",0.92,IF(O214="Mini disjuntor",0.92,IF(O214="Disjuntor Motor",0.92,IF(O214="Disjuntor C.M.",0.92,IF(O214="Disjuntor C.A.",0.92,IFERROR(VLOOKUP('Lista de Cargas'!P214,Motores!$B$9:$T$48,19,FALSE),"Erro"))))))))</f>
        <v>0.66</v>
      </c>
      <c r="T214" s="127">
        <f>IF(O214="","",IF(O214="NA","",IF(O214="Mini disjuntor + DR",100%,IF(O214="Mini disjuntor",100%,IF(O214="Disjuntor Motor",0.92,IF(O214="Disjuntor C.M.",100%,IF(O214="Disjuntor C.A.",100%,IFERROR(VLOOKUP('Lista de Cargas'!P214,Motores!$B$9:$T$48,16,FALSE)/100,"Erro"))))))))</f>
        <v>0.72</v>
      </c>
      <c r="U214" s="127" t="s">
        <v>445</v>
      </c>
      <c r="V214" s="126">
        <v>440</v>
      </c>
      <c r="W214" s="128">
        <f t="shared" si="75"/>
        <v>1.5449355085494896</v>
      </c>
      <c r="X214" s="128">
        <f t="shared" si="66"/>
        <v>0.84772727272727266</v>
      </c>
      <c r="Y214" s="128">
        <f t="shared" si="76"/>
        <v>2.3174032628242345</v>
      </c>
      <c r="Z214" s="129"/>
      <c r="AA214" s="129"/>
      <c r="AB214" s="129">
        <v>0</v>
      </c>
      <c r="AC214" s="129"/>
      <c r="AD214" s="129"/>
      <c r="AE214" s="129"/>
      <c r="AF214" s="129"/>
      <c r="AG214" s="129">
        <f t="shared" si="67"/>
        <v>0</v>
      </c>
      <c r="AH214" s="129"/>
      <c r="AI214" s="129"/>
      <c r="AJ214" s="129">
        <f t="shared" si="68"/>
        <v>0</v>
      </c>
      <c r="AK214" s="129"/>
      <c r="AL214" s="129"/>
      <c r="AM214" s="129">
        <f t="shared" si="69"/>
        <v>0</v>
      </c>
      <c r="AN214" s="129"/>
      <c r="AO214" s="129"/>
      <c r="AP214" s="129">
        <f t="shared" si="70"/>
        <v>0</v>
      </c>
      <c r="AQ214" s="1" t="s">
        <v>57</v>
      </c>
      <c r="AR214" s="129" t="str">
        <f t="shared" si="77"/>
        <v>3/4"</v>
      </c>
      <c r="AS214" s="1">
        <v>1</v>
      </c>
      <c r="AT214" s="129"/>
      <c r="AU214" s="129"/>
      <c r="AV214" s="130"/>
      <c r="AW214" s="128"/>
      <c r="AX214" s="128"/>
      <c r="AY214" s="128"/>
      <c r="AZ214" s="130"/>
      <c r="BA214" s="129"/>
      <c r="BB214" s="129"/>
      <c r="BC214" s="129"/>
      <c r="BD214" s="129"/>
      <c r="BE214" s="131"/>
      <c r="BF214" s="128">
        <f t="shared" si="74"/>
        <v>0</v>
      </c>
      <c r="BG214" s="132"/>
      <c r="BH214" s="132"/>
    </row>
    <row r="215" spans="1:60" s="133" customFormat="1" ht="12.75" customHeight="1" x14ac:dyDescent="0.2">
      <c r="A215" s="119">
        <v>400</v>
      </c>
      <c r="B215" s="119" t="s">
        <v>955</v>
      </c>
      <c r="C215" s="119" t="s">
        <v>561</v>
      </c>
      <c r="D215" s="120" t="s">
        <v>705</v>
      </c>
      <c r="E215" s="120"/>
      <c r="F215" s="121"/>
      <c r="G215" s="121"/>
      <c r="H215" s="121"/>
      <c r="I215" s="121"/>
      <c r="J215" s="121"/>
      <c r="K215" s="121"/>
      <c r="L215" s="121"/>
      <c r="M215" s="121"/>
      <c r="N215" s="122" t="s">
        <v>1038</v>
      </c>
      <c r="O215" s="123" t="s">
        <v>5</v>
      </c>
      <c r="P215" s="124">
        <v>0.75</v>
      </c>
      <c r="Q215" s="125">
        <f t="shared" si="65"/>
        <v>0.5595</v>
      </c>
      <c r="R215" s="126"/>
      <c r="S215" s="126">
        <f>IF(O215="","",IF(O215="NA","",IF(O215="Mini disjuntor + DR",0.92,IF(O215="Mini disjuntor",0.92,IF(O215="Disjuntor Motor",0.92,IF(O215="Disjuntor C.M.",0.92,IF(O215="Disjuntor C.A.",0.92,IFERROR(VLOOKUP('Lista de Cargas'!P215,Motores!$B$9:$T$48,19,FALSE),"Erro"))))))))</f>
        <v>0.66</v>
      </c>
      <c r="T215" s="127">
        <f>IF(O215="","",IF(O215="NA","",IF(O215="Mini disjuntor + DR",100%,IF(O215="Mini disjuntor",100%,IF(O215="Disjuntor Motor",0.92,IF(O215="Disjuntor C.M.",100%,IF(O215="Disjuntor C.A.",100%,IFERROR(VLOOKUP('Lista de Cargas'!P215,Motores!$B$9:$T$48,16,FALSE)/100,"Erro"))))))))</f>
        <v>0.72</v>
      </c>
      <c r="U215" s="127" t="s">
        <v>445</v>
      </c>
      <c r="V215" s="126">
        <v>440</v>
      </c>
      <c r="W215" s="128">
        <f t="shared" si="75"/>
        <v>1.5449355085494896</v>
      </c>
      <c r="X215" s="128">
        <f t="shared" si="66"/>
        <v>0.84772727272727266</v>
      </c>
      <c r="Y215" s="128">
        <f t="shared" si="76"/>
        <v>2.3174032628242345</v>
      </c>
      <c r="Z215" s="129"/>
      <c r="AA215" s="129"/>
      <c r="AB215" s="129">
        <v>0</v>
      </c>
      <c r="AC215" s="129"/>
      <c r="AD215" s="129"/>
      <c r="AE215" s="129"/>
      <c r="AF215" s="129"/>
      <c r="AG215" s="129">
        <f t="shared" si="67"/>
        <v>0</v>
      </c>
      <c r="AH215" s="129"/>
      <c r="AI215" s="129"/>
      <c r="AJ215" s="129">
        <f t="shared" si="68"/>
        <v>0</v>
      </c>
      <c r="AK215" s="129"/>
      <c r="AL215" s="129"/>
      <c r="AM215" s="129">
        <f t="shared" si="69"/>
        <v>0</v>
      </c>
      <c r="AN215" s="129"/>
      <c r="AO215" s="129"/>
      <c r="AP215" s="129">
        <f t="shared" si="70"/>
        <v>0</v>
      </c>
      <c r="AQ215" s="1" t="s">
        <v>57</v>
      </c>
      <c r="AR215" s="129" t="str">
        <f t="shared" si="77"/>
        <v>3/4"</v>
      </c>
      <c r="AS215" s="1">
        <v>1</v>
      </c>
      <c r="AT215" s="129"/>
      <c r="AU215" s="129"/>
      <c r="AV215" s="130"/>
      <c r="AW215" s="128"/>
      <c r="AX215" s="128"/>
      <c r="AY215" s="128"/>
      <c r="AZ215" s="130"/>
      <c r="BA215" s="129"/>
      <c r="BB215" s="129"/>
      <c r="BC215" s="129"/>
      <c r="BD215" s="129"/>
      <c r="BE215" s="131"/>
      <c r="BF215" s="128">
        <f t="shared" si="74"/>
        <v>0</v>
      </c>
      <c r="BG215" s="132"/>
      <c r="BH215" s="132"/>
    </row>
    <row r="216" spans="1:60" ht="12.75" customHeight="1" x14ac:dyDescent="0.2">
      <c r="A216" s="19">
        <v>400</v>
      </c>
      <c r="B216" s="19" t="s">
        <v>955</v>
      </c>
      <c r="C216" s="19" t="s">
        <v>929</v>
      </c>
      <c r="D216" s="20" t="s">
        <v>737</v>
      </c>
      <c r="E216" s="20"/>
      <c r="F216" s="21"/>
      <c r="G216" s="21"/>
      <c r="H216" s="21"/>
      <c r="I216" s="21"/>
      <c r="J216" s="21"/>
      <c r="K216" s="21"/>
      <c r="L216" s="21"/>
      <c r="M216" s="21"/>
      <c r="N216" s="32" t="s">
        <v>1032</v>
      </c>
      <c r="O216" s="22" t="s">
        <v>5</v>
      </c>
      <c r="P216" s="23">
        <v>3</v>
      </c>
      <c r="Q216" s="34">
        <f t="shared" si="65"/>
        <v>2.238</v>
      </c>
      <c r="R216" s="39"/>
      <c r="S216" s="39">
        <f>IF(O216="","",IF(O216="NA","",IF(O216="Mini disjuntor + DR",0.92,IF(O216="Mini disjuntor",0.92,IF(O216="Disjuntor Motor",0.92,IF(O216="Disjuntor C.M.",0.92,IF(O216="Disjuntor C.A.",0.92,IFERROR(VLOOKUP('Lista de Cargas'!P216,Motores!$B$9:$T$48,19,FALSE),"Erro"))))))))</f>
        <v>0.83</v>
      </c>
      <c r="T216" s="40">
        <f>IF(O216="","",IF(O216="NA","",IF(O216="Mini disjuntor + DR",100%,IF(O216="Mini disjuntor",100%,IF(O216="Disjuntor Motor",0.92,IF(O216="Disjuntor C.M.",100%,IF(O216="Disjuntor C.A.",100%,IFERROR(VLOOKUP('Lista de Cargas'!P216,Motores!$B$9:$T$48,16,FALSE)/100,"Erro"))))))))</f>
        <v>0.85099999999999998</v>
      </c>
      <c r="U216" s="40" t="s">
        <v>445</v>
      </c>
      <c r="V216" s="39">
        <v>440</v>
      </c>
      <c r="W216" s="2">
        <f t="shared" ref="W216:W247" si="78">IFERROR(IF(U216=$U$344,(P216*746)/(SQRT(3)*S216*T216*V216),(P216*746)/(S216*T216*V216)),0)</f>
        <v>4.1575657478103292</v>
      </c>
      <c r="X216" s="2">
        <f t="shared" si="66"/>
        <v>2.6963855421686747</v>
      </c>
      <c r="Y216" s="2">
        <f t="shared" ref="Y216:Y247" si="79">IFERROR(IF(O216=$O$344,6*W216,IF(O216=$O$345,6*W216,IF(O216=$O$346,3*W216,IF(O216=$O$347,1.5*W216,W216)))),0)</f>
        <v>6.2363486217154938</v>
      </c>
      <c r="Z216" s="1"/>
      <c r="AA216" s="1"/>
      <c r="AB216" s="1">
        <v>120</v>
      </c>
      <c r="AC216" s="1"/>
      <c r="AD216" s="1"/>
      <c r="AE216" s="1"/>
      <c r="AF216" s="1"/>
      <c r="AG216" s="1">
        <f t="shared" si="67"/>
        <v>120</v>
      </c>
      <c r="AH216" s="1">
        <v>1</v>
      </c>
      <c r="AI216" s="1" t="s">
        <v>1054</v>
      </c>
      <c r="AJ216" s="1">
        <f t="shared" si="68"/>
        <v>120</v>
      </c>
      <c r="AK216" s="1">
        <v>0</v>
      </c>
      <c r="AL216" s="1" t="s">
        <v>118</v>
      </c>
      <c r="AM216" s="1">
        <f t="shared" si="69"/>
        <v>0</v>
      </c>
      <c r="AN216" s="1">
        <v>0</v>
      </c>
      <c r="AO216" s="1" t="s">
        <v>118</v>
      </c>
      <c r="AP216" s="1">
        <f t="shared" si="70"/>
        <v>0</v>
      </c>
      <c r="AQ216" s="1" t="s">
        <v>57</v>
      </c>
      <c r="AR216" s="1" t="str">
        <f t="shared" ref="AR216:AR247" si="80">IFERROR(VLOOKUP(AQ216,$O$368:$P$412,2,1),"NA")</f>
        <v>3/4"</v>
      </c>
      <c r="AS216" s="1">
        <v>1</v>
      </c>
      <c r="AT216" s="1"/>
      <c r="AU216" s="1"/>
      <c r="AV216" s="17"/>
      <c r="AW216" s="2"/>
      <c r="AX216" s="2"/>
      <c r="AY216" s="2"/>
      <c r="AZ216" s="17"/>
      <c r="BA216" s="1"/>
      <c r="BB216" s="1"/>
      <c r="BC216" s="1"/>
      <c r="BD216" s="1"/>
      <c r="BE216" s="18"/>
      <c r="BF216" s="2">
        <f t="shared" ref="BF216:BF247" si="81">IFERROR(IF(F216=$O$358,0,IF(S216&gt;$BH$1,0,IF(O216=$O$347,0,SQRT((X216^2)-(Q216^2))-(SQRT(((Q216/$BH$1)^2)-(Q216^2)))))),0)</f>
        <v>0</v>
      </c>
      <c r="BG216" s="6"/>
      <c r="BH216" s="6"/>
    </row>
    <row r="217" spans="1:60" ht="12.75" customHeight="1" x14ac:dyDescent="0.2">
      <c r="A217" s="19">
        <v>400</v>
      </c>
      <c r="B217" s="19" t="s">
        <v>955</v>
      </c>
      <c r="C217" s="19" t="s">
        <v>930</v>
      </c>
      <c r="D217" s="20" t="s">
        <v>737</v>
      </c>
      <c r="E217" s="20"/>
      <c r="F217" s="21"/>
      <c r="G217" s="21"/>
      <c r="H217" s="21"/>
      <c r="I217" s="21"/>
      <c r="J217" s="21"/>
      <c r="K217" s="21"/>
      <c r="L217" s="21"/>
      <c r="M217" s="21"/>
      <c r="N217" s="32" t="s">
        <v>1032</v>
      </c>
      <c r="O217" s="22" t="s">
        <v>5</v>
      </c>
      <c r="P217" s="23">
        <v>3</v>
      </c>
      <c r="Q217" s="34">
        <f t="shared" si="65"/>
        <v>2.238</v>
      </c>
      <c r="R217" s="39"/>
      <c r="S217" s="39">
        <f>IF(O217="","",IF(O217="NA","",IF(O217="Mini disjuntor + DR",0.92,IF(O217="Mini disjuntor",0.92,IF(O217="Disjuntor Motor",0.92,IF(O217="Disjuntor C.M.",0.92,IF(O217="Disjuntor C.A.",0.92,IFERROR(VLOOKUP('Lista de Cargas'!P217,Motores!$B$9:$T$48,19,FALSE),"Erro"))))))))</f>
        <v>0.83</v>
      </c>
      <c r="T217" s="40">
        <f>IF(O217="","",IF(O217="NA","",IF(O217="Mini disjuntor + DR",100%,IF(O217="Mini disjuntor",100%,IF(O217="Disjuntor Motor",0.92,IF(O217="Disjuntor C.M.",100%,IF(O217="Disjuntor C.A.",100%,IFERROR(VLOOKUP('Lista de Cargas'!P217,Motores!$B$9:$T$48,16,FALSE)/100,"Erro"))))))))</f>
        <v>0.85099999999999998</v>
      </c>
      <c r="U217" s="40" t="s">
        <v>445</v>
      </c>
      <c r="V217" s="39">
        <v>440</v>
      </c>
      <c r="W217" s="2">
        <f t="shared" si="78"/>
        <v>4.1575657478103292</v>
      </c>
      <c r="X217" s="2">
        <f t="shared" si="66"/>
        <v>2.6963855421686747</v>
      </c>
      <c r="Y217" s="2">
        <f t="shared" si="79"/>
        <v>6.2363486217154938</v>
      </c>
      <c r="Z217" s="1"/>
      <c r="AA217" s="1"/>
      <c r="AB217" s="1">
        <v>120</v>
      </c>
      <c r="AC217" s="1"/>
      <c r="AD217" s="1"/>
      <c r="AE217" s="1"/>
      <c r="AF217" s="1"/>
      <c r="AG217" s="1">
        <f t="shared" si="67"/>
        <v>120</v>
      </c>
      <c r="AH217" s="1">
        <v>1</v>
      </c>
      <c r="AI217" s="1" t="s">
        <v>1054</v>
      </c>
      <c r="AJ217" s="1">
        <f t="shared" si="68"/>
        <v>120</v>
      </c>
      <c r="AK217" s="1">
        <v>0</v>
      </c>
      <c r="AL217" s="1" t="s">
        <v>118</v>
      </c>
      <c r="AM217" s="1">
        <f t="shared" si="69"/>
        <v>0</v>
      </c>
      <c r="AN217" s="1">
        <v>0</v>
      </c>
      <c r="AO217" s="1" t="s">
        <v>118</v>
      </c>
      <c r="AP217" s="1">
        <f t="shared" si="70"/>
        <v>0</v>
      </c>
      <c r="AQ217" s="1" t="s">
        <v>57</v>
      </c>
      <c r="AR217" s="1" t="str">
        <f t="shared" si="80"/>
        <v>3/4"</v>
      </c>
      <c r="AS217" s="1">
        <v>1</v>
      </c>
      <c r="AT217" s="1"/>
      <c r="AU217" s="1"/>
      <c r="AV217" s="17"/>
      <c r="AW217" s="2"/>
      <c r="AX217" s="2"/>
      <c r="AY217" s="2"/>
      <c r="AZ217" s="17"/>
      <c r="BA217" s="1"/>
      <c r="BB217" s="1"/>
      <c r="BC217" s="1"/>
      <c r="BD217" s="1"/>
      <c r="BE217" s="18"/>
      <c r="BF217" s="2">
        <f t="shared" si="81"/>
        <v>0</v>
      </c>
      <c r="BG217" s="6"/>
      <c r="BH217" s="6"/>
    </row>
    <row r="218" spans="1:60" ht="12.75" customHeight="1" x14ac:dyDescent="0.2">
      <c r="A218" s="19">
        <v>400</v>
      </c>
      <c r="B218" s="19" t="s">
        <v>955</v>
      </c>
      <c r="C218" s="19" t="s">
        <v>931</v>
      </c>
      <c r="D218" s="20" t="s">
        <v>737</v>
      </c>
      <c r="E218" s="20"/>
      <c r="F218" s="21"/>
      <c r="G218" s="21"/>
      <c r="H218" s="21"/>
      <c r="I218" s="21"/>
      <c r="J218" s="21"/>
      <c r="K218" s="21"/>
      <c r="L218" s="21"/>
      <c r="M218" s="21"/>
      <c r="N218" s="32" t="s">
        <v>1032</v>
      </c>
      <c r="O218" s="22" t="s">
        <v>5</v>
      </c>
      <c r="P218" s="23">
        <v>3</v>
      </c>
      <c r="Q218" s="34">
        <f t="shared" si="65"/>
        <v>2.238</v>
      </c>
      <c r="R218" s="39"/>
      <c r="S218" s="39">
        <f>IF(O218="","",IF(O218="NA","",IF(O218="Mini disjuntor + DR",0.92,IF(O218="Mini disjuntor",0.92,IF(O218="Disjuntor Motor",0.92,IF(O218="Disjuntor C.M.",0.92,IF(O218="Disjuntor C.A.",0.92,IFERROR(VLOOKUP('Lista de Cargas'!P218,Motores!$B$9:$T$48,19,FALSE),"Erro"))))))))</f>
        <v>0.83</v>
      </c>
      <c r="T218" s="40">
        <f>IF(O218="","",IF(O218="NA","",IF(O218="Mini disjuntor + DR",100%,IF(O218="Mini disjuntor",100%,IF(O218="Disjuntor Motor",0.92,IF(O218="Disjuntor C.M.",100%,IF(O218="Disjuntor C.A.",100%,IFERROR(VLOOKUP('Lista de Cargas'!P218,Motores!$B$9:$T$48,16,FALSE)/100,"Erro"))))))))</f>
        <v>0.85099999999999998</v>
      </c>
      <c r="U218" s="40" t="s">
        <v>445</v>
      </c>
      <c r="V218" s="39">
        <v>440</v>
      </c>
      <c r="W218" s="2">
        <f t="shared" si="78"/>
        <v>4.1575657478103292</v>
      </c>
      <c r="X218" s="2">
        <f t="shared" si="66"/>
        <v>2.6963855421686747</v>
      </c>
      <c r="Y218" s="2">
        <f t="shared" si="79"/>
        <v>6.2363486217154938</v>
      </c>
      <c r="Z218" s="1"/>
      <c r="AA218" s="1"/>
      <c r="AB218" s="1">
        <v>120</v>
      </c>
      <c r="AC218" s="1"/>
      <c r="AD218" s="1"/>
      <c r="AE218" s="1"/>
      <c r="AF218" s="1"/>
      <c r="AG218" s="1">
        <f t="shared" si="67"/>
        <v>120</v>
      </c>
      <c r="AH218" s="1">
        <v>1</v>
      </c>
      <c r="AI218" s="1" t="s">
        <v>1054</v>
      </c>
      <c r="AJ218" s="1">
        <f t="shared" si="68"/>
        <v>120</v>
      </c>
      <c r="AK218" s="1">
        <v>0</v>
      </c>
      <c r="AL218" s="1" t="s">
        <v>118</v>
      </c>
      <c r="AM218" s="1">
        <f t="shared" si="69"/>
        <v>0</v>
      </c>
      <c r="AN218" s="1">
        <v>0</v>
      </c>
      <c r="AO218" s="1" t="s">
        <v>118</v>
      </c>
      <c r="AP218" s="1">
        <f t="shared" si="70"/>
        <v>0</v>
      </c>
      <c r="AQ218" s="1" t="s">
        <v>57</v>
      </c>
      <c r="AR218" s="1" t="str">
        <f t="shared" si="80"/>
        <v>3/4"</v>
      </c>
      <c r="AS218" s="1">
        <v>1</v>
      </c>
      <c r="AT218" s="1"/>
      <c r="AU218" s="1"/>
      <c r="AV218" s="17"/>
      <c r="AW218" s="2"/>
      <c r="AX218" s="2"/>
      <c r="AY218" s="2"/>
      <c r="AZ218" s="17"/>
      <c r="BA218" s="1"/>
      <c r="BB218" s="1"/>
      <c r="BC218" s="1"/>
      <c r="BD218" s="1"/>
      <c r="BE218" s="18"/>
      <c r="BF218" s="2">
        <f t="shared" si="81"/>
        <v>0</v>
      </c>
      <c r="BG218" s="6"/>
      <c r="BH218" s="6"/>
    </row>
    <row r="219" spans="1:60" ht="12.75" customHeight="1" x14ac:dyDescent="0.2">
      <c r="A219" s="19">
        <v>400</v>
      </c>
      <c r="B219" s="19" t="s">
        <v>955</v>
      </c>
      <c r="C219" s="19" t="s">
        <v>562</v>
      </c>
      <c r="D219" s="20" t="s">
        <v>738</v>
      </c>
      <c r="E219" s="20"/>
      <c r="F219" s="21"/>
      <c r="G219" s="21"/>
      <c r="H219" s="21"/>
      <c r="I219" s="21"/>
      <c r="J219" s="21"/>
      <c r="K219" s="21"/>
      <c r="L219" s="21"/>
      <c r="M219" s="21"/>
      <c r="N219" s="32" t="s">
        <v>1039</v>
      </c>
      <c r="O219" s="22" t="s">
        <v>34</v>
      </c>
      <c r="P219" s="23">
        <v>10</v>
      </c>
      <c r="Q219" s="34">
        <f t="shared" si="65"/>
        <v>7.46</v>
      </c>
      <c r="R219" s="39"/>
      <c r="S219" s="39">
        <f>IF(O219="","",IF(O219="NA","",IF(O219="Mini disjuntor + DR",0.92,IF(O219="Mini disjuntor",0.92,IF(O219="Disjuntor Motor",0.92,IF(O219="Disjuntor C.M.",0.92,IF(O219="Disjuntor C.A.",0.92,IFERROR(VLOOKUP('Lista de Cargas'!P219,Motores!$B$9:$T$48,19,FALSE),"Erro"))))))))</f>
        <v>0.84</v>
      </c>
      <c r="T219" s="40">
        <f>IF(O219="","",IF(O219="NA","",IF(O219="Mini disjuntor + DR",100%,IF(O219="Mini disjuntor",100%,IF(O219="Disjuntor Motor",0.92,IF(O219="Disjuntor C.M.",100%,IF(O219="Disjuntor C.A.",100%,IFERROR(VLOOKUP('Lista de Cargas'!P219,Motores!$B$9:$T$48,16,FALSE)/100,"Erro"))))))))</f>
        <v>0.91</v>
      </c>
      <c r="U219" s="40" t="s">
        <v>445</v>
      </c>
      <c r="V219" s="39">
        <v>440</v>
      </c>
      <c r="W219" s="2">
        <f t="shared" si="78"/>
        <v>12.805744874633129</v>
      </c>
      <c r="X219" s="2">
        <f t="shared" si="66"/>
        <v>8.8809523809523814</v>
      </c>
      <c r="Y219" s="2">
        <f t="shared" si="79"/>
        <v>76.834469247798779</v>
      </c>
      <c r="Z219" s="1"/>
      <c r="AA219" s="1"/>
      <c r="AB219" s="1">
        <v>120</v>
      </c>
      <c r="AC219" s="1"/>
      <c r="AD219" s="1"/>
      <c r="AE219" s="1"/>
      <c r="AF219" s="1"/>
      <c r="AG219" s="1">
        <f t="shared" si="67"/>
        <v>120</v>
      </c>
      <c r="AH219" s="1">
        <v>1</v>
      </c>
      <c r="AI219" s="1" t="s">
        <v>1057</v>
      </c>
      <c r="AJ219" s="1">
        <f t="shared" si="68"/>
        <v>120</v>
      </c>
      <c r="AK219" s="1">
        <v>0</v>
      </c>
      <c r="AL219" s="1" t="s">
        <v>118</v>
      </c>
      <c r="AM219" s="1">
        <f t="shared" si="69"/>
        <v>0</v>
      </c>
      <c r="AN219" s="1">
        <v>0</v>
      </c>
      <c r="AO219" s="1" t="s">
        <v>118</v>
      </c>
      <c r="AP219" s="1">
        <f t="shared" si="70"/>
        <v>0</v>
      </c>
      <c r="AQ219" s="1" t="s">
        <v>60</v>
      </c>
      <c r="AR219" s="1" t="str">
        <f t="shared" si="80"/>
        <v>1"</v>
      </c>
      <c r="AS219" s="1">
        <v>1</v>
      </c>
      <c r="AT219" s="1"/>
      <c r="AU219" s="1"/>
      <c r="AV219" s="17"/>
      <c r="AW219" s="2"/>
      <c r="AX219" s="2"/>
      <c r="AY219" s="2"/>
      <c r="AZ219" s="17"/>
      <c r="BA219" s="1"/>
      <c r="BB219" s="1"/>
      <c r="BC219" s="1"/>
      <c r="BD219" s="1"/>
      <c r="BE219" s="18"/>
      <c r="BF219" s="2">
        <f t="shared" si="81"/>
        <v>1.6407372765871995</v>
      </c>
      <c r="BG219" s="6"/>
      <c r="BH219" s="6"/>
    </row>
    <row r="220" spans="1:60" ht="12.75" customHeight="1" x14ac:dyDescent="0.2">
      <c r="A220" s="19">
        <v>400</v>
      </c>
      <c r="B220" s="19" t="s">
        <v>955</v>
      </c>
      <c r="C220" s="19" t="s">
        <v>563</v>
      </c>
      <c r="D220" s="20" t="s">
        <v>739</v>
      </c>
      <c r="E220" s="20"/>
      <c r="F220" s="21"/>
      <c r="G220" s="21"/>
      <c r="H220" s="21"/>
      <c r="I220" s="21"/>
      <c r="J220" s="21"/>
      <c r="K220" s="21"/>
      <c r="L220" s="21"/>
      <c r="M220" s="21"/>
      <c r="N220" s="32" t="s">
        <v>1039</v>
      </c>
      <c r="O220" s="22" t="s">
        <v>34</v>
      </c>
      <c r="P220" s="23">
        <v>3</v>
      </c>
      <c r="Q220" s="34">
        <f t="shared" si="65"/>
        <v>2.238</v>
      </c>
      <c r="R220" s="39"/>
      <c r="S220" s="39">
        <f>IF(O220="","",IF(O220="NA","",IF(O220="Mini disjuntor + DR",0.92,IF(O220="Mini disjuntor",0.92,IF(O220="Disjuntor Motor",0.92,IF(O220="Disjuntor C.M.",0.92,IF(O220="Disjuntor C.A.",0.92,IFERROR(VLOOKUP('Lista de Cargas'!P220,Motores!$B$9:$T$48,19,FALSE),"Erro"))))))))</f>
        <v>0.83</v>
      </c>
      <c r="T220" s="40">
        <f>IF(O220="","",IF(O220="NA","",IF(O220="Mini disjuntor + DR",100%,IF(O220="Mini disjuntor",100%,IF(O220="Disjuntor Motor",0.92,IF(O220="Disjuntor C.M.",100%,IF(O220="Disjuntor C.A.",100%,IFERROR(VLOOKUP('Lista de Cargas'!P220,Motores!$B$9:$T$48,16,FALSE)/100,"Erro"))))))))</f>
        <v>0.85099999999999998</v>
      </c>
      <c r="U220" s="40" t="s">
        <v>445</v>
      </c>
      <c r="V220" s="39">
        <v>440</v>
      </c>
      <c r="W220" s="2">
        <f t="shared" si="78"/>
        <v>4.1575657478103292</v>
      </c>
      <c r="X220" s="2">
        <f t="shared" si="66"/>
        <v>2.6963855421686747</v>
      </c>
      <c r="Y220" s="2">
        <f t="shared" si="79"/>
        <v>24.945394486861975</v>
      </c>
      <c r="Z220" s="1"/>
      <c r="AA220" s="1"/>
      <c r="AB220" s="1">
        <v>120</v>
      </c>
      <c r="AC220" s="1"/>
      <c r="AD220" s="1"/>
      <c r="AE220" s="1"/>
      <c r="AF220" s="1"/>
      <c r="AG220" s="1">
        <f t="shared" si="67"/>
        <v>120</v>
      </c>
      <c r="AH220" s="1">
        <v>1</v>
      </c>
      <c r="AI220" s="1" t="s">
        <v>1054</v>
      </c>
      <c r="AJ220" s="1">
        <f t="shared" si="68"/>
        <v>120</v>
      </c>
      <c r="AK220" s="1">
        <v>0</v>
      </c>
      <c r="AL220" s="1" t="s">
        <v>118</v>
      </c>
      <c r="AM220" s="1">
        <f t="shared" si="69"/>
        <v>0</v>
      </c>
      <c r="AN220" s="1">
        <v>0</v>
      </c>
      <c r="AO220" s="1" t="s">
        <v>118</v>
      </c>
      <c r="AP220" s="1">
        <f t="shared" si="70"/>
        <v>0</v>
      </c>
      <c r="AQ220" s="1" t="s">
        <v>57</v>
      </c>
      <c r="AR220" s="1" t="str">
        <f t="shared" si="80"/>
        <v>3/4"</v>
      </c>
      <c r="AS220" s="1">
        <v>1</v>
      </c>
      <c r="AT220" s="1"/>
      <c r="AU220" s="1"/>
      <c r="AV220" s="17"/>
      <c r="AW220" s="2"/>
      <c r="AX220" s="2"/>
      <c r="AY220" s="2"/>
      <c r="AZ220" s="17"/>
      <c r="BA220" s="1"/>
      <c r="BB220" s="1"/>
      <c r="BC220" s="1"/>
      <c r="BD220" s="1"/>
      <c r="BE220" s="18"/>
      <c r="BF220" s="2">
        <f t="shared" si="81"/>
        <v>0.55056113490915704</v>
      </c>
      <c r="BG220" s="6"/>
      <c r="BH220" s="6"/>
    </row>
    <row r="221" spans="1:60" ht="12.75" customHeight="1" x14ac:dyDescent="0.2">
      <c r="A221" s="19">
        <v>400</v>
      </c>
      <c r="B221" s="19" t="s">
        <v>955</v>
      </c>
      <c r="C221" s="19" t="s">
        <v>564</v>
      </c>
      <c r="D221" s="20" t="s">
        <v>740</v>
      </c>
      <c r="E221" s="20"/>
      <c r="F221" s="21"/>
      <c r="G221" s="21"/>
      <c r="H221" s="21"/>
      <c r="I221" s="21"/>
      <c r="J221" s="21"/>
      <c r="K221" s="21"/>
      <c r="L221" s="21"/>
      <c r="M221" s="21"/>
      <c r="N221" s="32" t="s">
        <v>1039</v>
      </c>
      <c r="O221" s="22" t="s">
        <v>34</v>
      </c>
      <c r="P221" s="23">
        <v>0.5</v>
      </c>
      <c r="Q221" s="34">
        <f t="shared" si="65"/>
        <v>0.373</v>
      </c>
      <c r="R221" s="39"/>
      <c r="S221" s="39">
        <f>IF(O221="","",IF(O221="NA","",IF(O221="Mini disjuntor + DR",0.92,IF(O221="Mini disjuntor",0.92,IF(O221="Disjuntor Motor",0.92,IF(O221="Disjuntor C.M.",0.92,IF(O221="Disjuntor C.A.",0.92,IFERROR(VLOOKUP('Lista de Cargas'!P221,Motores!$B$9:$T$48,19,FALSE),"Erro"))))))))</f>
        <v>0.69</v>
      </c>
      <c r="T221" s="40">
        <f>IF(O221="","",IF(O221="NA","",IF(O221="Mini disjuntor + DR",100%,IF(O221="Mini disjuntor",100%,IF(O221="Disjuntor Motor",0.92,IF(O221="Disjuntor C.M.",100%,IF(O221="Disjuntor C.A.",100%,IFERROR(VLOOKUP('Lista de Cargas'!P221,Motores!$B$9:$T$48,16,FALSE)/100,"Erro"))))))))</f>
        <v>0.7</v>
      </c>
      <c r="U221" s="40" t="s">
        <v>445</v>
      </c>
      <c r="V221" s="39">
        <v>440</v>
      </c>
      <c r="W221" s="2">
        <f t="shared" si="78"/>
        <v>1.0133241596448825</v>
      </c>
      <c r="X221" s="2">
        <f t="shared" si="66"/>
        <v>0.54057971014492756</v>
      </c>
      <c r="Y221" s="2">
        <f t="shared" si="79"/>
        <v>6.0799449578692952</v>
      </c>
      <c r="Z221" s="1"/>
      <c r="AA221" s="1"/>
      <c r="AB221" s="1">
        <v>120</v>
      </c>
      <c r="AC221" s="1"/>
      <c r="AD221" s="1"/>
      <c r="AE221" s="1"/>
      <c r="AF221" s="1"/>
      <c r="AG221" s="1">
        <f t="shared" si="67"/>
        <v>120</v>
      </c>
      <c r="AH221" s="1">
        <v>1</v>
      </c>
      <c r="AI221" s="1" t="s">
        <v>1054</v>
      </c>
      <c r="AJ221" s="1">
        <f t="shared" si="68"/>
        <v>120</v>
      </c>
      <c r="AK221" s="1">
        <v>0</v>
      </c>
      <c r="AL221" s="1" t="s">
        <v>118</v>
      </c>
      <c r="AM221" s="1">
        <f t="shared" si="69"/>
        <v>0</v>
      </c>
      <c r="AN221" s="1">
        <v>0</v>
      </c>
      <c r="AO221" s="1" t="s">
        <v>118</v>
      </c>
      <c r="AP221" s="1">
        <f t="shared" si="70"/>
        <v>0</v>
      </c>
      <c r="AQ221" s="1" t="s">
        <v>57</v>
      </c>
      <c r="AR221" s="1" t="str">
        <f t="shared" si="80"/>
        <v>3/4"</v>
      </c>
      <c r="AS221" s="1">
        <v>1</v>
      </c>
      <c r="AT221" s="1"/>
      <c r="AU221" s="1"/>
      <c r="AV221" s="17"/>
      <c r="AW221" s="2"/>
      <c r="AX221" s="2"/>
      <c r="AY221" s="2"/>
      <c r="AZ221" s="17"/>
      <c r="BA221" s="1"/>
      <c r="BB221" s="1"/>
      <c r="BC221" s="1"/>
      <c r="BD221" s="1"/>
      <c r="BE221" s="18"/>
      <c r="BF221" s="2">
        <f t="shared" si="81"/>
        <v>0.23237932328500399</v>
      </c>
      <c r="BG221" s="6"/>
      <c r="BH221" s="6"/>
    </row>
    <row r="222" spans="1:60" ht="12.75" customHeight="1" x14ac:dyDescent="0.2">
      <c r="A222" s="19">
        <v>400</v>
      </c>
      <c r="B222" s="19" t="s">
        <v>955</v>
      </c>
      <c r="C222" s="19" t="s">
        <v>565</v>
      </c>
      <c r="D222" s="20" t="s">
        <v>741</v>
      </c>
      <c r="E222" s="20"/>
      <c r="F222" s="21"/>
      <c r="G222" s="21"/>
      <c r="H222" s="21"/>
      <c r="I222" s="21"/>
      <c r="J222" s="21"/>
      <c r="K222" s="21"/>
      <c r="L222" s="21"/>
      <c r="M222" s="21"/>
      <c r="N222" s="32" t="s">
        <v>1039</v>
      </c>
      <c r="O222" s="22" t="s">
        <v>34</v>
      </c>
      <c r="P222" s="23">
        <v>1</v>
      </c>
      <c r="Q222" s="34">
        <f t="shared" si="65"/>
        <v>0.746</v>
      </c>
      <c r="R222" s="39"/>
      <c r="S222" s="39">
        <f>IF(O222="","",IF(O222="NA","",IF(O222="Mini disjuntor + DR",0.92,IF(O222="Mini disjuntor",0.92,IF(O222="Disjuntor Motor",0.92,IF(O222="Disjuntor C.M.",0.92,IF(O222="Disjuntor C.A.",0.92,IFERROR(VLOOKUP('Lista de Cargas'!P222,Motores!$B$9:$T$48,19,FALSE),"Erro"))))))))</f>
        <v>0.81</v>
      </c>
      <c r="T222" s="40">
        <f>IF(O222="","",IF(O222="NA","",IF(O222="Mini disjuntor + DR",100%,IF(O222="Mini disjuntor",100%,IF(O222="Disjuntor Motor",0.92,IF(O222="Disjuntor C.M.",100%,IF(O222="Disjuntor C.A.",100%,IFERROR(VLOOKUP('Lista de Cargas'!P222,Motores!$B$9:$T$48,16,FALSE)/100,"Erro"))))))))</f>
        <v>0.80500000000000005</v>
      </c>
      <c r="U222" s="40" t="s">
        <v>445</v>
      </c>
      <c r="V222" s="39">
        <v>440</v>
      </c>
      <c r="W222" s="2">
        <f t="shared" si="78"/>
        <v>1.5012209772516776</v>
      </c>
      <c r="X222" s="2">
        <f t="shared" si="66"/>
        <v>0.92098765432098761</v>
      </c>
      <c r="Y222" s="2">
        <f t="shared" si="79"/>
        <v>9.007325863510065</v>
      </c>
      <c r="Z222" s="1"/>
      <c r="AA222" s="1"/>
      <c r="AB222" s="1">
        <v>120</v>
      </c>
      <c r="AC222" s="1"/>
      <c r="AD222" s="1"/>
      <c r="AE222" s="1"/>
      <c r="AF222" s="1"/>
      <c r="AG222" s="1">
        <f t="shared" si="67"/>
        <v>120</v>
      </c>
      <c r="AH222" s="1">
        <v>1</v>
      </c>
      <c r="AI222" s="1" t="s">
        <v>1054</v>
      </c>
      <c r="AJ222" s="1">
        <f t="shared" si="68"/>
        <v>120</v>
      </c>
      <c r="AK222" s="1">
        <v>0</v>
      </c>
      <c r="AL222" s="1" t="s">
        <v>118</v>
      </c>
      <c r="AM222" s="1">
        <f t="shared" si="69"/>
        <v>0</v>
      </c>
      <c r="AN222" s="1">
        <v>0</v>
      </c>
      <c r="AO222" s="1" t="s">
        <v>118</v>
      </c>
      <c r="AP222" s="1">
        <f t="shared" si="70"/>
        <v>0</v>
      </c>
      <c r="AQ222" s="1" t="s">
        <v>57</v>
      </c>
      <c r="AR222" s="1" t="str">
        <f t="shared" si="80"/>
        <v>3/4"</v>
      </c>
      <c r="AS222" s="1">
        <v>1</v>
      </c>
      <c r="AT222" s="1"/>
      <c r="AU222" s="1"/>
      <c r="AV222" s="17"/>
      <c r="AW222" s="2"/>
      <c r="AX222" s="2"/>
      <c r="AY222" s="2"/>
      <c r="AZ222" s="17"/>
      <c r="BA222" s="1"/>
      <c r="BB222" s="1"/>
      <c r="BC222" s="1"/>
      <c r="BD222" s="1"/>
      <c r="BE222" s="18"/>
      <c r="BF222" s="2">
        <f t="shared" si="81"/>
        <v>0.22230000710319253</v>
      </c>
      <c r="BG222" s="6"/>
      <c r="BH222" s="6"/>
    </row>
    <row r="223" spans="1:60" ht="12.75" customHeight="1" x14ac:dyDescent="0.2">
      <c r="A223" s="19">
        <v>400</v>
      </c>
      <c r="B223" s="19" t="s">
        <v>955</v>
      </c>
      <c r="C223" s="19" t="s">
        <v>566</v>
      </c>
      <c r="D223" s="20" t="s">
        <v>742</v>
      </c>
      <c r="E223" s="20"/>
      <c r="F223" s="21"/>
      <c r="G223" s="21"/>
      <c r="H223" s="21"/>
      <c r="I223" s="21"/>
      <c r="J223" s="21"/>
      <c r="K223" s="21"/>
      <c r="L223" s="21"/>
      <c r="M223" s="21"/>
      <c r="N223" s="32" t="s">
        <v>1039</v>
      </c>
      <c r="O223" s="22" t="s">
        <v>34</v>
      </c>
      <c r="P223" s="23">
        <v>1.5</v>
      </c>
      <c r="Q223" s="34">
        <f t="shared" si="65"/>
        <v>1.119</v>
      </c>
      <c r="R223" s="39"/>
      <c r="S223" s="39">
        <f>IF(O223="","",IF(O223="NA","",IF(O223="Mini disjuntor + DR",0.92,IF(O223="Mini disjuntor",0.92,IF(O223="Disjuntor Motor",0.92,IF(O223="Disjuntor C.M.",0.92,IF(O223="Disjuntor C.A.",0.92,IFERROR(VLOOKUP('Lista de Cargas'!P223,Motores!$B$9:$T$48,19,FALSE),"Erro"))))))))</f>
        <v>0.79</v>
      </c>
      <c r="T223" s="40">
        <f>IF(O223="","",IF(O223="NA","",IF(O223="Mini disjuntor + DR",100%,IF(O223="Mini disjuntor",100%,IF(O223="Disjuntor Motor",0.92,IF(O223="Disjuntor C.M.",100%,IF(O223="Disjuntor C.A.",100%,IFERROR(VLOOKUP('Lista de Cargas'!P223,Motores!$B$9:$T$48,16,FALSE)/100,"Erro"))))))))</f>
        <v>0.81599999999999995</v>
      </c>
      <c r="U223" s="40" t="s">
        <v>445</v>
      </c>
      <c r="V223" s="39">
        <v>440</v>
      </c>
      <c r="W223" s="2">
        <f t="shared" si="78"/>
        <v>2.2777157907133203</v>
      </c>
      <c r="X223" s="2">
        <f t="shared" si="66"/>
        <v>1.4164556962025316</v>
      </c>
      <c r="Y223" s="2">
        <f t="shared" si="79"/>
        <v>13.666294744279922</v>
      </c>
      <c r="Z223" s="1"/>
      <c r="AA223" s="1"/>
      <c r="AB223" s="1">
        <v>120</v>
      </c>
      <c r="AC223" s="1"/>
      <c r="AD223" s="1"/>
      <c r="AE223" s="1"/>
      <c r="AF223" s="1"/>
      <c r="AG223" s="1">
        <f t="shared" si="67"/>
        <v>120</v>
      </c>
      <c r="AH223" s="1">
        <v>1</v>
      </c>
      <c r="AI223" s="1" t="s">
        <v>1054</v>
      </c>
      <c r="AJ223" s="1">
        <f t="shared" si="68"/>
        <v>120</v>
      </c>
      <c r="AK223" s="1">
        <v>0</v>
      </c>
      <c r="AL223" s="1" t="s">
        <v>118</v>
      </c>
      <c r="AM223" s="1">
        <f t="shared" si="69"/>
        <v>0</v>
      </c>
      <c r="AN223" s="1">
        <v>0</v>
      </c>
      <c r="AO223" s="1" t="s">
        <v>118</v>
      </c>
      <c r="AP223" s="1">
        <f t="shared" si="70"/>
        <v>0</v>
      </c>
      <c r="AQ223" s="1" t="s">
        <v>57</v>
      </c>
      <c r="AR223" s="1" t="str">
        <f t="shared" si="80"/>
        <v>3/4"</v>
      </c>
      <c r="AS223" s="1">
        <v>1</v>
      </c>
      <c r="AT223" s="1"/>
      <c r="AU223" s="1"/>
      <c r="AV223" s="17"/>
      <c r="AW223" s="2"/>
      <c r="AX223" s="2"/>
      <c r="AY223" s="2"/>
      <c r="AZ223" s="17"/>
      <c r="BA223" s="1"/>
      <c r="BB223" s="1"/>
      <c r="BC223" s="1"/>
      <c r="BD223" s="1"/>
      <c r="BE223" s="18"/>
      <c r="BF223" s="2">
        <f t="shared" si="81"/>
        <v>0.3917466752134442</v>
      </c>
      <c r="BG223" s="6"/>
      <c r="BH223" s="6"/>
    </row>
    <row r="224" spans="1:60" ht="12.75" customHeight="1" x14ac:dyDescent="0.2">
      <c r="A224" s="19">
        <v>400</v>
      </c>
      <c r="B224" s="19" t="s">
        <v>955</v>
      </c>
      <c r="C224" s="19" t="s">
        <v>567</v>
      </c>
      <c r="D224" s="20" t="s">
        <v>738</v>
      </c>
      <c r="E224" s="20"/>
      <c r="F224" s="21"/>
      <c r="G224" s="21"/>
      <c r="H224" s="21"/>
      <c r="I224" s="21"/>
      <c r="J224" s="21"/>
      <c r="K224" s="21"/>
      <c r="L224" s="21"/>
      <c r="M224" s="21"/>
      <c r="N224" s="32" t="s">
        <v>1040</v>
      </c>
      <c r="O224" s="22" t="s">
        <v>34</v>
      </c>
      <c r="P224" s="23">
        <v>10</v>
      </c>
      <c r="Q224" s="34">
        <f t="shared" si="65"/>
        <v>7.46</v>
      </c>
      <c r="R224" s="39"/>
      <c r="S224" s="39">
        <f>IF(O224="","",IF(O224="NA","",IF(O224="Mini disjuntor + DR",0.92,IF(O224="Mini disjuntor",0.92,IF(O224="Disjuntor Motor",0.92,IF(O224="Disjuntor C.M.",0.92,IF(O224="Disjuntor C.A.",0.92,IFERROR(VLOOKUP('Lista de Cargas'!P224,Motores!$B$9:$T$48,19,FALSE),"Erro"))))))))</f>
        <v>0.84</v>
      </c>
      <c r="T224" s="40">
        <f>IF(O224="","",IF(O224="NA","",IF(O224="Mini disjuntor + DR",100%,IF(O224="Mini disjuntor",100%,IF(O224="Disjuntor Motor",0.92,IF(O224="Disjuntor C.M.",100%,IF(O224="Disjuntor C.A.",100%,IFERROR(VLOOKUP('Lista de Cargas'!P224,Motores!$B$9:$T$48,16,FALSE)/100,"Erro"))))))))</f>
        <v>0.91</v>
      </c>
      <c r="U224" s="40" t="s">
        <v>445</v>
      </c>
      <c r="V224" s="39">
        <v>440</v>
      </c>
      <c r="W224" s="2">
        <f t="shared" si="78"/>
        <v>12.805744874633129</v>
      </c>
      <c r="X224" s="2">
        <f t="shared" si="66"/>
        <v>8.8809523809523814</v>
      </c>
      <c r="Y224" s="2">
        <f t="shared" si="79"/>
        <v>76.834469247798779</v>
      </c>
      <c r="Z224" s="1"/>
      <c r="AA224" s="1"/>
      <c r="AB224" s="1">
        <v>120</v>
      </c>
      <c r="AC224" s="1"/>
      <c r="AD224" s="1"/>
      <c r="AE224" s="1"/>
      <c r="AF224" s="1"/>
      <c r="AG224" s="1">
        <f t="shared" si="67"/>
        <v>120</v>
      </c>
      <c r="AH224" s="1">
        <v>1</v>
      </c>
      <c r="AI224" s="1" t="s">
        <v>1057</v>
      </c>
      <c r="AJ224" s="1">
        <f t="shared" si="68"/>
        <v>120</v>
      </c>
      <c r="AK224" s="1">
        <v>0</v>
      </c>
      <c r="AL224" s="1" t="s">
        <v>118</v>
      </c>
      <c r="AM224" s="1">
        <f t="shared" si="69"/>
        <v>0</v>
      </c>
      <c r="AN224" s="1">
        <v>0</v>
      </c>
      <c r="AO224" s="1" t="s">
        <v>118</v>
      </c>
      <c r="AP224" s="1">
        <f t="shared" si="70"/>
        <v>0</v>
      </c>
      <c r="AQ224" s="1" t="s">
        <v>60</v>
      </c>
      <c r="AR224" s="1" t="str">
        <f t="shared" si="80"/>
        <v>1"</v>
      </c>
      <c r="AS224" s="1">
        <v>1</v>
      </c>
      <c r="AT224" s="1"/>
      <c r="AU224" s="1"/>
      <c r="AV224" s="17"/>
      <c r="AW224" s="2"/>
      <c r="AX224" s="2"/>
      <c r="AY224" s="2"/>
      <c r="AZ224" s="17"/>
      <c r="BA224" s="1"/>
      <c r="BB224" s="1"/>
      <c r="BC224" s="1"/>
      <c r="BD224" s="1"/>
      <c r="BE224" s="18"/>
      <c r="BF224" s="2">
        <f t="shared" si="81"/>
        <v>1.6407372765871995</v>
      </c>
      <c r="BG224" s="6"/>
      <c r="BH224" s="6"/>
    </row>
    <row r="225" spans="1:60" ht="12.75" customHeight="1" x14ac:dyDescent="0.2">
      <c r="A225" s="19">
        <v>400</v>
      </c>
      <c r="B225" s="19" t="s">
        <v>955</v>
      </c>
      <c r="C225" s="19" t="s">
        <v>568</v>
      </c>
      <c r="D225" s="20" t="s">
        <v>739</v>
      </c>
      <c r="E225" s="20"/>
      <c r="F225" s="21"/>
      <c r="G225" s="21"/>
      <c r="H225" s="21"/>
      <c r="I225" s="21"/>
      <c r="J225" s="21"/>
      <c r="K225" s="21"/>
      <c r="L225" s="21"/>
      <c r="M225" s="21"/>
      <c r="N225" s="32" t="s">
        <v>1040</v>
      </c>
      <c r="O225" s="22" t="s">
        <v>34</v>
      </c>
      <c r="P225" s="23">
        <v>3</v>
      </c>
      <c r="Q225" s="34">
        <f t="shared" si="65"/>
        <v>2.238</v>
      </c>
      <c r="R225" s="39"/>
      <c r="S225" s="39">
        <f>IF(O225="","",IF(O225="NA","",IF(O225="Mini disjuntor + DR",0.92,IF(O225="Mini disjuntor",0.92,IF(O225="Disjuntor Motor",0.92,IF(O225="Disjuntor C.M.",0.92,IF(O225="Disjuntor C.A.",0.92,IFERROR(VLOOKUP('Lista de Cargas'!P225,Motores!$B$9:$T$48,19,FALSE),"Erro"))))))))</f>
        <v>0.83</v>
      </c>
      <c r="T225" s="40">
        <f>IF(O225="","",IF(O225="NA","",IF(O225="Mini disjuntor + DR",100%,IF(O225="Mini disjuntor",100%,IF(O225="Disjuntor Motor",0.92,IF(O225="Disjuntor C.M.",100%,IF(O225="Disjuntor C.A.",100%,IFERROR(VLOOKUP('Lista de Cargas'!P225,Motores!$B$9:$T$48,16,FALSE)/100,"Erro"))))))))</f>
        <v>0.85099999999999998</v>
      </c>
      <c r="U225" s="40" t="s">
        <v>445</v>
      </c>
      <c r="V225" s="39">
        <v>440</v>
      </c>
      <c r="W225" s="2">
        <f t="shared" si="78"/>
        <v>4.1575657478103292</v>
      </c>
      <c r="X225" s="2">
        <f t="shared" si="66"/>
        <v>2.6963855421686747</v>
      </c>
      <c r="Y225" s="2">
        <f t="shared" si="79"/>
        <v>24.945394486861975</v>
      </c>
      <c r="Z225" s="1"/>
      <c r="AA225" s="1"/>
      <c r="AB225" s="1">
        <v>120</v>
      </c>
      <c r="AC225" s="1"/>
      <c r="AD225" s="1"/>
      <c r="AE225" s="1"/>
      <c r="AF225" s="1"/>
      <c r="AG225" s="1">
        <f t="shared" si="67"/>
        <v>120</v>
      </c>
      <c r="AH225" s="1">
        <v>1</v>
      </c>
      <c r="AI225" s="1" t="s">
        <v>1054</v>
      </c>
      <c r="AJ225" s="1">
        <f t="shared" si="68"/>
        <v>120</v>
      </c>
      <c r="AK225" s="1">
        <v>0</v>
      </c>
      <c r="AL225" s="1" t="s">
        <v>118</v>
      </c>
      <c r="AM225" s="1">
        <f t="shared" si="69"/>
        <v>0</v>
      </c>
      <c r="AN225" s="1">
        <v>0</v>
      </c>
      <c r="AO225" s="1" t="s">
        <v>118</v>
      </c>
      <c r="AP225" s="1">
        <f t="shared" si="70"/>
        <v>0</v>
      </c>
      <c r="AQ225" s="1" t="s">
        <v>57</v>
      </c>
      <c r="AR225" s="1" t="str">
        <f t="shared" si="80"/>
        <v>3/4"</v>
      </c>
      <c r="AS225" s="1">
        <v>1</v>
      </c>
      <c r="AT225" s="1"/>
      <c r="AU225" s="1"/>
      <c r="AV225" s="17"/>
      <c r="AW225" s="2"/>
      <c r="AX225" s="2"/>
      <c r="AY225" s="2"/>
      <c r="AZ225" s="17"/>
      <c r="BA225" s="1"/>
      <c r="BB225" s="1"/>
      <c r="BC225" s="1"/>
      <c r="BD225" s="1"/>
      <c r="BE225" s="18"/>
      <c r="BF225" s="2">
        <f t="shared" si="81"/>
        <v>0.55056113490915704</v>
      </c>
      <c r="BG225" s="6"/>
      <c r="BH225" s="6"/>
    </row>
    <row r="226" spans="1:60" ht="12.75" customHeight="1" x14ac:dyDescent="0.2">
      <c r="A226" s="19">
        <v>400</v>
      </c>
      <c r="B226" s="19" t="s">
        <v>955</v>
      </c>
      <c r="C226" s="19" t="s">
        <v>569</v>
      </c>
      <c r="D226" s="20" t="s">
        <v>740</v>
      </c>
      <c r="E226" s="20"/>
      <c r="F226" s="21"/>
      <c r="G226" s="21"/>
      <c r="H226" s="21"/>
      <c r="I226" s="21"/>
      <c r="J226" s="21"/>
      <c r="K226" s="21"/>
      <c r="L226" s="21"/>
      <c r="M226" s="21"/>
      <c r="N226" s="32" t="s">
        <v>1040</v>
      </c>
      <c r="O226" s="22" t="s">
        <v>34</v>
      </c>
      <c r="P226" s="23">
        <v>0.5</v>
      </c>
      <c r="Q226" s="34">
        <f t="shared" si="65"/>
        <v>0.373</v>
      </c>
      <c r="R226" s="39"/>
      <c r="S226" s="39">
        <f>IF(O226="","",IF(O226="NA","",IF(O226="Mini disjuntor + DR",0.92,IF(O226="Mini disjuntor",0.92,IF(O226="Disjuntor Motor",0.92,IF(O226="Disjuntor C.M.",0.92,IF(O226="Disjuntor C.A.",0.92,IFERROR(VLOOKUP('Lista de Cargas'!P226,Motores!$B$9:$T$48,19,FALSE),"Erro"))))))))</f>
        <v>0.69</v>
      </c>
      <c r="T226" s="40">
        <f>IF(O226="","",IF(O226="NA","",IF(O226="Mini disjuntor + DR",100%,IF(O226="Mini disjuntor",100%,IF(O226="Disjuntor Motor",0.92,IF(O226="Disjuntor C.M.",100%,IF(O226="Disjuntor C.A.",100%,IFERROR(VLOOKUP('Lista de Cargas'!P226,Motores!$B$9:$T$48,16,FALSE)/100,"Erro"))))))))</f>
        <v>0.7</v>
      </c>
      <c r="U226" s="40" t="s">
        <v>445</v>
      </c>
      <c r="V226" s="39">
        <v>440</v>
      </c>
      <c r="W226" s="2">
        <f t="shared" si="78"/>
        <v>1.0133241596448825</v>
      </c>
      <c r="X226" s="2">
        <f t="shared" si="66"/>
        <v>0.54057971014492756</v>
      </c>
      <c r="Y226" s="2">
        <f t="shared" si="79"/>
        <v>6.0799449578692952</v>
      </c>
      <c r="Z226" s="1"/>
      <c r="AA226" s="1"/>
      <c r="AB226" s="1">
        <v>120</v>
      </c>
      <c r="AC226" s="1"/>
      <c r="AD226" s="1"/>
      <c r="AE226" s="1"/>
      <c r="AF226" s="1"/>
      <c r="AG226" s="1">
        <f t="shared" si="67"/>
        <v>120</v>
      </c>
      <c r="AH226" s="1">
        <v>1</v>
      </c>
      <c r="AI226" s="1" t="s">
        <v>1054</v>
      </c>
      <c r="AJ226" s="1">
        <f t="shared" si="68"/>
        <v>120</v>
      </c>
      <c r="AK226" s="1">
        <v>0</v>
      </c>
      <c r="AL226" s="1" t="s">
        <v>118</v>
      </c>
      <c r="AM226" s="1">
        <f t="shared" si="69"/>
        <v>0</v>
      </c>
      <c r="AN226" s="1">
        <v>0</v>
      </c>
      <c r="AO226" s="1" t="s">
        <v>118</v>
      </c>
      <c r="AP226" s="1">
        <f t="shared" si="70"/>
        <v>0</v>
      </c>
      <c r="AQ226" s="1" t="s">
        <v>57</v>
      </c>
      <c r="AR226" s="1" t="str">
        <f t="shared" si="80"/>
        <v>3/4"</v>
      </c>
      <c r="AS226" s="1">
        <v>1</v>
      </c>
      <c r="AT226" s="1"/>
      <c r="AU226" s="1"/>
      <c r="AV226" s="17"/>
      <c r="AW226" s="2"/>
      <c r="AX226" s="2"/>
      <c r="AY226" s="2"/>
      <c r="AZ226" s="17"/>
      <c r="BA226" s="1"/>
      <c r="BB226" s="1"/>
      <c r="BC226" s="1"/>
      <c r="BD226" s="1"/>
      <c r="BE226" s="18"/>
      <c r="BF226" s="2">
        <f t="shared" si="81"/>
        <v>0.23237932328500399</v>
      </c>
      <c r="BG226" s="6"/>
      <c r="BH226" s="6"/>
    </row>
    <row r="227" spans="1:60" ht="12.75" customHeight="1" x14ac:dyDescent="0.2">
      <c r="A227" s="19">
        <v>400</v>
      </c>
      <c r="B227" s="19" t="s">
        <v>955</v>
      </c>
      <c r="C227" s="19" t="s">
        <v>570</v>
      </c>
      <c r="D227" s="20" t="s">
        <v>741</v>
      </c>
      <c r="E227" s="20"/>
      <c r="F227" s="21"/>
      <c r="G227" s="21"/>
      <c r="H227" s="21"/>
      <c r="I227" s="21"/>
      <c r="J227" s="21"/>
      <c r="K227" s="21"/>
      <c r="L227" s="21"/>
      <c r="M227" s="21"/>
      <c r="N227" s="32" t="s">
        <v>1040</v>
      </c>
      <c r="O227" s="22" t="s">
        <v>34</v>
      </c>
      <c r="P227" s="23">
        <v>1</v>
      </c>
      <c r="Q227" s="34">
        <f t="shared" si="65"/>
        <v>0.746</v>
      </c>
      <c r="R227" s="39"/>
      <c r="S227" s="39">
        <f>IF(O227="","",IF(O227="NA","",IF(O227="Mini disjuntor + DR",0.92,IF(O227="Mini disjuntor",0.92,IF(O227="Disjuntor Motor",0.92,IF(O227="Disjuntor C.M.",0.92,IF(O227="Disjuntor C.A.",0.92,IFERROR(VLOOKUP('Lista de Cargas'!P227,Motores!$B$9:$T$48,19,FALSE),"Erro"))))))))</f>
        <v>0.81</v>
      </c>
      <c r="T227" s="40">
        <f>IF(O227="","",IF(O227="NA","",IF(O227="Mini disjuntor + DR",100%,IF(O227="Mini disjuntor",100%,IF(O227="Disjuntor Motor",0.92,IF(O227="Disjuntor C.M.",100%,IF(O227="Disjuntor C.A.",100%,IFERROR(VLOOKUP('Lista de Cargas'!P227,Motores!$B$9:$T$48,16,FALSE)/100,"Erro"))))))))</f>
        <v>0.80500000000000005</v>
      </c>
      <c r="U227" s="40" t="s">
        <v>445</v>
      </c>
      <c r="V227" s="39">
        <v>440</v>
      </c>
      <c r="W227" s="2">
        <f t="shared" si="78"/>
        <v>1.5012209772516776</v>
      </c>
      <c r="X227" s="2">
        <f t="shared" si="66"/>
        <v>0.92098765432098761</v>
      </c>
      <c r="Y227" s="2">
        <f t="shared" si="79"/>
        <v>9.007325863510065</v>
      </c>
      <c r="Z227" s="1"/>
      <c r="AA227" s="1"/>
      <c r="AB227" s="1">
        <v>120</v>
      </c>
      <c r="AC227" s="1"/>
      <c r="AD227" s="1"/>
      <c r="AE227" s="1"/>
      <c r="AF227" s="1"/>
      <c r="AG227" s="1">
        <f t="shared" si="67"/>
        <v>120</v>
      </c>
      <c r="AH227" s="1">
        <v>1</v>
      </c>
      <c r="AI227" s="1" t="s">
        <v>1054</v>
      </c>
      <c r="AJ227" s="1">
        <f t="shared" si="68"/>
        <v>120</v>
      </c>
      <c r="AK227" s="1">
        <v>0</v>
      </c>
      <c r="AL227" s="1" t="s">
        <v>118</v>
      </c>
      <c r="AM227" s="1">
        <f t="shared" si="69"/>
        <v>0</v>
      </c>
      <c r="AN227" s="1">
        <v>0</v>
      </c>
      <c r="AO227" s="1" t="s">
        <v>118</v>
      </c>
      <c r="AP227" s="1">
        <f t="shared" si="70"/>
        <v>0</v>
      </c>
      <c r="AQ227" s="1" t="s">
        <v>57</v>
      </c>
      <c r="AR227" s="1" t="str">
        <f t="shared" si="80"/>
        <v>3/4"</v>
      </c>
      <c r="AS227" s="1">
        <v>1</v>
      </c>
      <c r="AT227" s="1"/>
      <c r="AU227" s="1"/>
      <c r="AV227" s="17"/>
      <c r="AW227" s="2"/>
      <c r="AX227" s="2"/>
      <c r="AY227" s="2"/>
      <c r="AZ227" s="17"/>
      <c r="BA227" s="1"/>
      <c r="BB227" s="1"/>
      <c r="BC227" s="1"/>
      <c r="BD227" s="1"/>
      <c r="BE227" s="18"/>
      <c r="BF227" s="2">
        <f t="shared" si="81"/>
        <v>0.22230000710319253</v>
      </c>
      <c r="BG227" s="6"/>
      <c r="BH227" s="6"/>
    </row>
    <row r="228" spans="1:60" ht="12.75" customHeight="1" x14ac:dyDescent="0.2">
      <c r="A228" s="19">
        <v>400</v>
      </c>
      <c r="B228" s="19" t="s">
        <v>955</v>
      </c>
      <c r="C228" s="19" t="s">
        <v>571</v>
      </c>
      <c r="D228" s="20" t="s">
        <v>742</v>
      </c>
      <c r="E228" s="20"/>
      <c r="F228" s="21"/>
      <c r="G228" s="21"/>
      <c r="H228" s="21"/>
      <c r="I228" s="21"/>
      <c r="J228" s="21"/>
      <c r="K228" s="21"/>
      <c r="L228" s="21"/>
      <c r="M228" s="21"/>
      <c r="N228" s="32" t="s">
        <v>1040</v>
      </c>
      <c r="O228" s="22" t="s">
        <v>34</v>
      </c>
      <c r="P228" s="23">
        <v>1.5</v>
      </c>
      <c r="Q228" s="34">
        <f t="shared" si="65"/>
        <v>1.119</v>
      </c>
      <c r="R228" s="39"/>
      <c r="S228" s="39">
        <f>IF(O228="","",IF(O228="NA","",IF(O228="Mini disjuntor + DR",0.92,IF(O228="Mini disjuntor",0.92,IF(O228="Disjuntor Motor",0.92,IF(O228="Disjuntor C.M.",0.92,IF(O228="Disjuntor C.A.",0.92,IFERROR(VLOOKUP('Lista de Cargas'!P228,Motores!$B$9:$T$48,19,FALSE),"Erro"))))))))</f>
        <v>0.79</v>
      </c>
      <c r="T228" s="40">
        <f>IF(O228="","",IF(O228="NA","",IF(O228="Mini disjuntor + DR",100%,IF(O228="Mini disjuntor",100%,IF(O228="Disjuntor Motor",0.92,IF(O228="Disjuntor C.M.",100%,IF(O228="Disjuntor C.A.",100%,IFERROR(VLOOKUP('Lista de Cargas'!P228,Motores!$B$9:$T$48,16,FALSE)/100,"Erro"))))))))</f>
        <v>0.81599999999999995</v>
      </c>
      <c r="U228" s="40" t="s">
        <v>445</v>
      </c>
      <c r="V228" s="39">
        <v>440</v>
      </c>
      <c r="W228" s="2">
        <f t="shared" si="78"/>
        <v>2.2777157907133203</v>
      </c>
      <c r="X228" s="2">
        <f t="shared" si="66"/>
        <v>1.4164556962025316</v>
      </c>
      <c r="Y228" s="2">
        <f t="shared" si="79"/>
        <v>13.666294744279922</v>
      </c>
      <c r="Z228" s="1"/>
      <c r="AA228" s="1"/>
      <c r="AB228" s="1">
        <v>120</v>
      </c>
      <c r="AC228" s="1"/>
      <c r="AD228" s="1"/>
      <c r="AE228" s="1"/>
      <c r="AF228" s="1"/>
      <c r="AG228" s="1">
        <f t="shared" si="67"/>
        <v>120</v>
      </c>
      <c r="AH228" s="1">
        <v>1</v>
      </c>
      <c r="AI228" s="1" t="s">
        <v>1054</v>
      </c>
      <c r="AJ228" s="1">
        <f t="shared" si="68"/>
        <v>120</v>
      </c>
      <c r="AK228" s="1">
        <v>0</v>
      </c>
      <c r="AL228" s="1" t="s">
        <v>118</v>
      </c>
      <c r="AM228" s="1">
        <f t="shared" si="69"/>
        <v>0</v>
      </c>
      <c r="AN228" s="1">
        <v>0</v>
      </c>
      <c r="AO228" s="1" t="s">
        <v>118</v>
      </c>
      <c r="AP228" s="1">
        <f t="shared" si="70"/>
        <v>0</v>
      </c>
      <c r="AQ228" s="1" t="s">
        <v>57</v>
      </c>
      <c r="AR228" s="1" t="str">
        <f t="shared" si="80"/>
        <v>3/4"</v>
      </c>
      <c r="AS228" s="1">
        <v>1</v>
      </c>
      <c r="AT228" s="1"/>
      <c r="AU228" s="1"/>
      <c r="AV228" s="17"/>
      <c r="AW228" s="2"/>
      <c r="AX228" s="2"/>
      <c r="AY228" s="2"/>
      <c r="AZ228" s="17"/>
      <c r="BA228" s="1"/>
      <c r="BB228" s="1"/>
      <c r="BC228" s="1"/>
      <c r="BD228" s="1"/>
      <c r="BE228" s="18"/>
      <c r="BF228" s="2">
        <f t="shared" si="81"/>
        <v>0.3917466752134442</v>
      </c>
      <c r="BG228" s="6"/>
      <c r="BH228" s="6"/>
    </row>
    <row r="229" spans="1:60" s="72" customFormat="1" ht="12.75" customHeight="1" x14ac:dyDescent="0.2">
      <c r="A229" s="19">
        <v>400</v>
      </c>
      <c r="B229" s="19" t="s">
        <v>955</v>
      </c>
      <c r="C229" s="19" t="s">
        <v>572</v>
      </c>
      <c r="D229" s="60" t="s">
        <v>743</v>
      </c>
      <c r="E229" s="60"/>
      <c r="F229" s="61"/>
      <c r="G229" s="61"/>
      <c r="H229" s="61"/>
      <c r="I229" s="61"/>
      <c r="J229" s="61"/>
      <c r="K229" s="61"/>
      <c r="L229" s="61"/>
      <c r="M229" s="61"/>
      <c r="N229" s="73" t="s">
        <v>9</v>
      </c>
      <c r="O229" s="62" t="s">
        <v>5</v>
      </c>
      <c r="P229" s="63">
        <v>125</v>
      </c>
      <c r="Q229" s="64">
        <f t="shared" si="65"/>
        <v>93.25</v>
      </c>
      <c r="R229" s="65"/>
      <c r="S229" s="65">
        <f>IF(O229="","",IF(O229="NA","",IF(O229="Mini disjuntor + DR",0.92,IF(O229="Mini disjuntor",0.92,IF(O229="Disjuntor Motor",0.92,IF(O229="Disjuntor C.M.",0.92,IF(O229="Disjuntor C.A.",0.92,IFERROR(VLOOKUP('Lista de Cargas'!P229,Motores!$B$9:$T$48,19,FALSE),"Erro"))))))))</f>
        <v>0.85</v>
      </c>
      <c r="T229" s="66">
        <f>IF(O229="","",IF(O229="NA","",IF(O229="Mini disjuntor + DR",100%,IF(O229="Mini disjuntor",100%,IF(O229="Disjuntor Motor",0.92,IF(O229="Disjuntor C.M.",100%,IF(O229="Disjuntor C.A.",100%,IFERROR(VLOOKUP('Lista de Cargas'!P229,Motores!$B$9:$T$48,16,FALSE)/100,"Erro"))))))))</f>
        <v>0.94900000000000007</v>
      </c>
      <c r="U229" s="66" t="s">
        <v>445</v>
      </c>
      <c r="V229" s="65">
        <v>440</v>
      </c>
      <c r="W229" s="67">
        <f t="shared" si="78"/>
        <v>151.68771124666156</v>
      </c>
      <c r="X229" s="67">
        <f t="shared" si="66"/>
        <v>109.70588235294117</v>
      </c>
      <c r="Y229" s="67">
        <f t="shared" si="79"/>
        <v>227.53156686999233</v>
      </c>
      <c r="Z229" s="68"/>
      <c r="AA229" s="68"/>
      <c r="AB229" s="68">
        <v>120</v>
      </c>
      <c r="AC229" s="68"/>
      <c r="AD229" s="68"/>
      <c r="AE229" s="68"/>
      <c r="AF229" s="68"/>
      <c r="AG229" s="68">
        <f t="shared" si="67"/>
        <v>120</v>
      </c>
      <c r="AH229" s="68">
        <v>3</v>
      </c>
      <c r="AI229" s="68" t="s">
        <v>1058</v>
      </c>
      <c r="AJ229" s="68">
        <f t="shared" si="68"/>
        <v>360</v>
      </c>
      <c r="AK229" s="68">
        <v>0</v>
      </c>
      <c r="AL229" s="68" t="s">
        <v>118</v>
      </c>
      <c r="AM229" s="68">
        <f t="shared" si="69"/>
        <v>0</v>
      </c>
      <c r="AN229" s="68">
        <v>1</v>
      </c>
      <c r="AO229" s="68" t="s">
        <v>1059</v>
      </c>
      <c r="AP229" s="68">
        <f t="shared" si="70"/>
        <v>120</v>
      </c>
      <c r="AQ229" s="1" t="s">
        <v>73</v>
      </c>
      <c r="AR229" s="68" t="str">
        <f t="shared" si="80"/>
        <v>2"</v>
      </c>
      <c r="AS229" s="1">
        <v>1</v>
      </c>
      <c r="AT229" s="68"/>
      <c r="AU229" s="68"/>
      <c r="AV229" s="69"/>
      <c r="AW229" s="67"/>
      <c r="AX229" s="67"/>
      <c r="AY229" s="67"/>
      <c r="AZ229" s="69"/>
      <c r="BA229" s="68"/>
      <c r="BB229" s="68"/>
      <c r="BC229" s="68"/>
      <c r="BD229" s="68"/>
      <c r="BE229" s="70"/>
      <c r="BF229" s="67">
        <f t="shared" si="81"/>
        <v>0</v>
      </c>
      <c r="BG229" s="71"/>
      <c r="BH229" s="71"/>
    </row>
    <row r="230" spans="1:60" s="72" customFormat="1" ht="12.75" customHeight="1" x14ac:dyDescent="0.2">
      <c r="A230" s="19">
        <v>400</v>
      </c>
      <c r="B230" s="19" t="s">
        <v>955</v>
      </c>
      <c r="C230" s="19" t="s">
        <v>573</v>
      </c>
      <c r="D230" s="60" t="s">
        <v>744</v>
      </c>
      <c r="E230" s="60"/>
      <c r="F230" s="61"/>
      <c r="G230" s="61"/>
      <c r="H230" s="61"/>
      <c r="I230" s="61"/>
      <c r="J230" s="61"/>
      <c r="K230" s="61"/>
      <c r="L230" s="61"/>
      <c r="M230" s="61"/>
      <c r="N230" s="73" t="s">
        <v>9</v>
      </c>
      <c r="O230" s="62" t="s">
        <v>5</v>
      </c>
      <c r="P230" s="63">
        <v>30</v>
      </c>
      <c r="Q230" s="64">
        <f t="shared" si="65"/>
        <v>22.38</v>
      </c>
      <c r="R230" s="68"/>
      <c r="S230" s="65">
        <f>IF(O230="","",IF(O230="NA","",IF(O230="Mini disjuntor + DR",0.92,IF(O230="Mini disjuntor",0.92,IF(O230="Disjuntor Motor",0.92,IF(O230="Disjuntor C.M.",0.92,IF(O230="Disjuntor C.A.",0.92,IFERROR(VLOOKUP('Lista de Cargas'!P230,Motores!$B$9:$T$48,19,FALSE),"Erro"))))))))</f>
        <v>0.84</v>
      </c>
      <c r="T230" s="66">
        <f>IF(O230="","",IF(O230="NA","",IF(O230="Mini disjuntor + DR",100%,IF(O230="Mini disjuntor",100%,IF(O230="Disjuntor Motor",0.92,IF(O230="Disjuntor C.M.",100%,IF(O230="Disjuntor C.A.",100%,IFERROR(VLOOKUP('Lista de Cargas'!P230,Motores!$B$9:$T$48,16,FALSE)/100,"Erro"))))))))</f>
        <v>0.93</v>
      </c>
      <c r="U230" s="66" t="s">
        <v>445</v>
      </c>
      <c r="V230" s="65">
        <v>440</v>
      </c>
      <c r="W230" s="67">
        <f t="shared" si="78"/>
        <v>37.59105753521338</v>
      </c>
      <c r="X230" s="67">
        <f t="shared" si="66"/>
        <v>26.642857142857142</v>
      </c>
      <c r="Y230" s="67">
        <f t="shared" si="79"/>
        <v>56.386586302820071</v>
      </c>
      <c r="Z230" s="68"/>
      <c r="AA230" s="68"/>
      <c r="AB230" s="68">
        <v>120</v>
      </c>
      <c r="AC230" s="68"/>
      <c r="AD230" s="68"/>
      <c r="AE230" s="68"/>
      <c r="AF230" s="68"/>
      <c r="AG230" s="68">
        <f t="shared" si="67"/>
        <v>120</v>
      </c>
      <c r="AH230" s="68">
        <v>1</v>
      </c>
      <c r="AI230" s="68" t="s">
        <v>1057</v>
      </c>
      <c r="AJ230" s="68">
        <f t="shared" si="68"/>
        <v>120</v>
      </c>
      <c r="AK230" s="68">
        <v>0</v>
      </c>
      <c r="AL230" s="68" t="s">
        <v>118</v>
      </c>
      <c r="AM230" s="68">
        <f t="shared" si="69"/>
        <v>0</v>
      </c>
      <c r="AN230" s="68">
        <v>0</v>
      </c>
      <c r="AO230" s="68" t="s">
        <v>118</v>
      </c>
      <c r="AP230" s="68">
        <f t="shared" si="70"/>
        <v>0</v>
      </c>
      <c r="AQ230" s="1" t="s">
        <v>60</v>
      </c>
      <c r="AR230" s="68" t="str">
        <f t="shared" si="80"/>
        <v>1"</v>
      </c>
      <c r="AS230" s="1">
        <v>1</v>
      </c>
      <c r="AT230" s="68"/>
      <c r="AU230" s="68"/>
      <c r="AV230" s="69"/>
      <c r="AW230" s="67"/>
      <c r="AX230" s="67"/>
      <c r="AY230" s="67"/>
      <c r="AZ230" s="69"/>
      <c r="BA230" s="68"/>
      <c r="BB230" s="68"/>
      <c r="BC230" s="68"/>
      <c r="BD230" s="68"/>
      <c r="BE230" s="70"/>
      <c r="BF230" s="67">
        <f t="shared" si="81"/>
        <v>0</v>
      </c>
      <c r="BG230" s="71"/>
      <c r="BH230" s="71"/>
    </row>
    <row r="231" spans="1:60" s="72" customFormat="1" ht="12.75" customHeight="1" x14ac:dyDescent="0.2">
      <c r="A231" s="19">
        <v>400</v>
      </c>
      <c r="B231" s="19" t="s">
        <v>955</v>
      </c>
      <c r="C231" s="19" t="s">
        <v>574</v>
      </c>
      <c r="D231" s="60" t="s">
        <v>745</v>
      </c>
      <c r="E231" s="60"/>
      <c r="F231" s="61"/>
      <c r="G231" s="61"/>
      <c r="H231" s="61"/>
      <c r="I231" s="61"/>
      <c r="J231" s="61"/>
      <c r="K231" s="61"/>
      <c r="L231" s="61"/>
      <c r="M231" s="61"/>
      <c r="N231" s="73" t="s">
        <v>9</v>
      </c>
      <c r="O231" s="62" t="s">
        <v>34</v>
      </c>
      <c r="P231" s="63">
        <v>0.05</v>
      </c>
      <c r="Q231" s="64">
        <f t="shared" si="65"/>
        <v>3.73E-2</v>
      </c>
      <c r="R231" s="68"/>
      <c r="S231" s="65">
        <v>0.84</v>
      </c>
      <c r="T231" s="66">
        <v>0.93</v>
      </c>
      <c r="U231" s="66" t="s">
        <v>445</v>
      </c>
      <c r="V231" s="65">
        <v>440</v>
      </c>
      <c r="W231" s="67">
        <f t="shared" si="78"/>
        <v>6.2651762558688984E-2</v>
      </c>
      <c r="X231" s="67">
        <f t="shared" si="66"/>
        <v>4.4404761904761905E-2</v>
      </c>
      <c r="Y231" s="67">
        <f t="shared" si="79"/>
        <v>0.3759105753521339</v>
      </c>
      <c r="Z231" s="68"/>
      <c r="AA231" s="68"/>
      <c r="AB231" s="68">
        <v>120</v>
      </c>
      <c r="AC231" s="68"/>
      <c r="AD231" s="68"/>
      <c r="AE231" s="68"/>
      <c r="AF231" s="68"/>
      <c r="AG231" s="68">
        <f t="shared" si="67"/>
        <v>120</v>
      </c>
      <c r="AH231" s="68">
        <v>1</v>
      </c>
      <c r="AI231" s="1" t="s">
        <v>1054</v>
      </c>
      <c r="AJ231" s="68">
        <f t="shared" si="68"/>
        <v>120</v>
      </c>
      <c r="AK231" s="68">
        <v>0</v>
      </c>
      <c r="AL231" s="68" t="s">
        <v>118</v>
      </c>
      <c r="AM231" s="68">
        <f t="shared" si="69"/>
        <v>0</v>
      </c>
      <c r="AN231" s="68">
        <v>0</v>
      </c>
      <c r="AO231" s="68" t="s">
        <v>118</v>
      </c>
      <c r="AP231" s="68">
        <f t="shared" si="70"/>
        <v>0</v>
      </c>
      <c r="AQ231" s="1" t="s">
        <v>57</v>
      </c>
      <c r="AR231" s="68" t="str">
        <f t="shared" si="80"/>
        <v>3/4"</v>
      </c>
      <c r="AS231" s="1">
        <v>1</v>
      </c>
      <c r="AT231" s="68"/>
      <c r="AU231" s="68"/>
      <c r="AV231" s="69"/>
      <c r="AW231" s="67"/>
      <c r="AX231" s="67"/>
      <c r="AY231" s="67"/>
      <c r="AZ231" s="69"/>
      <c r="BA231" s="68"/>
      <c r="BB231" s="68"/>
      <c r="BC231" s="68"/>
      <c r="BD231" s="68"/>
      <c r="BE231" s="70"/>
      <c r="BF231" s="67">
        <f t="shared" si="81"/>
        <v>8.2036863829359971E-3</v>
      </c>
      <c r="BG231" s="71"/>
      <c r="BH231" s="71"/>
    </row>
    <row r="232" spans="1:60" s="72" customFormat="1" ht="12.75" customHeight="1" x14ac:dyDescent="0.2">
      <c r="A232" s="19">
        <v>400</v>
      </c>
      <c r="B232" s="19" t="s">
        <v>955</v>
      </c>
      <c r="C232" s="19" t="s">
        <v>575</v>
      </c>
      <c r="D232" s="60" t="s">
        <v>746</v>
      </c>
      <c r="E232" s="60"/>
      <c r="F232" s="61"/>
      <c r="G232" s="61"/>
      <c r="H232" s="61"/>
      <c r="I232" s="61"/>
      <c r="J232" s="61"/>
      <c r="K232" s="61"/>
      <c r="L232" s="61"/>
      <c r="M232" s="61"/>
      <c r="N232" s="73" t="s">
        <v>9</v>
      </c>
      <c r="O232" s="62" t="s">
        <v>34</v>
      </c>
      <c r="P232" s="63">
        <v>0.54</v>
      </c>
      <c r="Q232" s="64">
        <f t="shared" si="65"/>
        <v>0.40284000000000003</v>
      </c>
      <c r="R232" s="68"/>
      <c r="S232" s="65">
        <v>0.84</v>
      </c>
      <c r="T232" s="66">
        <v>0.93</v>
      </c>
      <c r="U232" s="66" t="s">
        <v>445</v>
      </c>
      <c r="V232" s="65">
        <v>440</v>
      </c>
      <c r="W232" s="67">
        <f t="shared" si="78"/>
        <v>0.67663903563384098</v>
      </c>
      <c r="X232" s="67">
        <f t="shared" si="66"/>
        <v>0.47957142857142865</v>
      </c>
      <c r="Y232" s="67">
        <f t="shared" si="79"/>
        <v>4.0598342138030459</v>
      </c>
      <c r="Z232" s="68"/>
      <c r="AA232" s="68"/>
      <c r="AB232" s="68">
        <v>120</v>
      </c>
      <c r="AC232" s="68"/>
      <c r="AD232" s="68"/>
      <c r="AE232" s="68"/>
      <c r="AF232" s="68"/>
      <c r="AG232" s="68">
        <f t="shared" si="67"/>
        <v>120</v>
      </c>
      <c r="AH232" s="68">
        <v>1</v>
      </c>
      <c r="AI232" s="1" t="s">
        <v>1054</v>
      </c>
      <c r="AJ232" s="68">
        <f t="shared" si="68"/>
        <v>120</v>
      </c>
      <c r="AK232" s="68">
        <v>0</v>
      </c>
      <c r="AL232" s="68" t="s">
        <v>118</v>
      </c>
      <c r="AM232" s="68">
        <f t="shared" si="69"/>
        <v>0</v>
      </c>
      <c r="AN232" s="68">
        <v>0</v>
      </c>
      <c r="AO232" s="68" t="s">
        <v>118</v>
      </c>
      <c r="AP232" s="68">
        <f t="shared" si="70"/>
        <v>0</v>
      </c>
      <c r="AQ232" s="1" t="s">
        <v>57</v>
      </c>
      <c r="AR232" s="68" t="str">
        <f t="shared" si="80"/>
        <v>3/4"</v>
      </c>
      <c r="AS232" s="1">
        <v>1</v>
      </c>
      <c r="AT232" s="68"/>
      <c r="AU232" s="68"/>
      <c r="AV232" s="69"/>
      <c r="AW232" s="67"/>
      <c r="AX232" s="67"/>
      <c r="AY232" s="67"/>
      <c r="AZ232" s="69"/>
      <c r="BA232" s="68"/>
      <c r="BB232" s="68"/>
      <c r="BC232" s="68"/>
      <c r="BD232" s="68"/>
      <c r="BE232" s="70"/>
      <c r="BF232" s="67">
        <f t="shared" si="81"/>
        <v>8.8599812935708733E-2</v>
      </c>
      <c r="BG232" s="71"/>
      <c r="BH232" s="71"/>
    </row>
    <row r="233" spans="1:60" s="72" customFormat="1" ht="12.75" customHeight="1" x14ac:dyDescent="0.2">
      <c r="A233" s="19">
        <v>400</v>
      </c>
      <c r="B233" s="19" t="s">
        <v>955</v>
      </c>
      <c r="C233" s="19" t="s">
        <v>576</v>
      </c>
      <c r="D233" s="60" t="s">
        <v>747</v>
      </c>
      <c r="E233" s="60"/>
      <c r="F233" s="61"/>
      <c r="G233" s="61"/>
      <c r="H233" s="61"/>
      <c r="I233" s="61"/>
      <c r="J233" s="61"/>
      <c r="K233" s="61"/>
      <c r="L233" s="61"/>
      <c r="M233" s="61"/>
      <c r="N233" s="74" t="s">
        <v>9</v>
      </c>
      <c r="O233" s="62" t="s">
        <v>5</v>
      </c>
      <c r="P233" s="63">
        <v>125</v>
      </c>
      <c r="Q233" s="64">
        <f t="shared" si="65"/>
        <v>93.25</v>
      </c>
      <c r="R233" s="68"/>
      <c r="S233" s="65">
        <f>IF(O233="","",IF(O233="NA","",IF(O233="Mini disjuntor + DR",0.92,IF(O233="Mini disjuntor",0.92,IF(O233="Disjuntor Motor",0.92,IF(O233="Disjuntor C.M.",0.92,IF(O233="Disjuntor C.A.",0.92,IFERROR(VLOOKUP('Lista de Cargas'!P233,Motores!$B$9:$T$48,19,FALSE),"Erro"))))))))</f>
        <v>0.85</v>
      </c>
      <c r="T233" s="66">
        <f>IF(O233="","",IF(O233="NA","",IF(O233="Mini disjuntor + DR",100%,IF(O233="Mini disjuntor",100%,IF(O233="Disjuntor Motor",0.92,IF(O233="Disjuntor C.M.",100%,IF(O233="Disjuntor C.A.",100%,IFERROR(VLOOKUP('Lista de Cargas'!P233,Motores!$B$9:$T$48,16,FALSE)/100,"Erro"))))))))</f>
        <v>0.94900000000000007</v>
      </c>
      <c r="U233" s="66" t="s">
        <v>445</v>
      </c>
      <c r="V233" s="65">
        <v>440</v>
      </c>
      <c r="W233" s="67">
        <f t="shared" si="78"/>
        <v>151.68771124666156</v>
      </c>
      <c r="X233" s="67">
        <f t="shared" si="66"/>
        <v>109.70588235294117</v>
      </c>
      <c r="Y233" s="67">
        <f t="shared" si="79"/>
        <v>227.53156686999233</v>
      </c>
      <c r="Z233" s="68"/>
      <c r="AA233" s="68"/>
      <c r="AB233" s="68">
        <v>120</v>
      </c>
      <c r="AC233" s="68"/>
      <c r="AD233" s="68"/>
      <c r="AE233" s="68"/>
      <c r="AF233" s="68"/>
      <c r="AG233" s="68">
        <f t="shared" si="67"/>
        <v>120</v>
      </c>
      <c r="AH233" s="68">
        <v>3</v>
      </c>
      <c r="AI233" s="68" t="s">
        <v>1058</v>
      </c>
      <c r="AJ233" s="68">
        <f t="shared" si="68"/>
        <v>360</v>
      </c>
      <c r="AK233" s="68">
        <v>0</v>
      </c>
      <c r="AL233" s="68" t="s">
        <v>118</v>
      </c>
      <c r="AM233" s="68">
        <f t="shared" si="69"/>
        <v>0</v>
      </c>
      <c r="AN233" s="68">
        <v>1</v>
      </c>
      <c r="AO233" s="68" t="s">
        <v>1059</v>
      </c>
      <c r="AP233" s="68">
        <f t="shared" si="70"/>
        <v>120</v>
      </c>
      <c r="AQ233" s="1" t="s">
        <v>73</v>
      </c>
      <c r="AR233" s="68" t="str">
        <f t="shared" si="80"/>
        <v>2"</v>
      </c>
      <c r="AS233" s="1">
        <v>1</v>
      </c>
      <c r="AT233" s="68"/>
      <c r="AU233" s="68"/>
      <c r="AV233" s="69"/>
      <c r="AW233" s="67"/>
      <c r="AX233" s="67"/>
      <c r="AY233" s="67"/>
      <c r="AZ233" s="69"/>
      <c r="BA233" s="68"/>
      <c r="BB233" s="68"/>
      <c r="BC233" s="68"/>
      <c r="BD233" s="68"/>
      <c r="BE233" s="70"/>
      <c r="BF233" s="67">
        <f t="shared" si="81"/>
        <v>0</v>
      </c>
      <c r="BG233" s="71"/>
      <c r="BH233" s="71"/>
    </row>
    <row r="234" spans="1:60" s="72" customFormat="1" ht="12.75" customHeight="1" x14ac:dyDescent="0.2">
      <c r="A234" s="19">
        <v>400</v>
      </c>
      <c r="B234" s="19" t="s">
        <v>955</v>
      </c>
      <c r="C234" s="19" t="s">
        <v>577</v>
      </c>
      <c r="D234" s="60" t="s">
        <v>748</v>
      </c>
      <c r="E234" s="60"/>
      <c r="F234" s="61"/>
      <c r="G234" s="61"/>
      <c r="H234" s="61"/>
      <c r="I234" s="61"/>
      <c r="J234" s="61"/>
      <c r="K234" s="61"/>
      <c r="L234" s="61"/>
      <c r="M234" s="61"/>
      <c r="N234" s="74" t="s">
        <v>9</v>
      </c>
      <c r="O234" s="62" t="s">
        <v>5</v>
      </c>
      <c r="P234" s="63">
        <v>30</v>
      </c>
      <c r="Q234" s="64">
        <f t="shared" ref="Q234:Q294" si="82">P234*0.746</f>
        <v>22.38</v>
      </c>
      <c r="R234" s="68"/>
      <c r="S234" s="65">
        <f>IF(O234="","",IF(O234="NA","",IF(O234="Mini disjuntor + DR",0.92,IF(O234="Mini disjuntor",0.92,IF(O234="Disjuntor Motor",0.92,IF(O234="Disjuntor C.M.",0.92,IF(O234="Disjuntor C.A.",0.92,IFERROR(VLOOKUP('Lista de Cargas'!P234,Motores!$B$9:$T$48,19,FALSE),"Erro"))))))))</f>
        <v>0.84</v>
      </c>
      <c r="T234" s="66">
        <f>IF(O234="","",IF(O234="NA","",IF(O234="Mini disjuntor + DR",100%,IF(O234="Mini disjuntor",100%,IF(O234="Disjuntor Motor",0.92,IF(O234="Disjuntor C.M.",100%,IF(O234="Disjuntor C.A.",100%,IFERROR(VLOOKUP('Lista de Cargas'!P234,Motores!$B$9:$T$48,16,FALSE)/100,"Erro"))))))))</f>
        <v>0.93</v>
      </c>
      <c r="U234" s="66" t="s">
        <v>445</v>
      </c>
      <c r="V234" s="65">
        <v>440</v>
      </c>
      <c r="W234" s="67">
        <f t="shared" si="78"/>
        <v>37.59105753521338</v>
      </c>
      <c r="X234" s="67">
        <f t="shared" ref="X234:X294" si="83">IFERROR(Q234/S234,0)</f>
        <v>26.642857142857142</v>
      </c>
      <c r="Y234" s="67">
        <f t="shared" si="79"/>
        <v>56.386586302820071</v>
      </c>
      <c r="Z234" s="68"/>
      <c r="AA234" s="68"/>
      <c r="AB234" s="68">
        <v>120</v>
      </c>
      <c r="AC234" s="68"/>
      <c r="AD234" s="68"/>
      <c r="AE234" s="68"/>
      <c r="AF234" s="68"/>
      <c r="AG234" s="68">
        <f t="shared" ref="AG234:AG294" si="84">SUM(AB234:AF234)</f>
        <v>120</v>
      </c>
      <c r="AH234" s="68">
        <v>1</v>
      </c>
      <c r="AI234" s="68" t="s">
        <v>1057</v>
      </c>
      <c r="AJ234" s="68">
        <f t="shared" ref="AJ234:AJ294" si="85">$AG234*AH234*(1+$BJ$1)</f>
        <v>120</v>
      </c>
      <c r="AK234" s="68">
        <v>0</v>
      </c>
      <c r="AL234" s="68" t="s">
        <v>118</v>
      </c>
      <c r="AM234" s="68">
        <f t="shared" ref="AM234:AM294" si="86">$AG234*AK234*(1+$BJ$1)</f>
        <v>0</v>
      </c>
      <c r="AN234" s="68">
        <v>0</v>
      </c>
      <c r="AO234" s="68" t="s">
        <v>118</v>
      </c>
      <c r="AP234" s="68">
        <f t="shared" ref="AP234:AP294" si="87">$AG234*AN234*(1+$BJ$1)</f>
        <v>0</v>
      </c>
      <c r="AQ234" s="1" t="s">
        <v>60</v>
      </c>
      <c r="AR234" s="68" t="str">
        <f t="shared" si="80"/>
        <v>1"</v>
      </c>
      <c r="AS234" s="1">
        <v>1</v>
      </c>
      <c r="AT234" s="68"/>
      <c r="AU234" s="68"/>
      <c r="AV234" s="69"/>
      <c r="AW234" s="67"/>
      <c r="AX234" s="67"/>
      <c r="AY234" s="67"/>
      <c r="AZ234" s="69"/>
      <c r="BA234" s="68"/>
      <c r="BB234" s="68"/>
      <c r="BC234" s="68"/>
      <c r="BD234" s="68"/>
      <c r="BE234" s="70"/>
      <c r="BF234" s="67">
        <f t="shared" si="81"/>
        <v>0</v>
      </c>
      <c r="BG234" s="71"/>
      <c r="BH234" s="71"/>
    </row>
    <row r="235" spans="1:60" s="72" customFormat="1" ht="12.75" customHeight="1" x14ac:dyDescent="0.2">
      <c r="A235" s="19">
        <v>400</v>
      </c>
      <c r="B235" s="19" t="s">
        <v>955</v>
      </c>
      <c r="C235" s="19" t="s">
        <v>578</v>
      </c>
      <c r="D235" s="60" t="s">
        <v>749</v>
      </c>
      <c r="E235" s="60"/>
      <c r="F235" s="61"/>
      <c r="G235" s="61"/>
      <c r="H235" s="61"/>
      <c r="I235" s="61"/>
      <c r="J235" s="61"/>
      <c r="K235" s="61"/>
      <c r="L235" s="61"/>
      <c r="M235" s="61"/>
      <c r="N235" s="74" t="s">
        <v>9</v>
      </c>
      <c r="O235" s="62" t="s">
        <v>34</v>
      </c>
      <c r="P235" s="63">
        <v>0.05</v>
      </c>
      <c r="Q235" s="64">
        <f t="shared" si="82"/>
        <v>3.73E-2</v>
      </c>
      <c r="R235" s="68"/>
      <c r="S235" s="65">
        <v>0.84</v>
      </c>
      <c r="T235" s="66">
        <v>0.93</v>
      </c>
      <c r="U235" s="66" t="s">
        <v>445</v>
      </c>
      <c r="V235" s="65">
        <v>440</v>
      </c>
      <c r="W235" s="67">
        <f t="shared" si="78"/>
        <v>6.2651762558688984E-2</v>
      </c>
      <c r="X235" s="67">
        <f t="shared" si="83"/>
        <v>4.4404761904761905E-2</v>
      </c>
      <c r="Y235" s="67">
        <f t="shared" si="79"/>
        <v>0.3759105753521339</v>
      </c>
      <c r="Z235" s="68"/>
      <c r="AA235" s="68"/>
      <c r="AB235" s="68">
        <v>120</v>
      </c>
      <c r="AC235" s="68"/>
      <c r="AD235" s="68"/>
      <c r="AE235" s="68"/>
      <c r="AF235" s="68"/>
      <c r="AG235" s="68">
        <f t="shared" si="84"/>
        <v>120</v>
      </c>
      <c r="AH235" s="68">
        <v>1</v>
      </c>
      <c r="AI235" s="1" t="s">
        <v>1054</v>
      </c>
      <c r="AJ235" s="68">
        <f t="shared" si="85"/>
        <v>120</v>
      </c>
      <c r="AK235" s="68">
        <v>0</v>
      </c>
      <c r="AL235" s="68" t="s">
        <v>118</v>
      </c>
      <c r="AM235" s="68">
        <f t="shared" si="86"/>
        <v>0</v>
      </c>
      <c r="AN235" s="68">
        <v>0</v>
      </c>
      <c r="AO235" s="68" t="s">
        <v>118</v>
      </c>
      <c r="AP235" s="68">
        <f t="shared" si="87"/>
        <v>0</v>
      </c>
      <c r="AQ235" s="1" t="s">
        <v>57</v>
      </c>
      <c r="AR235" s="68" t="str">
        <f t="shared" si="80"/>
        <v>3/4"</v>
      </c>
      <c r="AS235" s="1">
        <v>1</v>
      </c>
      <c r="AT235" s="68"/>
      <c r="AU235" s="68"/>
      <c r="AV235" s="69"/>
      <c r="AW235" s="67"/>
      <c r="AX235" s="67"/>
      <c r="AY235" s="67"/>
      <c r="AZ235" s="69"/>
      <c r="BA235" s="68"/>
      <c r="BB235" s="68"/>
      <c r="BC235" s="68"/>
      <c r="BD235" s="68"/>
      <c r="BE235" s="70"/>
      <c r="BF235" s="67">
        <f t="shared" si="81"/>
        <v>8.2036863829359971E-3</v>
      </c>
      <c r="BG235" s="71"/>
      <c r="BH235" s="71"/>
    </row>
    <row r="236" spans="1:60" s="72" customFormat="1" ht="12.75" customHeight="1" x14ac:dyDescent="0.2">
      <c r="A236" s="19">
        <v>400</v>
      </c>
      <c r="B236" s="19" t="s">
        <v>955</v>
      </c>
      <c r="C236" s="19" t="s">
        <v>579</v>
      </c>
      <c r="D236" s="60" t="s">
        <v>750</v>
      </c>
      <c r="E236" s="60"/>
      <c r="F236" s="61"/>
      <c r="G236" s="61"/>
      <c r="H236" s="61"/>
      <c r="I236" s="61"/>
      <c r="J236" s="61"/>
      <c r="K236" s="61"/>
      <c r="L236" s="61"/>
      <c r="M236" s="61"/>
      <c r="N236" s="74" t="s">
        <v>9</v>
      </c>
      <c r="O236" s="62" t="s">
        <v>34</v>
      </c>
      <c r="P236" s="63">
        <v>0.54</v>
      </c>
      <c r="Q236" s="64">
        <f t="shared" si="82"/>
        <v>0.40284000000000003</v>
      </c>
      <c r="R236" s="68"/>
      <c r="S236" s="65">
        <v>0.84</v>
      </c>
      <c r="T236" s="66">
        <v>0.93</v>
      </c>
      <c r="U236" s="66" t="s">
        <v>445</v>
      </c>
      <c r="V236" s="65">
        <v>440</v>
      </c>
      <c r="W236" s="67">
        <f t="shared" si="78"/>
        <v>0.67663903563384098</v>
      </c>
      <c r="X236" s="67">
        <f t="shared" si="83"/>
        <v>0.47957142857142865</v>
      </c>
      <c r="Y236" s="67">
        <f t="shared" si="79"/>
        <v>4.0598342138030459</v>
      </c>
      <c r="Z236" s="68"/>
      <c r="AA236" s="68"/>
      <c r="AB236" s="68">
        <v>120</v>
      </c>
      <c r="AC236" s="68"/>
      <c r="AD236" s="68"/>
      <c r="AE236" s="68"/>
      <c r="AF236" s="68"/>
      <c r="AG236" s="68">
        <f t="shared" si="84"/>
        <v>120</v>
      </c>
      <c r="AH236" s="68">
        <v>1</v>
      </c>
      <c r="AI236" s="1" t="s">
        <v>1054</v>
      </c>
      <c r="AJ236" s="68">
        <f t="shared" si="85"/>
        <v>120</v>
      </c>
      <c r="AK236" s="68">
        <v>0</v>
      </c>
      <c r="AL236" s="68" t="s">
        <v>118</v>
      </c>
      <c r="AM236" s="68">
        <f t="shared" si="86"/>
        <v>0</v>
      </c>
      <c r="AN236" s="68">
        <v>0</v>
      </c>
      <c r="AO236" s="68" t="s">
        <v>118</v>
      </c>
      <c r="AP236" s="68">
        <f t="shared" si="87"/>
        <v>0</v>
      </c>
      <c r="AQ236" s="1" t="s">
        <v>57</v>
      </c>
      <c r="AR236" s="68" t="str">
        <f t="shared" si="80"/>
        <v>3/4"</v>
      </c>
      <c r="AS236" s="1">
        <v>1</v>
      </c>
      <c r="AT236" s="68"/>
      <c r="AU236" s="68"/>
      <c r="AV236" s="69"/>
      <c r="AW236" s="67"/>
      <c r="AX236" s="67"/>
      <c r="AY236" s="67"/>
      <c r="AZ236" s="69"/>
      <c r="BA236" s="68"/>
      <c r="BB236" s="68"/>
      <c r="BC236" s="68"/>
      <c r="BD236" s="68"/>
      <c r="BE236" s="70"/>
      <c r="BF236" s="67">
        <f t="shared" si="81"/>
        <v>8.8599812935708733E-2</v>
      </c>
      <c r="BG236" s="71"/>
      <c r="BH236" s="71"/>
    </row>
    <row r="237" spans="1:60" s="72" customFormat="1" ht="12.75" customHeight="1" x14ac:dyDescent="0.2">
      <c r="A237" s="19">
        <v>400</v>
      </c>
      <c r="B237" s="19" t="s">
        <v>955</v>
      </c>
      <c r="C237" s="19" t="s">
        <v>580</v>
      </c>
      <c r="D237" s="60" t="s">
        <v>751</v>
      </c>
      <c r="E237" s="60"/>
      <c r="F237" s="61"/>
      <c r="G237" s="61"/>
      <c r="H237" s="61"/>
      <c r="I237" s="61"/>
      <c r="J237" s="61"/>
      <c r="K237" s="61"/>
      <c r="L237" s="61"/>
      <c r="M237" s="61"/>
      <c r="N237" s="73" t="s">
        <v>9</v>
      </c>
      <c r="O237" s="62" t="s">
        <v>5</v>
      </c>
      <c r="P237" s="63">
        <v>125</v>
      </c>
      <c r="Q237" s="64">
        <f t="shared" si="82"/>
        <v>93.25</v>
      </c>
      <c r="R237" s="68"/>
      <c r="S237" s="65">
        <f>IF(O237="","",IF(O237="NA","",IF(O237="Mini disjuntor + DR",0.92,IF(O237="Mini disjuntor",0.92,IF(O237="Disjuntor Motor",0.92,IF(O237="Disjuntor C.M.",0.92,IF(O237="Disjuntor C.A.",0.92,IFERROR(VLOOKUP('Lista de Cargas'!P237,Motores!$B$9:$T$48,19,FALSE),"Erro"))))))))</f>
        <v>0.85</v>
      </c>
      <c r="T237" s="66">
        <f>IF(O237="","",IF(O237="NA","",IF(O237="Mini disjuntor + DR",100%,IF(O237="Mini disjuntor",100%,IF(O237="Disjuntor Motor",0.92,IF(O237="Disjuntor C.M.",100%,IF(O237="Disjuntor C.A.",100%,IFERROR(VLOOKUP('Lista de Cargas'!P237,Motores!$B$9:$T$48,16,FALSE)/100,"Erro"))))))))</f>
        <v>0.94900000000000007</v>
      </c>
      <c r="U237" s="66" t="s">
        <v>445</v>
      </c>
      <c r="V237" s="65">
        <v>440</v>
      </c>
      <c r="W237" s="67">
        <f t="shared" si="78"/>
        <v>151.68771124666156</v>
      </c>
      <c r="X237" s="67">
        <f t="shared" si="83"/>
        <v>109.70588235294117</v>
      </c>
      <c r="Y237" s="67">
        <f t="shared" si="79"/>
        <v>227.53156686999233</v>
      </c>
      <c r="Z237" s="68"/>
      <c r="AA237" s="68"/>
      <c r="AB237" s="68">
        <v>120</v>
      </c>
      <c r="AC237" s="68"/>
      <c r="AD237" s="68"/>
      <c r="AE237" s="68"/>
      <c r="AF237" s="68"/>
      <c r="AG237" s="68">
        <f t="shared" si="84"/>
        <v>120</v>
      </c>
      <c r="AH237" s="68">
        <v>3</v>
      </c>
      <c r="AI237" s="68" t="s">
        <v>1058</v>
      </c>
      <c r="AJ237" s="68">
        <f t="shared" si="85"/>
        <v>360</v>
      </c>
      <c r="AK237" s="68">
        <v>0</v>
      </c>
      <c r="AL237" s="68" t="s">
        <v>118</v>
      </c>
      <c r="AM237" s="68">
        <f t="shared" si="86"/>
        <v>0</v>
      </c>
      <c r="AN237" s="68">
        <v>1</v>
      </c>
      <c r="AO237" s="68" t="s">
        <v>1059</v>
      </c>
      <c r="AP237" s="68">
        <f t="shared" si="87"/>
        <v>120</v>
      </c>
      <c r="AQ237" s="1" t="s">
        <v>73</v>
      </c>
      <c r="AR237" s="68" t="str">
        <f t="shared" si="80"/>
        <v>2"</v>
      </c>
      <c r="AS237" s="1">
        <v>1</v>
      </c>
      <c r="AT237" s="68"/>
      <c r="AU237" s="68"/>
      <c r="AV237" s="69"/>
      <c r="AW237" s="67"/>
      <c r="AX237" s="67"/>
      <c r="AY237" s="67"/>
      <c r="AZ237" s="69"/>
      <c r="BA237" s="68"/>
      <c r="BB237" s="68"/>
      <c r="BC237" s="68"/>
      <c r="BD237" s="68"/>
      <c r="BE237" s="70"/>
      <c r="BF237" s="67">
        <f t="shared" si="81"/>
        <v>0</v>
      </c>
      <c r="BG237" s="71"/>
      <c r="BH237" s="71"/>
    </row>
    <row r="238" spans="1:60" s="72" customFormat="1" ht="12.75" customHeight="1" x14ac:dyDescent="0.2">
      <c r="A238" s="19">
        <v>400</v>
      </c>
      <c r="B238" s="19" t="s">
        <v>955</v>
      </c>
      <c r="C238" s="19" t="s">
        <v>581</v>
      </c>
      <c r="D238" s="60" t="s">
        <v>752</v>
      </c>
      <c r="E238" s="60"/>
      <c r="F238" s="61"/>
      <c r="G238" s="61"/>
      <c r="H238" s="61"/>
      <c r="I238" s="61"/>
      <c r="J238" s="61"/>
      <c r="K238" s="61"/>
      <c r="L238" s="61"/>
      <c r="M238" s="61"/>
      <c r="N238" s="73" t="s">
        <v>9</v>
      </c>
      <c r="O238" s="62" t="s">
        <v>5</v>
      </c>
      <c r="P238" s="63">
        <v>30</v>
      </c>
      <c r="Q238" s="64">
        <f t="shared" si="82"/>
        <v>22.38</v>
      </c>
      <c r="R238" s="68"/>
      <c r="S238" s="65">
        <f>IF(O238="","",IF(O238="NA","",IF(O238="Mini disjuntor + DR",0.92,IF(O238="Mini disjuntor",0.92,IF(O238="Disjuntor Motor",0.92,IF(O238="Disjuntor C.M.",0.92,IF(O238="Disjuntor C.A.",0.92,IFERROR(VLOOKUP('Lista de Cargas'!P238,Motores!$B$9:$T$48,19,FALSE),"Erro"))))))))</f>
        <v>0.84</v>
      </c>
      <c r="T238" s="66">
        <f>IF(O238="","",IF(O238="NA","",IF(O238="Mini disjuntor + DR",100%,IF(O238="Mini disjuntor",100%,IF(O238="Disjuntor Motor",0.92,IF(O238="Disjuntor C.M.",100%,IF(O238="Disjuntor C.A.",100%,IFERROR(VLOOKUP('Lista de Cargas'!P238,Motores!$B$9:$T$48,16,FALSE)/100,"Erro"))))))))</f>
        <v>0.93</v>
      </c>
      <c r="U238" s="66" t="s">
        <v>445</v>
      </c>
      <c r="V238" s="65">
        <v>440</v>
      </c>
      <c r="W238" s="67">
        <f t="shared" si="78"/>
        <v>37.59105753521338</v>
      </c>
      <c r="X238" s="67">
        <f t="shared" si="83"/>
        <v>26.642857142857142</v>
      </c>
      <c r="Y238" s="67">
        <f t="shared" si="79"/>
        <v>56.386586302820071</v>
      </c>
      <c r="Z238" s="68"/>
      <c r="AA238" s="68"/>
      <c r="AB238" s="68">
        <v>120</v>
      </c>
      <c r="AC238" s="68"/>
      <c r="AD238" s="68"/>
      <c r="AE238" s="68"/>
      <c r="AF238" s="68"/>
      <c r="AG238" s="68">
        <f t="shared" si="84"/>
        <v>120</v>
      </c>
      <c r="AH238" s="68">
        <v>1</v>
      </c>
      <c r="AI238" s="68" t="s">
        <v>1057</v>
      </c>
      <c r="AJ238" s="68">
        <f t="shared" si="85"/>
        <v>120</v>
      </c>
      <c r="AK238" s="68">
        <v>0</v>
      </c>
      <c r="AL238" s="68" t="s">
        <v>118</v>
      </c>
      <c r="AM238" s="68">
        <f t="shared" si="86"/>
        <v>0</v>
      </c>
      <c r="AN238" s="68">
        <v>0</v>
      </c>
      <c r="AO238" s="68" t="s">
        <v>118</v>
      </c>
      <c r="AP238" s="68">
        <f t="shared" si="87"/>
        <v>0</v>
      </c>
      <c r="AQ238" s="1" t="s">
        <v>60</v>
      </c>
      <c r="AR238" s="68" t="str">
        <f t="shared" si="80"/>
        <v>1"</v>
      </c>
      <c r="AS238" s="1">
        <v>1</v>
      </c>
      <c r="AT238" s="68"/>
      <c r="AU238" s="68"/>
      <c r="AV238" s="69"/>
      <c r="AW238" s="67"/>
      <c r="AX238" s="67"/>
      <c r="AY238" s="67"/>
      <c r="AZ238" s="69"/>
      <c r="BA238" s="68"/>
      <c r="BB238" s="68"/>
      <c r="BC238" s="68"/>
      <c r="BD238" s="68"/>
      <c r="BE238" s="70"/>
      <c r="BF238" s="67">
        <f t="shared" si="81"/>
        <v>0</v>
      </c>
      <c r="BG238" s="71"/>
      <c r="BH238" s="71"/>
    </row>
    <row r="239" spans="1:60" s="72" customFormat="1" ht="12.75" customHeight="1" x14ac:dyDescent="0.2">
      <c r="A239" s="19">
        <v>400</v>
      </c>
      <c r="B239" s="19" t="s">
        <v>955</v>
      </c>
      <c r="C239" s="19" t="s">
        <v>582</v>
      </c>
      <c r="D239" s="60" t="s">
        <v>753</v>
      </c>
      <c r="E239" s="60"/>
      <c r="F239" s="61"/>
      <c r="G239" s="61"/>
      <c r="H239" s="61"/>
      <c r="I239" s="61"/>
      <c r="J239" s="61"/>
      <c r="K239" s="61"/>
      <c r="L239" s="61"/>
      <c r="M239" s="61"/>
      <c r="N239" s="73" t="s">
        <v>9</v>
      </c>
      <c r="O239" s="62" t="s">
        <v>34</v>
      </c>
      <c r="P239" s="63">
        <v>0.05</v>
      </c>
      <c r="Q239" s="64">
        <f t="shared" si="82"/>
        <v>3.73E-2</v>
      </c>
      <c r="R239" s="68"/>
      <c r="S239" s="65">
        <v>0.84</v>
      </c>
      <c r="T239" s="66">
        <v>0.93</v>
      </c>
      <c r="U239" s="66" t="s">
        <v>445</v>
      </c>
      <c r="V239" s="65">
        <v>440</v>
      </c>
      <c r="W239" s="67">
        <f t="shared" si="78"/>
        <v>6.2651762558688984E-2</v>
      </c>
      <c r="X239" s="67">
        <f t="shared" si="83"/>
        <v>4.4404761904761905E-2</v>
      </c>
      <c r="Y239" s="67">
        <f t="shared" si="79"/>
        <v>0.3759105753521339</v>
      </c>
      <c r="Z239" s="68"/>
      <c r="AA239" s="68"/>
      <c r="AB239" s="68">
        <v>120</v>
      </c>
      <c r="AC239" s="68"/>
      <c r="AD239" s="68"/>
      <c r="AE239" s="68"/>
      <c r="AF239" s="68"/>
      <c r="AG239" s="68">
        <f t="shared" si="84"/>
        <v>120</v>
      </c>
      <c r="AH239" s="68">
        <v>1</v>
      </c>
      <c r="AI239" s="1" t="s">
        <v>1054</v>
      </c>
      <c r="AJ239" s="68">
        <f t="shared" si="85"/>
        <v>120</v>
      </c>
      <c r="AK239" s="68">
        <v>0</v>
      </c>
      <c r="AL239" s="68" t="s">
        <v>118</v>
      </c>
      <c r="AM239" s="68">
        <f t="shared" si="86"/>
        <v>0</v>
      </c>
      <c r="AN239" s="68">
        <v>0</v>
      </c>
      <c r="AO239" s="68" t="s">
        <v>118</v>
      </c>
      <c r="AP239" s="68">
        <f t="shared" si="87"/>
        <v>0</v>
      </c>
      <c r="AQ239" s="1" t="s">
        <v>57</v>
      </c>
      <c r="AR239" s="68" t="str">
        <f t="shared" si="80"/>
        <v>3/4"</v>
      </c>
      <c r="AS239" s="1">
        <v>1</v>
      </c>
      <c r="AT239" s="68"/>
      <c r="AU239" s="68"/>
      <c r="AV239" s="69"/>
      <c r="AW239" s="67"/>
      <c r="AX239" s="67"/>
      <c r="AY239" s="67"/>
      <c r="AZ239" s="69"/>
      <c r="BA239" s="68"/>
      <c r="BB239" s="68"/>
      <c r="BC239" s="68"/>
      <c r="BD239" s="68"/>
      <c r="BE239" s="70"/>
      <c r="BF239" s="67">
        <f t="shared" si="81"/>
        <v>8.2036863829359971E-3</v>
      </c>
      <c r="BG239" s="71"/>
      <c r="BH239" s="71"/>
    </row>
    <row r="240" spans="1:60" s="72" customFormat="1" ht="12.75" customHeight="1" x14ac:dyDescent="0.2">
      <c r="A240" s="19">
        <v>400</v>
      </c>
      <c r="B240" s="19" t="s">
        <v>955</v>
      </c>
      <c r="C240" s="19" t="s">
        <v>583</v>
      </c>
      <c r="D240" s="60" t="s">
        <v>754</v>
      </c>
      <c r="E240" s="60"/>
      <c r="F240" s="61"/>
      <c r="G240" s="61"/>
      <c r="H240" s="61"/>
      <c r="I240" s="61"/>
      <c r="J240" s="61"/>
      <c r="K240" s="61"/>
      <c r="L240" s="61"/>
      <c r="M240" s="61"/>
      <c r="N240" s="73" t="s">
        <v>9</v>
      </c>
      <c r="O240" s="62" t="s">
        <v>34</v>
      </c>
      <c r="P240" s="63">
        <v>0.54</v>
      </c>
      <c r="Q240" s="64">
        <f t="shared" si="82"/>
        <v>0.40284000000000003</v>
      </c>
      <c r="R240" s="68"/>
      <c r="S240" s="65">
        <v>0.84</v>
      </c>
      <c r="T240" s="66">
        <v>0.93</v>
      </c>
      <c r="U240" s="66" t="s">
        <v>445</v>
      </c>
      <c r="V240" s="65">
        <v>440</v>
      </c>
      <c r="W240" s="67">
        <f t="shared" si="78"/>
        <v>0.67663903563384098</v>
      </c>
      <c r="X240" s="67">
        <f t="shared" si="83"/>
        <v>0.47957142857142865</v>
      </c>
      <c r="Y240" s="67">
        <f t="shared" si="79"/>
        <v>4.0598342138030459</v>
      </c>
      <c r="Z240" s="68"/>
      <c r="AA240" s="68"/>
      <c r="AB240" s="68">
        <v>120</v>
      </c>
      <c r="AC240" s="68"/>
      <c r="AD240" s="68"/>
      <c r="AE240" s="68"/>
      <c r="AF240" s="68"/>
      <c r="AG240" s="68">
        <f t="shared" si="84"/>
        <v>120</v>
      </c>
      <c r="AH240" s="68">
        <v>1</v>
      </c>
      <c r="AI240" s="1" t="s">
        <v>1054</v>
      </c>
      <c r="AJ240" s="68">
        <f t="shared" si="85"/>
        <v>120</v>
      </c>
      <c r="AK240" s="68">
        <v>0</v>
      </c>
      <c r="AL240" s="68" t="s">
        <v>118</v>
      </c>
      <c r="AM240" s="68">
        <f t="shared" si="86"/>
        <v>0</v>
      </c>
      <c r="AN240" s="68">
        <v>0</v>
      </c>
      <c r="AO240" s="68" t="s">
        <v>118</v>
      </c>
      <c r="AP240" s="68">
        <f t="shared" si="87"/>
        <v>0</v>
      </c>
      <c r="AQ240" s="1" t="s">
        <v>57</v>
      </c>
      <c r="AR240" s="68" t="str">
        <f t="shared" si="80"/>
        <v>3/4"</v>
      </c>
      <c r="AS240" s="1">
        <v>1</v>
      </c>
      <c r="AT240" s="68"/>
      <c r="AU240" s="68"/>
      <c r="AV240" s="69"/>
      <c r="AW240" s="67"/>
      <c r="AX240" s="67"/>
      <c r="AY240" s="67"/>
      <c r="AZ240" s="69"/>
      <c r="BA240" s="68"/>
      <c r="BB240" s="68"/>
      <c r="BC240" s="68"/>
      <c r="BD240" s="68"/>
      <c r="BE240" s="70"/>
      <c r="BF240" s="67">
        <f t="shared" si="81"/>
        <v>8.8599812935708733E-2</v>
      </c>
      <c r="BG240" s="71"/>
      <c r="BH240" s="71"/>
    </row>
    <row r="241" spans="1:60" ht="12.75" customHeight="1" x14ac:dyDescent="0.2">
      <c r="A241" s="19">
        <v>400</v>
      </c>
      <c r="B241" s="134" t="s">
        <v>955</v>
      </c>
      <c r="C241" s="134" t="s">
        <v>584</v>
      </c>
      <c r="D241" s="135" t="s">
        <v>755</v>
      </c>
      <c r="E241" s="135"/>
      <c r="F241" s="136"/>
      <c r="G241" s="136"/>
      <c r="H241" s="136"/>
      <c r="I241" s="136"/>
      <c r="J241" s="136"/>
      <c r="K241" s="136"/>
      <c r="L241" s="136"/>
      <c r="M241" s="136"/>
      <c r="N241" s="137"/>
      <c r="O241" s="138" t="s">
        <v>5</v>
      </c>
      <c r="P241" s="139">
        <v>7.5</v>
      </c>
      <c r="Q241" s="34">
        <f t="shared" si="82"/>
        <v>5.5949999999999998</v>
      </c>
      <c r="R241" s="1"/>
      <c r="S241" s="39">
        <f>IF(O241="","",IF(O241="NA","",IF(O241="Mini disjuntor + DR",0.92,IF(O241="Mini disjuntor",0.92,IF(O241="Disjuntor Motor",0.92,IF(O241="Disjuntor C.M.",0.92,IF(O241="Disjuntor C.A.",0.92,IFERROR(VLOOKUP('Lista de Cargas'!P241,Motores!$B$9:$T$48,19,FALSE),"Erro"))))))))</f>
        <v>0.79</v>
      </c>
      <c r="T241" s="40">
        <f>IF(O241="","",IF(O241="NA","",IF(O241="Mini disjuntor + DR",100%,IF(O241="Mini disjuntor",100%,IF(O241="Disjuntor Motor",0.92,IF(O241="Disjuntor C.M.",100%,IF(O241="Disjuntor C.A.",100%,IFERROR(VLOOKUP('Lista de Cargas'!P241,Motores!$B$9:$T$48,16,FALSE)/100,"Erro"))))))))</f>
        <v>0.9</v>
      </c>
      <c r="U241" s="40" t="s">
        <v>445</v>
      </c>
      <c r="V241" s="39">
        <v>440</v>
      </c>
      <c r="W241" s="2">
        <f t="shared" si="78"/>
        <v>10.325644917900386</v>
      </c>
      <c r="X241" s="2">
        <f t="shared" si="83"/>
        <v>7.0822784810126578</v>
      </c>
      <c r="Y241" s="2">
        <f t="shared" si="79"/>
        <v>15.488467376850579</v>
      </c>
      <c r="Z241" s="1"/>
      <c r="AA241" s="1"/>
      <c r="AB241" s="68">
        <v>120</v>
      </c>
      <c r="AC241" s="1"/>
      <c r="AD241" s="1"/>
      <c r="AE241" s="1"/>
      <c r="AF241" s="1"/>
      <c r="AG241" s="1">
        <f t="shared" si="84"/>
        <v>120</v>
      </c>
      <c r="AH241" s="1">
        <v>1</v>
      </c>
      <c r="AI241" s="1" t="s">
        <v>1054</v>
      </c>
      <c r="AJ241" s="1">
        <f t="shared" si="85"/>
        <v>120</v>
      </c>
      <c r="AK241" s="1">
        <v>0</v>
      </c>
      <c r="AL241" s="1" t="s">
        <v>118</v>
      </c>
      <c r="AM241" s="1">
        <f t="shared" si="86"/>
        <v>0</v>
      </c>
      <c r="AN241" s="1">
        <v>0</v>
      </c>
      <c r="AO241" s="1" t="s">
        <v>118</v>
      </c>
      <c r="AP241" s="1">
        <f t="shared" si="87"/>
        <v>0</v>
      </c>
      <c r="AQ241" s="1" t="s">
        <v>57</v>
      </c>
      <c r="AR241" s="1" t="str">
        <f t="shared" si="80"/>
        <v>3/4"</v>
      </c>
      <c r="AS241" s="1">
        <v>1</v>
      </c>
      <c r="AT241" s="1"/>
      <c r="AU241" s="1"/>
      <c r="AV241" s="17"/>
      <c r="AW241" s="2"/>
      <c r="AX241" s="2"/>
      <c r="AY241" s="2"/>
      <c r="AZ241" s="17"/>
      <c r="BA241" s="1"/>
      <c r="BB241" s="1"/>
      <c r="BC241" s="1"/>
      <c r="BD241" s="1"/>
      <c r="BE241" s="18"/>
      <c r="BF241" s="2">
        <f t="shared" si="81"/>
        <v>0</v>
      </c>
      <c r="BG241" s="6"/>
      <c r="BH241" s="6"/>
    </row>
    <row r="242" spans="1:60" ht="12.75" customHeight="1" x14ac:dyDescent="0.2">
      <c r="A242" s="19">
        <v>400</v>
      </c>
      <c r="B242" s="19" t="s">
        <v>955</v>
      </c>
      <c r="C242" s="19" t="s">
        <v>585</v>
      </c>
      <c r="D242" s="20" t="s">
        <v>756</v>
      </c>
      <c r="E242" s="20"/>
      <c r="F242" s="21"/>
      <c r="G242" s="21"/>
      <c r="H242" s="21"/>
      <c r="I242" s="21"/>
      <c r="J242" s="21"/>
      <c r="K242" s="21"/>
      <c r="L242" s="21"/>
      <c r="M242" s="21"/>
      <c r="N242" s="32" t="s">
        <v>1029</v>
      </c>
      <c r="O242" s="22" t="s">
        <v>5</v>
      </c>
      <c r="P242" s="23">
        <v>60</v>
      </c>
      <c r="Q242" s="34">
        <f t="shared" si="82"/>
        <v>44.76</v>
      </c>
      <c r="R242" s="1"/>
      <c r="S242" s="39">
        <f>IF(O242="","",IF(O242="NA","",IF(O242="Mini disjuntor + DR",0.92,IF(O242="Mini disjuntor",0.92,IF(O242="Disjuntor Motor",0.92,IF(O242="Disjuntor C.M.",0.92,IF(O242="Disjuntor C.A.",0.92,IFERROR(VLOOKUP('Lista de Cargas'!P242,Motores!$B$9:$T$48,19,FALSE),"Erro"))))))))</f>
        <v>0.86</v>
      </c>
      <c r="T242" s="40">
        <f>IF(O242="","",IF(O242="NA","",IF(O242="Mini disjuntor + DR",100%,IF(O242="Mini disjuntor",100%,IF(O242="Disjuntor Motor",0.92,IF(O242="Disjuntor C.M.",100%,IF(O242="Disjuntor C.A.",100%,IFERROR(VLOOKUP('Lista de Cargas'!P242,Motores!$B$9:$T$48,16,FALSE)/100,"Erro"))))))))</f>
        <v>0.94099999999999995</v>
      </c>
      <c r="U242" s="40" t="s">
        <v>445</v>
      </c>
      <c r="V242" s="39">
        <v>440</v>
      </c>
      <c r="W242" s="2">
        <f t="shared" si="78"/>
        <v>72.57527654031756</v>
      </c>
      <c r="X242" s="2">
        <f t="shared" si="83"/>
        <v>52.046511627906973</v>
      </c>
      <c r="Y242" s="2">
        <f t="shared" si="79"/>
        <v>108.86291481047634</v>
      </c>
      <c r="Z242" s="1"/>
      <c r="AA242" s="1"/>
      <c r="AB242" s="68">
        <v>120</v>
      </c>
      <c r="AC242" s="1"/>
      <c r="AD242" s="1"/>
      <c r="AE242" s="1"/>
      <c r="AF242" s="1"/>
      <c r="AG242" s="1">
        <f t="shared" si="84"/>
        <v>120</v>
      </c>
      <c r="AH242" s="1">
        <v>1</v>
      </c>
      <c r="AI242" s="1" t="s">
        <v>1069</v>
      </c>
      <c r="AJ242" s="1">
        <f t="shared" si="85"/>
        <v>120</v>
      </c>
      <c r="AK242" s="1">
        <v>0</v>
      </c>
      <c r="AL242" s="1" t="s">
        <v>118</v>
      </c>
      <c r="AM242" s="1">
        <f t="shared" si="86"/>
        <v>0</v>
      </c>
      <c r="AN242" s="1">
        <v>0</v>
      </c>
      <c r="AO242" s="1" t="s">
        <v>118</v>
      </c>
      <c r="AP242" s="1">
        <f t="shared" si="87"/>
        <v>0</v>
      </c>
      <c r="AQ242" s="1" t="s">
        <v>72</v>
      </c>
      <c r="AR242" s="1" t="str">
        <f t="shared" si="80"/>
        <v>2"</v>
      </c>
      <c r="AS242" s="1">
        <v>1</v>
      </c>
      <c r="AT242" s="1"/>
      <c r="AU242" s="1"/>
      <c r="AV242" s="17"/>
      <c r="AW242" s="2"/>
      <c r="AX242" s="2"/>
      <c r="AY242" s="2"/>
      <c r="AZ242" s="17"/>
      <c r="BA242" s="1"/>
      <c r="BB242" s="1"/>
      <c r="BC242" s="1"/>
      <c r="BD242" s="1"/>
      <c r="BE242" s="18"/>
      <c r="BF242" s="2">
        <f t="shared" si="81"/>
        <v>0</v>
      </c>
      <c r="BG242" s="6"/>
      <c r="BH242" s="6"/>
    </row>
    <row r="243" spans="1:60" ht="12.75" customHeight="1" x14ac:dyDescent="0.2">
      <c r="A243" s="19">
        <v>400</v>
      </c>
      <c r="B243" s="19" t="s">
        <v>955</v>
      </c>
      <c r="C243" s="19" t="s">
        <v>586</v>
      </c>
      <c r="D243" s="20" t="s">
        <v>757</v>
      </c>
      <c r="E243" s="20"/>
      <c r="F243" s="21"/>
      <c r="G243" s="21"/>
      <c r="H243" s="21"/>
      <c r="I243" s="21"/>
      <c r="J243" s="21"/>
      <c r="K243" s="21"/>
      <c r="L243" s="21"/>
      <c r="M243" s="21"/>
      <c r="N243" s="32" t="s">
        <v>1029</v>
      </c>
      <c r="O243" s="22" t="s">
        <v>35</v>
      </c>
      <c r="P243" s="23">
        <v>20</v>
      </c>
      <c r="Q243" s="34">
        <f t="shared" si="82"/>
        <v>14.92</v>
      </c>
      <c r="R243" s="1"/>
      <c r="S243" s="39">
        <f>IF(O243="","",IF(O243="NA","",IF(O243="Mini disjuntor + DR",0.92,IF(O243="Mini disjuntor",0.92,IF(O243="Disjuntor Motor",0.92,IF(O243="Disjuntor C.M.",0.92,IF(O243="Disjuntor C.A.",0.92,IFERROR(VLOOKUP('Lista de Cargas'!P243,Motores!$B$9:$T$48,19,FALSE),"Erro"))))))))</f>
        <v>0.81</v>
      </c>
      <c r="T243" s="40">
        <f>IF(O243="","",IF(O243="NA","",IF(O243="Mini disjuntor + DR",100%,IF(O243="Mini disjuntor",100%,IF(O243="Disjuntor Motor",0.92,IF(O243="Disjuntor C.M.",100%,IF(O243="Disjuntor C.A.",100%,IFERROR(VLOOKUP('Lista de Cargas'!P243,Motores!$B$9:$T$48,16,FALSE)/100,"Erro"))))))))</f>
        <v>0.92400000000000004</v>
      </c>
      <c r="U243" s="40" t="s">
        <v>445</v>
      </c>
      <c r="V243" s="39">
        <v>440</v>
      </c>
      <c r="W243" s="2">
        <f t="shared" si="78"/>
        <v>26.15763823999135</v>
      </c>
      <c r="X243" s="2">
        <f t="shared" si="83"/>
        <v>18.419753086419753</v>
      </c>
      <c r="Y243" s="2">
        <f t="shared" si="79"/>
        <v>78.472914719974057</v>
      </c>
      <c r="Z243" s="1"/>
      <c r="AA243" s="1"/>
      <c r="AB243" s="68">
        <v>120</v>
      </c>
      <c r="AC243" s="1"/>
      <c r="AD243" s="1"/>
      <c r="AE243" s="1"/>
      <c r="AF243" s="1"/>
      <c r="AG243" s="1">
        <f t="shared" si="84"/>
        <v>120</v>
      </c>
      <c r="AH243" s="1">
        <v>1</v>
      </c>
      <c r="AI243" s="1" t="s">
        <v>1057</v>
      </c>
      <c r="AJ243" s="1">
        <f t="shared" si="85"/>
        <v>120</v>
      </c>
      <c r="AK243" s="1">
        <v>0</v>
      </c>
      <c r="AL243" s="1" t="s">
        <v>118</v>
      </c>
      <c r="AM243" s="1">
        <f t="shared" si="86"/>
        <v>0</v>
      </c>
      <c r="AN243" s="1">
        <v>0</v>
      </c>
      <c r="AO243" s="1" t="s">
        <v>118</v>
      </c>
      <c r="AP243" s="1">
        <f t="shared" si="87"/>
        <v>0</v>
      </c>
      <c r="AQ243" s="1" t="s">
        <v>60</v>
      </c>
      <c r="AR243" s="1" t="str">
        <f t="shared" si="80"/>
        <v>1"</v>
      </c>
      <c r="AS243" s="1">
        <v>1</v>
      </c>
      <c r="AT243" s="1"/>
      <c r="AU243" s="1"/>
      <c r="AV243" s="17"/>
      <c r="AW243" s="2"/>
      <c r="AX243" s="2"/>
      <c r="AY243" s="2"/>
      <c r="AZ243" s="17"/>
      <c r="BA243" s="1"/>
      <c r="BB243" s="1"/>
      <c r="BC243" s="1"/>
      <c r="BD243" s="1"/>
      <c r="BE243" s="18"/>
      <c r="BF243" s="2">
        <f t="shared" si="81"/>
        <v>4.4460001420638564</v>
      </c>
      <c r="BG243" s="6"/>
      <c r="BH243" s="6"/>
    </row>
    <row r="244" spans="1:60" ht="12.75" customHeight="1" x14ac:dyDescent="0.2">
      <c r="A244" s="19">
        <v>400</v>
      </c>
      <c r="B244" s="19" t="s">
        <v>955</v>
      </c>
      <c r="C244" s="19" t="s">
        <v>587</v>
      </c>
      <c r="D244" s="20" t="s">
        <v>758</v>
      </c>
      <c r="E244" s="20"/>
      <c r="F244" s="21"/>
      <c r="G244" s="21"/>
      <c r="H244" s="21"/>
      <c r="I244" s="21"/>
      <c r="J244" s="21"/>
      <c r="K244" s="21"/>
      <c r="L244" s="21"/>
      <c r="M244" s="21"/>
      <c r="N244" s="32" t="s">
        <v>1029</v>
      </c>
      <c r="O244" s="22" t="s">
        <v>5</v>
      </c>
      <c r="P244" s="23">
        <v>250</v>
      </c>
      <c r="Q244" s="34">
        <f t="shared" si="82"/>
        <v>186.5</v>
      </c>
      <c r="R244" s="1"/>
      <c r="S244" s="39">
        <f>IF(O244="","",IF(O244="NA","",IF(O244="Mini disjuntor + DR",0.92,IF(O244="Mini disjuntor",0.92,IF(O244="Disjuntor Motor",0.92,IF(O244="Disjuntor C.M.",0.92,IF(O244="Disjuntor C.A.",0.92,IFERROR(VLOOKUP('Lista de Cargas'!P244,Motores!$B$9:$T$48,19,FALSE),"Erro"))))))))</f>
        <v>0.87</v>
      </c>
      <c r="T244" s="40">
        <f>IF(O244="","",IF(O244="NA","",IF(O244="Mini disjuntor + DR",100%,IF(O244="Mini disjuntor",100%,IF(O244="Disjuntor Motor",0.92,IF(O244="Disjuntor C.M.",100%,IF(O244="Disjuntor C.A.",100%,IFERROR(VLOOKUP('Lista de Cargas'!P244,Motores!$B$9:$T$48,16,FALSE)/100,"Erro"))))))))</f>
        <v>0.95700000000000007</v>
      </c>
      <c r="U244" s="40" t="s">
        <v>445</v>
      </c>
      <c r="V244" s="39">
        <v>440</v>
      </c>
      <c r="W244" s="2">
        <f t="shared" si="78"/>
        <v>293.92352124603838</v>
      </c>
      <c r="X244" s="2">
        <f t="shared" si="83"/>
        <v>214.36781609195401</v>
      </c>
      <c r="Y244" s="2">
        <f t="shared" si="79"/>
        <v>440.88528186905756</v>
      </c>
      <c r="Z244" s="1"/>
      <c r="AA244" s="1"/>
      <c r="AB244" s="68">
        <v>120</v>
      </c>
      <c r="AC244" s="1"/>
      <c r="AD244" s="1"/>
      <c r="AE244" s="1"/>
      <c r="AF244" s="1"/>
      <c r="AG244" s="1">
        <f t="shared" si="84"/>
        <v>120</v>
      </c>
      <c r="AH244" s="1">
        <v>3</v>
      </c>
      <c r="AI244" s="1" t="s">
        <v>1061</v>
      </c>
      <c r="AJ244" s="1">
        <f t="shared" si="85"/>
        <v>360</v>
      </c>
      <c r="AK244" s="1">
        <v>0</v>
      </c>
      <c r="AL244" s="1" t="s">
        <v>118</v>
      </c>
      <c r="AM244" s="1">
        <f t="shared" si="86"/>
        <v>0</v>
      </c>
      <c r="AN244" s="1">
        <v>1</v>
      </c>
      <c r="AO244" s="1" t="s">
        <v>1064</v>
      </c>
      <c r="AP244" s="1">
        <f t="shared" si="87"/>
        <v>120</v>
      </c>
      <c r="AQ244" s="1" t="s">
        <v>77</v>
      </c>
      <c r="AR244" s="1" t="str">
        <f t="shared" si="80"/>
        <v>2 x 3"</v>
      </c>
      <c r="AS244" s="1">
        <v>1</v>
      </c>
      <c r="AT244" s="1"/>
      <c r="AU244" s="1"/>
      <c r="AV244" s="17"/>
      <c r="AW244" s="2"/>
      <c r="AX244" s="2"/>
      <c r="AY244" s="2"/>
      <c r="AZ244" s="17"/>
      <c r="BA244" s="1"/>
      <c r="BB244" s="1"/>
      <c r="BC244" s="1"/>
      <c r="BD244" s="1"/>
      <c r="BE244" s="18"/>
      <c r="BF244" s="2">
        <f t="shared" si="81"/>
        <v>0</v>
      </c>
      <c r="BG244" s="6"/>
      <c r="BH244" s="6"/>
    </row>
    <row r="245" spans="1:60" ht="12.75" customHeight="1" x14ac:dyDescent="0.2">
      <c r="A245" s="19">
        <v>400</v>
      </c>
      <c r="B245" s="19" t="s">
        <v>955</v>
      </c>
      <c r="C245" s="19" t="s">
        <v>588</v>
      </c>
      <c r="D245" s="20" t="s">
        <v>759</v>
      </c>
      <c r="E245" s="20"/>
      <c r="F245" s="21"/>
      <c r="G245" s="21"/>
      <c r="H245" s="21"/>
      <c r="I245" s="21"/>
      <c r="J245" s="21"/>
      <c r="K245" s="21"/>
      <c r="L245" s="21"/>
      <c r="M245" s="21"/>
      <c r="N245" s="32" t="s">
        <v>1029</v>
      </c>
      <c r="O245" s="22" t="s">
        <v>34</v>
      </c>
      <c r="P245" s="23">
        <v>1</v>
      </c>
      <c r="Q245" s="34">
        <f t="shared" si="82"/>
        <v>0.746</v>
      </c>
      <c r="R245" s="1"/>
      <c r="S245" s="39">
        <f>IF(O245="","",IF(O245="NA","",IF(O245="Mini disjuntor + DR",0.92,IF(O245="Mini disjuntor",0.92,IF(O245="Disjuntor Motor",0.92,IF(O245="Disjuntor C.M.",0.92,IF(O245="Disjuntor C.A.",0.92,IFERROR(VLOOKUP('Lista de Cargas'!P245,Motores!$B$9:$T$48,19,FALSE),"Erro"))))))))</f>
        <v>0.81</v>
      </c>
      <c r="T245" s="40">
        <f>IF(O245="","",IF(O245="NA","",IF(O245="Mini disjuntor + DR",100%,IF(O245="Mini disjuntor",100%,IF(O245="Disjuntor Motor",0.92,IF(O245="Disjuntor C.M.",100%,IF(O245="Disjuntor C.A.",100%,IFERROR(VLOOKUP('Lista de Cargas'!P245,Motores!$B$9:$T$48,16,FALSE)/100,"Erro"))))))))</f>
        <v>0.80500000000000005</v>
      </c>
      <c r="U245" s="40" t="s">
        <v>445</v>
      </c>
      <c r="V245" s="39">
        <v>440</v>
      </c>
      <c r="W245" s="2">
        <f t="shared" si="78"/>
        <v>1.5012209772516776</v>
      </c>
      <c r="X245" s="2">
        <f t="shared" si="83"/>
        <v>0.92098765432098761</v>
      </c>
      <c r="Y245" s="2">
        <f t="shared" si="79"/>
        <v>9.007325863510065</v>
      </c>
      <c r="Z245" s="1"/>
      <c r="AA245" s="1"/>
      <c r="AB245" s="68">
        <v>120</v>
      </c>
      <c r="AC245" s="1"/>
      <c r="AD245" s="1"/>
      <c r="AE245" s="1"/>
      <c r="AF245" s="1"/>
      <c r="AG245" s="1">
        <f t="shared" si="84"/>
        <v>120</v>
      </c>
      <c r="AH245" s="1">
        <v>1</v>
      </c>
      <c r="AI245" s="1" t="s">
        <v>1054</v>
      </c>
      <c r="AJ245" s="1">
        <f t="shared" si="85"/>
        <v>120</v>
      </c>
      <c r="AK245" s="1">
        <v>0</v>
      </c>
      <c r="AL245" s="1" t="s">
        <v>118</v>
      </c>
      <c r="AM245" s="1">
        <f t="shared" si="86"/>
        <v>0</v>
      </c>
      <c r="AN245" s="1">
        <v>0</v>
      </c>
      <c r="AO245" s="1" t="s">
        <v>118</v>
      </c>
      <c r="AP245" s="1">
        <f t="shared" si="87"/>
        <v>0</v>
      </c>
      <c r="AQ245" s="1" t="s">
        <v>57</v>
      </c>
      <c r="AR245" s="1" t="str">
        <f t="shared" si="80"/>
        <v>3/4"</v>
      </c>
      <c r="AS245" s="1">
        <v>1</v>
      </c>
      <c r="AT245" s="1"/>
      <c r="AU245" s="1"/>
      <c r="AV245" s="17"/>
      <c r="AW245" s="2"/>
      <c r="AX245" s="2"/>
      <c r="AY245" s="2"/>
      <c r="AZ245" s="17"/>
      <c r="BA245" s="1"/>
      <c r="BB245" s="1"/>
      <c r="BC245" s="1"/>
      <c r="BD245" s="1"/>
      <c r="BE245" s="18"/>
      <c r="BF245" s="2">
        <f t="shared" si="81"/>
        <v>0.22230000710319253</v>
      </c>
      <c r="BG245" s="6"/>
      <c r="BH245" s="6"/>
    </row>
    <row r="246" spans="1:60" ht="12.75" customHeight="1" x14ac:dyDescent="0.2">
      <c r="A246" s="19">
        <v>400</v>
      </c>
      <c r="B246" s="19" t="s">
        <v>955</v>
      </c>
      <c r="C246" s="19" t="s">
        <v>589</v>
      </c>
      <c r="D246" s="20" t="s">
        <v>760</v>
      </c>
      <c r="E246" s="20"/>
      <c r="F246" s="21"/>
      <c r="G246" s="21"/>
      <c r="H246" s="21"/>
      <c r="I246" s="21"/>
      <c r="J246" s="21"/>
      <c r="K246" s="21"/>
      <c r="L246" s="21"/>
      <c r="M246" s="21"/>
      <c r="N246" s="32" t="s">
        <v>1029</v>
      </c>
      <c r="O246" s="22" t="s">
        <v>5</v>
      </c>
      <c r="P246" s="23">
        <v>75</v>
      </c>
      <c r="Q246" s="34">
        <f t="shared" si="82"/>
        <v>55.95</v>
      </c>
      <c r="R246" s="1"/>
      <c r="S246" s="39">
        <v>0.84</v>
      </c>
      <c r="T246" s="40">
        <v>0.93</v>
      </c>
      <c r="U246" s="40" t="s">
        <v>445</v>
      </c>
      <c r="V246" s="39">
        <v>440</v>
      </c>
      <c r="W246" s="2">
        <f t="shared" si="78"/>
        <v>93.977643838033458</v>
      </c>
      <c r="X246" s="2">
        <f t="shared" si="83"/>
        <v>66.607142857142861</v>
      </c>
      <c r="Y246" s="2">
        <f t="shared" si="79"/>
        <v>140.96646575705017</v>
      </c>
      <c r="Z246" s="1"/>
      <c r="AA246" s="1"/>
      <c r="AB246" s="68">
        <v>120</v>
      </c>
      <c r="AC246" s="1"/>
      <c r="AD246" s="1"/>
      <c r="AE246" s="1"/>
      <c r="AF246" s="1"/>
      <c r="AG246" s="1">
        <f t="shared" si="84"/>
        <v>120</v>
      </c>
      <c r="AH246" s="1">
        <v>1</v>
      </c>
      <c r="AI246" s="1" t="s">
        <v>1069</v>
      </c>
      <c r="AJ246" s="1">
        <f t="shared" si="85"/>
        <v>120</v>
      </c>
      <c r="AK246" s="1">
        <v>0</v>
      </c>
      <c r="AL246" s="1" t="s">
        <v>118</v>
      </c>
      <c r="AM246" s="1">
        <f t="shared" si="86"/>
        <v>0</v>
      </c>
      <c r="AN246" s="1">
        <v>0</v>
      </c>
      <c r="AO246" s="1" t="s">
        <v>118</v>
      </c>
      <c r="AP246" s="1">
        <f t="shared" si="87"/>
        <v>0</v>
      </c>
      <c r="AQ246" s="1" t="s">
        <v>72</v>
      </c>
      <c r="AR246" s="1" t="str">
        <f t="shared" si="80"/>
        <v>2"</v>
      </c>
      <c r="AS246" s="1">
        <v>1</v>
      </c>
      <c r="AT246" s="1"/>
      <c r="AU246" s="1"/>
      <c r="AV246" s="17"/>
      <c r="AW246" s="2"/>
      <c r="AX246" s="2"/>
      <c r="AY246" s="2"/>
      <c r="AZ246" s="17"/>
      <c r="BA246" s="1"/>
      <c r="BB246" s="1"/>
      <c r="BC246" s="1"/>
      <c r="BD246" s="1"/>
      <c r="BE246" s="18"/>
      <c r="BF246" s="2">
        <f t="shared" si="81"/>
        <v>0</v>
      </c>
      <c r="BG246" s="6"/>
      <c r="BH246" s="6"/>
    </row>
    <row r="247" spans="1:60" ht="12.75" customHeight="1" x14ac:dyDescent="0.2">
      <c r="A247" s="19">
        <v>400</v>
      </c>
      <c r="B247" s="19" t="s">
        <v>955</v>
      </c>
      <c r="C247" s="19" t="s">
        <v>590</v>
      </c>
      <c r="D247" s="20" t="s">
        <v>761</v>
      </c>
      <c r="E247" s="20"/>
      <c r="F247" s="21"/>
      <c r="G247" s="21"/>
      <c r="H247" s="21"/>
      <c r="I247" s="21"/>
      <c r="J247" s="21"/>
      <c r="K247" s="21"/>
      <c r="L247" s="21"/>
      <c r="M247" s="21"/>
      <c r="N247" s="32" t="s">
        <v>1029</v>
      </c>
      <c r="O247" s="22" t="s">
        <v>34</v>
      </c>
      <c r="P247" s="23">
        <v>10</v>
      </c>
      <c r="Q247" s="34">
        <f t="shared" si="82"/>
        <v>7.46</v>
      </c>
      <c r="R247" s="1"/>
      <c r="S247" s="39">
        <f>IF(O247="","",IF(O247="NA","",IF(O247="Mini disjuntor + DR",0.92,IF(O247="Mini disjuntor",0.92,IF(O247="Disjuntor Motor",0.92,IF(O247="Disjuntor C.M.",0.92,IF(O247="Disjuntor C.A.",0.92,IFERROR(VLOOKUP('Lista de Cargas'!P247,Motores!$B$9:$T$48,19,FALSE),"Erro"))))))))</f>
        <v>0.84</v>
      </c>
      <c r="T247" s="40">
        <f>IF(O247="","",IF(O247="NA","",IF(O247="Mini disjuntor + DR",100%,IF(O247="Mini disjuntor",100%,IF(O247="Disjuntor Motor",0.92,IF(O247="Disjuntor C.M.",100%,IF(O247="Disjuntor C.A.",100%,IFERROR(VLOOKUP('Lista de Cargas'!P247,Motores!$B$9:$T$48,16,FALSE)/100,"Erro"))))))))</f>
        <v>0.91</v>
      </c>
      <c r="U247" s="40" t="s">
        <v>445</v>
      </c>
      <c r="V247" s="39">
        <v>440</v>
      </c>
      <c r="W247" s="2">
        <f t="shared" si="78"/>
        <v>12.805744874633129</v>
      </c>
      <c r="X247" s="2">
        <f t="shared" si="83"/>
        <v>8.8809523809523814</v>
      </c>
      <c r="Y247" s="2">
        <f t="shared" si="79"/>
        <v>76.834469247798779</v>
      </c>
      <c r="Z247" s="1"/>
      <c r="AA247" s="1"/>
      <c r="AB247" s="68">
        <v>120</v>
      </c>
      <c r="AC247" s="1"/>
      <c r="AD247" s="1"/>
      <c r="AE247" s="1"/>
      <c r="AF247" s="1"/>
      <c r="AG247" s="1">
        <f t="shared" si="84"/>
        <v>120</v>
      </c>
      <c r="AH247" s="1">
        <v>1</v>
      </c>
      <c r="AI247" s="1" t="s">
        <v>1057</v>
      </c>
      <c r="AJ247" s="1">
        <f t="shared" si="85"/>
        <v>120</v>
      </c>
      <c r="AK247" s="1">
        <v>0</v>
      </c>
      <c r="AL247" s="1" t="s">
        <v>118</v>
      </c>
      <c r="AM247" s="1">
        <f t="shared" si="86"/>
        <v>0</v>
      </c>
      <c r="AN247" s="1">
        <v>0</v>
      </c>
      <c r="AO247" s="1" t="s">
        <v>118</v>
      </c>
      <c r="AP247" s="1">
        <f t="shared" si="87"/>
        <v>0</v>
      </c>
      <c r="AQ247" s="1" t="s">
        <v>60</v>
      </c>
      <c r="AR247" s="1" t="str">
        <f t="shared" si="80"/>
        <v>1"</v>
      </c>
      <c r="AS247" s="1">
        <v>1</v>
      </c>
      <c r="AT247" s="1"/>
      <c r="AU247" s="1"/>
      <c r="AV247" s="17"/>
      <c r="AW247" s="2"/>
      <c r="AX247" s="2"/>
      <c r="AY247" s="2"/>
      <c r="AZ247" s="17"/>
      <c r="BA247" s="1"/>
      <c r="BB247" s="1"/>
      <c r="BC247" s="1"/>
      <c r="BD247" s="1"/>
      <c r="BE247" s="18"/>
      <c r="BF247" s="2">
        <f t="shared" si="81"/>
        <v>1.6407372765871995</v>
      </c>
      <c r="BG247" s="6"/>
      <c r="BH247" s="6"/>
    </row>
    <row r="248" spans="1:60" ht="12.75" customHeight="1" x14ac:dyDescent="0.2">
      <c r="A248" s="19">
        <v>400</v>
      </c>
      <c r="B248" s="19" t="s">
        <v>955</v>
      </c>
      <c r="C248" s="19" t="s">
        <v>591</v>
      </c>
      <c r="D248" s="20" t="s">
        <v>762</v>
      </c>
      <c r="E248" s="20"/>
      <c r="F248" s="21"/>
      <c r="G248" s="21"/>
      <c r="H248" s="21"/>
      <c r="I248" s="21"/>
      <c r="J248" s="21"/>
      <c r="K248" s="21"/>
      <c r="L248" s="21"/>
      <c r="M248" s="21"/>
      <c r="N248" s="32" t="s">
        <v>1029</v>
      </c>
      <c r="O248" s="22" t="s">
        <v>34</v>
      </c>
      <c r="P248" s="23">
        <v>15</v>
      </c>
      <c r="Q248" s="34">
        <f t="shared" si="82"/>
        <v>11.19</v>
      </c>
      <c r="R248" s="39"/>
      <c r="S248" s="39">
        <f>IF(O248="","",IF(O248="NA","",IF(O248="Mini disjuntor + DR",0.92,IF(O248="Mini disjuntor",0.92,IF(O248="Disjuntor Motor",0.92,IF(O248="Disjuntor C.M.",0.92,IF(O248="Disjuntor C.A.",0.92,IFERROR(VLOOKUP('Lista de Cargas'!P248,Motores!$B$9:$T$48,19,FALSE),"Erro"))))))))</f>
        <v>0.85</v>
      </c>
      <c r="T248" s="40">
        <f>IF(O248="","",IF(O248="NA","",IF(O248="Mini disjuntor + DR",100%,IF(O248="Mini disjuntor",100%,IF(O248="Disjuntor Motor",0.92,IF(O248="Disjuntor C.M.",100%,IF(O248="Disjuntor C.A.",100%,IFERROR(VLOOKUP('Lista de Cargas'!P248,Motores!$B$9:$T$48,16,FALSE)/100,"Erro"))))))))</f>
        <v>0.91700000000000004</v>
      </c>
      <c r="U248" s="40" t="s">
        <v>445</v>
      </c>
      <c r="V248" s="39">
        <v>440</v>
      </c>
      <c r="W248" s="2">
        <f t="shared" ref="W248:W279" si="88">IFERROR(IF(U248=$U$344,(P248*746)/(SQRT(3)*S248*T248*V248),(P248*746)/(S248*T248*V248)),0)</f>
        <v>18.837727979029246</v>
      </c>
      <c r="X248" s="2">
        <f t="shared" si="83"/>
        <v>13.164705882352941</v>
      </c>
      <c r="Y248" s="2">
        <f t="shared" ref="Y248:Y279" si="89">IFERROR(IF(O248=$O$344,6*W248,IF(O248=$O$345,6*W248,IF(O248=$O$346,3*W248,IF(O248=$O$347,1.5*W248,W248)))),0)</f>
        <v>113.02636787417548</v>
      </c>
      <c r="Z248" s="1"/>
      <c r="AA248" s="1"/>
      <c r="AB248" s="68">
        <v>120</v>
      </c>
      <c r="AC248" s="1"/>
      <c r="AD248" s="1"/>
      <c r="AE248" s="1"/>
      <c r="AF248" s="1"/>
      <c r="AG248" s="1">
        <f t="shared" si="84"/>
        <v>120</v>
      </c>
      <c r="AH248" s="1">
        <v>1</v>
      </c>
      <c r="AI248" s="1" t="s">
        <v>1057</v>
      </c>
      <c r="AJ248" s="1">
        <f t="shared" si="85"/>
        <v>120</v>
      </c>
      <c r="AK248" s="1">
        <v>0</v>
      </c>
      <c r="AL248" s="1" t="s">
        <v>118</v>
      </c>
      <c r="AM248" s="1">
        <f t="shared" si="86"/>
        <v>0</v>
      </c>
      <c r="AN248" s="1">
        <v>0</v>
      </c>
      <c r="AO248" s="1" t="s">
        <v>118</v>
      </c>
      <c r="AP248" s="1">
        <f t="shared" si="87"/>
        <v>0</v>
      </c>
      <c r="AQ248" s="1" t="s">
        <v>60</v>
      </c>
      <c r="AR248" s="1" t="str">
        <f t="shared" ref="AR248:AR279" si="90">IFERROR(VLOOKUP(AQ248,$O$368:$P$412,2,1),"NA")</f>
        <v>1"</v>
      </c>
      <c r="AS248" s="1">
        <v>1</v>
      </c>
      <c r="AT248" s="1"/>
      <c r="AU248" s="1"/>
      <c r="AV248" s="17"/>
      <c r="AW248" s="2"/>
      <c r="AX248" s="2"/>
      <c r="AY248" s="2"/>
      <c r="AZ248" s="17"/>
      <c r="BA248" s="1"/>
      <c r="BB248" s="1"/>
      <c r="BC248" s="1"/>
      <c r="BD248" s="1"/>
      <c r="BE248" s="18"/>
      <c r="BF248" s="2">
        <f t="shared" ref="BF248:BF279" si="91">IFERROR(IF(F248=$O$358,0,IF(S248&gt;$BH$1,0,IF(O248=$O$347,0,SQRT((X248^2)-(Q248^2))-(SQRT(((Q248/$BH$1)^2)-(Q248^2)))))),0)</f>
        <v>2.1680191081665816</v>
      </c>
      <c r="BG248" s="6"/>
      <c r="BH248" s="6"/>
    </row>
    <row r="249" spans="1:60" ht="12.75" customHeight="1" x14ac:dyDescent="0.2">
      <c r="A249" s="19">
        <v>400</v>
      </c>
      <c r="B249" s="19" t="s">
        <v>955</v>
      </c>
      <c r="C249" s="19" t="s">
        <v>592</v>
      </c>
      <c r="D249" s="20" t="s">
        <v>763</v>
      </c>
      <c r="E249" s="20"/>
      <c r="F249" s="21"/>
      <c r="G249" s="21"/>
      <c r="H249" s="21"/>
      <c r="I249" s="21"/>
      <c r="J249" s="21"/>
      <c r="K249" s="21"/>
      <c r="L249" s="21"/>
      <c r="M249" s="21"/>
      <c r="N249" s="32" t="s">
        <v>1029</v>
      </c>
      <c r="O249" s="22" t="s">
        <v>5</v>
      </c>
      <c r="P249" s="23">
        <v>7.5</v>
      </c>
      <c r="Q249" s="34">
        <f t="shared" si="82"/>
        <v>5.5949999999999998</v>
      </c>
      <c r="R249" s="39"/>
      <c r="S249" s="39">
        <f>IF(O249="","",IF(O249="NA","",IF(O249="Mini disjuntor + DR",0.92,IF(O249="Mini disjuntor",0.92,IF(O249="Disjuntor Motor",0.92,IF(O249="Disjuntor C.M.",0.92,IF(O249="Disjuntor C.A.",0.92,IFERROR(VLOOKUP('Lista de Cargas'!P249,Motores!$B$9:$T$48,19,FALSE),"Erro"))))))))</f>
        <v>0.79</v>
      </c>
      <c r="T249" s="40">
        <f>IF(O249="","",IF(O249="NA","",IF(O249="Mini disjuntor + DR",100%,IF(O249="Mini disjuntor",100%,IF(O249="Disjuntor Motor",0.92,IF(O249="Disjuntor C.M.",100%,IF(O249="Disjuntor C.A.",100%,IFERROR(VLOOKUP('Lista de Cargas'!P249,Motores!$B$9:$T$48,16,FALSE)/100,"Erro"))))))))</f>
        <v>0.9</v>
      </c>
      <c r="U249" s="40" t="s">
        <v>445</v>
      </c>
      <c r="V249" s="39">
        <v>440</v>
      </c>
      <c r="W249" s="2">
        <f t="shared" si="88"/>
        <v>10.325644917900386</v>
      </c>
      <c r="X249" s="2">
        <f t="shared" si="83"/>
        <v>7.0822784810126578</v>
      </c>
      <c r="Y249" s="2">
        <f t="shared" si="89"/>
        <v>15.488467376850579</v>
      </c>
      <c r="Z249" s="1"/>
      <c r="AA249" s="1"/>
      <c r="AB249" s="68">
        <v>120</v>
      </c>
      <c r="AC249" s="1"/>
      <c r="AD249" s="1"/>
      <c r="AE249" s="1"/>
      <c r="AF249" s="1"/>
      <c r="AG249" s="1">
        <f t="shared" si="84"/>
        <v>120</v>
      </c>
      <c r="AH249" s="1">
        <v>1</v>
      </c>
      <c r="AI249" s="1" t="s">
        <v>1054</v>
      </c>
      <c r="AJ249" s="1">
        <f t="shared" si="85"/>
        <v>120</v>
      </c>
      <c r="AK249" s="1">
        <v>0</v>
      </c>
      <c r="AL249" s="1" t="s">
        <v>118</v>
      </c>
      <c r="AM249" s="1">
        <f t="shared" si="86"/>
        <v>0</v>
      </c>
      <c r="AN249" s="1">
        <v>0</v>
      </c>
      <c r="AO249" s="1" t="s">
        <v>118</v>
      </c>
      <c r="AP249" s="1">
        <f t="shared" si="87"/>
        <v>0</v>
      </c>
      <c r="AQ249" s="1" t="s">
        <v>57</v>
      </c>
      <c r="AR249" s="1" t="str">
        <f t="shared" si="90"/>
        <v>3/4"</v>
      </c>
      <c r="AS249" s="1">
        <v>1</v>
      </c>
      <c r="AT249" s="1"/>
      <c r="AU249" s="1"/>
      <c r="AV249" s="17"/>
      <c r="AW249" s="2"/>
      <c r="AX249" s="2"/>
      <c r="AY249" s="2"/>
      <c r="AZ249" s="17"/>
      <c r="BA249" s="1"/>
      <c r="BB249" s="1"/>
      <c r="BC249" s="1"/>
      <c r="BD249" s="1"/>
      <c r="BE249" s="18"/>
      <c r="BF249" s="2">
        <f t="shared" si="91"/>
        <v>0</v>
      </c>
      <c r="BG249" s="6"/>
      <c r="BH249" s="6"/>
    </row>
    <row r="250" spans="1:60" ht="12.75" customHeight="1" x14ac:dyDescent="0.2">
      <c r="A250" s="19">
        <v>400</v>
      </c>
      <c r="B250" s="19" t="s">
        <v>955</v>
      </c>
      <c r="C250" s="19" t="s">
        <v>593</v>
      </c>
      <c r="D250" s="20" t="s">
        <v>763</v>
      </c>
      <c r="E250" s="20"/>
      <c r="F250" s="21"/>
      <c r="G250" s="21"/>
      <c r="H250" s="21"/>
      <c r="I250" s="21"/>
      <c r="J250" s="21"/>
      <c r="K250" s="21"/>
      <c r="L250" s="21"/>
      <c r="M250" s="21"/>
      <c r="N250" s="32" t="s">
        <v>1029</v>
      </c>
      <c r="O250" s="22" t="s">
        <v>34</v>
      </c>
      <c r="P250" s="23">
        <v>0.5</v>
      </c>
      <c r="Q250" s="34">
        <f t="shared" si="82"/>
        <v>0.373</v>
      </c>
      <c r="R250" s="39"/>
      <c r="S250" s="39">
        <f>IF(O250="","",IF(O250="NA","",IF(O250="Mini disjuntor + DR",0.92,IF(O250="Mini disjuntor",0.92,IF(O250="Disjuntor Motor",0.92,IF(O250="Disjuntor C.M.",0.92,IF(O250="Disjuntor C.A.",0.92,IFERROR(VLOOKUP('Lista de Cargas'!P250,Motores!$B$9:$T$48,19,FALSE),"Erro"))))))))</f>
        <v>0.69</v>
      </c>
      <c r="T250" s="40">
        <f>IF(O250="","",IF(O250="NA","",IF(O250="Mini disjuntor + DR",100%,IF(O250="Mini disjuntor",100%,IF(O250="Disjuntor Motor",0.92,IF(O250="Disjuntor C.M.",100%,IF(O250="Disjuntor C.A.",100%,IFERROR(VLOOKUP('Lista de Cargas'!P250,Motores!$B$9:$T$48,16,FALSE)/100,"Erro"))))))))</f>
        <v>0.7</v>
      </c>
      <c r="U250" s="40" t="s">
        <v>445</v>
      </c>
      <c r="V250" s="39">
        <v>440</v>
      </c>
      <c r="W250" s="2">
        <f t="shared" si="88"/>
        <v>1.0133241596448825</v>
      </c>
      <c r="X250" s="2">
        <f t="shared" si="83"/>
        <v>0.54057971014492756</v>
      </c>
      <c r="Y250" s="2">
        <f t="shared" si="89"/>
        <v>6.0799449578692952</v>
      </c>
      <c r="Z250" s="1"/>
      <c r="AA250" s="1"/>
      <c r="AB250" s="68">
        <v>120</v>
      </c>
      <c r="AC250" s="1"/>
      <c r="AD250" s="1"/>
      <c r="AE250" s="1"/>
      <c r="AF250" s="1"/>
      <c r="AG250" s="1">
        <f t="shared" si="84"/>
        <v>120</v>
      </c>
      <c r="AH250" s="1">
        <v>1</v>
      </c>
      <c r="AI250" s="1" t="s">
        <v>1054</v>
      </c>
      <c r="AJ250" s="1">
        <f t="shared" si="85"/>
        <v>120</v>
      </c>
      <c r="AK250" s="1">
        <v>0</v>
      </c>
      <c r="AL250" s="1" t="s">
        <v>118</v>
      </c>
      <c r="AM250" s="1">
        <f t="shared" si="86"/>
        <v>0</v>
      </c>
      <c r="AN250" s="1">
        <v>0</v>
      </c>
      <c r="AO250" s="1" t="s">
        <v>118</v>
      </c>
      <c r="AP250" s="1">
        <f t="shared" si="87"/>
        <v>0</v>
      </c>
      <c r="AQ250" s="1" t="s">
        <v>57</v>
      </c>
      <c r="AR250" s="1" t="str">
        <f t="shared" si="90"/>
        <v>3/4"</v>
      </c>
      <c r="AS250" s="1">
        <v>1</v>
      </c>
      <c r="AT250" s="1"/>
      <c r="AU250" s="1"/>
      <c r="AV250" s="17"/>
      <c r="AW250" s="2"/>
      <c r="AX250" s="2"/>
      <c r="AY250" s="2"/>
      <c r="AZ250" s="17"/>
      <c r="BA250" s="1"/>
      <c r="BB250" s="1"/>
      <c r="BC250" s="1"/>
      <c r="BD250" s="1"/>
      <c r="BE250" s="18"/>
      <c r="BF250" s="2">
        <f t="shared" si="91"/>
        <v>0.23237932328500399</v>
      </c>
      <c r="BG250" s="6"/>
      <c r="BH250" s="6"/>
    </row>
    <row r="251" spans="1:60" ht="12.75" customHeight="1" x14ac:dyDescent="0.2">
      <c r="A251" s="19">
        <v>400</v>
      </c>
      <c r="B251" s="19" t="s">
        <v>955</v>
      </c>
      <c r="C251" s="19" t="s">
        <v>594</v>
      </c>
      <c r="D251" s="20" t="s">
        <v>764</v>
      </c>
      <c r="E251" s="20"/>
      <c r="F251" s="21"/>
      <c r="G251" s="21"/>
      <c r="H251" s="21"/>
      <c r="I251" s="21"/>
      <c r="J251" s="21"/>
      <c r="K251" s="21"/>
      <c r="L251" s="21"/>
      <c r="M251" s="21"/>
      <c r="N251" s="32" t="s">
        <v>1029</v>
      </c>
      <c r="O251" s="22" t="s">
        <v>34</v>
      </c>
      <c r="P251" s="23">
        <v>12.5</v>
      </c>
      <c r="Q251" s="34">
        <f t="shared" si="82"/>
        <v>9.3249999999999993</v>
      </c>
      <c r="R251" s="39"/>
      <c r="S251" s="39">
        <f>IF(O251="","",IF(O251="NA","",IF(O251="Mini disjuntor + DR",0.92,IF(O251="Mini disjuntor",0.92,IF(O251="Disjuntor Motor",0.92,IF(O251="Disjuntor C.M.",0.92,IF(O251="Disjuntor C.A.",0.92,IFERROR(VLOOKUP('Lista de Cargas'!P251,Motores!$B$9:$T$48,19,FALSE),"Erro"))))))))</f>
        <v>0.84</v>
      </c>
      <c r="T251" s="40">
        <f>IF(O251="","",IF(O251="NA","",IF(O251="Mini disjuntor + DR",100%,IF(O251="Mini disjuntor",100%,IF(O251="Disjuntor Motor",0.92,IF(O251="Disjuntor C.M.",100%,IF(O251="Disjuntor C.A.",100%,IFERROR(VLOOKUP('Lista de Cargas'!P251,Motores!$B$9:$T$48,16,FALSE)/100,"Erro"))))))))</f>
        <v>0.91</v>
      </c>
      <c r="U251" s="40" t="s">
        <v>445</v>
      </c>
      <c r="V251" s="39">
        <v>440</v>
      </c>
      <c r="W251" s="2">
        <f t="shared" si="88"/>
        <v>16.007181093291411</v>
      </c>
      <c r="X251" s="2">
        <f t="shared" si="83"/>
        <v>11.101190476190476</v>
      </c>
      <c r="Y251" s="2">
        <f t="shared" si="89"/>
        <v>96.043086559748474</v>
      </c>
      <c r="Z251" s="1"/>
      <c r="AA251" s="1"/>
      <c r="AB251" s="68">
        <v>120</v>
      </c>
      <c r="AC251" s="1"/>
      <c r="AD251" s="1"/>
      <c r="AE251" s="1"/>
      <c r="AF251" s="1"/>
      <c r="AG251" s="1">
        <f t="shared" si="84"/>
        <v>120</v>
      </c>
      <c r="AH251" s="1">
        <v>1</v>
      </c>
      <c r="AI251" s="1" t="s">
        <v>1057</v>
      </c>
      <c r="AJ251" s="1">
        <f t="shared" si="85"/>
        <v>120</v>
      </c>
      <c r="AK251" s="1">
        <v>0</v>
      </c>
      <c r="AL251" s="1" t="s">
        <v>118</v>
      </c>
      <c r="AM251" s="1">
        <f t="shared" si="86"/>
        <v>0</v>
      </c>
      <c r="AN251" s="1">
        <v>0</v>
      </c>
      <c r="AO251" s="1" t="s">
        <v>118</v>
      </c>
      <c r="AP251" s="1">
        <f t="shared" si="87"/>
        <v>0</v>
      </c>
      <c r="AQ251" s="1" t="s">
        <v>60</v>
      </c>
      <c r="AR251" s="1" t="str">
        <f t="shared" si="90"/>
        <v>1"</v>
      </c>
      <c r="AS251" s="1">
        <v>1</v>
      </c>
      <c r="AT251" s="1"/>
      <c r="AU251" s="1"/>
      <c r="AV251" s="17"/>
      <c r="AW251" s="2"/>
      <c r="AX251" s="2"/>
      <c r="AY251" s="2"/>
      <c r="AZ251" s="17"/>
      <c r="BA251" s="1"/>
      <c r="BB251" s="1"/>
      <c r="BC251" s="1"/>
      <c r="BD251" s="1"/>
      <c r="BE251" s="18"/>
      <c r="BF251" s="2">
        <f t="shared" si="91"/>
        <v>2.0509215957339983</v>
      </c>
      <c r="BG251" s="6"/>
      <c r="BH251" s="6"/>
    </row>
    <row r="252" spans="1:60" ht="12.75" customHeight="1" x14ac:dyDescent="0.2">
      <c r="A252" s="19">
        <v>400</v>
      </c>
      <c r="B252" s="19" t="s">
        <v>955</v>
      </c>
      <c r="C252" s="19" t="s">
        <v>595</v>
      </c>
      <c r="D252" s="20" t="s">
        <v>765</v>
      </c>
      <c r="E252" s="20"/>
      <c r="F252" s="21"/>
      <c r="G252" s="21"/>
      <c r="H252" s="21"/>
      <c r="I252" s="21"/>
      <c r="J252" s="21"/>
      <c r="K252" s="21"/>
      <c r="L252" s="21"/>
      <c r="M252" s="21"/>
      <c r="N252" s="32" t="s">
        <v>1029</v>
      </c>
      <c r="O252" s="22" t="s">
        <v>34</v>
      </c>
      <c r="P252" s="23">
        <v>2</v>
      </c>
      <c r="Q252" s="34">
        <f t="shared" si="82"/>
        <v>1.492</v>
      </c>
      <c r="R252" s="39"/>
      <c r="S252" s="39">
        <f>IF(O252="","",IF(O252="NA","",IF(O252="Mini disjuntor + DR",0.92,IF(O252="Mini disjuntor",0.92,IF(O252="Disjuntor Motor",0.92,IF(O252="Disjuntor C.M.",0.92,IF(O252="Disjuntor C.A.",0.92,IFERROR(VLOOKUP('Lista de Cargas'!P252,Motores!$B$9:$T$48,19,FALSE),"Erro"))))))))</f>
        <v>0.78</v>
      </c>
      <c r="T252" s="40">
        <f>IF(O252="","",IF(O252="NA","",IF(O252="Mini disjuntor + DR",100%,IF(O252="Mini disjuntor",100%,IF(O252="Disjuntor Motor",0.92,IF(O252="Disjuntor C.M.",100%,IF(O252="Disjuntor C.A.",100%,IFERROR(VLOOKUP('Lista de Cargas'!P252,Motores!$B$9:$T$48,16,FALSE)/100,"Erro"))))))))</f>
        <v>0.84200000000000008</v>
      </c>
      <c r="U252" s="40" t="s">
        <v>445</v>
      </c>
      <c r="V252" s="39">
        <v>440</v>
      </c>
      <c r="W252" s="2">
        <f t="shared" si="88"/>
        <v>2.9809097332875214</v>
      </c>
      <c r="X252" s="2">
        <f t="shared" si="83"/>
        <v>1.9128205128205127</v>
      </c>
      <c r="Y252" s="2">
        <f t="shared" si="89"/>
        <v>17.885458399725128</v>
      </c>
      <c r="Z252" s="1"/>
      <c r="AA252" s="1"/>
      <c r="AB252" s="68">
        <v>120</v>
      </c>
      <c r="AC252" s="1"/>
      <c r="AD252" s="1"/>
      <c r="AE252" s="1"/>
      <c r="AF252" s="1"/>
      <c r="AG252" s="1">
        <f t="shared" si="84"/>
        <v>120</v>
      </c>
      <c r="AH252" s="1">
        <v>1</v>
      </c>
      <c r="AI252" s="1" t="s">
        <v>1054</v>
      </c>
      <c r="AJ252" s="1">
        <f t="shared" si="85"/>
        <v>120</v>
      </c>
      <c r="AK252" s="1">
        <v>0</v>
      </c>
      <c r="AL252" s="1" t="s">
        <v>118</v>
      </c>
      <c r="AM252" s="1">
        <f t="shared" si="86"/>
        <v>0</v>
      </c>
      <c r="AN252" s="1">
        <v>0</v>
      </c>
      <c r="AO252" s="1" t="s">
        <v>118</v>
      </c>
      <c r="AP252" s="1">
        <f t="shared" si="87"/>
        <v>0</v>
      </c>
      <c r="AQ252" s="1" t="s">
        <v>57</v>
      </c>
      <c r="AR252" s="1" t="str">
        <f t="shared" si="90"/>
        <v>3/4"</v>
      </c>
      <c r="AS252" s="1">
        <v>1</v>
      </c>
      <c r="AT252" s="1"/>
      <c r="AU252" s="1"/>
      <c r="AV252" s="17"/>
      <c r="AW252" s="2"/>
      <c r="AX252" s="2"/>
      <c r="AY252" s="2"/>
      <c r="AZ252" s="17"/>
      <c r="BA252" s="1"/>
      <c r="BB252" s="1"/>
      <c r="BC252" s="1"/>
      <c r="BD252" s="1"/>
      <c r="BE252" s="18"/>
      <c r="BF252" s="2">
        <f t="shared" si="91"/>
        <v>0.56141455218969116</v>
      </c>
      <c r="BG252" s="6"/>
      <c r="BH252" s="6"/>
    </row>
    <row r="253" spans="1:60" ht="12.75" customHeight="1" x14ac:dyDescent="0.2">
      <c r="A253" s="19">
        <v>400</v>
      </c>
      <c r="B253" s="19" t="s">
        <v>955</v>
      </c>
      <c r="C253" s="19" t="s">
        <v>596</v>
      </c>
      <c r="D253" s="20" t="s">
        <v>766</v>
      </c>
      <c r="E253" s="20"/>
      <c r="F253" s="21"/>
      <c r="G253" s="21"/>
      <c r="H253" s="21"/>
      <c r="I253" s="21"/>
      <c r="J253" s="21"/>
      <c r="K253" s="21"/>
      <c r="L253" s="21"/>
      <c r="M253" s="21"/>
      <c r="N253" s="32" t="s">
        <v>1030</v>
      </c>
      <c r="O253" s="22" t="s">
        <v>5</v>
      </c>
      <c r="P253" s="23">
        <v>60</v>
      </c>
      <c r="Q253" s="34">
        <f t="shared" si="82"/>
        <v>44.76</v>
      </c>
      <c r="R253" s="39"/>
      <c r="S253" s="39">
        <f>IF(O253="","",IF(O253="NA","",IF(O253="Mini disjuntor + DR",0.92,IF(O253="Mini disjuntor",0.92,IF(O253="Disjuntor Motor",0.92,IF(O253="Disjuntor C.M.",0.92,IF(O253="Disjuntor C.A.",0.92,IFERROR(VLOOKUP('Lista de Cargas'!P253,Motores!$B$9:$T$48,19,FALSE),"Erro"))))))))</f>
        <v>0.86</v>
      </c>
      <c r="T253" s="40">
        <f>IF(O253="","",IF(O253="NA","",IF(O253="Mini disjuntor + DR",100%,IF(O253="Mini disjuntor",100%,IF(O253="Disjuntor Motor",0.92,IF(O253="Disjuntor C.M.",100%,IF(O253="Disjuntor C.A.",100%,IFERROR(VLOOKUP('Lista de Cargas'!P253,Motores!$B$9:$T$48,16,FALSE)/100,"Erro"))))))))</f>
        <v>0.94099999999999995</v>
      </c>
      <c r="U253" s="40" t="s">
        <v>445</v>
      </c>
      <c r="V253" s="39">
        <v>440</v>
      </c>
      <c r="W253" s="2">
        <f t="shared" si="88"/>
        <v>72.57527654031756</v>
      </c>
      <c r="X253" s="2">
        <f t="shared" si="83"/>
        <v>52.046511627906973</v>
      </c>
      <c r="Y253" s="2">
        <f t="shared" si="89"/>
        <v>108.86291481047634</v>
      </c>
      <c r="Z253" s="1"/>
      <c r="AA253" s="1"/>
      <c r="AB253" s="68">
        <v>120</v>
      </c>
      <c r="AC253" s="1"/>
      <c r="AD253" s="1"/>
      <c r="AE253" s="1"/>
      <c r="AF253" s="1"/>
      <c r="AG253" s="1">
        <f t="shared" si="84"/>
        <v>120</v>
      </c>
      <c r="AH253" s="1">
        <v>1</v>
      </c>
      <c r="AI253" s="1" t="s">
        <v>1069</v>
      </c>
      <c r="AJ253" s="1">
        <f t="shared" si="85"/>
        <v>120</v>
      </c>
      <c r="AK253" s="1">
        <v>0</v>
      </c>
      <c r="AL253" s="1" t="s">
        <v>118</v>
      </c>
      <c r="AM253" s="1">
        <f t="shared" si="86"/>
        <v>0</v>
      </c>
      <c r="AN253" s="1">
        <v>0</v>
      </c>
      <c r="AO253" s="1" t="s">
        <v>118</v>
      </c>
      <c r="AP253" s="1">
        <f t="shared" si="87"/>
        <v>0</v>
      </c>
      <c r="AQ253" s="1" t="s">
        <v>72</v>
      </c>
      <c r="AR253" s="1" t="str">
        <f t="shared" si="90"/>
        <v>2"</v>
      </c>
      <c r="AS253" s="1">
        <v>1</v>
      </c>
      <c r="AT253" s="1"/>
      <c r="AU253" s="1"/>
      <c r="AV253" s="17"/>
      <c r="AW253" s="2"/>
      <c r="AX253" s="2"/>
      <c r="AY253" s="2"/>
      <c r="AZ253" s="17"/>
      <c r="BA253" s="1"/>
      <c r="BB253" s="1"/>
      <c r="BC253" s="1"/>
      <c r="BD253" s="1"/>
      <c r="BE253" s="18"/>
      <c r="BF253" s="2">
        <f t="shared" si="91"/>
        <v>0</v>
      </c>
      <c r="BG253" s="6"/>
      <c r="BH253" s="6"/>
    </row>
    <row r="254" spans="1:60" ht="12.75" customHeight="1" x14ac:dyDescent="0.2">
      <c r="A254" s="19">
        <v>400</v>
      </c>
      <c r="B254" s="19" t="s">
        <v>955</v>
      </c>
      <c r="C254" s="19" t="s">
        <v>597</v>
      </c>
      <c r="D254" s="20" t="s">
        <v>767</v>
      </c>
      <c r="E254" s="20"/>
      <c r="F254" s="21"/>
      <c r="G254" s="21"/>
      <c r="H254" s="21"/>
      <c r="I254" s="21"/>
      <c r="J254" s="21"/>
      <c r="K254" s="21"/>
      <c r="L254" s="21"/>
      <c r="M254" s="21"/>
      <c r="N254" s="32" t="s">
        <v>1030</v>
      </c>
      <c r="O254" s="22" t="s">
        <v>35</v>
      </c>
      <c r="P254" s="23">
        <v>20</v>
      </c>
      <c r="Q254" s="34">
        <f t="shared" si="82"/>
        <v>14.92</v>
      </c>
      <c r="R254" s="39"/>
      <c r="S254" s="39">
        <f>IF(O254="","",IF(O254="NA","",IF(O254="Mini disjuntor + DR",0.92,IF(O254="Mini disjuntor",0.92,IF(O254="Disjuntor Motor",0.92,IF(O254="Disjuntor C.M.",0.92,IF(O254="Disjuntor C.A.",0.92,IFERROR(VLOOKUP('Lista de Cargas'!P254,Motores!$B$9:$T$48,19,FALSE),"Erro"))))))))</f>
        <v>0.81</v>
      </c>
      <c r="T254" s="40">
        <f>IF(O254="","",IF(O254="NA","",IF(O254="Mini disjuntor + DR",100%,IF(O254="Mini disjuntor",100%,IF(O254="Disjuntor Motor",0.92,IF(O254="Disjuntor C.M.",100%,IF(O254="Disjuntor C.A.",100%,IFERROR(VLOOKUP('Lista de Cargas'!P254,Motores!$B$9:$T$48,16,FALSE)/100,"Erro"))))))))</f>
        <v>0.92400000000000004</v>
      </c>
      <c r="U254" s="40" t="s">
        <v>445</v>
      </c>
      <c r="V254" s="39">
        <v>440</v>
      </c>
      <c r="W254" s="2">
        <f t="shared" si="88"/>
        <v>26.15763823999135</v>
      </c>
      <c r="X254" s="2">
        <f t="shared" si="83"/>
        <v>18.419753086419753</v>
      </c>
      <c r="Y254" s="2">
        <f t="shared" si="89"/>
        <v>78.472914719974057</v>
      </c>
      <c r="Z254" s="1"/>
      <c r="AA254" s="1"/>
      <c r="AB254" s="68">
        <v>120</v>
      </c>
      <c r="AC254" s="1"/>
      <c r="AD254" s="1"/>
      <c r="AE254" s="1"/>
      <c r="AF254" s="1"/>
      <c r="AG254" s="1">
        <f t="shared" si="84"/>
        <v>120</v>
      </c>
      <c r="AH254" s="1">
        <v>1</v>
      </c>
      <c r="AI254" s="1" t="s">
        <v>1057</v>
      </c>
      <c r="AJ254" s="1">
        <f t="shared" si="85"/>
        <v>120</v>
      </c>
      <c r="AK254" s="1">
        <v>0</v>
      </c>
      <c r="AL254" s="1" t="s">
        <v>118</v>
      </c>
      <c r="AM254" s="1">
        <f t="shared" si="86"/>
        <v>0</v>
      </c>
      <c r="AN254" s="1">
        <v>0</v>
      </c>
      <c r="AO254" s="1" t="s">
        <v>118</v>
      </c>
      <c r="AP254" s="1">
        <f t="shared" si="87"/>
        <v>0</v>
      </c>
      <c r="AQ254" s="1" t="s">
        <v>60</v>
      </c>
      <c r="AR254" s="1" t="str">
        <f t="shared" si="90"/>
        <v>1"</v>
      </c>
      <c r="AS254" s="1">
        <v>1</v>
      </c>
      <c r="AT254" s="1"/>
      <c r="AU254" s="1"/>
      <c r="AV254" s="17"/>
      <c r="AW254" s="2"/>
      <c r="AX254" s="2"/>
      <c r="AY254" s="2"/>
      <c r="AZ254" s="17"/>
      <c r="BA254" s="1"/>
      <c r="BB254" s="1"/>
      <c r="BC254" s="1"/>
      <c r="BD254" s="1"/>
      <c r="BE254" s="18"/>
      <c r="BF254" s="2">
        <f t="shared" si="91"/>
        <v>4.4460001420638564</v>
      </c>
      <c r="BG254" s="6"/>
      <c r="BH254" s="6"/>
    </row>
    <row r="255" spans="1:60" ht="12.75" customHeight="1" x14ac:dyDescent="0.2">
      <c r="A255" s="19">
        <v>400</v>
      </c>
      <c r="B255" s="19" t="s">
        <v>955</v>
      </c>
      <c r="C255" s="19" t="s">
        <v>598</v>
      </c>
      <c r="D255" s="20" t="s">
        <v>768</v>
      </c>
      <c r="E255" s="20"/>
      <c r="F255" s="21"/>
      <c r="G255" s="21"/>
      <c r="H255" s="21"/>
      <c r="I255" s="21"/>
      <c r="J255" s="21"/>
      <c r="K255" s="21"/>
      <c r="L255" s="21"/>
      <c r="M255" s="21"/>
      <c r="N255" s="32" t="s">
        <v>1030</v>
      </c>
      <c r="O255" s="22" t="s">
        <v>5</v>
      </c>
      <c r="P255" s="23">
        <v>250</v>
      </c>
      <c r="Q255" s="34">
        <f t="shared" si="82"/>
        <v>186.5</v>
      </c>
      <c r="R255" s="39"/>
      <c r="S255" s="39">
        <f>IF(O255="","",IF(O255="NA","",IF(O255="Mini disjuntor + DR",0.92,IF(O255="Mini disjuntor",0.92,IF(O255="Disjuntor Motor",0.92,IF(O255="Disjuntor C.M.",0.92,IF(O255="Disjuntor C.A.",0.92,IFERROR(VLOOKUP('Lista de Cargas'!P255,Motores!$B$9:$T$48,19,FALSE),"Erro"))))))))</f>
        <v>0.87</v>
      </c>
      <c r="T255" s="40">
        <f>IF(O255="","",IF(O255="NA","",IF(O255="Mini disjuntor + DR",100%,IF(O255="Mini disjuntor",100%,IF(O255="Disjuntor Motor",0.92,IF(O255="Disjuntor C.M.",100%,IF(O255="Disjuntor C.A.",100%,IFERROR(VLOOKUP('Lista de Cargas'!P255,Motores!$B$9:$T$48,16,FALSE)/100,"Erro"))))))))</f>
        <v>0.95700000000000007</v>
      </c>
      <c r="U255" s="40" t="s">
        <v>445</v>
      </c>
      <c r="V255" s="39">
        <v>440</v>
      </c>
      <c r="W255" s="2">
        <f t="shared" si="88"/>
        <v>293.92352124603838</v>
      </c>
      <c r="X255" s="2">
        <f t="shared" si="83"/>
        <v>214.36781609195401</v>
      </c>
      <c r="Y255" s="2">
        <f t="shared" si="89"/>
        <v>440.88528186905756</v>
      </c>
      <c r="Z255" s="1"/>
      <c r="AA255" s="1"/>
      <c r="AB255" s="68">
        <v>120</v>
      </c>
      <c r="AC255" s="1"/>
      <c r="AD255" s="1"/>
      <c r="AE255" s="1"/>
      <c r="AF255" s="1"/>
      <c r="AG255" s="1">
        <f t="shared" si="84"/>
        <v>120</v>
      </c>
      <c r="AH255" s="1">
        <v>3</v>
      </c>
      <c r="AI255" s="1" t="s">
        <v>1061</v>
      </c>
      <c r="AJ255" s="1">
        <f t="shared" si="85"/>
        <v>360</v>
      </c>
      <c r="AK255" s="1">
        <v>0</v>
      </c>
      <c r="AL255" s="1" t="s">
        <v>118</v>
      </c>
      <c r="AM255" s="1">
        <f t="shared" si="86"/>
        <v>0</v>
      </c>
      <c r="AN255" s="1">
        <v>1</v>
      </c>
      <c r="AO255" s="1" t="s">
        <v>1064</v>
      </c>
      <c r="AP255" s="1">
        <f t="shared" si="87"/>
        <v>120</v>
      </c>
      <c r="AQ255" s="1" t="s">
        <v>77</v>
      </c>
      <c r="AR255" s="1" t="str">
        <f t="shared" si="90"/>
        <v>2 x 3"</v>
      </c>
      <c r="AS255" s="1">
        <v>1</v>
      </c>
      <c r="AT255" s="1"/>
      <c r="AU255" s="1"/>
      <c r="AV255" s="17"/>
      <c r="AW255" s="2"/>
      <c r="AX255" s="2"/>
      <c r="AY255" s="2"/>
      <c r="AZ255" s="17"/>
      <c r="BA255" s="1"/>
      <c r="BB255" s="1"/>
      <c r="BC255" s="1"/>
      <c r="BD255" s="1"/>
      <c r="BE255" s="18"/>
      <c r="BF255" s="2">
        <f t="shared" si="91"/>
        <v>0</v>
      </c>
      <c r="BG255" s="6"/>
      <c r="BH255" s="6"/>
    </row>
    <row r="256" spans="1:60" ht="12.75" customHeight="1" x14ac:dyDescent="0.2">
      <c r="A256" s="19">
        <v>400</v>
      </c>
      <c r="B256" s="19" t="s">
        <v>955</v>
      </c>
      <c r="C256" s="19" t="s">
        <v>599</v>
      </c>
      <c r="D256" s="20" t="s">
        <v>769</v>
      </c>
      <c r="E256" s="20"/>
      <c r="F256" s="21"/>
      <c r="G256" s="21"/>
      <c r="H256" s="21"/>
      <c r="I256" s="21"/>
      <c r="J256" s="21"/>
      <c r="K256" s="21"/>
      <c r="L256" s="21"/>
      <c r="M256" s="21"/>
      <c r="N256" s="32" t="s">
        <v>1030</v>
      </c>
      <c r="O256" s="22" t="s">
        <v>34</v>
      </c>
      <c r="P256" s="23">
        <v>1</v>
      </c>
      <c r="Q256" s="34">
        <f t="shared" si="82"/>
        <v>0.746</v>
      </c>
      <c r="R256" s="39"/>
      <c r="S256" s="39">
        <f>IF(O256="","",IF(O256="NA","",IF(O256="Mini disjuntor + DR",0.92,IF(O256="Mini disjuntor",0.92,IF(O256="Disjuntor Motor",0.92,IF(O256="Disjuntor C.M.",0.92,IF(O256="Disjuntor C.A.",0.92,IFERROR(VLOOKUP('Lista de Cargas'!P256,Motores!$B$9:$T$48,19,FALSE),"Erro"))))))))</f>
        <v>0.81</v>
      </c>
      <c r="T256" s="40">
        <f>IF(O256="","",IF(O256="NA","",IF(O256="Mini disjuntor + DR",100%,IF(O256="Mini disjuntor",100%,IF(O256="Disjuntor Motor",0.92,IF(O256="Disjuntor C.M.",100%,IF(O256="Disjuntor C.A.",100%,IFERROR(VLOOKUP('Lista de Cargas'!P256,Motores!$B$9:$T$48,16,FALSE)/100,"Erro"))))))))</f>
        <v>0.80500000000000005</v>
      </c>
      <c r="U256" s="40" t="s">
        <v>445</v>
      </c>
      <c r="V256" s="39">
        <v>440</v>
      </c>
      <c r="W256" s="2">
        <f t="shared" si="88"/>
        <v>1.5012209772516776</v>
      </c>
      <c r="X256" s="2">
        <f t="shared" si="83"/>
        <v>0.92098765432098761</v>
      </c>
      <c r="Y256" s="2">
        <f t="shared" si="89"/>
        <v>9.007325863510065</v>
      </c>
      <c r="Z256" s="1"/>
      <c r="AA256" s="1"/>
      <c r="AB256" s="68">
        <v>120</v>
      </c>
      <c r="AC256" s="1"/>
      <c r="AD256" s="1"/>
      <c r="AE256" s="1"/>
      <c r="AF256" s="1"/>
      <c r="AG256" s="1">
        <f t="shared" si="84"/>
        <v>120</v>
      </c>
      <c r="AH256" s="1">
        <v>1</v>
      </c>
      <c r="AI256" s="1" t="s">
        <v>1054</v>
      </c>
      <c r="AJ256" s="1">
        <f t="shared" si="85"/>
        <v>120</v>
      </c>
      <c r="AK256" s="1">
        <v>0</v>
      </c>
      <c r="AL256" s="1" t="s">
        <v>118</v>
      </c>
      <c r="AM256" s="1">
        <f t="shared" si="86"/>
        <v>0</v>
      </c>
      <c r="AN256" s="1">
        <v>0</v>
      </c>
      <c r="AO256" s="1" t="s">
        <v>118</v>
      </c>
      <c r="AP256" s="1">
        <f t="shared" si="87"/>
        <v>0</v>
      </c>
      <c r="AQ256" s="1" t="s">
        <v>57</v>
      </c>
      <c r="AR256" s="1" t="str">
        <f t="shared" si="90"/>
        <v>3/4"</v>
      </c>
      <c r="AS256" s="1">
        <v>1</v>
      </c>
      <c r="AT256" s="1"/>
      <c r="AU256" s="1"/>
      <c r="AV256" s="17"/>
      <c r="AW256" s="2"/>
      <c r="AX256" s="2"/>
      <c r="AY256" s="2"/>
      <c r="AZ256" s="17"/>
      <c r="BA256" s="1"/>
      <c r="BB256" s="1"/>
      <c r="BC256" s="1"/>
      <c r="BD256" s="1"/>
      <c r="BE256" s="18"/>
      <c r="BF256" s="2">
        <f t="shared" si="91"/>
        <v>0.22230000710319253</v>
      </c>
      <c r="BG256" s="6"/>
      <c r="BH256" s="6"/>
    </row>
    <row r="257" spans="1:60" ht="12.75" customHeight="1" x14ac:dyDescent="0.2">
      <c r="A257" s="19">
        <v>400</v>
      </c>
      <c r="B257" s="19" t="s">
        <v>955</v>
      </c>
      <c r="C257" s="19" t="s">
        <v>600</v>
      </c>
      <c r="D257" s="20" t="s">
        <v>770</v>
      </c>
      <c r="E257" s="20"/>
      <c r="F257" s="21"/>
      <c r="G257" s="21"/>
      <c r="H257" s="21"/>
      <c r="I257" s="21"/>
      <c r="J257" s="21"/>
      <c r="K257" s="21"/>
      <c r="L257" s="21"/>
      <c r="M257" s="21"/>
      <c r="N257" s="32" t="s">
        <v>1030</v>
      </c>
      <c r="O257" s="22" t="s">
        <v>5</v>
      </c>
      <c r="P257" s="23">
        <v>75</v>
      </c>
      <c r="Q257" s="34">
        <f t="shared" si="82"/>
        <v>55.95</v>
      </c>
      <c r="R257" s="39"/>
      <c r="S257" s="39">
        <v>0.84</v>
      </c>
      <c r="T257" s="40">
        <v>0.93</v>
      </c>
      <c r="U257" s="40" t="s">
        <v>445</v>
      </c>
      <c r="V257" s="39">
        <v>440</v>
      </c>
      <c r="W257" s="2">
        <f t="shared" si="88"/>
        <v>93.977643838033458</v>
      </c>
      <c r="X257" s="2">
        <f t="shared" si="83"/>
        <v>66.607142857142861</v>
      </c>
      <c r="Y257" s="2">
        <f t="shared" si="89"/>
        <v>140.96646575705017</v>
      </c>
      <c r="Z257" s="1"/>
      <c r="AA257" s="1"/>
      <c r="AB257" s="68">
        <v>120</v>
      </c>
      <c r="AC257" s="1"/>
      <c r="AD257" s="1"/>
      <c r="AE257" s="1"/>
      <c r="AF257" s="1"/>
      <c r="AG257" s="1">
        <f t="shared" si="84"/>
        <v>120</v>
      </c>
      <c r="AH257" s="1">
        <v>1</v>
      </c>
      <c r="AI257" s="1" t="s">
        <v>1069</v>
      </c>
      <c r="AJ257" s="1">
        <f t="shared" si="85"/>
        <v>120</v>
      </c>
      <c r="AK257" s="1">
        <v>0</v>
      </c>
      <c r="AL257" s="1" t="s">
        <v>118</v>
      </c>
      <c r="AM257" s="1">
        <f t="shared" si="86"/>
        <v>0</v>
      </c>
      <c r="AN257" s="1">
        <v>0</v>
      </c>
      <c r="AO257" s="1" t="s">
        <v>118</v>
      </c>
      <c r="AP257" s="1">
        <f t="shared" si="87"/>
        <v>0</v>
      </c>
      <c r="AQ257" s="1" t="s">
        <v>72</v>
      </c>
      <c r="AR257" s="1" t="str">
        <f t="shared" si="90"/>
        <v>2"</v>
      </c>
      <c r="AS257" s="1">
        <v>1</v>
      </c>
      <c r="AT257" s="1"/>
      <c r="AU257" s="1"/>
      <c r="AV257" s="17"/>
      <c r="AW257" s="2"/>
      <c r="AX257" s="2"/>
      <c r="AY257" s="2"/>
      <c r="AZ257" s="17"/>
      <c r="BA257" s="1"/>
      <c r="BB257" s="1"/>
      <c r="BC257" s="1"/>
      <c r="BD257" s="1"/>
      <c r="BE257" s="18"/>
      <c r="BF257" s="2">
        <f t="shared" si="91"/>
        <v>0</v>
      </c>
      <c r="BG257" s="6"/>
      <c r="BH257" s="6"/>
    </row>
    <row r="258" spans="1:60" ht="12.75" customHeight="1" x14ac:dyDescent="0.2">
      <c r="A258" s="19">
        <v>400</v>
      </c>
      <c r="B258" s="19" t="s">
        <v>955</v>
      </c>
      <c r="C258" s="19" t="s">
        <v>601</v>
      </c>
      <c r="D258" s="20" t="s">
        <v>771</v>
      </c>
      <c r="E258" s="20"/>
      <c r="F258" s="21"/>
      <c r="G258" s="21"/>
      <c r="H258" s="21"/>
      <c r="I258" s="21"/>
      <c r="J258" s="21"/>
      <c r="K258" s="21"/>
      <c r="L258" s="21"/>
      <c r="M258" s="21"/>
      <c r="N258" s="32" t="s">
        <v>1030</v>
      </c>
      <c r="O258" s="22" t="s">
        <v>34</v>
      </c>
      <c r="P258" s="23">
        <v>10</v>
      </c>
      <c r="Q258" s="34">
        <f t="shared" si="82"/>
        <v>7.46</v>
      </c>
      <c r="R258" s="39"/>
      <c r="S258" s="39">
        <f>IF(O258="","",IF(O258="NA","",IF(O258="Mini disjuntor + DR",0.92,IF(O258="Mini disjuntor",0.92,IF(O258="Disjuntor Motor",0.92,IF(O258="Disjuntor C.M.",0.92,IF(O258="Disjuntor C.A.",0.92,IFERROR(VLOOKUP('Lista de Cargas'!P258,Motores!$B$9:$T$48,19,FALSE),"Erro"))))))))</f>
        <v>0.84</v>
      </c>
      <c r="T258" s="40">
        <f>IF(O258="","",IF(O258="NA","",IF(O258="Mini disjuntor + DR",100%,IF(O258="Mini disjuntor",100%,IF(O258="Disjuntor Motor",0.92,IF(O258="Disjuntor C.M.",100%,IF(O258="Disjuntor C.A.",100%,IFERROR(VLOOKUP('Lista de Cargas'!P258,Motores!$B$9:$T$48,16,FALSE)/100,"Erro"))))))))</f>
        <v>0.91</v>
      </c>
      <c r="U258" s="40" t="s">
        <v>445</v>
      </c>
      <c r="V258" s="39">
        <v>440</v>
      </c>
      <c r="W258" s="2">
        <f t="shared" si="88"/>
        <v>12.805744874633129</v>
      </c>
      <c r="X258" s="2">
        <f t="shared" si="83"/>
        <v>8.8809523809523814</v>
      </c>
      <c r="Y258" s="2">
        <f t="shared" si="89"/>
        <v>76.834469247798779</v>
      </c>
      <c r="Z258" s="1"/>
      <c r="AA258" s="1"/>
      <c r="AB258" s="68">
        <v>120</v>
      </c>
      <c r="AC258" s="1"/>
      <c r="AD258" s="1"/>
      <c r="AE258" s="1"/>
      <c r="AF258" s="1"/>
      <c r="AG258" s="1">
        <f t="shared" si="84"/>
        <v>120</v>
      </c>
      <c r="AH258" s="1">
        <v>1</v>
      </c>
      <c r="AI258" s="1" t="s">
        <v>1057</v>
      </c>
      <c r="AJ258" s="1">
        <f t="shared" si="85"/>
        <v>120</v>
      </c>
      <c r="AK258" s="1">
        <v>0</v>
      </c>
      <c r="AL258" s="1" t="s">
        <v>118</v>
      </c>
      <c r="AM258" s="1">
        <f t="shared" si="86"/>
        <v>0</v>
      </c>
      <c r="AN258" s="1">
        <v>0</v>
      </c>
      <c r="AO258" s="1" t="s">
        <v>118</v>
      </c>
      <c r="AP258" s="1">
        <f t="shared" si="87"/>
        <v>0</v>
      </c>
      <c r="AQ258" s="1" t="s">
        <v>60</v>
      </c>
      <c r="AR258" s="1" t="str">
        <f t="shared" si="90"/>
        <v>1"</v>
      </c>
      <c r="AS258" s="1">
        <v>1</v>
      </c>
      <c r="AT258" s="1"/>
      <c r="AU258" s="1"/>
      <c r="AV258" s="17"/>
      <c r="AW258" s="2"/>
      <c r="AX258" s="2"/>
      <c r="AY258" s="2"/>
      <c r="AZ258" s="17"/>
      <c r="BA258" s="1"/>
      <c r="BB258" s="1"/>
      <c r="BC258" s="1"/>
      <c r="BD258" s="1"/>
      <c r="BE258" s="18"/>
      <c r="BF258" s="2">
        <f t="shared" si="91"/>
        <v>1.6407372765871995</v>
      </c>
      <c r="BG258" s="6"/>
      <c r="BH258" s="6"/>
    </row>
    <row r="259" spans="1:60" ht="12.75" customHeight="1" x14ac:dyDescent="0.2">
      <c r="A259" s="19">
        <v>400</v>
      </c>
      <c r="B259" s="19" t="s">
        <v>955</v>
      </c>
      <c r="C259" s="19" t="s">
        <v>602</v>
      </c>
      <c r="D259" s="20" t="s">
        <v>772</v>
      </c>
      <c r="E259" s="20"/>
      <c r="F259" s="21"/>
      <c r="G259" s="21"/>
      <c r="H259" s="21"/>
      <c r="I259" s="21"/>
      <c r="J259" s="21"/>
      <c r="K259" s="21"/>
      <c r="L259" s="21"/>
      <c r="M259" s="21"/>
      <c r="N259" s="32" t="s">
        <v>1030</v>
      </c>
      <c r="O259" s="22" t="s">
        <v>34</v>
      </c>
      <c r="P259" s="23">
        <v>15</v>
      </c>
      <c r="Q259" s="34">
        <f t="shared" si="82"/>
        <v>11.19</v>
      </c>
      <c r="R259" s="39"/>
      <c r="S259" s="39">
        <f>IF(O259="","",IF(O259="NA","",IF(O259="Mini disjuntor + DR",0.92,IF(O259="Mini disjuntor",0.92,IF(O259="Disjuntor Motor",0.92,IF(O259="Disjuntor C.M.",0.92,IF(O259="Disjuntor C.A.",0.92,IFERROR(VLOOKUP('Lista de Cargas'!P259,Motores!$B$9:$T$48,19,FALSE),"Erro"))))))))</f>
        <v>0.85</v>
      </c>
      <c r="T259" s="40">
        <f>IF(O259="","",IF(O259="NA","",IF(O259="Mini disjuntor + DR",100%,IF(O259="Mini disjuntor",100%,IF(O259="Disjuntor Motor",0.92,IF(O259="Disjuntor C.M.",100%,IF(O259="Disjuntor C.A.",100%,IFERROR(VLOOKUP('Lista de Cargas'!P259,Motores!$B$9:$T$48,16,FALSE)/100,"Erro"))))))))</f>
        <v>0.91700000000000004</v>
      </c>
      <c r="U259" s="40" t="s">
        <v>445</v>
      </c>
      <c r="V259" s="39">
        <v>440</v>
      </c>
      <c r="W259" s="2">
        <f t="shared" si="88"/>
        <v>18.837727979029246</v>
      </c>
      <c r="X259" s="2">
        <f t="shared" si="83"/>
        <v>13.164705882352941</v>
      </c>
      <c r="Y259" s="2">
        <f t="shared" si="89"/>
        <v>113.02636787417548</v>
      </c>
      <c r="Z259" s="1"/>
      <c r="AA259" s="1"/>
      <c r="AB259" s="68">
        <v>120</v>
      </c>
      <c r="AC259" s="1"/>
      <c r="AD259" s="1"/>
      <c r="AE259" s="1"/>
      <c r="AF259" s="1"/>
      <c r="AG259" s="1">
        <f t="shared" si="84"/>
        <v>120</v>
      </c>
      <c r="AH259" s="1">
        <v>1</v>
      </c>
      <c r="AI259" s="1" t="s">
        <v>1057</v>
      </c>
      <c r="AJ259" s="1">
        <f t="shared" si="85"/>
        <v>120</v>
      </c>
      <c r="AK259" s="1">
        <v>0</v>
      </c>
      <c r="AL259" s="1" t="s">
        <v>118</v>
      </c>
      <c r="AM259" s="1">
        <f t="shared" si="86"/>
        <v>0</v>
      </c>
      <c r="AN259" s="1">
        <v>0</v>
      </c>
      <c r="AO259" s="1" t="s">
        <v>118</v>
      </c>
      <c r="AP259" s="1">
        <f t="shared" si="87"/>
        <v>0</v>
      </c>
      <c r="AQ259" s="1" t="s">
        <v>60</v>
      </c>
      <c r="AR259" s="1" t="str">
        <f t="shared" si="90"/>
        <v>1"</v>
      </c>
      <c r="AS259" s="1">
        <v>1</v>
      </c>
      <c r="AT259" s="1"/>
      <c r="AU259" s="1"/>
      <c r="AV259" s="17"/>
      <c r="AW259" s="2"/>
      <c r="AX259" s="2"/>
      <c r="AY259" s="2"/>
      <c r="AZ259" s="17"/>
      <c r="BA259" s="1"/>
      <c r="BB259" s="1"/>
      <c r="BC259" s="1"/>
      <c r="BD259" s="1"/>
      <c r="BE259" s="18"/>
      <c r="BF259" s="2">
        <f t="shared" si="91"/>
        <v>2.1680191081665816</v>
      </c>
      <c r="BG259" s="6"/>
      <c r="BH259" s="6"/>
    </row>
    <row r="260" spans="1:60" ht="12.75" customHeight="1" x14ac:dyDescent="0.2">
      <c r="A260" s="19">
        <v>400</v>
      </c>
      <c r="B260" s="19" t="s">
        <v>955</v>
      </c>
      <c r="C260" s="19" t="s">
        <v>603</v>
      </c>
      <c r="D260" s="20" t="s">
        <v>773</v>
      </c>
      <c r="E260" s="20"/>
      <c r="F260" s="21"/>
      <c r="G260" s="21"/>
      <c r="H260" s="21"/>
      <c r="I260" s="21"/>
      <c r="J260" s="21"/>
      <c r="K260" s="21"/>
      <c r="L260" s="21"/>
      <c r="M260" s="21"/>
      <c r="N260" s="32" t="s">
        <v>1030</v>
      </c>
      <c r="O260" s="22" t="s">
        <v>5</v>
      </c>
      <c r="P260" s="23">
        <v>7.5</v>
      </c>
      <c r="Q260" s="34">
        <f t="shared" si="82"/>
        <v>5.5949999999999998</v>
      </c>
      <c r="R260" s="39"/>
      <c r="S260" s="39">
        <f>IF(O260="","",IF(O260="NA","",IF(O260="Mini disjuntor + DR",0.92,IF(O260="Mini disjuntor",0.92,IF(O260="Disjuntor Motor",0.92,IF(O260="Disjuntor C.M.",0.92,IF(O260="Disjuntor C.A.",0.92,IFERROR(VLOOKUP('Lista de Cargas'!P260,Motores!$B$9:$T$48,19,FALSE),"Erro"))))))))</f>
        <v>0.79</v>
      </c>
      <c r="T260" s="40">
        <f>IF(O260="","",IF(O260="NA","",IF(O260="Mini disjuntor + DR",100%,IF(O260="Mini disjuntor",100%,IF(O260="Disjuntor Motor",0.92,IF(O260="Disjuntor C.M.",100%,IF(O260="Disjuntor C.A.",100%,IFERROR(VLOOKUP('Lista de Cargas'!P260,Motores!$B$9:$T$48,16,FALSE)/100,"Erro"))))))))</f>
        <v>0.9</v>
      </c>
      <c r="U260" s="40" t="s">
        <v>445</v>
      </c>
      <c r="V260" s="39">
        <v>440</v>
      </c>
      <c r="W260" s="2">
        <f t="shared" si="88"/>
        <v>10.325644917900386</v>
      </c>
      <c r="X260" s="2">
        <f t="shared" si="83"/>
        <v>7.0822784810126578</v>
      </c>
      <c r="Y260" s="2">
        <f t="shared" si="89"/>
        <v>15.488467376850579</v>
      </c>
      <c r="Z260" s="1"/>
      <c r="AA260" s="1"/>
      <c r="AB260" s="68">
        <v>120</v>
      </c>
      <c r="AC260" s="1"/>
      <c r="AD260" s="1"/>
      <c r="AE260" s="1"/>
      <c r="AF260" s="1"/>
      <c r="AG260" s="1">
        <f t="shared" si="84"/>
        <v>120</v>
      </c>
      <c r="AH260" s="1">
        <v>1</v>
      </c>
      <c r="AI260" s="1" t="s">
        <v>1054</v>
      </c>
      <c r="AJ260" s="1">
        <f t="shared" si="85"/>
        <v>120</v>
      </c>
      <c r="AK260" s="1">
        <v>0</v>
      </c>
      <c r="AL260" s="1" t="s">
        <v>118</v>
      </c>
      <c r="AM260" s="1">
        <f t="shared" si="86"/>
        <v>0</v>
      </c>
      <c r="AN260" s="1">
        <v>0</v>
      </c>
      <c r="AO260" s="1" t="s">
        <v>118</v>
      </c>
      <c r="AP260" s="1">
        <f t="shared" si="87"/>
        <v>0</v>
      </c>
      <c r="AQ260" s="1" t="s">
        <v>57</v>
      </c>
      <c r="AR260" s="1" t="str">
        <f t="shared" si="90"/>
        <v>3/4"</v>
      </c>
      <c r="AS260" s="1">
        <v>1</v>
      </c>
      <c r="AT260" s="1"/>
      <c r="AU260" s="1"/>
      <c r="AV260" s="17"/>
      <c r="AW260" s="2"/>
      <c r="AX260" s="2"/>
      <c r="AY260" s="2"/>
      <c r="AZ260" s="17"/>
      <c r="BA260" s="1"/>
      <c r="BB260" s="1"/>
      <c r="BC260" s="1"/>
      <c r="BD260" s="1"/>
      <c r="BE260" s="18"/>
      <c r="BF260" s="2">
        <f t="shared" si="91"/>
        <v>0</v>
      </c>
      <c r="BG260" s="6"/>
      <c r="BH260" s="6"/>
    </row>
    <row r="261" spans="1:60" ht="12.75" customHeight="1" x14ac:dyDescent="0.2">
      <c r="A261" s="19">
        <v>400</v>
      </c>
      <c r="B261" s="19" t="s">
        <v>955</v>
      </c>
      <c r="C261" s="19" t="s">
        <v>604</v>
      </c>
      <c r="D261" s="20" t="s">
        <v>773</v>
      </c>
      <c r="E261" s="20"/>
      <c r="F261" s="21"/>
      <c r="G261" s="21"/>
      <c r="H261" s="21"/>
      <c r="I261" s="21"/>
      <c r="J261" s="21"/>
      <c r="K261" s="21"/>
      <c r="L261" s="21"/>
      <c r="M261" s="21"/>
      <c r="N261" s="32" t="s">
        <v>1030</v>
      </c>
      <c r="O261" s="22" t="s">
        <v>34</v>
      </c>
      <c r="P261" s="23">
        <v>0.5</v>
      </c>
      <c r="Q261" s="34">
        <f t="shared" si="82"/>
        <v>0.373</v>
      </c>
      <c r="R261" s="39"/>
      <c r="S261" s="39">
        <f>IF(O261="","",IF(O261="NA","",IF(O261="Mini disjuntor + DR",0.92,IF(O261="Mini disjuntor",0.92,IF(O261="Disjuntor Motor",0.92,IF(O261="Disjuntor C.M.",0.92,IF(O261="Disjuntor C.A.",0.92,IFERROR(VLOOKUP('Lista de Cargas'!P261,Motores!$B$9:$T$48,19,FALSE),"Erro"))))))))</f>
        <v>0.69</v>
      </c>
      <c r="T261" s="40">
        <f>IF(O261="","",IF(O261="NA","",IF(O261="Mini disjuntor + DR",100%,IF(O261="Mini disjuntor",100%,IF(O261="Disjuntor Motor",0.92,IF(O261="Disjuntor C.M.",100%,IF(O261="Disjuntor C.A.",100%,IFERROR(VLOOKUP('Lista de Cargas'!P261,Motores!$B$9:$T$48,16,FALSE)/100,"Erro"))))))))</f>
        <v>0.7</v>
      </c>
      <c r="U261" s="40" t="s">
        <v>445</v>
      </c>
      <c r="V261" s="39">
        <v>440</v>
      </c>
      <c r="W261" s="2">
        <f t="shared" si="88"/>
        <v>1.0133241596448825</v>
      </c>
      <c r="X261" s="2">
        <f t="shared" si="83"/>
        <v>0.54057971014492756</v>
      </c>
      <c r="Y261" s="2">
        <f t="shared" si="89"/>
        <v>6.0799449578692952</v>
      </c>
      <c r="Z261" s="1"/>
      <c r="AA261" s="1"/>
      <c r="AB261" s="68">
        <v>120</v>
      </c>
      <c r="AC261" s="1"/>
      <c r="AD261" s="1"/>
      <c r="AE261" s="1"/>
      <c r="AF261" s="1"/>
      <c r="AG261" s="1">
        <f t="shared" si="84"/>
        <v>120</v>
      </c>
      <c r="AH261" s="1">
        <v>1</v>
      </c>
      <c r="AI261" s="1" t="s">
        <v>1054</v>
      </c>
      <c r="AJ261" s="1">
        <f t="shared" si="85"/>
        <v>120</v>
      </c>
      <c r="AK261" s="1">
        <v>0</v>
      </c>
      <c r="AL261" s="1" t="s">
        <v>118</v>
      </c>
      <c r="AM261" s="1">
        <f t="shared" si="86"/>
        <v>0</v>
      </c>
      <c r="AN261" s="1">
        <v>0</v>
      </c>
      <c r="AO261" s="1" t="s">
        <v>118</v>
      </c>
      <c r="AP261" s="1">
        <f t="shared" si="87"/>
        <v>0</v>
      </c>
      <c r="AQ261" s="1" t="s">
        <v>57</v>
      </c>
      <c r="AR261" s="1" t="str">
        <f t="shared" si="90"/>
        <v>3/4"</v>
      </c>
      <c r="AS261" s="1">
        <v>1</v>
      </c>
      <c r="AT261" s="1"/>
      <c r="AU261" s="1"/>
      <c r="AV261" s="17"/>
      <c r="AW261" s="2"/>
      <c r="AX261" s="2"/>
      <c r="AY261" s="2"/>
      <c r="AZ261" s="17"/>
      <c r="BA261" s="1"/>
      <c r="BB261" s="1"/>
      <c r="BC261" s="1"/>
      <c r="BD261" s="1"/>
      <c r="BE261" s="18"/>
      <c r="BF261" s="2">
        <f t="shared" si="91"/>
        <v>0.23237932328500399</v>
      </c>
      <c r="BG261" s="6"/>
      <c r="BH261" s="6"/>
    </row>
    <row r="262" spans="1:60" ht="12.75" customHeight="1" x14ac:dyDescent="0.2">
      <c r="A262" s="19">
        <v>400</v>
      </c>
      <c r="B262" s="19" t="s">
        <v>955</v>
      </c>
      <c r="C262" s="19" t="s">
        <v>605</v>
      </c>
      <c r="D262" s="20" t="s">
        <v>774</v>
      </c>
      <c r="E262" s="20"/>
      <c r="F262" s="21"/>
      <c r="G262" s="21"/>
      <c r="H262" s="21"/>
      <c r="I262" s="21"/>
      <c r="J262" s="21"/>
      <c r="K262" s="21"/>
      <c r="L262" s="21"/>
      <c r="M262" s="21"/>
      <c r="N262" s="32" t="s">
        <v>1030</v>
      </c>
      <c r="O262" s="22" t="s">
        <v>34</v>
      </c>
      <c r="P262" s="23">
        <v>12.5</v>
      </c>
      <c r="Q262" s="34">
        <f t="shared" si="82"/>
        <v>9.3249999999999993</v>
      </c>
      <c r="R262" s="39"/>
      <c r="S262" s="39">
        <f>IF(O262="","",IF(O262="NA","",IF(O262="Mini disjuntor + DR",0.92,IF(O262="Mini disjuntor",0.92,IF(O262="Disjuntor Motor",0.92,IF(O262="Disjuntor C.M.",0.92,IF(O262="Disjuntor C.A.",0.92,IFERROR(VLOOKUP('Lista de Cargas'!P262,Motores!$B$9:$T$48,19,FALSE),"Erro"))))))))</f>
        <v>0.84</v>
      </c>
      <c r="T262" s="40">
        <f>IF(O262="","",IF(O262="NA","",IF(O262="Mini disjuntor + DR",100%,IF(O262="Mini disjuntor",100%,IF(O262="Disjuntor Motor",0.92,IF(O262="Disjuntor C.M.",100%,IF(O262="Disjuntor C.A.",100%,IFERROR(VLOOKUP('Lista de Cargas'!P262,Motores!$B$9:$T$48,16,FALSE)/100,"Erro"))))))))</f>
        <v>0.91</v>
      </c>
      <c r="U262" s="40" t="s">
        <v>445</v>
      </c>
      <c r="V262" s="39">
        <v>440</v>
      </c>
      <c r="W262" s="2">
        <f t="shared" si="88"/>
        <v>16.007181093291411</v>
      </c>
      <c r="X262" s="2">
        <f t="shared" si="83"/>
        <v>11.101190476190476</v>
      </c>
      <c r="Y262" s="2">
        <f t="shared" si="89"/>
        <v>96.043086559748474</v>
      </c>
      <c r="Z262" s="1"/>
      <c r="AA262" s="1"/>
      <c r="AB262" s="68">
        <v>120</v>
      </c>
      <c r="AC262" s="1"/>
      <c r="AD262" s="1"/>
      <c r="AE262" s="1"/>
      <c r="AF262" s="1"/>
      <c r="AG262" s="1">
        <f t="shared" si="84"/>
        <v>120</v>
      </c>
      <c r="AH262" s="1">
        <v>1</v>
      </c>
      <c r="AI262" s="1" t="s">
        <v>1057</v>
      </c>
      <c r="AJ262" s="1">
        <f t="shared" si="85"/>
        <v>120</v>
      </c>
      <c r="AK262" s="1">
        <v>0</v>
      </c>
      <c r="AL262" s="1" t="s">
        <v>118</v>
      </c>
      <c r="AM262" s="1">
        <f t="shared" si="86"/>
        <v>0</v>
      </c>
      <c r="AN262" s="1">
        <v>0</v>
      </c>
      <c r="AO262" s="1" t="s">
        <v>118</v>
      </c>
      <c r="AP262" s="1">
        <f t="shared" si="87"/>
        <v>0</v>
      </c>
      <c r="AQ262" s="1" t="s">
        <v>60</v>
      </c>
      <c r="AR262" s="1" t="str">
        <f t="shared" si="90"/>
        <v>1"</v>
      </c>
      <c r="AS262" s="1">
        <v>1</v>
      </c>
      <c r="AT262" s="1"/>
      <c r="AU262" s="1"/>
      <c r="AV262" s="17"/>
      <c r="AW262" s="2"/>
      <c r="AX262" s="2"/>
      <c r="AY262" s="2"/>
      <c r="AZ262" s="17"/>
      <c r="BA262" s="1"/>
      <c r="BB262" s="1"/>
      <c r="BC262" s="1"/>
      <c r="BD262" s="1"/>
      <c r="BE262" s="18"/>
      <c r="BF262" s="2">
        <f t="shared" si="91"/>
        <v>2.0509215957339983</v>
      </c>
      <c r="BG262" s="6"/>
      <c r="BH262" s="6"/>
    </row>
    <row r="263" spans="1:60" ht="12.75" customHeight="1" x14ac:dyDescent="0.2">
      <c r="A263" s="19">
        <v>400</v>
      </c>
      <c r="B263" s="19" t="s">
        <v>955</v>
      </c>
      <c r="C263" s="19" t="s">
        <v>606</v>
      </c>
      <c r="D263" s="20" t="s">
        <v>775</v>
      </c>
      <c r="E263" s="20"/>
      <c r="F263" s="21"/>
      <c r="G263" s="21"/>
      <c r="H263" s="21"/>
      <c r="I263" s="21"/>
      <c r="J263" s="21"/>
      <c r="K263" s="21"/>
      <c r="L263" s="21"/>
      <c r="M263" s="21"/>
      <c r="N263" s="32" t="s">
        <v>1030</v>
      </c>
      <c r="O263" s="22" t="s">
        <v>34</v>
      </c>
      <c r="P263" s="23">
        <v>2</v>
      </c>
      <c r="Q263" s="34">
        <f t="shared" si="82"/>
        <v>1.492</v>
      </c>
      <c r="R263" s="39"/>
      <c r="S263" s="39">
        <f>IF(O263="","",IF(O263="NA","",IF(O263="Mini disjuntor + DR",0.92,IF(O263="Mini disjuntor",0.92,IF(O263="Disjuntor Motor",0.92,IF(O263="Disjuntor C.M.",0.92,IF(O263="Disjuntor C.A.",0.92,IFERROR(VLOOKUP('Lista de Cargas'!P263,Motores!$B$9:$T$48,19,FALSE),"Erro"))))))))</f>
        <v>0.78</v>
      </c>
      <c r="T263" s="40">
        <f>IF(O263="","",IF(O263="NA","",IF(O263="Mini disjuntor + DR",100%,IF(O263="Mini disjuntor",100%,IF(O263="Disjuntor Motor",0.92,IF(O263="Disjuntor C.M.",100%,IF(O263="Disjuntor C.A.",100%,IFERROR(VLOOKUP('Lista de Cargas'!P263,Motores!$B$9:$T$48,16,FALSE)/100,"Erro"))))))))</f>
        <v>0.84200000000000008</v>
      </c>
      <c r="U263" s="40" t="s">
        <v>445</v>
      </c>
      <c r="V263" s="39">
        <v>440</v>
      </c>
      <c r="W263" s="2">
        <f t="shared" si="88"/>
        <v>2.9809097332875214</v>
      </c>
      <c r="X263" s="2">
        <f t="shared" si="83"/>
        <v>1.9128205128205127</v>
      </c>
      <c r="Y263" s="2">
        <f t="shared" si="89"/>
        <v>17.885458399725128</v>
      </c>
      <c r="Z263" s="1"/>
      <c r="AA263" s="1"/>
      <c r="AB263" s="68">
        <v>120</v>
      </c>
      <c r="AC263" s="1"/>
      <c r="AD263" s="1"/>
      <c r="AE263" s="1"/>
      <c r="AF263" s="1"/>
      <c r="AG263" s="1">
        <f t="shared" si="84"/>
        <v>120</v>
      </c>
      <c r="AH263" s="1">
        <v>1</v>
      </c>
      <c r="AI263" s="1" t="s">
        <v>1054</v>
      </c>
      <c r="AJ263" s="1">
        <f t="shared" si="85"/>
        <v>120</v>
      </c>
      <c r="AK263" s="1">
        <v>0</v>
      </c>
      <c r="AL263" s="1" t="s">
        <v>118</v>
      </c>
      <c r="AM263" s="1">
        <f t="shared" si="86"/>
        <v>0</v>
      </c>
      <c r="AN263" s="1">
        <v>0</v>
      </c>
      <c r="AO263" s="1" t="s">
        <v>118</v>
      </c>
      <c r="AP263" s="1">
        <f t="shared" si="87"/>
        <v>0</v>
      </c>
      <c r="AQ263" s="1" t="s">
        <v>57</v>
      </c>
      <c r="AR263" s="1" t="str">
        <f t="shared" si="90"/>
        <v>3/4"</v>
      </c>
      <c r="AS263" s="1">
        <v>1</v>
      </c>
      <c r="AT263" s="1"/>
      <c r="AU263" s="1"/>
      <c r="AV263" s="17"/>
      <c r="AW263" s="2"/>
      <c r="AX263" s="2"/>
      <c r="AY263" s="2"/>
      <c r="AZ263" s="17"/>
      <c r="BA263" s="1"/>
      <c r="BB263" s="1"/>
      <c r="BC263" s="1"/>
      <c r="BD263" s="1"/>
      <c r="BE263" s="18"/>
      <c r="BF263" s="2">
        <f t="shared" si="91"/>
        <v>0.56141455218969116</v>
      </c>
      <c r="BG263" s="6"/>
      <c r="BH263" s="6"/>
    </row>
    <row r="264" spans="1:60" s="72" customFormat="1" ht="12.75" customHeight="1" x14ac:dyDescent="0.2">
      <c r="A264" s="19">
        <v>400</v>
      </c>
      <c r="B264" s="19" t="s">
        <v>955</v>
      </c>
      <c r="C264" s="19" t="s">
        <v>607</v>
      </c>
      <c r="D264" s="60" t="s">
        <v>776</v>
      </c>
      <c r="E264" s="60"/>
      <c r="F264" s="61"/>
      <c r="G264" s="61"/>
      <c r="H264" s="61"/>
      <c r="I264" s="61"/>
      <c r="J264" s="61"/>
      <c r="K264" s="61"/>
      <c r="L264" s="61"/>
      <c r="M264" s="61"/>
      <c r="N264" s="73" t="s">
        <v>9</v>
      </c>
      <c r="O264" s="62" t="s">
        <v>5</v>
      </c>
      <c r="P264" s="63">
        <v>125</v>
      </c>
      <c r="Q264" s="64">
        <f t="shared" si="82"/>
        <v>93.25</v>
      </c>
      <c r="R264" s="65"/>
      <c r="S264" s="65">
        <f>IF(O264="","",IF(O264="NA","",IF(O264="Mini disjuntor + DR",0.92,IF(O264="Mini disjuntor",0.92,IF(O264="Disjuntor Motor",0.92,IF(O264="Disjuntor C.M.",0.92,IF(O264="Disjuntor C.A.",0.92,IFERROR(VLOOKUP('Lista de Cargas'!P264,Motores!$B$9:$T$48,19,FALSE),"Erro"))))))))</f>
        <v>0.85</v>
      </c>
      <c r="T264" s="66">
        <f>IF(O264="","",IF(O264="NA","",IF(O264="Mini disjuntor + DR",100%,IF(O264="Mini disjuntor",100%,IF(O264="Disjuntor Motor",0.92,IF(O264="Disjuntor C.M.",100%,IF(O264="Disjuntor C.A.",100%,IFERROR(VLOOKUP('Lista de Cargas'!P264,Motores!$B$9:$T$48,16,FALSE)/100,"Erro"))))))))</f>
        <v>0.94900000000000007</v>
      </c>
      <c r="U264" s="66" t="s">
        <v>445</v>
      </c>
      <c r="V264" s="65">
        <v>440</v>
      </c>
      <c r="W264" s="67">
        <f t="shared" si="88"/>
        <v>151.68771124666156</v>
      </c>
      <c r="X264" s="67">
        <f t="shared" si="83"/>
        <v>109.70588235294117</v>
      </c>
      <c r="Y264" s="67">
        <f t="shared" si="89"/>
        <v>227.53156686999233</v>
      </c>
      <c r="Z264" s="68"/>
      <c r="AA264" s="68"/>
      <c r="AB264" s="68">
        <v>120</v>
      </c>
      <c r="AC264" s="68"/>
      <c r="AD264" s="68"/>
      <c r="AE264" s="68"/>
      <c r="AF264" s="68"/>
      <c r="AG264" s="68">
        <f t="shared" si="84"/>
        <v>120</v>
      </c>
      <c r="AH264" s="68">
        <v>3</v>
      </c>
      <c r="AI264" s="68" t="s">
        <v>1058</v>
      </c>
      <c r="AJ264" s="68">
        <f t="shared" si="85"/>
        <v>360</v>
      </c>
      <c r="AK264" s="68">
        <v>0</v>
      </c>
      <c r="AL264" s="68" t="s">
        <v>118</v>
      </c>
      <c r="AM264" s="68">
        <f t="shared" si="86"/>
        <v>0</v>
      </c>
      <c r="AN264" s="68">
        <v>1</v>
      </c>
      <c r="AO264" s="68" t="s">
        <v>1059</v>
      </c>
      <c r="AP264" s="68">
        <f t="shared" si="87"/>
        <v>120</v>
      </c>
      <c r="AQ264" s="1" t="s">
        <v>73</v>
      </c>
      <c r="AR264" s="68" t="str">
        <f t="shared" si="90"/>
        <v>2"</v>
      </c>
      <c r="AS264" s="1">
        <v>1</v>
      </c>
      <c r="AT264" s="68"/>
      <c r="AU264" s="68"/>
      <c r="AV264" s="69"/>
      <c r="AW264" s="67"/>
      <c r="AX264" s="67"/>
      <c r="AY264" s="67"/>
      <c r="AZ264" s="69"/>
      <c r="BA264" s="68"/>
      <c r="BB264" s="68"/>
      <c r="BC264" s="68"/>
      <c r="BD264" s="68"/>
      <c r="BE264" s="70"/>
      <c r="BF264" s="67">
        <f t="shared" si="91"/>
        <v>0</v>
      </c>
      <c r="BG264" s="71"/>
      <c r="BH264" s="71"/>
    </row>
    <row r="265" spans="1:60" s="72" customFormat="1" ht="12.75" customHeight="1" x14ac:dyDescent="0.2">
      <c r="A265" s="19">
        <v>400</v>
      </c>
      <c r="B265" s="19" t="s">
        <v>955</v>
      </c>
      <c r="C265" s="19" t="s">
        <v>608</v>
      </c>
      <c r="D265" s="60" t="s">
        <v>777</v>
      </c>
      <c r="E265" s="60"/>
      <c r="F265" s="61"/>
      <c r="G265" s="61"/>
      <c r="H265" s="61"/>
      <c r="I265" s="61"/>
      <c r="J265" s="61"/>
      <c r="K265" s="61"/>
      <c r="L265" s="61"/>
      <c r="M265" s="61"/>
      <c r="N265" s="73" t="s">
        <v>9</v>
      </c>
      <c r="O265" s="62" t="s">
        <v>5</v>
      </c>
      <c r="P265" s="63">
        <v>30</v>
      </c>
      <c r="Q265" s="64">
        <f t="shared" si="82"/>
        <v>22.38</v>
      </c>
      <c r="R265" s="65"/>
      <c r="S265" s="65">
        <f>IF(O265="","",IF(O265="NA","",IF(O265="Mini disjuntor + DR",0.92,IF(O265="Mini disjuntor",0.92,IF(O265="Disjuntor Motor",0.92,IF(O265="Disjuntor C.M.",0.92,IF(O265="Disjuntor C.A.",0.92,IFERROR(VLOOKUP('Lista de Cargas'!P265,Motores!$B$9:$T$48,19,FALSE),"Erro"))))))))</f>
        <v>0.84</v>
      </c>
      <c r="T265" s="66">
        <f>IF(O265="","",IF(O265="NA","",IF(O265="Mini disjuntor + DR",100%,IF(O265="Mini disjuntor",100%,IF(O265="Disjuntor Motor",0.92,IF(O265="Disjuntor C.M.",100%,IF(O265="Disjuntor C.A.",100%,IFERROR(VLOOKUP('Lista de Cargas'!P265,Motores!$B$9:$T$48,16,FALSE)/100,"Erro"))))))))</f>
        <v>0.93</v>
      </c>
      <c r="U265" s="66" t="s">
        <v>445</v>
      </c>
      <c r="V265" s="65">
        <v>440</v>
      </c>
      <c r="W265" s="67">
        <f t="shared" si="88"/>
        <v>37.59105753521338</v>
      </c>
      <c r="X265" s="67">
        <f t="shared" si="83"/>
        <v>26.642857142857142</v>
      </c>
      <c r="Y265" s="67">
        <f t="shared" si="89"/>
        <v>56.386586302820071</v>
      </c>
      <c r="Z265" s="68"/>
      <c r="AA265" s="68"/>
      <c r="AB265" s="68">
        <v>120</v>
      </c>
      <c r="AC265" s="68"/>
      <c r="AD265" s="68"/>
      <c r="AE265" s="68"/>
      <c r="AF265" s="68"/>
      <c r="AG265" s="68">
        <f t="shared" si="84"/>
        <v>120</v>
      </c>
      <c r="AH265" s="68">
        <v>1</v>
      </c>
      <c r="AI265" s="68" t="s">
        <v>1057</v>
      </c>
      <c r="AJ265" s="68">
        <f t="shared" si="85"/>
        <v>120</v>
      </c>
      <c r="AK265" s="68">
        <v>0</v>
      </c>
      <c r="AL265" s="68" t="s">
        <v>118</v>
      </c>
      <c r="AM265" s="68">
        <f t="shared" si="86"/>
        <v>0</v>
      </c>
      <c r="AN265" s="68">
        <v>0</v>
      </c>
      <c r="AO265" s="68" t="s">
        <v>118</v>
      </c>
      <c r="AP265" s="68">
        <f t="shared" si="87"/>
        <v>0</v>
      </c>
      <c r="AQ265" s="1" t="s">
        <v>60</v>
      </c>
      <c r="AR265" s="68" t="str">
        <f t="shared" si="90"/>
        <v>1"</v>
      </c>
      <c r="AS265" s="1">
        <v>1</v>
      </c>
      <c r="AT265" s="68"/>
      <c r="AU265" s="68"/>
      <c r="AV265" s="69"/>
      <c r="AW265" s="67"/>
      <c r="AX265" s="67"/>
      <c r="AY265" s="67"/>
      <c r="AZ265" s="69"/>
      <c r="BA265" s="68"/>
      <c r="BB265" s="68"/>
      <c r="BC265" s="68"/>
      <c r="BD265" s="68"/>
      <c r="BE265" s="70"/>
      <c r="BF265" s="67">
        <f t="shared" si="91"/>
        <v>0</v>
      </c>
      <c r="BG265" s="71"/>
      <c r="BH265" s="71"/>
    </row>
    <row r="266" spans="1:60" s="72" customFormat="1" ht="12.75" customHeight="1" x14ac:dyDescent="0.2">
      <c r="A266" s="19">
        <v>400</v>
      </c>
      <c r="B266" s="19" t="s">
        <v>955</v>
      </c>
      <c r="C266" s="19" t="s">
        <v>609</v>
      </c>
      <c r="D266" s="60" t="s">
        <v>778</v>
      </c>
      <c r="E266" s="60"/>
      <c r="F266" s="61"/>
      <c r="G266" s="61"/>
      <c r="H266" s="61"/>
      <c r="I266" s="61"/>
      <c r="J266" s="61"/>
      <c r="K266" s="61"/>
      <c r="L266" s="61"/>
      <c r="M266" s="61"/>
      <c r="N266" s="73" t="s">
        <v>9</v>
      </c>
      <c r="O266" s="62" t="s">
        <v>34</v>
      </c>
      <c r="P266" s="63">
        <v>0.05</v>
      </c>
      <c r="Q266" s="64">
        <f t="shared" si="82"/>
        <v>3.73E-2</v>
      </c>
      <c r="R266" s="65"/>
      <c r="S266" s="65">
        <v>0.84</v>
      </c>
      <c r="T266" s="66">
        <v>0.93</v>
      </c>
      <c r="U266" s="66" t="s">
        <v>445</v>
      </c>
      <c r="V266" s="65">
        <v>440</v>
      </c>
      <c r="W266" s="67">
        <f t="shared" si="88"/>
        <v>6.2651762558688984E-2</v>
      </c>
      <c r="X266" s="67">
        <f t="shared" si="83"/>
        <v>4.4404761904761905E-2</v>
      </c>
      <c r="Y266" s="67">
        <f t="shared" si="89"/>
        <v>0.3759105753521339</v>
      </c>
      <c r="Z266" s="68"/>
      <c r="AA266" s="68"/>
      <c r="AB266" s="68">
        <v>120</v>
      </c>
      <c r="AC266" s="68"/>
      <c r="AD266" s="68"/>
      <c r="AE266" s="68"/>
      <c r="AF266" s="68"/>
      <c r="AG266" s="68">
        <f t="shared" si="84"/>
        <v>120</v>
      </c>
      <c r="AH266" s="68">
        <v>1</v>
      </c>
      <c r="AI266" s="1" t="s">
        <v>1054</v>
      </c>
      <c r="AJ266" s="68">
        <f t="shared" si="85"/>
        <v>120</v>
      </c>
      <c r="AK266" s="68">
        <v>0</v>
      </c>
      <c r="AL266" s="68" t="s">
        <v>118</v>
      </c>
      <c r="AM266" s="68">
        <f t="shared" si="86"/>
        <v>0</v>
      </c>
      <c r="AN266" s="68">
        <v>0</v>
      </c>
      <c r="AO266" s="68" t="s">
        <v>118</v>
      </c>
      <c r="AP266" s="68">
        <f t="shared" si="87"/>
        <v>0</v>
      </c>
      <c r="AQ266" s="1" t="s">
        <v>57</v>
      </c>
      <c r="AR266" s="68" t="str">
        <f t="shared" si="90"/>
        <v>3/4"</v>
      </c>
      <c r="AS266" s="1">
        <v>1</v>
      </c>
      <c r="AT266" s="68"/>
      <c r="AU266" s="68"/>
      <c r="AV266" s="69"/>
      <c r="AW266" s="67"/>
      <c r="AX266" s="67"/>
      <c r="AY266" s="67"/>
      <c r="AZ266" s="69"/>
      <c r="BA266" s="68"/>
      <c r="BB266" s="68"/>
      <c r="BC266" s="68"/>
      <c r="BD266" s="68"/>
      <c r="BE266" s="70"/>
      <c r="BF266" s="67">
        <f t="shared" si="91"/>
        <v>8.2036863829359971E-3</v>
      </c>
      <c r="BG266" s="71"/>
      <c r="BH266" s="71"/>
    </row>
    <row r="267" spans="1:60" s="72" customFormat="1" ht="12.75" customHeight="1" x14ac:dyDescent="0.2">
      <c r="A267" s="19">
        <v>400</v>
      </c>
      <c r="B267" s="19" t="s">
        <v>955</v>
      </c>
      <c r="C267" s="19" t="s">
        <v>610</v>
      </c>
      <c r="D267" s="60" t="s">
        <v>779</v>
      </c>
      <c r="E267" s="60"/>
      <c r="F267" s="61"/>
      <c r="G267" s="61"/>
      <c r="H267" s="61"/>
      <c r="I267" s="61"/>
      <c r="J267" s="61"/>
      <c r="K267" s="61"/>
      <c r="L267" s="61"/>
      <c r="M267" s="61"/>
      <c r="N267" s="73" t="s">
        <v>9</v>
      </c>
      <c r="O267" s="62" t="s">
        <v>34</v>
      </c>
      <c r="P267" s="63">
        <v>0.54</v>
      </c>
      <c r="Q267" s="64">
        <f t="shared" si="82"/>
        <v>0.40284000000000003</v>
      </c>
      <c r="R267" s="65"/>
      <c r="S267" s="65">
        <v>0.84</v>
      </c>
      <c r="T267" s="66">
        <v>0.93</v>
      </c>
      <c r="U267" s="66" t="s">
        <v>445</v>
      </c>
      <c r="V267" s="65">
        <v>440</v>
      </c>
      <c r="W267" s="67">
        <f t="shared" si="88"/>
        <v>0.67663903563384098</v>
      </c>
      <c r="X267" s="67">
        <f t="shared" si="83"/>
        <v>0.47957142857142865</v>
      </c>
      <c r="Y267" s="67">
        <f t="shared" si="89"/>
        <v>4.0598342138030459</v>
      </c>
      <c r="Z267" s="68"/>
      <c r="AA267" s="68"/>
      <c r="AB267" s="68">
        <v>120</v>
      </c>
      <c r="AC267" s="68"/>
      <c r="AD267" s="68"/>
      <c r="AE267" s="68"/>
      <c r="AF267" s="68"/>
      <c r="AG267" s="68">
        <f t="shared" si="84"/>
        <v>120</v>
      </c>
      <c r="AH267" s="68">
        <v>1</v>
      </c>
      <c r="AI267" s="1" t="s">
        <v>1054</v>
      </c>
      <c r="AJ267" s="68">
        <f t="shared" si="85"/>
        <v>120</v>
      </c>
      <c r="AK267" s="68">
        <v>0</v>
      </c>
      <c r="AL267" s="68" t="s">
        <v>118</v>
      </c>
      <c r="AM267" s="68">
        <f t="shared" si="86"/>
        <v>0</v>
      </c>
      <c r="AN267" s="68">
        <v>0</v>
      </c>
      <c r="AO267" s="68" t="s">
        <v>118</v>
      </c>
      <c r="AP267" s="68">
        <f t="shared" si="87"/>
        <v>0</v>
      </c>
      <c r="AQ267" s="1" t="s">
        <v>57</v>
      </c>
      <c r="AR267" s="68" t="str">
        <f t="shared" si="90"/>
        <v>3/4"</v>
      </c>
      <c r="AS267" s="1">
        <v>1</v>
      </c>
      <c r="AT267" s="68"/>
      <c r="AU267" s="68"/>
      <c r="AV267" s="69"/>
      <c r="AW267" s="67"/>
      <c r="AX267" s="67"/>
      <c r="AY267" s="67"/>
      <c r="AZ267" s="69"/>
      <c r="BA267" s="68"/>
      <c r="BB267" s="68"/>
      <c r="BC267" s="68"/>
      <c r="BD267" s="68"/>
      <c r="BE267" s="70"/>
      <c r="BF267" s="67">
        <f t="shared" si="91"/>
        <v>8.8599812935708733E-2</v>
      </c>
      <c r="BG267" s="71"/>
      <c r="BH267" s="71"/>
    </row>
    <row r="268" spans="1:60" ht="12.75" customHeight="1" x14ac:dyDescent="0.2">
      <c r="A268" s="19">
        <v>400</v>
      </c>
      <c r="B268" s="19" t="s">
        <v>955</v>
      </c>
      <c r="C268" s="19" t="s">
        <v>611</v>
      </c>
      <c r="D268" s="20" t="s">
        <v>780</v>
      </c>
      <c r="E268" s="20"/>
      <c r="F268" s="21"/>
      <c r="G268" s="21"/>
      <c r="H268" s="21"/>
      <c r="I268" s="21"/>
      <c r="J268" s="21"/>
      <c r="K268" s="21"/>
      <c r="L268" s="21"/>
      <c r="M268" s="21"/>
      <c r="N268" s="32" t="s">
        <v>1031</v>
      </c>
      <c r="O268" s="22" t="s">
        <v>5</v>
      </c>
      <c r="P268" s="23">
        <v>60</v>
      </c>
      <c r="Q268" s="34">
        <f t="shared" si="82"/>
        <v>44.76</v>
      </c>
      <c r="R268" s="39"/>
      <c r="S268" s="39">
        <f>IF(O268="","",IF(O268="NA","",IF(O268="Mini disjuntor + DR",0.92,IF(O268="Mini disjuntor",0.92,IF(O268="Disjuntor Motor",0.92,IF(O268="Disjuntor C.M.",0.92,IF(O268="Disjuntor C.A.",0.92,IFERROR(VLOOKUP('Lista de Cargas'!P268,Motores!$B$9:$T$48,19,FALSE),"Erro"))))))))</f>
        <v>0.86</v>
      </c>
      <c r="T268" s="40">
        <f>IF(O268="","",IF(O268="NA","",IF(O268="Mini disjuntor + DR",100%,IF(O268="Mini disjuntor",100%,IF(O268="Disjuntor Motor",0.92,IF(O268="Disjuntor C.M.",100%,IF(O268="Disjuntor C.A.",100%,IFERROR(VLOOKUP('Lista de Cargas'!P268,Motores!$B$9:$T$48,16,FALSE)/100,"Erro"))))))))</f>
        <v>0.94099999999999995</v>
      </c>
      <c r="U268" s="40" t="s">
        <v>445</v>
      </c>
      <c r="V268" s="39">
        <v>440</v>
      </c>
      <c r="W268" s="2">
        <f t="shared" si="88"/>
        <v>72.57527654031756</v>
      </c>
      <c r="X268" s="2">
        <f t="shared" si="83"/>
        <v>52.046511627906973</v>
      </c>
      <c r="Y268" s="2">
        <f t="shared" si="89"/>
        <v>108.86291481047634</v>
      </c>
      <c r="Z268" s="1"/>
      <c r="AA268" s="1"/>
      <c r="AB268" s="1">
        <v>150</v>
      </c>
      <c r="AC268" s="1"/>
      <c r="AD268" s="1"/>
      <c r="AE268" s="1"/>
      <c r="AF268" s="1"/>
      <c r="AG268" s="1">
        <f t="shared" si="84"/>
        <v>150</v>
      </c>
      <c r="AH268" s="1">
        <v>1</v>
      </c>
      <c r="AI268" s="1" t="s">
        <v>1069</v>
      </c>
      <c r="AJ268" s="1">
        <f t="shared" si="85"/>
        <v>150</v>
      </c>
      <c r="AK268" s="1">
        <v>0</v>
      </c>
      <c r="AL268" s="1" t="s">
        <v>118</v>
      </c>
      <c r="AM268" s="1">
        <f t="shared" si="86"/>
        <v>0</v>
      </c>
      <c r="AN268" s="1">
        <v>0</v>
      </c>
      <c r="AO268" s="1" t="s">
        <v>118</v>
      </c>
      <c r="AP268" s="1">
        <f t="shared" si="87"/>
        <v>0</v>
      </c>
      <c r="AQ268" s="1" t="s">
        <v>72</v>
      </c>
      <c r="AR268" s="1" t="str">
        <f t="shared" si="90"/>
        <v>2"</v>
      </c>
      <c r="AS268" s="1">
        <v>1</v>
      </c>
      <c r="AT268" s="1"/>
      <c r="AU268" s="1"/>
      <c r="AV268" s="17"/>
      <c r="AW268" s="2"/>
      <c r="AX268" s="2"/>
      <c r="AY268" s="2"/>
      <c r="AZ268" s="17"/>
      <c r="BA268" s="1"/>
      <c r="BB268" s="1"/>
      <c r="BC268" s="1"/>
      <c r="BD268" s="1"/>
      <c r="BE268" s="18"/>
      <c r="BF268" s="2">
        <f t="shared" si="91"/>
        <v>0</v>
      </c>
      <c r="BG268" s="6"/>
      <c r="BH268" s="6"/>
    </row>
    <row r="269" spans="1:60" ht="12.75" customHeight="1" x14ac:dyDescent="0.2">
      <c r="A269" s="19">
        <v>400</v>
      </c>
      <c r="B269" s="19" t="s">
        <v>955</v>
      </c>
      <c r="C269" s="19" t="s">
        <v>612</v>
      </c>
      <c r="D269" s="20" t="s">
        <v>781</v>
      </c>
      <c r="E269" s="20"/>
      <c r="F269" s="21"/>
      <c r="G269" s="21"/>
      <c r="H269" s="21"/>
      <c r="I269" s="21"/>
      <c r="J269" s="21"/>
      <c r="K269" s="21"/>
      <c r="L269" s="21"/>
      <c r="M269" s="21"/>
      <c r="N269" s="32" t="s">
        <v>1031</v>
      </c>
      <c r="O269" s="22" t="s">
        <v>35</v>
      </c>
      <c r="P269" s="23">
        <v>20</v>
      </c>
      <c r="Q269" s="34">
        <f t="shared" si="82"/>
        <v>14.92</v>
      </c>
      <c r="R269" s="39"/>
      <c r="S269" s="39">
        <f>IF(O269="","",IF(O269="NA","",IF(O269="Mini disjuntor + DR",0.92,IF(O269="Mini disjuntor",0.92,IF(O269="Disjuntor Motor",0.92,IF(O269="Disjuntor C.M.",0.92,IF(O269="Disjuntor C.A.",0.92,IFERROR(VLOOKUP('Lista de Cargas'!P269,Motores!$B$9:$T$48,19,FALSE),"Erro"))))))))</f>
        <v>0.81</v>
      </c>
      <c r="T269" s="40">
        <f>IF(O269="","",IF(O269="NA","",IF(O269="Mini disjuntor + DR",100%,IF(O269="Mini disjuntor",100%,IF(O269="Disjuntor Motor",0.92,IF(O269="Disjuntor C.M.",100%,IF(O269="Disjuntor C.A.",100%,IFERROR(VLOOKUP('Lista de Cargas'!P269,Motores!$B$9:$T$48,16,FALSE)/100,"Erro"))))))))</f>
        <v>0.92400000000000004</v>
      </c>
      <c r="U269" s="40" t="s">
        <v>445</v>
      </c>
      <c r="V269" s="39">
        <v>440</v>
      </c>
      <c r="W269" s="2">
        <f t="shared" si="88"/>
        <v>26.15763823999135</v>
      </c>
      <c r="X269" s="2">
        <f t="shared" si="83"/>
        <v>18.419753086419753</v>
      </c>
      <c r="Y269" s="2">
        <f t="shared" si="89"/>
        <v>78.472914719974057</v>
      </c>
      <c r="Z269" s="1"/>
      <c r="AA269" s="1"/>
      <c r="AB269" s="1">
        <v>150</v>
      </c>
      <c r="AC269" s="1"/>
      <c r="AD269" s="1"/>
      <c r="AE269" s="1"/>
      <c r="AF269" s="1"/>
      <c r="AG269" s="1">
        <f t="shared" si="84"/>
        <v>150</v>
      </c>
      <c r="AH269" s="1">
        <v>1</v>
      </c>
      <c r="AI269" s="1" t="s">
        <v>1057</v>
      </c>
      <c r="AJ269" s="1">
        <f t="shared" si="85"/>
        <v>150</v>
      </c>
      <c r="AK269" s="1">
        <v>0</v>
      </c>
      <c r="AL269" s="1" t="s">
        <v>118</v>
      </c>
      <c r="AM269" s="1">
        <f t="shared" si="86"/>
        <v>0</v>
      </c>
      <c r="AN269" s="1">
        <v>0</v>
      </c>
      <c r="AO269" s="1" t="s">
        <v>118</v>
      </c>
      <c r="AP269" s="1">
        <f t="shared" si="87"/>
        <v>0</v>
      </c>
      <c r="AQ269" s="1" t="s">
        <v>60</v>
      </c>
      <c r="AR269" s="1" t="str">
        <f t="shared" si="90"/>
        <v>1"</v>
      </c>
      <c r="AS269" s="1">
        <v>1</v>
      </c>
      <c r="AT269" s="1"/>
      <c r="AU269" s="1"/>
      <c r="AV269" s="17"/>
      <c r="AW269" s="2"/>
      <c r="AX269" s="2"/>
      <c r="AY269" s="2"/>
      <c r="AZ269" s="17"/>
      <c r="BA269" s="1"/>
      <c r="BB269" s="1"/>
      <c r="BC269" s="1"/>
      <c r="BD269" s="1"/>
      <c r="BE269" s="18"/>
      <c r="BF269" s="2">
        <f t="shared" si="91"/>
        <v>4.4460001420638564</v>
      </c>
      <c r="BG269" s="6"/>
      <c r="BH269" s="6"/>
    </row>
    <row r="270" spans="1:60" ht="12.75" customHeight="1" x14ac:dyDescent="0.2">
      <c r="A270" s="19">
        <v>400</v>
      </c>
      <c r="B270" s="19" t="s">
        <v>955</v>
      </c>
      <c r="C270" s="19" t="s">
        <v>613</v>
      </c>
      <c r="D270" s="20" t="s">
        <v>782</v>
      </c>
      <c r="E270" s="20"/>
      <c r="F270" s="21"/>
      <c r="G270" s="21"/>
      <c r="H270" s="21"/>
      <c r="I270" s="21"/>
      <c r="J270" s="21"/>
      <c r="K270" s="21"/>
      <c r="L270" s="21"/>
      <c r="M270" s="21"/>
      <c r="N270" s="32" t="s">
        <v>1031</v>
      </c>
      <c r="O270" s="22" t="s">
        <v>5</v>
      </c>
      <c r="P270" s="23">
        <v>250</v>
      </c>
      <c r="Q270" s="34">
        <f t="shared" si="82"/>
        <v>186.5</v>
      </c>
      <c r="R270" s="39"/>
      <c r="S270" s="39">
        <f>IF(O270="","",IF(O270="NA","",IF(O270="Mini disjuntor + DR",0.92,IF(O270="Mini disjuntor",0.92,IF(O270="Disjuntor Motor",0.92,IF(O270="Disjuntor C.M.",0.92,IF(O270="Disjuntor C.A.",0.92,IFERROR(VLOOKUP('Lista de Cargas'!P270,Motores!$B$9:$T$48,19,FALSE),"Erro"))))))))</f>
        <v>0.87</v>
      </c>
      <c r="T270" s="40">
        <f>IF(O270="","",IF(O270="NA","",IF(O270="Mini disjuntor + DR",100%,IF(O270="Mini disjuntor",100%,IF(O270="Disjuntor Motor",0.92,IF(O270="Disjuntor C.M.",100%,IF(O270="Disjuntor C.A.",100%,IFERROR(VLOOKUP('Lista de Cargas'!P270,Motores!$B$9:$T$48,16,FALSE)/100,"Erro"))))))))</f>
        <v>0.95700000000000007</v>
      </c>
      <c r="U270" s="40" t="s">
        <v>445</v>
      </c>
      <c r="V270" s="39">
        <v>440</v>
      </c>
      <c r="W270" s="2">
        <f t="shared" si="88"/>
        <v>293.92352124603838</v>
      </c>
      <c r="X270" s="2">
        <f t="shared" si="83"/>
        <v>214.36781609195401</v>
      </c>
      <c r="Y270" s="2">
        <f t="shared" si="89"/>
        <v>440.88528186905756</v>
      </c>
      <c r="Z270" s="1"/>
      <c r="AA270" s="1"/>
      <c r="AB270" s="1">
        <v>150</v>
      </c>
      <c r="AC270" s="1"/>
      <c r="AD270" s="1"/>
      <c r="AE270" s="1"/>
      <c r="AF270" s="1"/>
      <c r="AG270" s="1">
        <f t="shared" si="84"/>
        <v>150</v>
      </c>
      <c r="AH270" s="1">
        <v>3</v>
      </c>
      <c r="AI270" s="1" t="s">
        <v>1061</v>
      </c>
      <c r="AJ270" s="1">
        <f t="shared" si="85"/>
        <v>450</v>
      </c>
      <c r="AK270" s="1">
        <v>0</v>
      </c>
      <c r="AL270" s="1" t="s">
        <v>118</v>
      </c>
      <c r="AM270" s="1">
        <f t="shared" si="86"/>
        <v>0</v>
      </c>
      <c r="AN270" s="1">
        <v>1</v>
      </c>
      <c r="AO270" s="1" t="s">
        <v>1064</v>
      </c>
      <c r="AP270" s="1">
        <f t="shared" si="87"/>
        <v>150</v>
      </c>
      <c r="AQ270" s="1" t="s">
        <v>77</v>
      </c>
      <c r="AR270" s="1" t="str">
        <f t="shared" si="90"/>
        <v>2 x 3"</v>
      </c>
      <c r="AS270" s="1">
        <v>1</v>
      </c>
      <c r="AT270" s="1"/>
      <c r="AU270" s="1"/>
      <c r="AV270" s="17"/>
      <c r="AW270" s="2"/>
      <c r="AX270" s="2"/>
      <c r="AY270" s="2"/>
      <c r="AZ270" s="17"/>
      <c r="BA270" s="1"/>
      <c r="BB270" s="1"/>
      <c r="BC270" s="1"/>
      <c r="BD270" s="1"/>
      <c r="BE270" s="18"/>
      <c r="BF270" s="2">
        <f t="shared" si="91"/>
        <v>0</v>
      </c>
      <c r="BG270" s="6"/>
      <c r="BH270" s="6"/>
    </row>
    <row r="271" spans="1:60" ht="12.75" customHeight="1" x14ac:dyDescent="0.2">
      <c r="A271" s="19">
        <v>400</v>
      </c>
      <c r="B271" s="19" t="s">
        <v>955</v>
      </c>
      <c r="C271" s="19" t="s">
        <v>614</v>
      </c>
      <c r="D271" s="20" t="s">
        <v>783</v>
      </c>
      <c r="E271" s="20"/>
      <c r="F271" s="21"/>
      <c r="G271" s="21"/>
      <c r="H271" s="21"/>
      <c r="I271" s="21"/>
      <c r="J271" s="21"/>
      <c r="K271" s="21"/>
      <c r="L271" s="21"/>
      <c r="M271" s="21"/>
      <c r="N271" s="32" t="s">
        <v>1031</v>
      </c>
      <c r="O271" s="22" t="s">
        <v>34</v>
      </c>
      <c r="P271" s="23">
        <v>1</v>
      </c>
      <c r="Q271" s="34">
        <f t="shared" si="82"/>
        <v>0.746</v>
      </c>
      <c r="R271" s="39"/>
      <c r="S271" s="39">
        <f>IF(O271="","",IF(O271="NA","",IF(O271="Mini disjuntor + DR",0.92,IF(O271="Mini disjuntor",0.92,IF(O271="Disjuntor Motor",0.92,IF(O271="Disjuntor C.M.",0.92,IF(O271="Disjuntor C.A.",0.92,IFERROR(VLOOKUP('Lista de Cargas'!P271,Motores!$B$9:$T$48,19,FALSE),"Erro"))))))))</f>
        <v>0.81</v>
      </c>
      <c r="T271" s="40">
        <f>IF(O271="","",IF(O271="NA","",IF(O271="Mini disjuntor + DR",100%,IF(O271="Mini disjuntor",100%,IF(O271="Disjuntor Motor",0.92,IF(O271="Disjuntor C.M.",100%,IF(O271="Disjuntor C.A.",100%,IFERROR(VLOOKUP('Lista de Cargas'!P271,Motores!$B$9:$T$48,16,FALSE)/100,"Erro"))))))))</f>
        <v>0.80500000000000005</v>
      </c>
      <c r="U271" s="40" t="s">
        <v>445</v>
      </c>
      <c r="V271" s="39">
        <v>440</v>
      </c>
      <c r="W271" s="2">
        <f t="shared" si="88"/>
        <v>1.5012209772516776</v>
      </c>
      <c r="X271" s="2">
        <f t="shared" si="83"/>
        <v>0.92098765432098761</v>
      </c>
      <c r="Y271" s="2">
        <f t="shared" si="89"/>
        <v>9.007325863510065</v>
      </c>
      <c r="Z271" s="1"/>
      <c r="AA271" s="1"/>
      <c r="AB271" s="1">
        <v>150</v>
      </c>
      <c r="AC271" s="1"/>
      <c r="AD271" s="1"/>
      <c r="AE271" s="1"/>
      <c r="AF271" s="1"/>
      <c r="AG271" s="1">
        <f t="shared" si="84"/>
        <v>150</v>
      </c>
      <c r="AH271" s="1">
        <v>1</v>
      </c>
      <c r="AI271" s="1" t="s">
        <v>1054</v>
      </c>
      <c r="AJ271" s="1">
        <f t="shared" si="85"/>
        <v>150</v>
      </c>
      <c r="AK271" s="1">
        <v>0</v>
      </c>
      <c r="AL271" s="1" t="s">
        <v>118</v>
      </c>
      <c r="AM271" s="1">
        <f t="shared" si="86"/>
        <v>0</v>
      </c>
      <c r="AN271" s="1">
        <v>0</v>
      </c>
      <c r="AO271" s="1" t="s">
        <v>118</v>
      </c>
      <c r="AP271" s="1">
        <f t="shared" si="87"/>
        <v>0</v>
      </c>
      <c r="AQ271" s="1" t="s">
        <v>57</v>
      </c>
      <c r="AR271" s="1" t="str">
        <f t="shared" si="90"/>
        <v>3/4"</v>
      </c>
      <c r="AS271" s="1">
        <v>1</v>
      </c>
      <c r="AT271" s="1"/>
      <c r="AU271" s="1"/>
      <c r="AV271" s="17"/>
      <c r="AW271" s="2"/>
      <c r="AX271" s="2"/>
      <c r="AY271" s="2"/>
      <c r="AZ271" s="17"/>
      <c r="BA271" s="1"/>
      <c r="BB271" s="1"/>
      <c r="BC271" s="1"/>
      <c r="BD271" s="1"/>
      <c r="BE271" s="18"/>
      <c r="BF271" s="2">
        <f t="shared" si="91"/>
        <v>0.22230000710319253</v>
      </c>
      <c r="BG271" s="6"/>
      <c r="BH271" s="6"/>
    </row>
    <row r="272" spans="1:60" ht="12.75" customHeight="1" x14ac:dyDescent="0.2">
      <c r="A272" s="19">
        <v>400</v>
      </c>
      <c r="B272" s="19" t="s">
        <v>955</v>
      </c>
      <c r="C272" s="19" t="s">
        <v>615</v>
      </c>
      <c r="D272" s="20" t="s">
        <v>784</v>
      </c>
      <c r="E272" s="20"/>
      <c r="F272" s="21"/>
      <c r="G272" s="21"/>
      <c r="H272" s="21"/>
      <c r="I272" s="21"/>
      <c r="J272" s="21"/>
      <c r="K272" s="21"/>
      <c r="L272" s="21"/>
      <c r="M272" s="21"/>
      <c r="N272" s="32" t="s">
        <v>1031</v>
      </c>
      <c r="O272" s="22" t="s">
        <v>5</v>
      </c>
      <c r="P272" s="23">
        <v>75</v>
      </c>
      <c r="Q272" s="34">
        <f t="shared" si="82"/>
        <v>55.95</v>
      </c>
      <c r="R272" s="1"/>
      <c r="S272" s="39">
        <v>0.84</v>
      </c>
      <c r="T272" s="40">
        <v>0.93</v>
      </c>
      <c r="U272" s="40" t="s">
        <v>445</v>
      </c>
      <c r="V272" s="39">
        <v>440</v>
      </c>
      <c r="W272" s="2">
        <f t="shared" si="88"/>
        <v>93.977643838033458</v>
      </c>
      <c r="X272" s="2">
        <f t="shared" si="83"/>
        <v>66.607142857142861</v>
      </c>
      <c r="Y272" s="2">
        <f t="shared" si="89"/>
        <v>140.96646575705017</v>
      </c>
      <c r="Z272" s="1"/>
      <c r="AA272" s="1"/>
      <c r="AB272" s="1">
        <v>150</v>
      </c>
      <c r="AC272" s="1"/>
      <c r="AD272" s="1"/>
      <c r="AE272" s="1"/>
      <c r="AF272" s="1"/>
      <c r="AG272" s="1">
        <f t="shared" si="84"/>
        <v>150</v>
      </c>
      <c r="AH272" s="1">
        <v>1</v>
      </c>
      <c r="AI272" s="1" t="s">
        <v>1069</v>
      </c>
      <c r="AJ272" s="1">
        <f t="shared" si="85"/>
        <v>150</v>
      </c>
      <c r="AK272" s="1">
        <v>0</v>
      </c>
      <c r="AL272" s="1" t="s">
        <v>118</v>
      </c>
      <c r="AM272" s="1">
        <f t="shared" si="86"/>
        <v>0</v>
      </c>
      <c r="AN272" s="1">
        <v>0</v>
      </c>
      <c r="AO272" s="1" t="s">
        <v>118</v>
      </c>
      <c r="AP272" s="1">
        <f t="shared" si="87"/>
        <v>0</v>
      </c>
      <c r="AQ272" s="1" t="s">
        <v>72</v>
      </c>
      <c r="AR272" s="1" t="str">
        <f t="shared" si="90"/>
        <v>2"</v>
      </c>
      <c r="AS272" s="1">
        <v>1</v>
      </c>
      <c r="AT272" s="1"/>
      <c r="AU272" s="1"/>
      <c r="AV272" s="17"/>
      <c r="AW272" s="2"/>
      <c r="AX272" s="2"/>
      <c r="AY272" s="2"/>
      <c r="AZ272" s="17"/>
      <c r="BA272" s="1"/>
      <c r="BB272" s="1"/>
      <c r="BC272" s="1"/>
      <c r="BD272" s="1"/>
      <c r="BE272" s="18"/>
      <c r="BF272" s="2">
        <f t="shared" si="91"/>
        <v>0</v>
      </c>
      <c r="BG272" s="6"/>
      <c r="BH272" s="6"/>
    </row>
    <row r="273" spans="1:60" ht="12.75" customHeight="1" x14ac:dyDescent="0.2">
      <c r="A273" s="19">
        <v>400</v>
      </c>
      <c r="B273" s="19" t="s">
        <v>955</v>
      </c>
      <c r="C273" s="19" t="s">
        <v>616</v>
      </c>
      <c r="D273" s="20" t="s">
        <v>785</v>
      </c>
      <c r="E273" s="20"/>
      <c r="F273" s="21"/>
      <c r="G273" s="21"/>
      <c r="H273" s="21"/>
      <c r="I273" s="21"/>
      <c r="J273" s="21"/>
      <c r="K273" s="21"/>
      <c r="L273" s="21"/>
      <c r="M273" s="21"/>
      <c r="N273" s="32" t="s">
        <v>1031</v>
      </c>
      <c r="O273" s="22" t="s">
        <v>34</v>
      </c>
      <c r="P273" s="23">
        <v>10</v>
      </c>
      <c r="Q273" s="34">
        <f t="shared" si="82"/>
        <v>7.46</v>
      </c>
      <c r="R273" s="1"/>
      <c r="S273" s="39">
        <f>IF(O273="","",IF(O273="NA","",IF(O273="Mini disjuntor + DR",0.92,IF(O273="Mini disjuntor",0.92,IF(O273="Disjuntor Motor",0.92,IF(O273="Disjuntor C.M.",0.92,IF(O273="Disjuntor C.A.",0.92,IFERROR(VLOOKUP('Lista de Cargas'!P273,Motores!$B$9:$T$48,19,FALSE),"Erro"))))))))</f>
        <v>0.84</v>
      </c>
      <c r="T273" s="40">
        <f>IF(O273="","",IF(O273="NA","",IF(O273="Mini disjuntor + DR",100%,IF(O273="Mini disjuntor",100%,IF(O273="Disjuntor Motor",0.92,IF(O273="Disjuntor C.M.",100%,IF(O273="Disjuntor C.A.",100%,IFERROR(VLOOKUP('Lista de Cargas'!P273,Motores!$B$9:$T$48,16,FALSE)/100,"Erro"))))))))</f>
        <v>0.91</v>
      </c>
      <c r="U273" s="40" t="s">
        <v>445</v>
      </c>
      <c r="V273" s="39">
        <v>440</v>
      </c>
      <c r="W273" s="2">
        <f t="shared" si="88"/>
        <v>12.805744874633129</v>
      </c>
      <c r="X273" s="2">
        <f t="shared" si="83"/>
        <v>8.8809523809523814</v>
      </c>
      <c r="Y273" s="2">
        <f t="shared" si="89"/>
        <v>76.834469247798779</v>
      </c>
      <c r="Z273" s="1"/>
      <c r="AA273" s="1"/>
      <c r="AB273" s="1">
        <v>150</v>
      </c>
      <c r="AC273" s="1"/>
      <c r="AD273" s="1"/>
      <c r="AE273" s="1"/>
      <c r="AF273" s="1"/>
      <c r="AG273" s="1">
        <f t="shared" si="84"/>
        <v>150</v>
      </c>
      <c r="AH273" s="1">
        <v>1</v>
      </c>
      <c r="AI273" s="1" t="s">
        <v>1057</v>
      </c>
      <c r="AJ273" s="1">
        <f t="shared" si="85"/>
        <v>150</v>
      </c>
      <c r="AK273" s="1">
        <v>0</v>
      </c>
      <c r="AL273" s="1" t="s">
        <v>118</v>
      </c>
      <c r="AM273" s="1">
        <f t="shared" si="86"/>
        <v>0</v>
      </c>
      <c r="AN273" s="1">
        <v>0</v>
      </c>
      <c r="AO273" s="1" t="s">
        <v>118</v>
      </c>
      <c r="AP273" s="1">
        <f t="shared" si="87"/>
        <v>0</v>
      </c>
      <c r="AQ273" s="1" t="s">
        <v>60</v>
      </c>
      <c r="AR273" s="1" t="str">
        <f t="shared" si="90"/>
        <v>1"</v>
      </c>
      <c r="AS273" s="1">
        <v>1</v>
      </c>
      <c r="AT273" s="1"/>
      <c r="AU273" s="1"/>
      <c r="AV273" s="17"/>
      <c r="AW273" s="2"/>
      <c r="AX273" s="2"/>
      <c r="AY273" s="2"/>
      <c r="AZ273" s="17"/>
      <c r="BA273" s="1"/>
      <c r="BB273" s="1"/>
      <c r="BC273" s="1"/>
      <c r="BD273" s="1"/>
      <c r="BE273" s="18"/>
      <c r="BF273" s="2">
        <f t="shared" si="91"/>
        <v>1.6407372765871995</v>
      </c>
      <c r="BG273" s="6"/>
      <c r="BH273" s="6"/>
    </row>
    <row r="274" spans="1:60" ht="12.75" customHeight="1" x14ac:dyDescent="0.2">
      <c r="A274" s="19">
        <v>400</v>
      </c>
      <c r="B274" s="19" t="s">
        <v>955</v>
      </c>
      <c r="C274" s="19" t="s">
        <v>617</v>
      </c>
      <c r="D274" s="20" t="s">
        <v>786</v>
      </c>
      <c r="E274" s="20"/>
      <c r="F274" s="21"/>
      <c r="G274" s="21"/>
      <c r="H274" s="21"/>
      <c r="I274" s="21"/>
      <c r="J274" s="21"/>
      <c r="K274" s="21"/>
      <c r="L274" s="21"/>
      <c r="M274" s="21"/>
      <c r="N274" s="32" t="s">
        <v>1031</v>
      </c>
      <c r="O274" s="22" t="s">
        <v>34</v>
      </c>
      <c r="P274" s="23">
        <v>15</v>
      </c>
      <c r="Q274" s="34">
        <f t="shared" si="82"/>
        <v>11.19</v>
      </c>
      <c r="R274" s="1"/>
      <c r="S274" s="39">
        <f>IF(O274="","",IF(O274="NA","",IF(O274="Mini disjuntor + DR",0.92,IF(O274="Mini disjuntor",0.92,IF(O274="Disjuntor Motor",0.92,IF(O274="Disjuntor C.M.",0.92,IF(O274="Disjuntor C.A.",0.92,IFERROR(VLOOKUP('Lista de Cargas'!P274,Motores!$B$9:$T$48,19,FALSE),"Erro"))))))))</f>
        <v>0.85</v>
      </c>
      <c r="T274" s="40">
        <f>IF(O274="","",IF(O274="NA","",IF(O274="Mini disjuntor + DR",100%,IF(O274="Mini disjuntor",100%,IF(O274="Disjuntor Motor",0.92,IF(O274="Disjuntor C.M.",100%,IF(O274="Disjuntor C.A.",100%,IFERROR(VLOOKUP('Lista de Cargas'!P274,Motores!$B$9:$T$48,16,FALSE)/100,"Erro"))))))))</f>
        <v>0.91700000000000004</v>
      </c>
      <c r="U274" s="40" t="s">
        <v>445</v>
      </c>
      <c r="V274" s="39">
        <v>440</v>
      </c>
      <c r="W274" s="2">
        <f t="shared" si="88"/>
        <v>18.837727979029246</v>
      </c>
      <c r="X274" s="2">
        <f t="shared" si="83"/>
        <v>13.164705882352941</v>
      </c>
      <c r="Y274" s="2">
        <f t="shared" si="89"/>
        <v>113.02636787417548</v>
      </c>
      <c r="Z274" s="1"/>
      <c r="AA274" s="1"/>
      <c r="AB274" s="1">
        <v>150</v>
      </c>
      <c r="AC274" s="1"/>
      <c r="AD274" s="1"/>
      <c r="AE274" s="1"/>
      <c r="AF274" s="1"/>
      <c r="AG274" s="1">
        <f t="shared" si="84"/>
        <v>150</v>
      </c>
      <c r="AH274" s="1">
        <v>1</v>
      </c>
      <c r="AI274" s="1" t="s">
        <v>1067</v>
      </c>
      <c r="AJ274" s="1">
        <f t="shared" si="85"/>
        <v>150</v>
      </c>
      <c r="AK274" s="1">
        <v>0</v>
      </c>
      <c r="AL274" s="1" t="s">
        <v>118</v>
      </c>
      <c r="AM274" s="1">
        <f t="shared" si="86"/>
        <v>0</v>
      </c>
      <c r="AN274" s="1">
        <v>0</v>
      </c>
      <c r="AO274" s="1" t="s">
        <v>118</v>
      </c>
      <c r="AP274" s="1">
        <f t="shared" si="87"/>
        <v>0</v>
      </c>
      <c r="AQ274" s="1" t="s">
        <v>71</v>
      </c>
      <c r="AR274" s="1" t="str">
        <f t="shared" si="90"/>
        <v>1.1/2"</v>
      </c>
      <c r="AS274" s="1">
        <v>1</v>
      </c>
      <c r="AT274" s="1"/>
      <c r="AU274" s="1"/>
      <c r="AV274" s="17"/>
      <c r="AW274" s="2"/>
      <c r="AX274" s="2"/>
      <c r="AY274" s="2"/>
      <c r="AZ274" s="17"/>
      <c r="BA274" s="1"/>
      <c r="BB274" s="1"/>
      <c r="BC274" s="1"/>
      <c r="BD274" s="1"/>
      <c r="BE274" s="18"/>
      <c r="BF274" s="2">
        <f t="shared" si="91"/>
        <v>2.1680191081665816</v>
      </c>
      <c r="BG274" s="6"/>
      <c r="BH274" s="6"/>
    </row>
    <row r="275" spans="1:60" ht="12.75" customHeight="1" x14ac:dyDescent="0.2">
      <c r="A275" s="19">
        <v>400</v>
      </c>
      <c r="B275" s="19" t="s">
        <v>955</v>
      </c>
      <c r="C275" s="19" t="s">
        <v>618</v>
      </c>
      <c r="D275" s="20" t="s">
        <v>787</v>
      </c>
      <c r="E275" s="20"/>
      <c r="F275" s="21"/>
      <c r="G275" s="21"/>
      <c r="H275" s="21"/>
      <c r="I275" s="21"/>
      <c r="J275" s="21"/>
      <c r="K275" s="21"/>
      <c r="L275" s="21"/>
      <c r="M275" s="21"/>
      <c r="N275" s="32" t="s">
        <v>1031</v>
      </c>
      <c r="O275" s="22" t="s">
        <v>5</v>
      </c>
      <c r="P275" s="23">
        <v>7.5</v>
      </c>
      <c r="Q275" s="34">
        <f t="shared" si="82"/>
        <v>5.5949999999999998</v>
      </c>
      <c r="R275" s="1"/>
      <c r="S275" s="39">
        <f>IF(O275="","",IF(O275="NA","",IF(O275="Mini disjuntor + DR",0.92,IF(O275="Mini disjuntor",0.92,IF(O275="Disjuntor Motor",0.92,IF(O275="Disjuntor C.M.",0.92,IF(O275="Disjuntor C.A.",0.92,IFERROR(VLOOKUP('Lista de Cargas'!P275,Motores!$B$9:$T$48,19,FALSE),"Erro"))))))))</f>
        <v>0.79</v>
      </c>
      <c r="T275" s="40">
        <f>IF(O275="","",IF(O275="NA","",IF(O275="Mini disjuntor + DR",100%,IF(O275="Mini disjuntor",100%,IF(O275="Disjuntor Motor",0.92,IF(O275="Disjuntor C.M.",100%,IF(O275="Disjuntor C.A.",100%,IFERROR(VLOOKUP('Lista de Cargas'!P275,Motores!$B$9:$T$48,16,FALSE)/100,"Erro"))))))))</f>
        <v>0.9</v>
      </c>
      <c r="U275" s="40" t="s">
        <v>445</v>
      </c>
      <c r="V275" s="39">
        <v>440</v>
      </c>
      <c r="W275" s="2">
        <f t="shared" si="88"/>
        <v>10.325644917900386</v>
      </c>
      <c r="X275" s="2">
        <f t="shared" si="83"/>
        <v>7.0822784810126578</v>
      </c>
      <c r="Y275" s="2">
        <f t="shared" si="89"/>
        <v>15.488467376850579</v>
      </c>
      <c r="Z275" s="1"/>
      <c r="AA275" s="1"/>
      <c r="AB275" s="1">
        <v>150</v>
      </c>
      <c r="AC275" s="1"/>
      <c r="AD275" s="1"/>
      <c r="AE275" s="1"/>
      <c r="AF275" s="1"/>
      <c r="AG275" s="1">
        <f t="shared" si="84"/>
        <v>150</v>
      </c>
      <c r="AH275" s="1">
        <v>1</v>
      </c>
      <c r="AI275" s="1" t="s">
        <v>1063</v>
      </c>
      <c r="AJ275" s="1">
        <f t="shared" si="85"/>
        <v>150</v>
      </c>
      <c r="AK275" s="1">
        <v>0</v>
      </c>
      <c r="AL275" s="1" t="s">
        <v>118</v>
      </c>
      <c r="AM275" s="1">
        <f t="shared" si="86"/>
        <v>0</v>
      </c>
      <c r="AN275" s="1">
        <v>0</v>
      </c>
      <c r="AO275" s="1" t="s">
        <v>118</v>
      </c>
      <c r="AP275" s="1">
        <f t="shared" si="87"/>
        <v>0</v>
      </c>
      <c r="AQ275" s="1" t="s">
        <v>57</v>
      </c>
      <c r="AR275" s="1" t="str">
        <f t="shared" si="90"/>
        <v>3/4"</v>
      </c>
      <c r="AS275" s="1">
        <v>1</v>
      </c>
      <c r="AT275" s="1"/>
      <c r="AU275" s="1"/>
      <c r="AV275" s="17"/>
      <c r="AW275" s="2"/>
      <c r="AX275" s="2"/>
      <c r="AY275" s="2"/>
      <c r="AZ275" s="17"/>
      <c r="BA275" s="1"/>
      <c r="BB275" s="1"/>
      <c r="BC275" s="1"/>
      <c r="BD275" s="1"/>
      <c r="BE275" s="18"/>
      <c r="BF275" s="2">
        <f t="shared" si="91"/>
        <v>0</v>
      </c>
      <c r="BG275" s="6"/>
      <c r="BH275" s="6"/>
    </row>
    <row r="276" spans="1:60" ht="12.75" customHeight="1" x14ac:dyDescent="0.2">
      <c r="A276" s="19">
        <v>400</v>
      </c>
      <c r="B276" s="19" t="s">
        <v>955</v>
      </c>
      <c r="C276" s="19" t="s">
        <v>619</v>
      </c>
      <c r="D276" s="20" t="s">
        <v>787</v>
      </c>
      <c r="E276" s="20"/>
      <c r="F276" s="21"/>
      <c r="G276" s="21"/>
      <c r="H276" s="21"/>
      <c r="I276" s="21"/>
      <c r="J276" s="21"/>
      <c r="K276" s="21"/>
      <c r="L276" s="21"/>
      <c r="M276" s="21"/>
      <c r="N276" s="32" t="s">
        <v>1031</v>
      </c>
      <c r="O276" s="22" t="s">
        <v>34</v>
      </c>
      <c r="P276" s="23">
        <v>0.5</v>
      </c>
      <c r="Q276" s="34">
        <f t="shared" si="82"/>
        <v>0.373</v>
      </c>
      <c r="R276" s="1"/>
      <c r="S276" s="39">
        <f>IF(O276="","",IF(O276="NA","",IF(O276="Mini disjuntor + DR",0.92,IF(O276="Mini disjuntor",0.92,IF(O276="Disjuntor Motor",0.92,IF(O276="Disjuntor C.M.",0.92,IF(O276="Disjuntor C.A.",0.92,IFERROR(VLOOKUP('Lista de Cargas'!P276,Motores!$B$9:$T$48,19,FALSE),"Erro"))))))))</f>
        <v>0.69</v>
      </c>
      <c r="T276" s="40">
        <f>IF(O276="","",IF(O276="NA","",IF(O276="Mini disjuntor + DR",100%,IF(O276="Mini disjuntor",100%,IF(O276="Disjuntor Motor",0.92,IF(O276="Disjuntor C.M.",100%,IF(O276="Disjuntor C.A.",100%,IFERROR(VLOOKUP('Lista de Cargas'!P276,Motores!$B$9:$T$48,16,FALSE)/100,"Erro"))))))))</f>
        <v>0.7</v>
      </c>
      <c r="U276" s="40" t="s">
        <v>445</v>
      </c>
      <c r="V276" s="39">
        <v>440</v>
      </c>
      <c r="W276" s="2">
        <f t="shared" si="88"/>
        <v>1.0133241596448825</v>
      </c>
      <c r="X276" s="2">
        <f t="shared" si="83"/>
        <v>0.54057971014492756</v>
      </c>
      <c r="Y276" s="2">
        <f t="shared" si="89"/>
        <v>6.0799449578692952</v>
      </c>
      <c r="Z276" s="1"/>
      <c r="AA276" s="1"/>
      <c r="AB276" s="1">
        <v>150</v>
      </c>
      <c r="AC276" s="1"/>
      <c r="AD276" s="1"/>
      <c r="AE276" s="1"/>
      <c r="AF276" s="1"/>
      <c r="AG276" s="1">
        <f t="shared" si="84"/>
        <v>150</v>
      </c>
      <c r="AH276" s="1">
        <v>1</v>
      </c>
      <c r="AI276" s="1" t="s">
        <v>1054</v>
      </c>
      <c r="AJ276" s="1">
        <f t="shared" si="85"/>
        <v>150</v>
      </c>
      <c r="AK276" s="1">
        <v>0</v>
      </c>
      <c r="AL276" s="1" t="s">
        <v>118</v>
      </c>
      <c r="AM276" s="1">
        <f t="shared" si="86"/>
        <v>0</v>
      </c>
      <c r="AN276" s="1">
        <v>0</v>
      </c>
      <c r="AO276" s="1" t="s">
        <v>118</v>
      </c>
      <c r="AP276" s="1">
        <f t="shared" si="87"/>
        <v>0</v>
      </c>
      <c r="AQ276" s="1" t="s">
        <v>57</v>
      </c>
      <c r="AR276" s="1" t="str">
        <f t="shared" si="90"/>
        <v>3/4"</v>
      </c>
      <c r="AS276" s="1">
        <v>1</v>
      </c>
      <c r="AT276" s="1"/>
      <c r="AU276" s="1"/>
      <c r="AV276" s="17"/>
      <c r="AW276" s="2"/>
      <c r="AX276" s="2"/>
      <c r="AY276" s="2"/>
      <c r="AZ276" s="17"/>
      <c r="BA276" s="1"/>
      <c r="BB276" s="1"/>
      <c r="BC276" s="1"/>
      <c r="BD276" s="1"/>
      <c r="BE276" s="18"/>
      <c r="BF276" s="2">
        <f t="shared" si="91"/>
        <v>0.23237932328500399</v>
      </c>
      <c r="BG276" s="6"/>
      <c r="BH276" s="6"/>
    </row>
    <row r="277" spans="1:60" ht="12.75" customHeight="1" x14ac:dyDescent="0.2">
      <c r="A277" s="19">
        <v>400</v>
      </c>
      <c r="B277" s="19" t="s">
        <v>955</v>
      </c>
      <c r="C277" s="19" t="s">
        <v>620</v>
      </c>
      <c r="D277" s="20" t="s">
        <v>788</v>
      </c>
      <c r="E277" s="20"/>
      <c r="F277" s="21"/>
      <c r="G277" s="21"/>
      <c r="H277" s="21"/>
      <c r="I277" s="21"/>
      <c r="J277" s="21"/>
      <c r="K277" s="21"/>
      <c r="L277" s="21"/>
      <c r="M277" s="21"/>
      <c r="N277" s="32" t="s">
        <v>1031</v>
      </c>
      <c r="O277" s="22" t="s">
        <v>34</v>
      </c>
      <c r="P277" s="23">
        <v>12.5</v>
      </c>
      <c r="Q277" s="34">
        <f t="shared" si="82"/>
        <v>9.3249999999999993</v>
      </c>
      <c r="R277" s="1"/>
      <c r="S277" s="39">
        <f>IF(O277="","",IF(O277="NA","",IF(O277="Mini disjuntor + DR",0.92,IF(O277="Mini disjuntor",0.92,IF(O277="Disjuntor Motor",0.92,IF(O277="Disjuntor C.M.",0.92,IF(O277="Disjuntor C.A.",0.92,IFERROR(VLOOKUP('Lista de Cargas'!P277,Motores!$B$9:$T$48,19,FALSE),"Erro"))))))))</f>
        <v>0.84</v>
      </c>
      <c r="T277" s="40">
        <f>IF(O277="","",IF(O277="NA","",IF(O277="Mini disjuntor + DR",100%,IF(O277="Mini disjuntor",100%,IF(O277="Disjuntor Motor",0.92,IF(O277="Disjuntor C.M.",100%,IF(O277="Disjuntor C.A.",100%,IFERROR(VLOOKUP('Lista de Cargas'!P277,Motores!$B$9:$T$48,16,FALSE)/100,"Erro"))))))))</f>
        <v>0.91</v>
      </c>
      <c r="U277" s="40" t="s">
        <v>445</v>
      </c>
      <c r="V277" s="39">
        <v>440</v>
      </c>
      <c r="W277" s="2">
        <f t="shared" si="88"/>
        <v>16.007181093291411</v>
      </c>
      <c r="X277" s="2">
        <f t="shared" si="83"/>
        <v>11.101190476190476</v>
      </c>
      <c r="Y277" s="2">
        <f t="shared" si="89"/>
        <v>96.043086559748474</v>
      </c>
      <c r="Z277" s="1"/>
      <c r="AA277" s="1"/>
      <c r="AB277" s="1">
        <v>150</v>
      </c>
      <c r="AC277" s="1"/>
      <c r="AD277" s="1"/>
      <c r="AE277" s="1"/>
      <c r="AF277" s="1"/>
      <c r="AG277" s="1">
        <f t="shared" si="84"/>
        <v>150</v>
      </c>
      <c r="AH277" s="1">
        <v>1</v>
      </c>
      <c r="AI277" s="1" t="s">
        <v>1067</v>
      </c>
      <c r="AJ277" s="1">
        <f t="shared" si="85"/>
        <v>150</v>
      </c>
      <c r="AK277" s="1">
        <v>0</v>
      </c>
      <c r="AL277" s="1" t="s">
        <v>118</v>
      </c>
      <c r="AM277" s="1">
        <f t="shared" si="86"/>
        <v>0</v>
      </c>
      <c r="AN277" s="1">
        <v>0</v>
      </c>
      <c r="AO277" s="1" t="s">
        <v>118</v>
      </c>
      <c r="AP277" s="1">
        <f t="shared" si="87"/>
        <v>0</v>
      </c>
      <c r="AQ277" s="1" t="s">
        <v>71</v>
      </c>
      <c r="AR277" s="1" t="str">
        <f t="shared" si="90"/>
        <v>1.1/2"</v>
      </c>
      <c r="AS277" s="1">
        <v>1</v>
      </c>
      <c r="AT277" s="1"/>
      <c r="AU277" s="1"/>
      <c r="AV277" s="17"/>
      <c r="AW277" s="2"/>
      <c r="AX277" s="2"/>
      <c r="AY277" s="2"/>
      <c r="AZ277" s="17"/>
      <c r="BA277" s="1"/>
      <c r="BB277" s="1"/>
      <c r="BC277" s="1"/>
      <c r="BD277" s="1"/>
      <c r="BE277" s="18"/>
      <c r="BF277" s="2">
        <f t="shared" si="91"/>
        <v>2.0509215957339983</v>
      </c>
      <c r="BG277" s="6"/>
      <c r="BH277" s="6"/>
    </row>
    <row r="278" spans="1:60" ht="12.75" customHeight="1" x14ac:dyDescent="0.2">
      <c r="A278" s="19">
        <v>400</v>
      </c>
      <c r="B278" s="19" t="s">
        <v>955</v>
      </c>
      <c r="C278" s="19" t="s">
        <v>621</v>
      </c>
      <c r="D278" s="20" t="s">
        <v>789</v>
      </c>
      <c r="E278" s="20"/>
      <c r="F278" s="21"/>
      <c r="G278" s="21"/>
      <c r="H278" s="21"/>
      <c r="I278" s="21"/>
      <c r="J278" s="21"/>
      <c r="K278" s="21"/>
      <c r="L278" s="21"/>
      <c r="M278" s="21"/>
      <c r="N278" s="32" t="s">
        <v>1031</v>
      </c>
      <c r="O278" s="22" t="s">
        <v>34</v>
      </c>
      <c r="P278" s="23">
        <v>2</v>
      </c>
      <c r="Q278" s="34">
        <f t="shared" si="82"/>
        <v>1.492</v>
      </c>
      <c r="R278" s="1"/>
      <c r="S278" s="39">
        <f>IF(O278="","",IF(O278="NA","",IF(O278="Mini disjuntor + DR",0.92,IF(O278="Mini disjuntor",0.92,IF(O278="Disjuntor Motor",0.92,IF(O278="Disjuntor C.M.",0.92,IF(O278="Disjuntor C.A.",0.92,IFERROR(VLOOKUP('Lista de Cargas'!P278,Motores!$B$9:$T$48,19,FALSE),"Erro"))))))))</f>
        <v>0.78</v>
      </c>
      <c r="T278" s="40">
        <f>IF(O278="","",IF(O278="NA","",IF(O278="Mini disjuntor + DR",100%,IF(O278="Mini disjuntor",100%,IF(O278="Disjuntor Motor",0.92,IF(O278="Disjuntor C.M.",100%,IF(O278="Disjuntor C.A.",100%,IFERROR(VLOOKUP('Lista de Cargas'!P278,Motores!$B$9:$T$48,16,FALSE)/100,"Erro"))))))))</f>
        <v>0.84200000000000008</v>
      </c>
      <c r="U278" s="40" t="s">
        <v>445</v>
      </c>
      <c r="V278" s="39">
        <v>440</v>
      </c>
      <c r="W278" s="2">
        <f t="shared" si="88"/>
        <v>2.9809097332875214</v>
      </c>
      <c r="X278" s="2">
        <f t="shared" si="83"/>
        <v>1.9128205128205127</v>
      </c>
      <c r="Y278" s="2">
        <f t="shared" si="89"/>
        <v>17.885458399725128</v>
      </c>
      <c r="Z278" s="1"/>
      <c r="AA278" s="1"/>
      <c r="AB278" s="1">
        <v>150</v>
      </c>
      <c r="AC278" s="1"/>
      <c r="AD278" s="1"/>
      <c r="AE278" s="1"/>
      <c r="AF278" s="1"/>
      <c r="AG278" s="1">
        <f t="shared" si="84"/>
        <v>150</v>
      </c>
      <c r="AH278" s="1">
        <v>1</v>
      </c>
      <c r="AI278" s="1" t="s">
        <v>1054</v>
      </c>
      <c r="AJ278" s="1">
        <f t="shared" si="85"/>
        <v>150</v>
      </c>
      <c r="AK278" s="1">
        <v>0</v>
      </c>
      <c r="AL278" s="1" t="s">
        <v>118</v>
      </c>
      <c r="AM278" s="1">
        <f t="shared" si="86"/>
        <v>0</v>
      </c>
      <c r="AN278" s="1">
        <v>0</v>
      </c>
      <c r="AO278" s="1" t="s">
        <v>118</v>
      </c>
      <c r="AP278" s="1">
        <f t="shared" si="87"/>
        <v>0</v>
      </c>
      <c r="AQ278" s="1" t="s">
        <v>57</v>
      </c>
      <c r="AR278" s="1" t="str">
        <f t="shared" si="90"/>
        <v>3/4"</v>
      </c>
      <c r="AS278" s="1">
        <v>1</v>
      </c>
      <c r="AT278" s="1"/>
      <c r="AU278" s="1"/>
      <c r="AV278" s="17"/>
      <c r="AW278" s="2"/>
      <c r="AX278" s="2"/>
      <c r="AY278" s="2"/>
      <c r="AZ278" s="17"/>
      <c r="BA278" s="1"/>
      <c r="BB278" s="1"/>
      <c r="BC278" s="1"/>
      <c r="BD278" s="1"/>
      <c r="BE278" s="18"/>
      <c r="BF278" s="2">
        <f t="shared" si="91"/>
        <v>0.56141455218969116</v>
      </c>
      <c r="BG278" s="6"/>
      <c r="BH278" s="6"/>
    </row>
    <row r="279" spans="1:60" ht="12.75" customHeight="1" x14ac:dyDescent="0.2">
      <c r="A279" s="19">
        <v>400</v>
      </c>
      <c r="B279" s="19" t="s">
        <v>955</v>
      </c>
      <c r="C279" s="19" t="s">
        <v>622</v>
      </c>
      <c r="D279" s="20" t="s">
        <v>738</v>
      </c>
      <c r="E279" s="20"/>
      <c r="F279" s="21"/>
      <c r="G279" s="21"/>
      <c r="H279" s="21"/>
      <c r="I279" s="21"/>
      <c r="J279" s="21"/>
      <c r="K279" s="21"/>
      <c r="L279" s="21"/>
      <c r="M279" s="21"/>
      <c r="N279" s="32" t="s">
        <v>1041</v>
      </c>
      <c r="O279" s="22" t="s">
        <v>34</v>
      </c>
      <c r="P279" s="23">
        <v>10</v>
      </c>
      <c r="Q279" s="34">
        <f t="shared" si="82"/>
        <v>7.46</v>
      </c>
      <c r="R279" s="1"/>
      <c r="S279" s="39">
        <f>IF(O279="","",IF(O279="NA","",IF(O279="Mini disjuntor + DR",0.92,IF(O279="Mini disjuntor",0.92,IF(O279="Disjuntor Motor",0.92,IF(O279="Disjuntor C.M.",0.92,IF(O279="Disjuntor C.A.",0.92,IFERROR(VLOOKUP('Lista de Cargas'!P279,Motores!$B$9:$T$48,19,FALSE),"Erro"))))))))</f>
        <v>0.84</v>
      </c>
      <c r="T279" s="40">
        <f>IF(O279="","",IF(O279="NA","",IF(O279="Mini disjuntor + DR",100%,IF(O279="Mini disjuntor",100%,IF(O279="Disjuntor Motor",0.92,IF(O279="Disjuntor C.M.",100%,IF(O279="Disjuntor C.A.",100%,IFERROR(VLOOKUP('Lista de Cargas'!P279,Motores!$B$9:$T$48,16,FALSE)/100,"Erro"))))))))</f>
        <v>0.91</v>
      </c>
      <c r="U279" s="40" t="s">
        <v>445</v>
      </c>
      <c r="V279" s="39">
        <v>440</v>
      </c>
      <c r="W279" s="2">
        <f t="shared" si="88"/>
        <v>12.805744874633129</v>
      </c>
      <c r="X279" s="2">
        <f t="shared" si="83"/>
        <v>8.8809523809523814</v>
      </c>
      <c r="Y279" s="2">
        <f t="shared" si="89"/>
        <v>76.834469247798779</v>
      </c>
      <c r="Z279" s="1"/>
      <c r="AA279" s="1"/>
      <c r="AB279" s="1">
        <v>120</v>
      </c>
      <c r="AC279" s="1"/>
      <c r="AD279" s="1"/>
      <c r="AE279" s="1"/>
      <c r="AF279" s="1"/>
      <c r="AG279" s="1">
        <f t="shared" si="84"/>
        <v>120</v>
      </c>
      <c r="AH279" s="1">
        <v>1</v>
      </c>
      <c r="AI279" s="1" t="s">
        <v>1057</v>
      </c>
      <c r="AJ279" s="1">
        <f t="shared" si="85"/>
        <v>120</v>
      </c>
      <c r="AK279" s="1">
        <v>0</v>
      </c>
      <c r="AL279" s="1" t="s">
        <v>118</v>
      </c>
      <c r="AM279" s="1">
        <f t="shared" si="86"/>
        <v>0</v>
      </c>
      <c r="AN279" s="1">
        <v>0</v>
      </c>
      <c r="AO279" s="1" t="s">
        <v>118</v>
      </c>
      <c r="AP279" s="1">
        <f t="shared" si="87"/>
        <v>0</v>
      </c>
      <c r="AQ279" s="1" t="s">
        <v>60</v>
      </c>
      <c r="AR279" s="1" t="str">
        <f t="shared" si="90"/>
        <v>1"</v>
      </c>
      <c r="AS279" s="1">
        <v>1</v>
      </c>
      <c r="AT279" s="1"/>
      <c r="AU279" s="1"/>
      <c r="AV279" s="17"/>
      <c r="AW279" s="2"/>
      <c r="AX279" s="2"/>
      <c r="AY279" s="2"/>
      <c r="AZ279" s="17"/>
      <c r="BA279" s="1"/>
      <c r="BB279" s="1"/>
      <c r="BC279" s="1"/>
      <c r="BD279" s="1"/>
      <c r="BE279" s="18"/>
      <c r="BF279" s="2">
        <f t="shared" si="91"/>
        <v>1.6407372765871995</v>
      </c>
      <c r="BG279" s="6"/>
      <c r="BH279" s="6"/>
    </row>
    <row r="280" spans="1:60" ht="12.75" customHeight="1" x14ac:dyDescent="0.2">
      <c r="A280" s="19">
        <v>400</v>
      </c>
      <c r="B280" s="19" t="s">
        <v>955</v>
      </c>
      <c r="C280" s="19" t="s">
        <v>623</v>
      </c>
      <c r="D280" s="20" t="s">
        <v>739</v>
      </c>
      <c r="E280" s="20"/>
      <c r="F280" s="21"/>
      <c r="G280" s="21"/>
      <c r="H280" s="21"/>
      <c r="I280" s="21"/>
      <c r="J280" s="21"/>
      <c r="K280" s="21"/>
      <c r="L280" s="21"/>
      <c r="M280" s="21"/>
      <c r="N280" s="32" t="s">
        <v>1041</v>
      </c>
      <c r="O280" s="22" t="s">
        <v>34</v>
      </c>
      <c r="P280" s="23">
        <v>3</v>
      </c>
      <c r="Q280" s="34">
        <f t="shared" si="82"/>
        <v>2.238</v>
      </c>
      <c r="R280" s="1"/>
      <c r="S280" s="39">
        <f>IF(O280="","",IF(O280="NA","",IF(O280="Mini disjuntor + DR",0.92,IF(O280="Mini disjuntor",0.92,IF(O280="Disjuntor Motor",0.92,IF(O280="Disjuntor C.M.",0.92,IF(O280="Disjuntor C.A.",0.92,IFERROR(VLOOKUP('Lista de Cargas'!P280,Motores!$B$9:$T$48,19,FALSE),"Erro"))))))))</f>
        <v>0.83</v>
      </c>
      <c r="T280" s="40">
        <f>IF(O280="","",IF(O280="NA","",IF(O280="Mini disjuntor + DR",100%,IF(O280="Mini disjuntor",100%,IF(O280="Disjuntor Motor",0.92,IF(O280="Disjuntor C.M.",100%,IF(O280="Disjuntor C.A.",100%,IFERROR(VLOOKUP('Lista de Cargas'!P280,Motores!$B$9:$T$48,16,FALSE)/100,"Erro"))))))))</f>
        <v>0.85099999999999998</v>
      </c>
      <c r="U280" s="40" t="s">
        <v>445</v>
      </c>
      <c r="V280" s="39">
        <v>440</v>
      </c>
      <c r="W280" s="2">
        <f t="shared" ref="W280:W311" si="92">IFERROR(IF(U280=$U$344,(P280*746)/(SQRT(3)*S280*T280*V280),(P280*746)/(S280*T280*V280)),0)</f>
        <v>4.1575657478103292</v>
      </c>
      <c r="X280" s="2">
        <f t="shared" si="83"/>
        <v>2.6963855421686747</v>
      </c>
      <c r="Y280" s="2">
        <f t="shared" ref="Y280:Y287" si="93">IFERROR(IF(O280=$O$344,6*W280,IF(O280=$O$345,6*W280,IF(O280=$O$346,3*W280,IF(O280=$O$347,1.5*W280,W280)))),0)</f>
        <v>24.945394486861975</v>
      </c>
      <c r="Z280" s="1"/>
      <c r="AA280" s="1"/>
      <c r="AB280" s="1">
        <v>120</v>
      </c>
      <c r="AC280" s="1"/>
      <c r="AD280" s="1"/>
      <c r="AE280" s="1"/>
      <c r="AF280" s="1"/>
      <c r="AG280" s="1">
        <f t="shared" si="84"/>
        <v>120</v>
      </c>
      <c r="AH280" s="1">
        <v>1</v>
      </c>
      <c r="AI280" s="1" t="s">
        <v>1054</v>
      </c>
      <c r="AJ280" s="1">
        <f t="shared" si="85"/>
        <v>120</v>
      </c>
      <c r="AK280" s="1">
        <v>0</v>
      </c>
      <c r="AL280" s="1" t="s">
        <v>118</v>
      </c>
      <c r="AM280" s="1">
        <f t="shared" si="86"/>
        <v>0</v>
      </c>
      <c r="AN280" s="1">
        <v>0</v>
      </c>
      <c r="AO280" s="1" t="s">
        <v>118</v>
      </c>
      <c r="AP280" s="1">
        <f t="shared" si="87"/>
        <v>0</v>
      </c>
      <c r="AQ280" s="1" t="s">
        <v>57</v>
      </c>
      <c r="AR280" s="1" t="str">
        <f t="shared" ref="AR280:AR311" si="94">IFERROR(VLOOKUP(AQ280,$O$368:$P$412,2,1),"NA")</f>
        <v>3/4"</v>
      </c>
      <c r="AS280" s="1">
        <v>1</v>
      </c>
      <c r="AT280" s="1"/>
      <c r="AU280" s="1"/>
      <c r="AV280" s="17"/>
      <c r="AW280" s="2"/>
      <c r="AX280" s="2"/>
      <c r="AY280" s="2"/>
      <c r="AZ280" s="17"/>
      <c r="BA280" s="1"/>
      <c r="BB280" s="1"/>
      <c r="BC280" s="1"/>
      <c r="BD280" s="1"/>
      <c r="BE280" s="18"/>
      <c r="BF280" s="2">
        <f t="shared" ref="BF280:BF311" si="95">IFERROR(IF(F280=$O$358,0,IF(S280&gt;$BH$1,0,IF(O280=$O$347,0,SQRT((X280^2)-(Q280^2))-(SQRT(((Q280/$BH$1)^2)-(Q280^2)))))),0)</f>
        <v>0.55056113490915704</v>
      </c>
      <c r="BG280" s="6"/>
      <c r="BH280" s="6"/>
    </row>
    <row r="281" spans="1:60" ht="12.75" customHeight="1" x14ac:dyDescent="0.2">
      <c r="A281" s="19">
        <v>400</v>
      </c>
      <c r="B281" s="19" t="s">
        <v>955</v>
      </c>
      <c r="C281" s="19" t="s">
        <v>624</v>
      </c>
      <c r="D281" s="20" t="s">
        <v>740</v>
      </c>
      <c r="E281" s="20"/>
      <c r="F281" s="21"/>
      <c r="G281" s="21"/>
      <c r="H281" s="21"/>
      <c r="I281" s="21"/>
      <c r="J281" s="21"/>
      <c r="K281" s="21"/>
      <c r="L281" s="21"/>
      <c r="M281" s="21"/>
      <c r="N281" s="32" t="s">
        <v>1041</v>
      </c>
      <c r="O281" s="22" t="s">
        <v>34</v>
      </c>
      <c r="P281" s="23">
        <v>0.5</v>
      </c>
      <c r="Q281" s="34">
        <f t="shared" si="82"/>
        <v>0.373</v>
      </c>
      <c r="R281" s="1"/>
      <c r="S281" s="39">
        <f>IF(O281="","",IF(O281="NA","",IF(O281="Mini disjuntor + DR",0.92,IF(O281="Mini disjuntor",0.92,IF(O281="Disjuntor Motor",0.92,IF(O281="Disjuntor C.M.",0.92,IF(O281="Disjuntor C.A.",0.92,IFERROR(VLOOKUP('Lista de Cargas'!P281,Motores!$B$9:$T$48,19,FALSE),"Erro"))))))))</f>
        <v>0.69</v>
      </c>
      <c r="T281" s="40">
        <f>IF(O281="","",IF(O281="NA","",IF(O281="Mini disjuntor + DR",100%,IF(O281="Mini disjuntor",100%,IF(O281="Disjuntor Motor",0.92,IF(O281="Disjuntor C.M.",100%,IF(O281="Disjuntor C.A.",100%,IFERROR(VLOOKUP('Lista de Cargas'!P281,Motores!$B$9:$T$48,16,FALSE)/100,"Erro"))))))))</f>
        <v>0.7</v>
      </c>
      <c r="U281" s="40" t="s">
        <v>445</v>
      </c>
      <c r="V281" s="39">
        <v>440</v>
      </c>
      <c r="W281" s="2">
        <f t="shared" si="92"/>
        <v>1.0133241596448825</v>
      </c>
      <c r="X281" s="2">
        <f t="shared" si="83"/>
        <v>0.54057971014492756</v>
      </c>
      <c r="Y281" s="2">
        <f t="shared" si="93"/>
        <v>6.0799449578692952</v>
      </c>
      <c r="Z281" s="1"/>
      <c r="AA281" s="1"/>
      <c r="AB281" s="1">
        <v>120</v>
      </c>
      <c r="AC281" s="1"/>
      <c r="AD281" s="1"/>
      <c r="AE281" s="1"/>
      <c r="AF281" s="1"/>
      <c r="AG281" s="1">
        <f t="shared" si="84"/>
        <v>120</v>
      </c>
      <c r="AH281" s="1">
        <v>1</v>
      </c>
      <c r="AI281" s="1" t="s">
        <v>1054</v>
      </c>
      <c r="AJ281" s="1">
        <f t="shared" si="85"/>
        <v>120</v>
      </c>
      <c r="AK281" s="1">
        <v>0</v>
      </c>
      <c r="AL281" s="1" t="s">
        <v>118</v>
      </c>
      <c r="AM281" s="1">
        <f t="shared" si="86"/>
        <v>0</v>
      </c>
      <c r="AN281" s="1">
        <v>0</v>
      </c>
      <c r="AO281" s="1" t="s">
        <v>118</v>
      </c>
      <c r="AP281" s="1">
        <f t="shared" si="87"/>
        <v>0</v>
      </c>
      <c r="AQ281" s="1" t="s">
        <v>57</v>
      </c>
      <c r="AR281" s="1" t="str">
        <f t="shared" si="94"/>
        <v>3/4"</v>
      </c>
      <c r="AS281" s="1">
        <v>1</v>
      </c>
      <c r="AT281" s="1"/>
      <c r="AU281" s="1"/>
      <c r="AV281" s="17"/>
      <c r="AW281" s="2"/>
      <c r="AX281" s="2"/>
      <c r="AY281" s="2"/>
      <c r="AZ281" s="17"/>
      <c r="BA281" s="1"/>
      <c r="BB281" s="1"/>
      <c r="BC281" s="1"/>
      <c r="BD281" s="1"/>
      <c r="BE281" s="18"/>
      <c r="BF281" s="2">
        <f t="shared" si="95"/>
        <v>0.23237932328500399</v>
      </c>
      <c r="BG281" s="6"/>
      <c r="BH281" s="6"/>
    </row>
    <row r="282" spans="1:60" ht="12.75" customHeight="1" x14ac:dyDescent="0.2">
      <c r="A282" s="19">
        <v>400</v>
      </c>
      <c r="B282" s="19" t="s">
        <v>955</v>
      </c>
      <c r="C282" s="19" t="s">
        <v>625</v>
      </c>
      <c r="D282" s="20" t="s">
        <v>741</v>
      </c>
      <c r="E282" s="20"/>
      <c r="F282" s="21"/>
      <c r="G282" s="21"/>
      <c r="H282" s="21"/>
      <c r="I282" s="21"/>
      <c r="J282" s="21"/>
      <c r="K282" s="21"/>
      <c r="L282" s="21"/>
      <c r="M282" s="21"/>
      <c r="N282" s="32" t="s">
        <v>1041</v>
      </c>
      <c r="O282" s="22" t="s">
        <v>34</v>
      </c>
      <c r="P282" s="23">
        <v>1</v>
      </c>
      <c r="Q282" s="34">
        <f t="shared" si="82"/>
        <v>0.746</v>
      </c>
      <c r="R282" s="1"/>
      <c r="S282" s="39">
        <f>IF(O282="","",IF(O282="NA","",IF(O282="Mini disjuntor + DR",0.92,IF(O282="Mini disjuntor",0.92,IF(O282="Disjuntor Motor",0.92,IF(O282="Disjuntor C.M.",0.92,IF(O282="Disjuntor C.A.",0.92,IFERROR(VLOOKUP('Lista de Cargas'!P282,Motores!$B$9:$T$48,19,FALSE),"Erro"))))))))</f>
        <v>0.81</v>
      </c>
      <c r="T282" s="40">
        <f>IF(O282="","",IF(O282="NA","",IF(O282="Mini disjuntor + DR",100%,IF(O282="Mini disjuntor",100%,IF(O282="Disjuntor Motor",0.92,IF(O282="Disjuntor C.M.",100%,IF(O282="Disjuntor C.A.",100%,IFERROR(VLOOKUP('Lista de Cargas'!P282,Motores!$B$9:$T$48,16,FALSE)/100,"Erro"))))))))</f>
        <v>0.80500000000000005</v>
      </c>
      <c r="U282" s="40" t="s">
        <v>445</v>
      </c>
      <c r="V282" s="39">
        <v>440</v>
      </c>
      <c r="W282" s="2">
        <f t="shared" si="92"/>
        <v>1.5012209772516776</v>
      </c>
      <c r="X282" s="2">
        <f t="shared" si="83"/>
        <v>0.92098765432098761</v>
      </c>
      <c r="Y282" s="2">
        <f t="shared" si="93"/>
        <v>9.007325863510065</v>
      </c>
      <c r="Z282" s="1"/>
      <c r="AA282" s="1"/>
      <c r="AB282" s="1">
        <v>120</v>
      </c>
      <c r="AC282" s="1"/>
      <c r="AD282" s="1"/>
      <c r="AE282" s="1"/>
      <c r="AF282" s="1"/>
      <c r="AG282" s="1">
        <f t="shared" si="84"/>
        <v>120</v>
      </c>
      <c r="AH282" s="1">
        <v>1</v>
      </c>
      <c r="AI282" s="1" t="s">
        <v>1054</v>
      </c>
      <c r="AJ282" s="1">
        <f t="shared" si="85"/>
        <v>120</v>
      </c>
      <c r="AK282" s="1">
        <v>0</v>
      </c>
      <c r="AL282" s="1" t="s">
        <v>118</v>
      </c>
      <c r="AM282" s="1">
        <f t="shared" si="86"/>
        <v>0</v>
      </c>
      <c r="AN282" s="1">
        <v>0</v>
      </c>
      <c r="AO282" s="1" t="s">
        <v>118</v>
      </c>
      <c r="AP282" s="1">
        <f t="shared" si="87"/>
        <v>0</v>
      </c>
      <c r="AQ282" s="1" t="s">
        <v>57</v>
      </c>
      <c r="AR282" s="1" t="str">
        <f t="shared" si="94"/>
        <v>3/4"</v>
      </c>
      <c r="AS282" s="1">
        <v>1</v>
      </c>
      <c r="AT282" s="1"/>
      <c r="AU282" s="1"/>
      <c r="AV282" s="17"/>
      <c r="AW282" s="2"/>
      <c r="AX282" s="2"/>
      <c r="AY282" s="2"/>
      <c r="AZ282" s="17"/>
      <c r="BA282" s="1"/>
      <c r="BB282" s="1"/>
      <c r="BC282" s="1"/>
      <c r="BD282" s="1"/>
      <c r="BE282" s="18"/>
      <c r="BF282" s="2">
        <f t="shared" si="95"/>
        <v>0.22230000710319253</v>
      </c>
      <c r="BG282" s="6"/>
      <c r="BH282" s="6"/>
    </row>
    <row r="283" spans="1:60" ht="12.75" customHeight="1" x14ac:dyDescent="0.2">
      <c r="A283" s="19">
        <v>400</v>
      </c>
      <c r="B283" s="19" t="s">
        <v>955</v>
      </c>
      <c r="C283" s="19" t="s">
        <v>626</v>
      </c>
      <c r="D283" s="20" t="s">
        <v>742</v>
      </c>
      <c r="E283" s="20"/>
      <c r="F283" s="21"/>
      <c r="G283" s="21"/>
      <c r="H283" s="21"/>
      <c r="I283" s="21"/>
      <c r="J283" s="21"/>
      <c r="K283" s="21"/>
      <c r="L283" s="21"/>
      <c r="M283" s="21"/>
      <c r="N283" s="32" t="s">
        <v>1041</v>
      </c>
      <c r="O283" s="22" t="s">
        <v>34</v>
      </c>
      <c r="P283" s="23">
        <v>1.5</v>
      </c>
      <c r="Q283" s="34">
        <f t="shared" si="82"/>
        <v>1.119</v>
      </c>
      <c r="R283" s="1"/>
      <c r="S283" s="39">
        <f>IF(O283="","",IF(O283="NA","",IF(O283="Mini disjuntor + DR",0.92,IF(O283="Mini disjuntor",0.92,IF(O283="Disjuntor Motor",0.92,IF(O283="Disjuntor C.M.",0.92,IF(O283="Disjuntor C.A.",0.92,IFERROR(VLOOKUP('Lista de Cargas'!P283,Motores!$B$9:$T$48,19,FALSE),"Erro"))))))))</f>
        <v>0.79</v>
      </c>
      <c r="T283" s="40">
        <f>IF(O283="","",IF(O283="NA","",IF(O283="Mini disjuntor + DR",100%,IF(O283="Mini disjuntor",100%,IF(O283="Disjuntor Motor",0.92,IF(O283="Disjuntor C.M.",100%,IF(O283="Disjuntor C.A.",100%,IFERROR(VLOOKUP('Lista de Cargas'!P283,Motores!$B$9:$T$48,16,FALSE)/100,"Erro"))))))))</f>
        <v>0.81599999999999995</v>
      </c>
      <c r="U283" s="40" t="s">
        <v>445</v>
      </c>
      <c r="V283" s="39">
        <v>440</v>
      </c>
      <c r="W283" s="2">
        <f t="shared" si="92"/>
        <v>2.2777157907133203</v>
      </c>
      <c r="X283" s="2">
        <f t="shared" si="83"/>
        <v>1.4164556962025316</v>
      </c>
      <c r="Y283" s="2">
        <f t="shared" si="93"/>
        <v>13.666294744279922</v>
      </c>
      <c r="Z283" s="1"/>
      <c r="AA283" s="1"/>
      <c r="AB283" s="1">
        <v>120</v>
      </c>
      <c r="AC283" s="1"/>
      <c r="AD283" s="1"/>
      <c r="AE283" s="1"/>
      <c r="AF283" s="1"/>
      <c r="AG283" s="1">
        <f t="shared" si="84"/>
        <v>120</v>
      </c>
      <c r="AH283" s="1">
        <v>1</v>
      </c>
      <c r="AI283" s="1" t="s">
        <v>1054</v>
      </c>
      <c r="AJ283" s="1">
        <f t="shared" si="85"/>
        <v>120</v>
      </c>
      <c r="AK283" s="1">
        <v>0</v>
      </c>
      <c r="AL283" s="1" t="s">
        <v>118</v>
      </c>
      <c r="AM283" s="1">
        <f t="shared" si="86"/>
        <v>0</v>
      </c>
      <c r="AN283" s="1">
        <v>0</v>
      </c>
      <c r="AO283" s="1" t="s">
        <v>118</v>
      </c>
      <c r="AP283" s="1">
        <f t="shared" si="87"/>
        <v>0</v>
      </c>
      <c r="AQ283" s="1" t="s">
        <v>57</v>
      </c>
      <c r="AR283" s="1" t="str">
        <f t="shared" si="94"/>
        <v>3/4"</v>
      </c>
      <c r="AS283" s="1">
        <v>1</v>
      </c>
      <c r="AT283" s="1"/>
      <c r="AU283" s="1"/>
      <c r="AV283" s="17"/>
      <c r="AW283" s="2"/>
      <c r="AX283" s="2"/>
      <c r="AY283" s="2"/>
      <c r="AZ283" s="17"/>
      <c r="BA283" s="1"/>
      <c r="BB283" s="1"/>
      <c r="BC283" s="1"/>
      <c r="BD283" s="1"/>
      <c r="BE283" s="18"/>
      <c r="BF283" s="2">
        <f t="shared" si="95"/>
        <v>0.3917466752134442</v>
      </c>
      <c r="BG283" s="6"/>
      <c r="BH283" s="6"/>
    </row>
    <row r="284" spans="1:60" ht="12.75" customHeight="1" x14ac:dyDescent="0.2">
      <c r="A284" s="19">
        <v>400</v>
      </c>
      <c r="B284" s="134" t="s">
        <v>955</v>
      </c>
      <c r="C284" s="134" t="s">
        <v>627</v>
      </c>
      <c r="D284" s="135" t="s">
        <v>790</v>
      </c>
      <c r="E284" s="135"/>
      <c r="F284" s="136"/>
      <c r="G284" s="136"/>
      <c r="H284" s="136"/>
      <c r="I284" s="136"/>
      <c r="J284" s="136"/>
      <c r="K284" s="136"/>
      <c r="L284" s="136"/>
      <c r="M284" s="136"/>
      <c r="N284" s="137"/>
      <c r="O284" s="138" t="s">
        <v>5</v>
      </c>
      <c r="P284" s="139">
        <v>150</v>
      </c>
      <c r="Q284" s="34">
        <f t="shared" si="82"/>
        <v>111.9</v>
      </c>
      <c r="R284" s="1"/>
      <c r="S284" s="39">
        <f>IF(O284="","",IF(O284="NA","",IF(O284="Mini disjuntor + DR",0.92,IF(O284="Mini disjuntor",0.92,IF(O284="Disjuntor Motor",0.92,IF(O284="Disjuntor C.M.",0.92,IF(O284="Disjuntor C.A.",0.92,IFERROR(VLOOKUP('Lista de Cargas'!P284,Motores!$B$9:$T$48,19,FALSE),"Erro"))))))))</f>
        <v>0.86</v>
      </c>
      <c r="T284" s="40">
        <f>IF(O284="","",IF(O284="NA","",IF(O284="Mini disjuntor + DR",100%,IF(O284="Mini disjuntor",100%,IF(O284="Disjuntor Motor",0.92,IF(O284="Disjuntor C.M.",100%,IF(O284="Disjuntor C.A.",100%,IFERROR(VLOOKUP('Lista de Cargas'!P284,Motores!$B$9:$T$48,16,FALSE)/100,"Erro"))))))))</f>
        <v>0.95200000000000007</v>
      </c>
      <c r="U284" s="40" t="s">
        <v>445</v>
      </c>
      <c r="V284" s="39">
        <v>440</v>
      </c>
      <c r="W284" s="2">
        <f t="shared" si="92"/>
        <v>179.34174166081624</v>
      </c>
      <c r="X284" s="2">
        <f t="shared" si="83"/>
        <v>130.11627906976744</v>
      </c>
      <c r="Y284" s="2">
        <f t="shared" si="93"/>
        <v>269.01261249122433</v>
      </c>
      <c r="Z284" s="1"/>
      <c r="AA284" s="1"/>
      <c r="AB284" s="1">
        <v>120</v>
      </c>
      <c r="AC284" s="1"/>
      <c r="AD284" s="1"/>
      <c r="AE284" s="1"/>
      <c r="AF284" s="1"/>
      <c r="AG284" s="1">
        <f t="shared" si="84"/>
        <v>120</v>
      </c>
      <c r="AH284" s="1">
        <v>3</v>
      </c>
      <c r="AI284" s="1" t="s">
        <v>1052</v>
      </c>
      <c r="AJ284" s="1">
        <f t="shared" si="85"/>
        <v>360</v>
      </c>
      <c r="AK284" s="1">
        <v>0</v>
      </c>
      <c r="AL284" s="1" t="s">
        <v>118</v>
      </c>
      <c r="AM284" s="1">
        <f t="shared" si="86"/>
        <v>0</v>
      </c>
      <c r="AN284" s="1">
        <v>1</v>
      </c>
      <c r="AO284" s="1" t="s">
        <v>1053</v>
      </c>
      <c r="AP284" s="1">
        <f t="shared" si="87"/>
        <v>120</v>
      </c>
      <c r="AQ284" s="1" t="s">
        <v>72</v>
      </c>
      <c r="AR284" s="1" t="str">
        <f t="shared" si="94"/>
        <v>2"</v>
      </c>
      <c r="AS284" s="1">
        <v>1</v>
      </c>
      <c r="AT284" s="1"/>
      <c r="AU284" s="1"/>
      <c r="AV284" s="17"/>
      <c r="AW284" s="2"/>
      <c r="AX284" s="2"/>
      <c r="AY284" s="2"/>
      <c r="AZ284" s="17"/>
      <c r="BA284" s="1"/>
      <c r="BB284" s="1"/>
      <c r="BC284" s="1"/>
      <c r="BD284" s="1"/>
      <c r="BE284" s="18"/>
      <c r="BF284" s="2">
        <f t="shared" si="95"/>
        <v>0</v>
      </c>
      <c r="BG284" s="6"/>
      <c r="BH284" s="6"/>
    </row>
    <row r="285" spans="1:60" ht="12.75" customHeight="1" x14ac:dyDescent="0.2">
      <c r="A285" s="19">
        <v>400</v>
      </c>
      <c r="B285" s="134" t="s">
        <v>955</v>
      </c>
      <c r="C285" s="134" t="s">
        <v>628</v>
      </c>
      <c r="D285" s="135" t="s">
        <v>791</v>
      </c>
      <c r="E285" s="135"/>
      <c r="F285" s="136"/>
      <c r="G285" s="136"/>
      <c r="H285" s="136"/>
      <c r="I285" s="136"/>
      <c r="J285" s="136"/>
      <c r="K285" s="136"/>
      <c r="L285" s="136"/>
      <c r="M285" s="136"/>
      <c r="N285" s="137"/>
      <c r="O285" s="138" t="s">
        <v>5</v>
      </c>
      <c r="P285" s="139">
        <v>1</v>
      </c>
      <c r="Q285" s="34">
        <f t="shared" si="82"/>
        <v>0.746</v>
      </c>
      <c r="R285" s="1"/>
      <c r="S285" s="39">
        <f>IF(O285="","",IF(O285="NA","",IF(O285="Mini disjuntor + DR",0.92,IF(O285="Mini disjuntor",0.92,IF(O285="Disjuntor Motor",0.92,IF(O285="Disjuntor C.M.",0.92,IF(O285="Disjuntor C.A.",0.92,IFERROR(VLOOKUP('Lista de Cargas'!P285,Motores!$B$9:$T$48,19,FALSE),"Erro"))))))))</f>
        <v>0.81</v>
      </c>
      <c r="T285" s="40">
        <f>IF(O285="","",IF(O285="NA","",IF(O285="Mini disjuntor + DR",100%,IF(O285="Mini disjuntor",100%,IF(O285="Disjuntor Motor",0.92,IF(O285="Disjuntor C.M.",100%,IF(O285="Disjuntor C.A.",100%,IFERROR(VLOOKUP('Lista de Cargas'!P285,Motores!$B$9:$T$48,16,FALSE)/100,"Erro"))))))))</f>
        <v>0.80500000000000005</v>
      </c>
      <c r="U285" s="40" t="s">
        <v>445</v>
      </c>
      <c r="V285" s="39">
        <v>440</v>
      </c>
      <c r="W285" s="2">
        <f t="shared" si="92"/>
        <v>1.5012209772516776</v>
      </c>
      <c r="X285" s="2">
        <f t="shared" si="83"/>
        <v>0.92098765432098761</v>
      </c>
      <c r="Y285" s="2">
        <f t="shared" si="93"/>
        <v>2.2518314658775163</v>
      </c>
      <c r="Z285" s="1"/>
      <c r="AA285" s="1"/>
      <c r="AB285" s="1">
        <v>120</v>
      </c>
      <c r="AC285" s="1"/>
      <c r="AD285" s="1"/>
      <c r="AE285" s="1"/>
      <c r="AF285" s="1"/>
      <c r="AG285" s="1">
        <f t="shared" si="84"/>
        <v>120</v>
      </c>
      <c r="AH285" s="1">
        <v>1</v>
      </c>
      <c r="AI285" s="1" t="s">
        <v>1054</v>
      </c>
      <c r="AJ285" s="1">
        <f t="shared" si="85"/>
        <v>120</v>
      </c>
      <c r="AK285" s="1">
        <v>0</v>
      </c>
      <c r="AL285" s="1" t="s">
        <v>118</v>
      </c>
      <c r="AM285" s="1">
        <f t="shared" si="86"/>
        <v>0</v>
      </c>
      <c r="AN285" s="1">
        <v>0</v>
      </c>
      <c r="AO285" s="1" t="s">
        <v>118</v>
      </c>
      <c r="AP285" s="1">
        <f t="shared" si="87"/>
        <v>0</v>
      </c>
      <c r="AQ285" s="1" t="s">
        <v>57</v>
      </c>
      <c r="AR285" s="1" t="str">
        <f t="shared" si="94"/>
        <v>3/4"</v>
      </c>
      <c r="AS285" s="1">
        <v>1</v>
      </c>
      <c r="AT285" s="1"/>
      <c r="AU285" s="1"/>
      <c r="AV285" s="17"/>
      <c r="AW285" s="2"/>
      <c r="AX285" s="2"/>
      <c r="AY285" s="2"/>
      <c r="AZ285" s="17"/>
      <c r="BA285" s="1"/>
      <c r="BB285" s="1"/>
      <c r="BC285" s="1"/>
      <c r="BD285" s="1"/>
      <c r="BE285" s="18"/>
      <c r="BF285" s="2">
        <f t="shared" si="95"/>
        <v>0</v>
      </c>
      <c r="BG285" s="6"/>
      <c r="BH285" s="6"/>
    </row>
    <row r="286" spans="1:60" ht="12.75" customHeight="1" x14ac:dyDescent="0.2">
      <c r="A286" s="19">
        <v>400</v>
      </c>
      <c r="B286" s="134" t="s">
        <v>955</v>
      </c>
      <c r="C286" s="134" t="s">
        <v>629</v>
      </c>
      <c r="D286" s="135" t="s">
        <v>792</v>
      </c>
      <c r="E286" s="135"/>
      <c r="F286" s="136"/>
      <c r="G286" s="136"/>
      <c r="H286" s="136"/>
      <c r="I286" s="136"/>
      <c r="J286" s="136"/>
      <c r="K286" s="136"/>
      <c r="L286" s="136"/>
      <c r="M286" s="136"/>
      <c r="N286" s="137"/>
      <c r="O286" s="138" t="s">
        <v>5</v>
      </c>
      <c r="P286" s="139">
        <v>10</v>
      </c>
      <c r="Q286" s="34">
        <f t="shared" si="82"/>
        <v>7.46</v>
      </c>
      <c r="R286" s="1"/>
      <c r="S286" s="39">
        <f>IF(O286="","",IF(O286="NA","",IF(O286="Mini disjuntor + DR",0.92,IF(O286="Mini disjuntor",0.92,IF(O286="Disjuntor Motor",0.92,IF(O286="Disjuntor C.M.",0.92,IF(O286="Disjuntor C.A.",0.92,IFERROR(VLOOKUP('Lista de Cargas'!P286,Motores!$B$9:$T$48,19,FALSE),"Erro"))))))))</f>
        <v>0.84</v>
      </c>
      <c r="T286" s="40">
        <f>IF(O286="","",IF(O286="NA","",IF(O286="Mini disjuntor + DR",100%,IF(O286="Mini disjuntor",100%,IF(O286="Disjuntor Motor",0.92,IF(O286="Disjuntor C.M.",100%,IF(O286="Disjuntor C.A.",100%,IFERROR(VLOOKUP('Lista de Cargas'!P286,Motores!$B$9:$T$48,16,FALSE)/100,"Erro"))))))))</f>
        <v>0.91</v>
      </c>
      <c r="U286" s="40" t="s">
        <v>445</v>
      </c>
      <c r="V286" s="39">
        <v>440</v>
      </c>
      <c r="W286" s="2">
        <f t="shared" si="92"/>
        <v>12.805744874633129</v>
      </c>
      <c r="X286" s="2">
        <f t="shared" si="83"/>
        <v>8.8809523809523814</v>
      </c>
      <c r="Y286" s="2">
        <f t="shared" si="93"/>
        <v>19.208617311949695</v>
      </c>
      <c r="Z286" s="1"/>
      <c r="AA286" s="1"/>
      <c r="AB286" s="1">
        <v>120</v>
      </c>
      <c r="AC286" s="1"/>
      <c r="AD286" s="1"/>
      <c r="AE286" s="1"/>
      <c r="AF286" s="1"/>
      <c r="AG286" s="1">
        <f t="shared" si="84"/>
        <v>120</v>
      </c>
      <c r="AH286" s="1">
        <v>1</v>
      </c>
      <c r="AI286" s="1" t="s">
        <v>1063</v>
      </c>
      <c r="AJ286" s="1">
        <f t="shared" si="85"/>
        <v>120</v>
      </c>
      <c r="AK286" s="1">
        <v>0</v>
      </c>
      <c r="AL286" s="1" t="s">
        <v>118</v>
      </c>
      <c r="AM286" s="1">
        <f t="shared" si="86"/>
        <v>0</v>
      </c>
      <c r="AN286" s="1">
        <v>0</v>
      </c>
      <c r="AO286" s="1" t="s">
        <v>118</v>
      </c>
      <c r="AP286" s="1">
        <f t="shared" si="87"/>
        <v>0</v>
      </c>
      <c r="AQ286" s="1" t="s">
        <v>57</v>
      </c>
      <c r="AR286" s="1" t="str">
        <f t="shared" si="94"/>
        <v>3/4"</v>
      </c>
      <c r="AS286" s="1">
        <v>1</v>
      </c>
      <c r="AT286" s="1"/>
      <c r="AU286" s="1"/>
      <c r="AV286" s="17"/>
      <c r="AW286" s="2"/>
      <c r="AX286" s="2"/>
      <c r="AY286" s="2"/>
      <c r="AZ286" s="17"/>
      <c r="BA286" s="1"/>
      <c r="BB286" s="1"/>
      <c r="BC286" s="1"/>
      <c r="BD286" s="1"/>
      <c r="BE286" s="18"/>
      <c r="BF286" s="2">
        <f t="shared" si="95"/>
        <v>0</v>
      </c>
      <c r="BG286" s="6"/>
      <c r="BH286" s="6"/>
    </row>
    <row r="287" spans="1:60" ht="12.75" customHeight="1" x14ac:dyDescent="0.2">
      <c r="A287" s="19">
        <v>400</v>
      </c>
      <c r="B287" s="134" t="s">
        <v>955</v>
      </c>
      <c r="C287" s="134" t="s">
        <v>630</v>
      </c>
      <c r="D287" s="135" t="s">
        <v>793</v>
      </c>
      <c r="E287" s="135"/>
      <c r="F287" s="136"/>
      <c r="G287" s="136"/>
      <c r="H287" s="136"/>
      <c r="I287" s="136"/>
      <c r="J287" s="136"/>
      <c r="K287" s="136"/>
      <c r="L287" s="136"/>
      <c r="M287" s="136"/>
      <c r="N287" s="137"/>
      <c r="O287" s="138" t="s">
        <v>5</v>
      </c>
      <c r="P287" s="139">
        <v>75</v>
      </c>
      <c r="Q287" s="34">
        <f t="shared" si="82"/>
        <v>55.95</v>
      </c>
      <c r="R287" s="1"/>
      <c r="S287" s="39">
        <f>IF(O287="","",IF(O287="NA","",IF(O287="Mini disjuntor + DR",0.92,IF(O287="Mini disjuntor",0.92,IF(O287="Disjuntor Motor",0.92,IF(O287="Disjuntor C.M.",0.92,IF(O287="Disjuntor C.A.",0.92,IFERROR(VLOOKUP('Lista de Cargas'!P287,Motores!$B$9:$T$48,19,FALSE),"Erro"))))))))</f>
        <v>0.87</v>
      </c>
      <c r="T287" s="40">
        <f>IF(O287="","",IF(O287="NA","",IF(O287="Mini disjuntor + DR",100%,IF(O287="Mini disjuntor",100%,IF(O287="Disjuntor Motor",0.92,IF(O287="Disjuntor C.M.",100%,IF(O287="Disjuntor C.A.",100%,IFERROR(VLOOKUP('Lista de Cargas'!P287,Motores!$B$9:$T$48,16,FALSE)/100,"Erro"))))))))</f>
        <v>0.94400000000000006</v>
      </c>
      <c r="U287" s="40" t="s">
        <v>445</v>
      </c>
      <c r="V287" s="39">
        <v>440</v>
      </c>
      <c r="W287" s="2">
        <f t="shared" si="92"/>
        <v>89.391359056925452</v>
      </c>
      <c r="X287" s="2">
        <f t="shared" si="83"/>
        <v>64.310344827586206</v>
      </c>
      <c r="Y287" s="2">
        <f t="shared" si="93"/>
        <v>134.08703858538817</v>
      </c>
      <c r="Z287" s="1"/>
      <c r="AA287" s="1"/>
      <c r="AB287" s="1">
        <v>120</v>
      </c>
      <c r="AC287" s="1"/>
      <c r="AD287" s="1"/>
      <c r="AE287" s="1"/>
      <c r="AF287" s="1"/>
      <c r="AG287" s="1">
        <f t="shared" si="84"/>
        <v>120</v>
      </c>
      <c r="AH287" s="1">
        <v>1</v>
      </c>
      <c r="AI287" s="1" t="s">
        <v>1069</v>
      </c>
      <c r="AJ287" s="1">
        <f t="shared" si="85"/>
        <v>120</v>
      </c>
      <c r="AK287" s="1">
        <v>0</v>
      </c>
      <c r="AL287" s="1" t="s">
        <v>118</v>
      </c>
      <c r="AM287" s="1">
        <f t="shared" si="86"/>
        <v>0</v>
      </c>
      <c r="AN287" s="1">
        <v>0</v>
      </c>
      <c r="AO287" s="1" t="s">
        <v>118</v>
      </c>
      <c r="AP287" s="1">
        <f t="shared" si="87"/>
        <v>0</v>
      </c>
      <c r="AQ287" s="1" t="s">
        <v>72</v>
      </c>
      <c r="AR287" s="1" t="str">
        <f t="shared" si="94"/>
        <v>2"</v>
      </c>
      <c r="AS287" s="1">
        <v>1</v>
      </c>
      <c r="AT287" s="1"/>
      <c r="AU287" s="1"/>
      <c r="AV287" s="17"/>
      <c r="AW287" s="2"/>
      <c r="AX287" s="2"/>
      <c r="AY287" s="2"/>
      <c r="AZ287" s="17"/>
      <c r="BA287" s="1"/>
      <c r="BB287" s="1"/>
      <c r="BC287" s="1"/>
      <c r="BD287" s="1"/>
      <c r="BE287" s="18"/>
      <c r="BF287" s="2">
        <f t="shared" si="95"/>
        <v>0</v>
      </c>
      <c r="BG287" s="6"/>
      <c r="BH287" s="6"/>
    </row>
    <row r="288" spans="1:60" s="90" customFormat="1" ht="12.75" customHeight="1" x14ac:dyDescent="0.2">
      <c r="A288" s="76">
        <v>500</v>
      </c>
      <c r="B288" s="76" t="s">
        <v>956</v>
      </c>
      <c r="C288" s="76" t="s">
        <v>932</v>
      </c>
      <c r="D288" s="77" t="s">
        <v>794</v>
      </c>
      <c r="E288" s="77"/>
      <c r="F288" s="78"/>
      <c r="G288" s="78"/>
      <c r="H288" s="78"/>
      <c r="I288" s="78"/>
      <c r="J288" s="78"/>
      <c r="K288" s="78"/>
      <c r="L288" s="78"/>
      <c r="M288" s="78"/>
      <c r="N288" s="79" t="s">
        <v>1042</v>
      </c>
      <c r="O288" s="80" t="s">
        <v>34</v>
      </c>
      <c r="P288" s="81">
        <v>12.5</v>
      </c>
      <c r="Q288" s="82">
        <f t="shared" si="82"/>
        <v>9.3249999999999993</v>
      </c>
      <c r="R288" s="83"/>
      <c r="S288" s="84">
        <f>IF(O288="","",IF(O288="NA","",IF(O288="Mini disjuntor + DR",0.92,IF(O288="Mini disjuntor",0.92,IF(O288="Disjuntor Motor",0.92,IF(O288="Disjuntor C.M.",0.92,IF(O288="Disjuntor C.A.",0.92,IFERROR(VLOOKUP('Lista de Cargas'!P288,Motores!$B$9:$T$48,19,FALSE),"Erro"))))))))</f>
        <v>0.84</v>
      </c>
      <c r="T288" s="85">
        <f>IF(O288="","",IF(O288="NA","",IF(O288="Mini disjuntor + DR",100%,IF(O288="Mini disjuntor",100%,IF(O288="Disjuntor Motor",0.92,IF(O288="Disjuntor C.M.",100%,IF(O288="Disjuntor C.A.",100%,IFERROR(VLOOKUP('Lista de Cargas'!P288,Motores!$B$9:$T$48,16,FALSE)/100,"Erro"))))))))</f>
        <v>0.91</v>
      </c>
      <c r="U288" s="85" t="s">
        <v>445</v>
      </c>
      <c r="V288" s="84">
        <v>440</v>
      </c>
      <c r="W288" s="86">
        <f t="shared" ref="W288:W311" si="96">IFERROR(IF(U288=$U$344,(P288*746)/(SQRT(3)*S288*T288*V288),(P288*746)/(S288*T288*V288)),0)</f>
        <v>16.007181093291411</v>
      </c>
      <c r="X288" s="86">
        <f t="shared" si="83"/>
        <v>11.101190476190476</v>
      </c>
      <c r="Y288" s="86">
        <f t="shared" ref="Y288:Y311" si="97">IFERROR(IF(O288=$O$344,6*W288,IF(O288=$O$345,6*W288,IF(O288=$O$346,3*W288,IF(O288=$O$347,1.5*W288,W288)))),0)</f>
        <v>96.043086559748474</v>
      </c>
      <c r="Z288" s="83"/>
      <c r="AA288" s="83"/>
      <c r="AB288" s="83">
        <v>0</v>
      </c>
      <c r="AC288" s="83"/>
      <c r="AD288" s="83"/>
      <c r="AE288" s="83"/>
      <c r="AF288" s="83"/>
      <c r="AG288" s="83">
        <f t="shared" si="84"/>
        <v>0</v>
      </c>
      <c r="AH288" s="83"/>
      <c r="AI288" s="83"/>
      <c r="AJ288" s="83">
        <f t="shared" si="85"/>
        <v>0</v>
      </c>
      <c r="AK288" s="83"/>
      <c r="AL288" s="83"/>
      <c r="AM288" s="83">
        <f t="shared" si="86"/>
        <v>0</v>
      </c>
      <c r="AN288" s="83"/>
      <c r="AO288" s="83"/>
      <c r="AP288" s="83">
        <f t="shared" si="87"/>
        <v>0</v>
      </c>
      <c r="AQ288" s="1" t="s">
        <v>69</v>
      </c>
      <c r="AR288" s="83" t="str">
        <f t="shared" ref="AR288:AR303" si="98">IFERROR(VLOOKUP(AQ288,$O$368:$P$412,2,1),"NA")</f>
        <v>1"</v>
      </c>
      <c r="AS288" s="1">
        <v>1</v>
      </c>
      <c r="AT288" s="83"/>
      <c r="AU288" s="83"/>
      <c r="AV288" s="87"/>
      <c r="AW288" s="86"/>
      <c r="AX288" s="86"/>
      <c r="AY288" s="86"/>
      <c r="AZ288" s="87"/>
      <c r="BA288" s="83"/>
      <c r="BB288" s="83"/>
      <c r="BC288" s="83"/>
      <c r="BD288" s="83"/>
      <c r="BE288" s="88"/>
      <c r="BF288" s="86">
        <f t="shared" si="95"/>
        <v>2.0509215957339983</v>
      </c>
      <c r="BG288" s="89"/>
      <c r="BH288" s="89"/>
    </row>
    <row r="289" spans="1:60" s="90" customFormat="1" ht="12.75" customHeight="1" x14ac:dyDescent="0.2">
      <c r="A289" s="76">
        <v>500</v>
      </c>
      <c r="B289" s="76" t="s">
        <v>956</v>
      </c>
      <c r="C289" s="76" t="s">
        <v>933</v>
      </c>
      <c r="D289" s="77" t="s">
        <v>794</v>
      </c>
      <c r="E289" s="77"/>
      <c r="F289" s="78"/>
      <c r="G289" s="78"/>
      <c r="H289" s="78"/>
      <c r="I289" s="78"/>
      <c r="J289" s="78"/>
      <c r="K289" s="78"/>
      <c r="L289" s="78"/>
      <c r="M289" s="78"/>
      <c r="N289" s="79" t="s">
        <v>1042</v>
      </c>
      <c r="O289" s="80" t="s">
        <v>34</v>
      </c>
      <c r="P289" s="81">
        <v>12.5</v>
      </c>
      <c r="Q289" s="82">
        <f t="shared" si="82"/>
        <v>9.3249999999999993</v>
      </c>
      <c r="R289" s="83"/>
      <c r="S289" s="84">
        <f>IF(O289="","",IF(O289="NA","",IF(O289="Mini disjuntor + DR",0.92,IF(O289="Mini disjuntor",0.92,IF(O289="Disjuntor Motor",0.92,IF(O289="Disjuntor C.M.",0.92,IF(O289="Disjuntor C.A.",0.92,IFERROR(VLOOKUP('Lista de Cargas'!P289,Motores!$B$9:$T$48,19,FALSE),"Erro"))))))))</f>
        <v>0.84</v>
      </c>
      <c r="T289" s="85">
        <f>IF(O289="","",IF(O289="NA","",IF(O289="Mini disjuntor + DR",100%,IF(O289="Mini disjuntor",100%,IF(O289="Disjuntor Motor",0.92,IF(O289="Disjuntor C.M.",100%,IF(O289="Disjuntor C.A.",100%,IFERROR(VLOOKUP('Lista de Cargas'!P289,Motores!$B$9:$T$48,16,FALSE)/100,"Erro"))))))))</f>
        <v>0.91</v>
      </c>
      <c r="U289" s="85" t="s">
        <v>445</v>
      </c>
      <c r="V289" s="84">
        <v>440</v>
      </c>
      <c r="W289" s="86">
        <f t="shared" si="96"/>
        <v>16.007181093291411</v>
      </c>
      <c r="X289" s="86">
        <f t="shared" si="83"/>
        <v>11.101190476190476</v>
      </c>
      <c r="Y289" s="86">
        <f t="shared" si="97"/>
        <v>96.043086559748474</v>
      </c>
      <c r="Z289" s="83"/>
      <c r="AA289" s="83"/>
      <c r="AB289" s="83">
        <v>0</v>
      </c>
      <c r="AC289" s="83"/>
      <c r="AD289" s="83"/>
      <c r="AE289" s="83"/>
      <c r="AF289" s="83"/>
      <c r="AG289" s="83">
        <f t="shared" si="84"/>
        <v>0</v>
      </c>
      <c r="AH289" s="83"/>
      <c r="AI289" s="83"/>
      <c r="AJ289" s="83">
        <f t="shared" si="85"/>
        <v>0</v>
      </c>
      <c r="AK289" s="83"/>
      <c r="AL289" s="83"/>
      <c r="AM289" s="83">
        <f t="shared" si="86"/>
        <v>0</v>
      </c>
      <c r="AN289" s="83"/>
      <c r="AO289" s="83"/>
      <c r="AP289" s="83">
        <f t="shared" si="87"/>
        <v>0</v>
      </c>
      <c r="AQ289" s="1" t="s">
        <v>69</v>
      </c>
      <c r="AR289" s="83" t="str">
        <f t="shared" si="98"/>
        <v>1"</v>
      </c>
      <c r="AS289" s="1">
        <v>1</v>
      </c>
      <c r="AT289" s="83"/>
      <c r="AU289" s="83"/>
      <c r="AV289" s="87"/>
      <c r="AW289" s="86"/>
      <c r="AX289" s="86"/>
      <c r="AY289" s="86"/>
      <c r="AZ289" s="87"/>
      <c r="BA289" s="83"/>
      <c r="BB289" s="83"/>
      <c r="BC289" s="83"/>
      <c r="BD289" s="83"/>
      <c r="BE289" s="88"/>
      <c r="BF289" s="86">
        <f t="shared" si="95"/>
        <v>2.0509215957339983</v>
      </c>
      <c r="BG289" s="89"/>
      <c r="BH289" s="89"/>
    </row>
    <row r="290" spans="1:60" s="90" customFormat="1" ht="12.75" customHeight="1" x14ac:dyDescent="0.2">
      <c r="A290" s="76">
        <v>500</v>
      </c>
      <c r="B290" s="76" t="s">
        <v>956</v>
      </c>
      <c r="C290" s="76" t="s">
        <v>934</v>
      </c>
      <c r="D290" s="77" t="s">
        <v>795</v>
      </c>
      <c r="E290" s="77"/>
      <c r="F290" s="78"/>
      <c r="G290" s="78"/>
      <c r="H290" s="78"/>
      <c r="I290" s="78"/>
      <c r="J290" s="78"/>
      <c r="K290" s="78"/>
      <c r="L290" s="78"/>
      <c r="M290" s="78"/>
      <c r="N290" s="79" t="s">
        <v>1042</v>
      </c>
      <c r="O290" s="80" t="s">
        <v>34</v>
      </c>
      <c r="P290" s="81">
        <v>5</v>
      </c>
      <c r="Q290" s="82">
        <f t="shared" si="82"/>
        <v>3.73</v>
      </c>
      <c r="R290" s="83"/>
      <c r="S290" s="84">
        <f>IF(O290="","",IF(O290="NA","",IF(O290="Mini disjuntor + DR",0.92,IF(O290="Mini disjuntor",0.92,IF(O290="Disjuntor Motor",0.92,IF(O290="Disjuntor C.M.",0.92,IF(O290="Disjuntor C.A.",0.92,IFERROR(VLOOKUP('Lista de Cargas'!P290,Motores!$B$9:$T$48,19,FALSE),"Erro"))))))))</f>
        <v>0.8</v>
      </c>
      <c r="T290" s="85">
        <f>IF(O290="","",IF(O290="NA","",IF(O290="Mini disjuntor + DR",100%,IF(O290="Mini disjuntor",100%,IF(O290="Disjuntor Motor",0.92,IF(O290="Disjuntor C.M.",100%,IF(O290="Disjuntor C.A.",100%,IFERROR(VLOOKUP('Lista de Cargas'!P290,Motores!$B$9:$T$48,16,FALSE)/100,"Erro"))))))))</f>
        <v>0.88</v>
      </c>
      <c r="U290" s="85" t="s">
        <v>445</v>
      </c>
      <c r="V290" s="84">
        <v>440</v>
      </c>
      <c r="W290" s="86">
        <f t="shared" si="96"/>
        <v>6.9522097884727003</v>
      </c>
      <c r="X290" s="86">
        <f t="shared" si="83"/>
        <v>4.6624999999999996</v>
      </c>
      <c r="Y290" s="86">
        <f t="shared" si="97"/>
        <v>41.713258730836202</v>
      </c>
      <c r="Z290" s="83"/>
      <c r="AA290" s="83"/>
      <c r="AB290" s="83">
        <v>0</v>
      </c>
      <c r="AC290" s="83"/>
      <c r="AD290" s="83"/>
      <c r="AE290" s="83"/>
      <c r="AF290" s="83"/>
      <c r="AG290" s="83">
        <f t="shared" si="84"/>
        <v>0</v>
      </c>
      <c r="AH290" s="83"/>
      <c r="AI290" s="83"/>
      <c r="AJ290" s="83">
        <f t="shared" si="85"/>
        <v>0</v>
      </c>
      <c r="AK290" s="83"/>
      <c r="AL290" s="83"/>
      <c r="AM290" s="83">
        <f t="shared" si="86"/>
        <v>0</v>
      </c>
      <c r="AN290" s="83"/>
      <c r="AO290" s="83"/>
      <c r="AP290" s="83">
        <f t="shared" si="87"/>
        <v>0</v>
      </c>
      <c r="AQ290" s="1" t="s">
        <v>57</v>
      </c>
      <c r="AR290" s="83" t="str">
        <f t="shared" si="98"/>
        <v>3/4"</v>
      </c>
      <c r="AS290" s="1">
        <v>1</v>
      </c>
      <c r="AT290" s="83"/>
      <c r="AU290" s="83"/>
      <c r="AV290" s="87"/>
      <c r="AW290" s="86"/>
      <c r="AX290" s="86"/>
      <c r="AY290" s="86"/>
      <c r="AZ290" s="87"/>
      <c r="BA290" s="83"/>
      <c r="BB290" s="83"/>
      <c r="BC290" s="83"/>
      <c r="BD290" s="83"/>
      <c r="BE290" s="88"/>
      <c r="BF290" s="86">
        <f t="shared" si="95"/>
        <v>1.2085266538119559</v>
      </c>
      <c r="BG290" s="89"/>
      <c r="BH290" s="89"/>
    </row>
    <row r="291" spans="1:60" s="90" customFormat="1" ht="12.75" customHeight="1" x14ac:dyDescent="0.2">
      <c r="A291" s="76">
        <v>500</v>
      </c>
      <c r="B291" s="76" t="s">
        <v>956</v>
      </c>
      <c r="C291" s="76" t="s">
        <v>935</v>
      </c>
      <c r="D291" s="77" t="s">
        <v>795</v>
      </c>
      <c r="E291" s="77"/>
      <c r="F291" s="78"/>
      <c r="G291" s="78"/>
      <c r="H291" s="78"/>
      <c r="I291" s="78"/>
      <c r="J291" s="78"/>
      <c r="K291" s="78"/>
      <c r="L291" s="78"/>
      <c r="M291" s="78"/>
      <c r="N291" s="79" t="s">
        <v>1042</v>
      </c>
      <c r="O291" s="80" t="s">
        <v>34</v>
      </c>
      <c r="P291" s="81">
        <v>5</v>
      </c>
      <c r="Q291" s="82">
        <f t="shared" si="82"/>
        <v>3.73</v>
      </c>
      <c r="R291" s="83"/>
      <c r="S291" s="84">
        <f>IF(O291="","",IF(O291="NA","",IF(O291="Mini disjuntor + DR",0.92,IF(O291="Mini disjuntor",0.92,IF(O291="Disjuntor Motor",0.92,IF(O291="Disjuntor C.M.",0.92,IF(O291="Disjuntor C.A.",0.92,IFERROR(VLOOKUP('Lista de Cargas'!P291,Motores!$B$9:$T$48,19,FALSE),"Erro"))))))))</f>
        <v>0.8</v>
      </c>
      <c r="T291" s="85">
        <f>IF(O291="","",IF(O291="NA","",IF(O291="Mini disjuntor + DR",100%,IF(O291="Mini disjuntor",100%,IF(O291="Disjuntor Motor",0.92,IF(O291="Disjuntor C.M.",100%,IF(O291="Disjuntor C.A.",100%,IFERROR(VLOOKUP('Lista de Cargas'!P291,Motores!$B$9:$T$48,16,FALSE)/100,"Erro"))))))))</f>
        <v>0.88</v>
      </c>
      <c r="U291" s="85" t="s">
        <v>445</v>
      </c>
      <c r="V291" s="84">
        <v>440</v>
      </c>
      <c r="W291" s="86">
        <f t="shared" si="96"/>
        <v>6.9522097884727003</v>
      </c>
      <c r="X291" s="86">
        <f t="shared" si="83"/>
        <v>4.6624999999999996</v>
      </c>
      <c r="Y291" s="86">
        <f t="shared" si="97"/>
        <v>41.713258730836202</v>
      </c>
      <c r="Z291" s="83"/>
      <c r="AA291" s="83"/>
      <c r="AB291" s="83">
        <v>0</v>
      </c>
      <c r="AC291" s="83"/>
      <c r="AD291" s="83"/>
      <c r="AE291" s="83"/>
      <c r="AF291" s="83"/>
      <c r="AG291" s="83">
        <f t="shared" si="84"/>
        <v>0</v>
      </c>
      <c r="AH291" s="83"/>
      <c r="AI291" s="83"/>
      <c r="AJ291" s="83">
        <f t="shared" si="85"/>
        <v>0</v>
      </c>
      <c r="AK291" s="83"/>
      <c r="AL291" s="83"/>
      <c r="AM291" s="83">
        <f t="shared" si="86"/>
        <v>0</v>
      </c>
      <c r="AN291" s="83"/>
      <c r="AO291" s="83"/>
      <c r="AP291" s="83">
        <f t="shared" si="87"/>
        <v>0</v>
      </c>
      <c r="AQ291" s="1" t="s">
        <v>57</v>
      </c>
      <c r="AR291" s="83" t="str">
        <f t="shared" si="98"/>
        <v>3/4"</v>
      </c>
      <c r="AS291" s="1">
        <v>1</v>
      </c>
      <c r="AT291" s="83"/>
      <c r="AU291" s="83"/>
      <c r="AV291" s="87"/>
      <c r="AW291" s="86"/>
      <c r="AX291" s="86"/>
      <c r="AY291" s="86"/>
      <c r="AZ291" s="87"/>
      <c r="BA291" s="83"/>
      <c r="BB291" s="83"/>
      <c r="BC291" s="83"/>
      <c r="BD291" s="83"/>
      <c r="BE291" s="88"/>
      <c r="BF291" s="86">
        <f t="shared" si="95"/>
        <v>1.2085266538119559</v>
      </c>
      <c r="BG291" s="89"/>
      <c r="BH291" s="89"/>
    </row>
    <row r="292" spans="1:60" s="90" customFormat="1" ht="12.75" customHeight="1" x14ac:dyDescent="0.2">
      <c r="A292" s="76">
        <v>500</v>
      </c>
      <c r="B292" s="76" t="s">
        <v>956</v>
      </c>
      <c r="C292" s="76" t="s">
        <v>936</v>
      </c>
      <c r="D292" s="77" t="s">
        <v>796</v>
      </c>
      <c r="E292" s="77"/>
      <c r="F292" s="78"/>
      <c r="G292" s="78"/>
      <c r="H292" s="78"/>
      <c r="I292" s="78"/>
      <c r="J292" s="78"/>
      <c r="K292" s="78"/>
      <c r="L292" s="78"/>
      <c r="M292" s="78"/>
      <c r="N292" s="79" t="s">
        <v>1042</v>
      </c>
      <c r="O292" s="80" t="s">
        <v>35</v>
      </c>
      <c r="P292" s="81">
        <v>25</v>
      </c>
      <c r="Q292" s="82">
        <f t="shared" si="82"/>
        <v>18.649999999999999</v>
      </c>
      <c r="R292" s="83"/>
      <c r="S292" s="84">
        <f>IF(O292="","",IF(O292="NA","",IF(O292="Mini disjuntor + DR",0.92,IF(O292="Mini disjuntor",0.92,IF(O292="Disjuntor Motor",0.92,IF(O292="Disjuntor C.M.",0.92,IF(O292="Disjuntor C.A.",0.92,IFERROR(VLOOKUP('Lista de Cargas'!P292,Motores!$B$9:$T$48,19,FALSE),"Erro"))))))))</f>
        <v>0.81</v>
      </c>
      <c r="T292" s="85">
        <f>IF(O292="","",IF(O292="NA","",IF(O292="Mini disjuntor + DR",100%,IF(O292="Mini disjuntor",100%,IF(O292="Disjuntor Motor",0.92,IF(O292="Disjuntor C.M.",100%,IF(O292="Disjuntor C.A.",100%,IFERROR(VLOOKUP('Lista de Cargas'!P292,Motores!$B$9:$T$48,16,FALSE)/100,"Erro"))))))))</f>
        <v>0.92799999999999994</v>
      </c>
      <c r="U292" s="85" t="s">
        <v>445</v>
      </c>
      <c r="V292" s="84">
        <v>440</v>
      </c>
      <c r="W292" s="86">
        <f t="shared" si="96"/>
        <v>32.556112249127175</v>
      </c>
      <c r="X292" s="86">
        <f t="shared" si="83"/>
        <v>23.02469135802469</v>
      </c>
      <c r="Y292" s="86">
        <f t="shared" si="97"/>
        <v>97.668336747381517</v>
      </c>
      <c r="Z292" s="83"/>
      <c r="AA292" s="83"/>
      <c r="AB292" s="83">
        <v>0</v>
      </c>
      <c r="AC292" s="83"/>
      <c r="AD292" s="83"/>
      <c r="AE292" s="83"/>
      <c r="AF292" s="83"/>
      <c r="AG292" s="83">
        <f t="shared" si="84"/>
        <v>0</v>
      </c>
      <c r="AH292" s="83"/>
      <c r="AI292" s="83"/>
      <c r="AJ292" s="83">
        <f t="shared" si="85"/>
        <v>0</v>
      </c>
      <c r="AK292" s="83"/>
      <c r="AL292" s="83"/>
      <c r="AM292" s="83">
        <f t="shared" si="86"/>
        <v>0</v>
      </c>
      <c r="AN292" s="83"/>
      <c r="AO292" s="83"/>
      <c r="AP292" s="83">
        <f t="shared" si="87"/>
        <v>0</v>
      </c>
      <c r="AQ292" s="1" t="s">
        <v>71</v>
      </c>
      <c r="AR292" s="83" t="str">
        <f t="shared" si="98"/>
        <v>1.1/2"</v>
      </c>
      <c r="AS292" s="1">
        <v>1</v>
      </c>
      <c r="AT292" s="83"/>
      <c r="AU292" s="83"/>
      <c r="AV292" s="87"/>
      <c r="AW292" s="86"/>
      <c r="AX292" s="86"/>
      <c r="AY292" s="86"/>
      <c r="AZ292" s="87"/>
      <c r="BA292" s="83"/>
      <c r="BB292" s="83"/>
      <c r="BC292" s="83"/>
      <c r="BD292" s="83"/>
      <c r="BE292" s="88"/>
      <c r="BF292" s="86">
        <f t="shared" si="95"/>
        <v>5.5575001775798141</v>
      </c>
      <c r="BG292" s="89"/>
      <c r="BH292" s="89"/>
    </row>
    <row r="293" spans="1:60" s="90" customFormat="1" ht="12.75" customHeight="1" x14ac:dyDescent="0.2">
      <c r="A293" s="76">
        <v>500</v>
      </c>
      <c r="B293" s="76" t="s">
        <v>956</v>
      </c>
      <c r="C293" s="76" t="s">
        <v>937</v>
      </c>
      <c r="D293" s="77" t="s">
        <v>796</v>
      </c>
      <c r="E293" s="77"/>
      <c r="F293" s="78"/>
      <c r="G293" s="78"/>
      <c r="H293" s="78"/>
      <c r="I293" s="78"/>
      <c r="J293" s="78"/>
      <c r="K293" s="78"/>
      <c r="L293" s="78"/>
      <c r="M293" s="78"/>
      <c r="N293" s="79" t="s">
        <v>1042</v>
      </c>
      <c r="O293" s="80" t="s">
        <v>35</v>
      </c>
      <c r="P293" s="81">
        <v>25</v>
      </c>
      <c r="Q293" s="82">
        <f t="shared" si="82"/>
        <v>18.649999999999999</v>
      </c>
      <c r="R293" s="83"/>
      <c r="S293" s="84">
        <f>IF(O293="","",IF(O293="NA","",IF(O293="Mini disjuntor + DR",0.92,IF(O293="Mini disjuntor",0.92,IF(O293="Disjuntor Motor",0.92,IF(O293="Disjuntor C.M.",0.92,IF(O293="Disjuntor C.A.",0.92,IFERROR(VLOOKUP('Lista de Cargas'!P293,Motores!$B$9:$T$48,19,FALSE),"Erro"))))))))</f>
        <v>0.81</v>
      </c>
      <c r="T293" s="85">
        <f>IF(O293="","",IF(O293="NA","",IF(O293="Mini disjuntor + DR",100%,IF(O293="Mini disjuntor",100%,IF(O293="Disjuntor Motor",0.92,IF(O293="Disjuntor C.M.",100%,IF(O293="Disjuntor C.A.",100%,IFERROR(VLOOKUP('Lista de Cargas'!P293,Motores!$B$9:$T$48,16,FALSE)/100,"Erro"))))))))</f>
        <v>0.92799999999999994</v>
      </c>
      <c r="U293" s="85" t="s">
        <v>445</v>
      </c>
      <c r="V293" s="84">
        <v>440</v>
      </c>
      <c r="W293" s="86">
        <f t="shared" si="96"/>
        <v>32.556112249127175</v>
      </c>
      <c r="X293" s="86">
        <f t="shared" si="83"/>
        <v>23.02469135802469</v>
      </c>
      <c r="Y293" s="86">
        <f t="shared" si="97"/>
        <v>97.668336747381517</v>
      </c>
      <c r="Z293" s="83"/>
      <c r="AA293" s="83"/>
      <c r="AB293" s="83">
        <v>0</v>
      </c>
      <c r="AC293" s="83"/>
      <c r="AD293" s="83"/>
      <c r="AE293" s="83"/>
      <c r="AF293" s="83"/>
      <c r="AG293" s="83">
        <f t="shared" si="84"/>
        <v>0</v>
      </c>
      <c r="AH293" s="83"/>
      <c r="AI293" s="83"/>
      <c r="AJ293" s="83">
        <f t="shared" si="85"/>
        <v>0</v>
      </c>
      <c r="AK293" s="83"/>
      <c r="AL293" s="83"/>
      <c r="AM293" s="83">
        <f t="shared" si="86"/>
        <v>0</v>
      </c>
      <c r="AN293" s="83"/>
      <c r="AO293" s="83"/>
      <c r="AP293" s="83">
        <f t="shared" si="87"/>
        <v>0</v>
      </c>
      <c r="AQ293" s="1" t="s">
        <v>71</v>
      </c>
      <c r="AR293" s="83" t="str">
        <f t="shared" si="98"/>
        <v>1.1/2"</v>
      </c>
      <c r="AS293" s="1">
        <v>1</v>
      </c>
      <c r="AT293" s="83"/>
      <c r="AU293" s="83"/>
      <c r="AV293" s="87"/>
      <c r="AW293" s="86"/>
      <c r="AX293" s="86"/>
      <c r="AY293" s="86"/>
      <c r="AZ293" s="87"/>
      <c r="BA293" s="83"/>
      <c r="BB293" s="83"/>
      <c r="BC293" s="83"/>
      <c r="BD293" s="83"/>
      <c r="BE293" s="88"/>
      <c r="BF293" s="86">
        <f t="shared" si="95"/>
        <v>5.5575001775798141</v>
      </c>
      <c r="BG293" s="89"/>
      <c r="BH293" s="89"/>
    </row>
    <row r="294" spans="1:60" s="90" customFormat="1" ht="12.75" customHeight="1" x14ac:dyDescent="0.2">
      <c r="A294" s="76">
        <v>500</v>
      </c>
      <c r="B294" s="76" t="s">
        <v>956</v>
      </c>
      <c r="C294" s="76" t="s">
        <v>938</v>
      </c>
      <c r="D294" s="77" t="s">
        <v>797</v>
      </c>
      <c r="E294" s="77"/>
      <c r="F294" s="78"/>
      <c r="G294" s="78"/>
      <c r="H294" s="78"/>
      <c r="I294" s="78"/>
      <c r="J294" s="78"/>
      <c r="K294" s="78"/>
      <c r="L294" s="78"/>
      <c r="M294" s="78"/>
      <c r="N294" s="79" t="s">
        <v>1042</v>
      </c>
      <c r="O294" s="80" t="s">
        <v>35</v>
      </c>
      <c r="P294" s="81">
        <v>30</v>
      </c>
      <c r="Q294" s="82">
        <f t="shared" si="82"/>
        <v>22.38</v>
      </c>
      <c r="R294" s="83"/>
      <c r="S294" s="84">
        <f>IF(O294="","",IF(O294="NA","",IF(O294="Mini disjuntor + DR",0.92,IF(O294="Mini disjuntor",0.92,IF(O294="Disjuntor Motor",0.92,IF(O294="Disjuntor C.M.",0.92,IF(O294="Disjuntor C.A.",0.92,IFERROR(VLOOKUP('Lista de Cargas'!P294,Motores!$B$9:$T$48,19,FALSE),"Erro"))))))))</f>
        <v>0.84</v>
      </c>
      <c r="T294" s="85">
        <f>IF(O294="","",IF(O294="NA","",IF(O294="Mini disjuntor + DR",100%,IF(O294="Mini disjuntor",100%,IF(O294="Disjuntor Motor",0.92,IF(O294="Disjuntor C.M.",100%,IF(O294="Disjuntor C.A.",100%,IFERROR(VLOOKUP('Lista de Cargas'!P294,Motores!$B$9:$T$48,16,FALSE)/100,"Erro"))))))))</f>
        <v>0.93</v>
      </c>
      <c r="U294" s="85" t="s">
        <v>445</v>
      </c>
      <c r="V294" s="84">
        <v>440</v>
      </c>
      <c r="W294" s="86">
        <f t="shared" si="96"/>
        <v>37.59105753521338</v>
      </c>
      <c r="X294" s="86">
        <f t="shared" si="83"/>
        <v>26.642857142857142</v>
      </c>
      <c r="Y294" s="86">
        <f t="shared" si="97"/>
        <v>112.77317260564014</v>
      </c>
      <c r="Z294" s="83"/>
      <c r="AA294" s="83"/>
      <c r="AB294" s="83">
        <v>0</v>
      </c>
      <c r="AC294" s="83"/>
      <c r="AD294" s="83"/>
      <c r="AE294" s="83"/>
      <c r="AF294" s="83"/>
      <c r="AG294" s="83">
        <f t="shared" si="84"/>
        <v>0</v>
      </c>
      <c r="AH294" s="83"/>
      <c r="AI294" s="83"/>
      <c r="AJ294" s="83">
        <f t="shared" si="85"/>
        <v>0</v>
      </c>
      <c r="AK294" s="83"/>
      <c r="AL294" s="83"/>
      <c r="AM294" s="83">
        <f t="shared" si="86"/>
        <v>0</v>
      </c>
      <c r="AN294" s="83"/>
      <c r="AO294" s="83"/>
      <c r="AP294" s="83">
        <f t="shared" si="87"/>
        <v>0</v>
      </c>
      <c r="AQ294" s="1" t="s">
        <v>71</v>
      </c>
      <c r="AR294" s="83" t="str">
        <f t="shared" si="98"/>
        <v>1.1/2"</v>
      </c>
      <c r="AS294" s="1">
        <v>1</v>
      </c>
      <c r="AT294" s="83"/>
      <c r="AU294" s="83"/>
      <c r="AV294" s="87"/>
      <c r="AW294" s="86"/>
      <c r="AX294" s="86"/>
      <c r="AY294" s="86"/>
      <c r="AZ294" s="87"/>
      <c r="BA294" s="83"/>
      <c r="BB294" s="83"/>
      <c r="BC294" s="83"/>
      <c r="BD294" s="83"/>
      <c r="BE294" s="88"/>
      <c r="BF294" s="86">
        <f t="shared" si="95"/>
        <v>4.9222118297615935</v>
      </c>
      <c r="BG294" s="89"/>
      <c r="BH294" s="89"/>
    </row>
    <row r="295" spans="1:60" s="90" customFormat="1" ht="12.75" customHeight="1" x14ac:dyDescent="0.2">
      <c r="A295" s="76">
        <v>500</v>
      </c>
      <c r="B295" s="76" t="s">
        <v>956</v>
      </c>
      <c r="C295" s="76" t="s">
        <v>939</v>
      </c>
      <c r="D295" s="77" t="s">
        <v>797</v>
      </c>
      <c r="E295" s="77"/>
      <c r="F295" s="78"/>
      <c r="G295" s="78"/>
      <c r="H295" s="78"/>
      <c r="I295" s="78"/>
      <c r="J295" s="78"/>
      <c r="K295" s="78"/>
      <c r="L295" s="78"/>
      <c r="M295" s="78"/>
      <c r="N295" s="79" t="s">
        <v>1042</v>
      </c>
      <c r="O295" s="80" t="s">
        <v>35</v>
      </c>
      <c r="P295" s="81">
        <v>30</v>
      </c>
      <c r="Q295" s="82">
        <f t="shared" ref="Q295:Q340" si="99">P295*0.746</f>
        <v>22.38</v>
      </c>
      <c r="R295" s="83"/>
      <c r="S295" s="84">
        <f>IF(O295="","",IF(O295="NA","",IF(O295="Mini disjuntor + DR",0.92,IF(O295="Mini disjuntor",0.92,IF(O295="Disjuntor Motor",0.92,IF(O295="Disjuntor C.M.",0.92,IF(O295="Disjuntor C.A.",0.92,IFERROR(VLOOKUP('Lista de Cargas'!P295,Motores!$B$9:$T$48,19,FALSE),"Erro"))))))))</f>
        <v>0.84</v>
      </c>
      <c r="T295" s="85">
        <f>IF(O295="","",IF(O295="NA","",IF(O295="Mini disjuntor + DR",100%,IF(O295="Mini disjuntor",100%,IF(O295="Disjuntor Motor",0.92,IF(O295="Disjuntor C.M.",100%,IF(O295="Disjuntor C.A.",100%,IFERROR(VLOOKUP('Lista de Cargas'!P295,Motores!$B$9:$T$48,16,FALSE)/100,"Erro"))))))))</f>
        <v>0.93</v>
      </c>
      <c r="U295" s="85" t="s">
        <v>445</v>
      </c>
      <c r="V295" s="84">
        <v>440</v>
      </c>
      <c r="W295" s="86">
        <f t="shared" si="96"/>
        <v>37.59105753521338</v>
      </c>
      <c r="X295" s="86">
        <f t="shared" ref="X295:X340" si="100">IFERROR(Q295/S295,0)</f>
        <v>26.642857142857142</v>
      </c>
      <c r="Y295" s="86">
        <f t="shared" si="97"/>
        <v>112.77317260564014</v>
      </c>
      <c r="Z295" s="83"/>
      <c r="AA295" s="83"/>
      <c r="AB295" s="83">
        <v>0</v>
      </c>
      <c r="AC295" s="83"/>
      <c r="AD295" s="83"/>
      <c r="AE295" s="83"/>
      <c r="AF295" s="83"/>
      <c r="AG295" s="83">
        <f t="shared" ref="AG295:AG340" si="101">SUM(AB295:AF295)</f>
        <v>0</v>
      </c>
      <c r="AH295" s="83"/>
      <c r="AI295" s="83"/>
      <c r="AJ295" s="83">
        <f t="shared" ref="AJ295:AJ340" si="102">$AG295*AH295*(1+$BJ$1)</f>
        <v>0</v>
      </c>
      <c r="AK295" s="83"/>
      <c r="AL295" s="83"/>
      <c r="AM295" s="83">
        <f t="shared" ref="AM295:AM340" si="103">$AG295*AK295*(1+$BJ$1)</f>
        <v>0</v>
      </c>
      <c r="AN295" s="83"/>
      <c r="AO295" s="83"/>
      <c r="AP295" s="83">
        <f t="shared" ref="AP295:AP340" si="104">$AG295*AN295*(1+$BJ$1)</f>
        <v>0</v>
      </c>
      <c r="AQ295" s="1" t="s">
        <v>71</v>
      </c>
      <c r="AR295" s="83" t="str">
        <f t="shared" si="98"/>
        <v>1.1/2"</v>
      </c>
      <c r="AS295" s="1">
        <v>1</v>
      </c>
      <c r="AT295" s="83"/>
      <c r="AU295" s="83"/>
      <c r="AV295" s="87"/>
      <c r="AW295" s="86"/>
      <c r="AX295" s="86"/>
      <c r="AY295" s="86"/>
      <c r="AZ295" s="87"/>
      <c r="BA295" s="83"/>
      <c r="BB295" s="83"/>
      <c r="BC295" s="83"/>
      <c r="BD295" s="83"/>
      <c r="BE295" s="88"/>
      <c r="BF295" s="86">
        <f t="shared" si="95"/>
        <v>4.9222118297615935</v>
      </c>
      <c r="BG295" s="89"/>
      <c r="BH295" s="89"/>
    </row>
    <row r="296" spans="1:60" s="90" customFormat="1" ht="12.75" customHeight="1" x14ac:dyDescent="0.2">
      <c r="A296" s="76">
        <v>500</v>
      </c>
      <c r="B296" s="76" t="s">
        <v>956</v>
      </c>
      <c r="C296" s="76" t="s">
        <v>940</v>
      </c>
      <c r="D296" s="77" t="s">
        <v>798</v>
      </c>
      <c r="E296" s="77"/>
      <c r="F296" s="78"/>
      <c r="G296" s="78"/>
      <c r="H296" s="78"/>
      <c r="I296" s="78"/>
      <c r="J296" s="78"/>
      <c r="K296" s="78"/>
      <c r="L296" s="78"/>
      <c r="M296" s="78"/>
      <c r="N296" s="79" t="s">
        <v>1042</v>
      </c>
      <c r="O296" s="80" t="s">
        <v>5</v>
      </c>
      <c r="P296" s="81">
        <v>15</v>
      </c>
      <c r="Q296" s="82">
        <f t="shared" si="99"/>
        <v>11.19</v>
      </c>
      <c r="R296" s="84"/>
      <c r="S296" s="84">
        <f>IF(O296="","",IF(O296="NA","",IF(O296="Mini disjuntor + DR",0.92,IF(O296="Mini disjuntor",0.92,IF(O296="Disjuntor Motor",0.92,IF(O296="Disjuntor C.M.",0.92,IF(O296="Disjuntor C.A.",0.92,IFERROR(VLOOKUP('Lista de Cargas'!P296,Motores!$B$9:$T$48,19,FALSE),"Erro"))))))))</f>
        <v>0.85</v>
      </c>
      <c r="T296" s="85">
        <f>IF(O296="","",IF(O296="NA","",IF(O296="Mini disjuntor + DR",100%,IF(O296="Mini disjuntor",100%,IF(O296="Disjuntor Motor",0.92,IF(O296="Disjuntor C.M.",100%,IF(O296="Disjuntor C.A.",100%,IFERROR(VLOOKUP('Lista de Cargas'!P296,Motores!$B$9:$T$48,16,FALSE)/100,"Erro"))))))))</f>
        <v>0.91700000000000004</v>
      </c>
      <c r="U296" s="85" t="s">
        <v>445</v>
      </c>
      <c r="V296" s="84">
        <v>440</v>
      </c>
      <c r="W296" s="86">
        <f t="shared" si="96"/>
        <v>18.837727979029246</v>
      </c>
      <c r="X296" s="86">
        <f t="shared" si="100"/>
        <v>13.164705882352941</v>
      </c>
      <c r="Y296" s="86">
        <f t="shared" si="97"/>
        <v>28.256591968543869</v>
      </c>
      <c r="Z296" s="83"/>
      <c r="AA296" s="83"/>
      <c r="AB296" s="83">
        <v>0</v>
      </c>
      <c r="AC296" s="83"/>
      <c r="AD296" s="83"/>
      <c r="AE296" s="83"/>
      <c r="AF296" s="83"/>
      <c r="AG296" s="83">
        <f t="shared" si="101"/>
        <v>0</v>
      </c>
      <c r="AH296" s="83"/>
      <c r="AI296" s="83"/>
      <c r="AJ296" s="83">
        <f t="shared" si="102"/>
        <v>0</v>
      </c>
      <c r="AK296" s="83"/>
      <c r="AL296" s="83"/>
      <c r="AM296" s="83">
        <f t="shared" si="103"/>
        <v>0</v>
      </c>
      <c r="AN296" s="83"/>
      <c r="AO296" s="83"/>
      <c r="AP296" s="83">
        <f t="shared" si="104"/>
        <v>0</v>
      </c>
      <c r="AQ296" s="1" t="s">
        <v>69</v>
      </c>
      <c r="AR296" s="83" t="str">
        <f t="shared" si="98"/>
        <v>1"</v>
      </c>
      <c r="AS296" s="1">
        <v>1</v>
      </c>
      <c r="AT296" s="83"/>
      <c r="AU296" s="83"/>
      <c r="AV296" s="87"/>
      <c r="AW296" s="86"/>
      <c r="AX296" s="86"/>
      <c r="AY296" s="86"/>
      <c r="AZ296" s="87"/>
      <c r="BA296" s="83"/>
      <c r="BB296" s="83"/>
      <c r="BC296" s="83"/>
      <c r="BD296" s="83"/>
      <c r="BE296" s="88"/>
      <c r="BF296" s="86">
        <f t="shared" si="95"/>
        <v>0</v>
      </c>
      <c r="BG296" s="89"/>
      <c r="BH296" s="89"/>
    </row>
    <row r="297" spans="1:60" s="90" customFormat="1" ht="12.75" customHeight="1" x14ac:dyDescent="0.2">
      <c r="A297" s="76">
        <v>500</v>
      </c>
      <c r="B297" s="76" t="s">
        <v>956</v>
      </c>
      <c r="C297" s="76" t="s">
        <v>941</v>
      </c>
      <c r="D297" s="77" t="s">
        <v>798</v>
      </c>
      <c r="E297" s="77"/>
      <c r="F297" s="78"/>
      <c r="G297" s="78"/>
      <c r="H297" s="78"/>
      <c r="I297" s="78"/>
      <c r="J297" s="78"/>
      <c r="K297" s="78"/>
      <c r="L297" s="78"/>
      <c r="M297" s="78"/>
      <c r="N297" s="79" t="s">
        <v>1042</v>
      </c>
      <c r="O297" s="80" t="s">
        <v>5</v>
      </c>
      <c r="P297" s="81">
        <v>15</v>
      </c>
      <c r="Q297" s="82">
        <f t="shared" si="99"/>
        <v>11.19</v>
      </c>
      <c r="R297" s="84"/>
      <c r="S297" s="84">
        <f>IF(O297="","",IF(O297="NA","",IF(O297="Mini disjuntor + DR",0.92,IF(O297="Mini disjuntor",0.92,IF(O297="Disjuntor Motor",0.92,IF(O297="Disjuntor C.M.",0.92,IF(O297="Disjuntor C.A.",0.92,IFERROR(VLOOKUP('Lista de Cargas'!P297,Motores!$B$9:$T$48,19,FALSE),"Erro"))))))))</f>
        <v>0.85</v>
      </c>
      <c r="T297" s="85">
        <f>IF(O297="","",IF(O297="NA","",IF(O297="Mini disjuntor + DR",100%,IF(O297="Mini disjuntor",100%,IF(O297="Disjuntor Motor",0.92,IF(O297="Disjuntor C.M.",100%,IF(O297="Disjuntor C.A.",100%,IFERROR(VLOOKUP('Lista de Cargas'!P297,Motores!$B$9:$T$48,16,FALSE)/100,"Erro"))))))))</f>
        <v>0.91700000000000004</v>
      </c>
      <c r="U297" s="85" t="s">
        <v>445</v>
      </c>
      <c r="V297" s="84">
        <v>440</v>
      </c>
      <c r="W297" s="86">
        <f t="shared" si="96"/>
        <v>18.837727979029246</v>
      </c>
      <c r="X297" s="86">
        <f t="shared" si="100"/>
        <v>13.164705882352941</v>
      </c>
      <c r="Y297" s="86">
        <f t="shared" si="97"/>
        <v>28.256591968543869</v>
      </c>
      <c r="Z297" s="83"/>
      <c r="AA297" s="83"/>
      <c r="AB297" s="83">
        <v>0</v>
      </c>
      <c r="AC297" s="83"/>
      <c r="AD297" s="83"/>
      <c r="AE297" s="83"/>
      <c r="AF297" s="83"/>
      <c r="AG297" s="83">
        <f t="shared" si="101"/>
        <v>0</v>
      </c>
      <c r="AH297" s="83"/>
      <c r="AI297" s="83"/>
      <c r="AJ297" s="83">
        <f t="shared" si="102"/>
        <v>0</v>
      </c>
      <c r="AK297" s="83"/>
      <c r="AL297" s="83"/>
      <c r="AM297" s="83">
        <f t="shared" si="103"/>
        <v>0</v>
      </c>
      <c r="AN297" s="83"/>
      <c r="AO297" s="83"/>
      <c r="AP297" s="83">
        <f t="shared" si="104"/>
        <v>0</v>
      </c>
      <c r="AQ297" s="1" t="s">
        <v>69</v>
      </c>
      <c r="AR297" s="83" t="str">
        <f t="shared" si="98"/>
        <v>1"</v>
      </c>
      <c r="AS297" s="1">
        <v>1</v>
      </c>
      <c r="AT297" s="83"/>
      <c r="AU297" s="83"/>
      <c r="AV297" s="87"/>
      <c r="AW297" s="86"/>
      <c r="AX297" s="86"/>
      <c r="AY297" s="86"/>
      <c r="AZ297" s="87"/>
      <c r="BA297" s="83"/>
      <c r="BB297" s="83"/>
      <c r="BC297" s="83"/>
      <c r="BD297" s="83"/>
      <c r="BE297" s="88"/>
      <c r="BF297" s="86">
        <f t="shared" si="95"/>
        <v>0</v>
      </c>
      <c r="BG297" s="89"/>
      <c r="BH297" s="89"/>
    </row>
    <row r="298" spans="1:60" s="90" customFormat="1" ht="12.75" customHeight="1" x14ac:dyDescent="0.2">
      <c r="A298" s="76">
        <v>500</v>
      </c>
      <c r="B298" s="76" t="s">
        <v>956</v>
      </c>
      <c r="C298" s="76" t="s">
        <v>942</v>
      </c>
      <c r="D298" s="77" t="s">
        <v>799</v>
      </c>
      <c r="E298" s="77"/>
      <c r="F298" s="78"/>
      <c r="G298" s="78"/>
      <c r="H298" s="78"/>
      <c r="I298" s="78"/>
      <c r="J298" s="78"/>
      <c r="K298" s="78"/>
      <c r="L298" s="78"/>
      <c r="M298" s="78"/>
      <c r="N298" s="79" t="s">
        <v>1042</v>
      </c>
      <c r="O298" s="80" t="s">
        <v>5</v>
      </c>
      <c r="P298" s="81">
        <v>7.5</v>
      </c>
      <c r="Q298" s="82">
        <f t="shared" si="99"/>
        <v>5.5949999999999998</v>
      </c>
      <c r="R298" s="84"/>
      <c r="S298" s="84">
        <f>IF(O298="","",IF(O298="NA","",IF(O298="Mini disjuntor + DR",0.92,IF(O298="Mini disjuntor",0.92,IF(O298="Disjuntor Motor",0.92,IF(O298="Disjuntor C.M.",0.92,IF(O298="Disjuntor C.A.",0.92,IFERROR(VLOOKUP('Lista de Cargas'!P298,Motores!$B$9:$T$48,19,FALSE),"Erro"))))))))</f>
        <v>0.79</v>
      </c>
      <c r="T298" s="85">
        <f>IF(O298="","",IF(O298="NA","",IF(O298="Mini disjuntor + DR",100%,IF(O298="Mini disjuntor",100%,IF(O298="Disjuntor Motor",0.92,IF(O298="Disjuntor C.M.",100%,IF(O298="Disjuntor C.A.",100%,IFERROR(VLOOKUP('Lista de Cargas'!P298,Motores!$B$9:$T$48,16,FALSE)/100,"Erro"))))))))</f>
        <v>0.9</v>
      </c>
      <c r="U298" s="85" t="s">
        <v>445</v>
      </c>
      <c r="V298" s="84">
        <v>440</v>
      </c>
      <c r="W298" s="86">
        <f t="shared" si="96"/>
        <v>10.325644917900386</v>
      </c>
      <c r="X298" s="86">
        <f t="shared" si="100"/>
        <v>7.0822784810126578</v>
      </c>
      <c r="Y298" s="86">
        <f t="shared" si="97"/>
        <v>15.488467376850579</v>
      </c>
      <c r="Z298" s="83"/>
      <c r="AA298" s="83"/>
      <c r="AB298" s="83">
        <v>0</v>
      </c>
      <c r="AC298" s="83"/>
      <c r="AD298" s="83"/>
      <c r="AE298" s="83"/>
      <c r="AF298" s="83"/>
      <c r="AG298" s="83">
        <f t="shared" si="101"/>
        <v>0</v>
      </c>
      <c r="AH298" s="83"/>
      <c r="AI298" s="83"/>
      <c r="AJ298" s="83">
        <f t="shared" si="102"/>
        <v>0</v>
      </c>
      <c r="AK298" s="83"/>
      <c r="AL298" s="83"/>
      <c r="AM298" s="83">
        <f t="shared" si="103"/>
        <v>0</v>
      </c>
      <c r="AN298" s="83"/>
      <c r="AO298" s="83"/>
      <c r="AP298" s="83">
        <f t="shared" si="104"/>
        <v>0</v>
      </c>
      <c r="AQ298" s="1" t="s">
        <v>69</v>
      </c>
      <c r="AR298" s="83" t="str">
        <f t="shared" si="98"/>
        <v>1"</v>
      </c>
      <c r="AS298" s="1">
        <v>1</v>
      </c>
      <c r="AT298" s="83"/>
      <c r="AU298" s="83"/>
      <c r="AV298" s="87"/>
      <c r="AW298" s="86"/>
      <c r="AX298" s="86"/>
      <c r="AY298" s="86"/>
      <c r="AZ298" s="87"/>
      <c r="BA298" s="83"/>
      <c r="BB298" s="83"/>
      <c r="BC298" s="83"/>
      <c r="BD298" s="83"/>
      <c r="BE298" s="88"/>
      <c r="BF298" s="86">
        <f t="shared" si="95"/>
        <v>0</v>
      </c>
      <c r="BG298" s="89"/>
      <c r="BH298" s="89"/>
    </row>
    <row r="299" spans="1:60" s="90" customFormat="1" ht="12.75" customHeight="1" x14ac:dyDescent="0.2">
      <c r="A299" s="76">
        <v>500</v>
      </c>
      <c r="B299" s="76" t="s">
        <v>956</v>
      </c>
      <c r="C299" s="76" t="s">
        <v>943</v>
      </c>
      <c r="D299" s="77" t="s">
        <v>799</v>
      </c>
      <c r="E299" s="77"/>
      <c r="F299" s="78"/>
      <c r="G299" s="78"/>
      <c r="H299" s="78"/>
      <c r="I299" s="78"/>
      <c r="J299" s="78"/>
      <c r="K299" s="78"/>
      <c r="L299" s="78"/>
      <c r="M299" s="78"/>
      <c r="N299" s="79" t="s">
        <v>1042</v>
      </c>
      <c r="O299" s="80" t="s">
        <v>5</v>
      </c>
      <c r="P299" s="81">
        <v>7.5</v>
      </c>
      <c r="Q299" s="82">
        <f t="shared" si="99"/>
        <v>5.5949999999999998</v>
      </c>
      <c r="R299" s="84"/>
      <c r="S299" s="84">
        <f>IF(O299="","",IF(O299="NA","",IF(O299="Mini disjuntor + DR",0.92,IF(O299="Mini disjuntor",0.92,IF(O299="Disjuntor Motor",0.92,IF(O299="Disjuntor C.M.",0.92,IF(O299="Disjuntor C.A.",0.92,IFERROR(VLOOKUP('Lista de Cargas'!P299,Motores!$B$9:$T$48,19,FALSE),"Erro"))))))))</f>
        <v>0.79</v>
      </c>
      <c r="T299" s="85">
        <f>IF(O299="","",IF(O299="NA","",IF(O299="Mini disjuntor + DR",100%,IF(O299="Mini disjuntor",100%,IF(O299="Disjuntor Motor",0.92,IF(O299="Disjuntor C.M.",100%,IF(O299="Disjuntor C.A.",100%,IFERROR(VLOOKUP('Lista de Cargas'!P299,Motores!$B$9:$T$48,16,FALSE)/100,"Erro"))))))))</f>
        <v>0.9</v>
      </c>
      <c r="U299" s="85" t="s">
        <v>445</v>
      </c>
      <c r="V299" s="84">
        <v>440</v>
      </c>
      <c r="W299" s="86">
        <f t="shared" si="96"/>
        <v>10.325644917900386</v>
      </c>
      <c r="X299" s="86">
        <f t="shared" si="100"/>
        <v>7.0822784810126578</v>
      </c>
      <c r="Y299" s="86">
        <f t="shared" si="97"/>
        <v>15.488467376850579</v>
      </c>
      <c r="Z299" s="83"/>
      <c r="AA299" s="83"/>
      <c r="AB299" s="83">
        <v>0</v>
      </c>
      <c r="AC299" s="83"/>
      <c r="AD299" s="83"/>
      <c r="AE299" s="83"/>
      <c r="AF299" s="83"/>
      <c r="AG299" s="83">
        <f t="shared" si="101"/>
        <v>0</v>
      </c>
      <c r="AH299" s="83"/>
      <c r="AI299" s="83"/>
      <c r="AJ299" s="83">
        <f t="shared" si="102"/>
        <v>0</v>
      </c>
      <c r="AK299" s="83"/>
      <c r="AL299" s="83"/>
      <c r="AM299" s="83">
        <f t="shared" si="103"/>
        <v>0</v>
      </c>
      <c r="AN299" s="83"/>
      <c r="AO299" s="83"/>
      <c r="AP299" s="83">
        <f t="shared" si="104"/>
        <v>0</v>
      </c>
      <c r="AQ299" s="1" t="s">
        <v>69</v>
      </c>
      <c r="AR299" s="83" t="str">
        <f t="shared" si="98"/>
        <v>1"</v>
      </c>
      <c r="AS299" s="1">
        <v>1</v>
      </c>
      <c r="AT299" s="83"/>
      <c r="AU299" s="83"/>
      <c r="AV299" s="87"/>
      <c r="AW299" s="86"/>
      <c r="AX299" s="86"/>
      <c r="AY299" s="86"/>
      <c r="AZ299" s="87"/>
      <c r="BA299" s="83"/>
      <c r="BB299" s="83"/>
      <c r="BC299" s="83"/>
      <c r="BD299" s="83"/>
      <c r="BE299" s="88"/>
      <c r="BF299" s="86">
        <f t="shared" si="95"/>
        <v>0</v>
      </c>
      <c r="BG299" s="89"/>
      <c r="BH299" s="89"/>
    </row>
    <row r="300" spans="1:60" s="90" customFormat="1" ht="12.75" customHeight="1" x14ac:dyDescent="0.2">
      <c r="A300" s="76">
        <v>500</v>
      </c>
      <c r="B300" s="76" t="s">
        <v>956</v>
      </c>
      <c r="C300" s="76" t="s">
        <v>958</v>
      </c>
      <c r="D300" s="77" t="s">
        <v>800</v>
      </c>
      <c r="E300" s="77"/>
      <c r="F300" s="78"/>
      <c r="G300" s="78"/>
      <c r="H300" s="78"/>
      <c r="I300" s="78"/>
      <c r="J300" s="78"/>
      <c r="K300" s="78"/>
      <c r="L300" s="78"/>
      <c r="M300" s="78"/>
      <c r="N300" s="79" t="s">
        <v>1042</v>
      </c>
      <c r="O300" s="80" t="s">
        <v>34</v>
      </c>
      <c r="P300" s="81">
        <v>10</v>
      </c>
      <c r="Q300" s="82">
        <f t="shared" si="99"/>
        <v>7.46</v>
      </c>
      <c r="R300" s="84"/>
      <c r="S300" s="84">
        <f>IF(O300="","",IF(O300="NA","",IF(O300="Mini disjuntor + DR",0.92,IF(O300="Mini disjuntor",0.92,IF(O300="Disjuntor Motor",0.92,IF(O300="Disjuntor C.M.",0.92,IF(O300="Disjuntor C.A.",0.92,IFERROR(VLOOKUP('Lista de Cargas'!P300,Motores!$B$9:$T$48,19,FALSE),"Erro"))))))))</f>
        <v>0.84</v>
      </c>
      <c r="T300" s="85">
        <f>IF(O300="","",IF(O300="NA","",IF(O300="Mini disjuntor + DR",100%,IF(O300="Mini disjuntor",100%,IF(O300="Disjuntor Motor",0.92,IF(O300="Disjuntor C.M.",100%,IF(O300="Disjuntor C.A.",100%,IFERROR(VLOOKUP('Lista de Cargas'!P300,Motores!$B$9:$T$48,16,FALSE)/100,"Erro"))))))))</f>
        <v>0.91</v>
      </c>
      <c r="U300" s="85" t="s">
        <v>445</v>
      </c>
      <c r="V300" s="84">
        <v>440</v>
      </c>
      <c r="W300" s="86">
        <f t="shared" si="96"/>
        <v>12.805744874633129</v>
      </c>
      <c r="X300" s="86">
        <f t="shared" si="100"/>
        <v>8.8809523809523814</v>
      </c>
      <c r="Y300" s="86">
        <f t="shared" si="97"/>
        <v>76.834469247798779</v>
      </c>
      <c r="Z300" s="83"/>
      <c r="AA300" s="83"/>
      <c r="AB300" s="83">
        <v>0</v>
      </c>
      <c r="AC300" s="83"/>
      <c r="AD300" s="83"/>
      <c r="AE300" s="83"/>
      <c r="AF300" s="83"/>
      <c r="AG300" s="83">
        <f t="shared" si="101"/>
        <v>0</v>
      </c>
      <c r="AH300" s="83"/>
      <c r="AI300" s="83"/>
      <c r="AJ300" s="83">
        <f t="shared" si="102"/>
        <v>0</v>
      </c>
      <c r="AK300" s="83"/>
      <c r="AL300" s="83"/>
      <c r="AM300" s="83">
        <f t="shared" si="103"/>
        <v>0</v>
      </c>
      <c r="AN300" s="83"/>
      <c r="AO300" s="83"/>
      <c r="AP300" s="83">
        <f t="shared" si="104"/>
        <v>0</v>
      </c>
      <c r="AQ300" s="1" t="s">
        <v>69</v>
      </c>
      <c r="AR300" s="83" t="str">
        <f t="shared" si="98"/>
        <v>1"</v>
      </c>
      <c r="AS300" s="1">
        <v>1</v>
      </c>
      <c r="AT300" s="83"/>
      <c r="AU300" s="83"/>
      <c r="AV300" s="87"/>
      <c r="AW300" s="86"/>
      <c r="AX300" s="86"/>
      <c r="AY300" s="86"/>
      <c r="AZ300" s="87"/>
      <c r="BA300" s="83"/>
      <c r="BB300" s="83"/>
      <c r="BC300" s="83"/>
      <c r="BD300" s="83"/>
      <c r="BE300" s="88"/>
      <c r="BF300" s="86">
        <f t="shared" si="95"/>
        <v>1.6407372765871995</v>
      </c>
      <c r="BG300" s="89"/>
      <c r="BH300" s="89"/>
    </row>
    <row r="301" spans="1:60" s="90" customFormat="1" ht="12.75" customHeight="1" x14ac:dyDescent="0.2">
      <c r="A301" s="76">
        <v>500</v>
      </c>
      <c r="B301" s="76" t="s">
        <v>956</v>
      </c>
      <c r="C301" s="76" t="s">
        <v>631</v>
      </c>
      <c r="D301" s="77" t="s">
        <v>801</v>
      </c>
      <c r="E301" s="77"/>
      <c r="F301" s="78"/>
      <c r="G301" s="78"/>
      <c r="H301" s="78"/>
      <c r="I301" s="78"/>
      <c r="J301" s="78"/>
      <c r="K301" s="78"/>
      <c r="L301" s="78"/>
      <c r="M301" s="78"/>
      <c r="N301" s="79" t="s">
        <v>1042</v>
      </c>
      <c r="O301" s="80" t="s">
        <v>5</v>
      </c>
      <c r="P301" s="81">
        <v>40</v>
      </c>
      <c r="Q301" s="82">
        <f t="shared" si="99"/>
        <v>29.84</v>
      </c>
      <c r="R301" s="84"/>
      <c r="S301" s="84">
        <f>IF(O301="","",IF(O301="NA","",IF(O301="Mini disjuntor + DR",0.92,IF(O301="Mini disjuntor",0.92,IF(O301="Disjuntor Motor",0.92,IF(O301="Disjuntor C.M.",0.92,IF(O301="Disjuntor C.A.",0.92,IFERROR(VLOOKUP('Lista de Cargas'!P301,Motores!$B$9:$T$48,19,FALSE),"Erro"))))))))</f>
        <v>0.85</v>
      </c>
      <c r="T301" s="85">
        <f>IF(O301="","",IF(O301="NA","",IF(O301="Mini disjuntor + DR",100%,IF(O301="Mini disjuntor",100%,IF(O301="Disjuntor Motor",0.92,IF(O301="Disjuntor C.M.",100%,IF(O301="Disjuntor C.A.",100%,IFERROR(VLOOKUP('Lista de Cargas'!P301,Motores!$B$9:$T$48,16,FALSE)/100,"Erro"))))))))</f>
        <v>0.93400000000000005</v>
      </c>
      <c r="U301" s="85" t="s">
        <v>445</v>
      </c>
      <c r="V301" s="84">
        <v>440</v>
      </c>
      <c r="W301" s="86">
        <f t="shared" si="96"/>
        <v>49.319619005766796</v>
      </c>
      <c r="X301" s="86">
        <f t="shared" si="100"/>
        <v>35.10588235294118</v>
      </c>
      <c r="Y301" s="86">
        <f t="shared" si="97"/>
        <v>73.979428508650187</v>
      </c>
      <c r="Z301" s="83"/>
      <c r="AA301" s="83"/>
      <c r="AB301" s="83">
        <v>0</v>
      </c>
      <c r="AC301" s="83"/>
      <c r="AD301" s="83"/>
      <c r="AE301" s="83"/>
      <c r="AF301" s="83"/>
      <c r="AG301" s="83">
        <f t="shared" si="101"/>
        <v>0</v>
      </c>
      <c r="AH301" s="83"/>
      <c r="AI301" s="83"/>
      <c r="AJ301" s="83">
        <f t="shared" si="102"/>
        <v>0</v>
      </c>
      <c r="AK301" s="83"/>
      <c r="AL301" s="83"/>
      <c r="AM301" s="83">
        <f t="shared" si="103"/>
        <v>0</v>
      </c>
      <c r="AN301" s="83"/>
      <c r="AO301" s="83"/>
      <c r="AP301" s="83">
        <f t="shared" si="104"/>
        <v>0</v>
      </c>
      <c r="AQ301" s="1" t="s">
        <v>72</v>
      </c>
      <c r="AR301" s="83" t="str">
        <f t="shared" si="98"/>
        <v>2"</v>
      </c>
      <c r="AS301" s="1">
        <v>1</v>
      </c>
      <c r="AT301" s="83"/>
      <c r="AU301" s="83"/>
      <c r="AV301" s="87"/>
      <c r="AW301" s="86"/>
      <c r="AX301" s="86"/>
      <c r="AY301" s="86"/>
      <c r="AZ301" s="87"/>
      <c r="BA301" s="83"/>
      <c r="BB301" s="83"/>
      <c r="BC301" s="83"/>
      <c r="BD301" s="83"/>
      <c r="BE301" s="88"/>
      <c r="BF301" s="86">
        <f t="shared" si="95"/>
        <v>0</v>
      </c>
      <c r="BG301" s="89"/>
      <c r="BH301" s="89"/>
    </row>
    <row r="302" spans="1:60" s="90" customFormat="1" ht="12.75" customHeight="1" x14ac:dyDescent="0.2">
      <c r="A302" s="76">
        <v>500</v>
      </c>
      <c r="B302" s="76" t="s">
        <v>956</v>
      </c>
      <c r="C302" s="76" t="s">
        <v>632</v>
      </c>
      <c r="D302" s="77" t="s">
        <v>802</v>
      </c>
      <c r="E302" s="77"/>
      <c r="F302" s="78"/>
      <c r="G302" s="78"/>
      <c r="H302" s="78"/>
      <c r="I302" s="78"/>
      <c r="J302" s="78"/>
      <c r="K302" s="78"/>
      <c r="L302" s="78"/>
      <c r="M302" s="78"/>
      <c r="N302" s="79" t="s">
        <v>1042</v>
      </c>
      <c r="O302" s="80" t="s">
        <v>34</v>
      </c>
      <c r="P302" s="81">
        <v>10</v>
      </c>
      <c r="Q302" s="82">
        <f t="shared" si="99"/>
        <v>7.46</v>
      </c>
      <c r="R302" s="84"/>
      <c r="S302" s="84">
        <f>IF(O302="","",IF(O302="NA","",IF(O302="Mini disjuntor + DR",0.92,IF(O302="Mini disjuntor",0.92,IF(O302="Disjuntor Motor",0.92,IF(O302="Disjuntor C.M.",0.92,IF(O302="Disjuntor C.A.",0.92,IFERROR(VLOOKUP('Lista de Cargas'!P302,Motores!$B$9:$T$48,19,FALSE),"Erro"))))))))</f>
        <v>0.84</v>
      </c>
      <c r="T302" s="85">
        <f>IF(O302="","",IF(O302="NA","",IF(O302="Mini disjuntor + DR",100%,IF(O302="Mini disjuntor",100%,IF(O302="Disjuntor Motor",0.92,IF(O302="Disjuntor C.M.",100%,IF(O302="Disjuntor C.A.",100%,IFERROR(VLOOKUP('Lista de Cargas'!P302,Motores!$B$9:$T$48,16,FALSE)/100,"Erro"))))))))</f>
        <v>0.91</v>
      </c>
      <c r="U302" s="85" t="s">
        <v>445</v>
      </c>
      <c r="V302" s="84">
        <v>440</v>
      </c>
      <c r="W302" s="86">
        <f t="shared" si="96"/>
        <v>12.805744874633129</v>
      </c>
      <c r="X302" s="86">
        <f t="shared" si="100"/>
        <v>8.8809523809523814</v>
      </c>
      <c r="Y302" s="86">
        <f t="shared" si="97"/>
        <v>76.834469247798779</v>
      </c>
      <c r="Z302" s="83"/>
      <c r="AA302" s="83"/>
      <c r="AB302" s="83">
        <v>0</v>
      </c>
      <c r="AC302" s="83"/>
      <c r="AD302" s="83"/>
      <c r="AE302" s="83"/>
      <c r="AF302" s="83"/>
      <c r="AG302" s="83">
        <f t="shared" si="101"/>
        <v>0</v>
      </c>
      <c r="AH302" s="83"/>
      <c r="AI302" s="83"/>
      <c r="AJ302" s="83">
        <f t="shared" si="102"/>
        <v>0</v>
      </c>
      <c r="AK302" s="83"/>
      <c r="AL302" s="83"/>
      <c r="AM302" s="83">
        <f t="shared" si="103"/>
        <v>0</v>
      </c>
      <c r="AN302" s="83"/>
      <c r="AO302" s="83"/>
      <c r="AP302" s="83">
        <f t="shared" si="104"/>
        <v>0</v>
      </c>
      <c r="AQ302" s="1" t="s">
        <v>69</v>
      </c>
      <c r="AR302" s="83" t="str">
        <f t="shared" si="98"/>
        <v>1"</v>
      </c>
      <c r="AS302" s="1">
        <v>1</v>
      </c>
      <c r="AT302" s="83"/>
      <c r="AU302" s="83"/>
      <c r="AV302" s="87"/>
      <c r="AW302" s="86"/>
      <c r="AX302" s="86"/>
      <c r="AY302" s="86"/>
      <c r="AZ302" s="87"/>
      <c r="BA302" s="83"/>
      <c r="BB302" s="83"/>
      <c r="BC302" s="83"/>
      <c r="BD302" s="83"/>
      <c r="BE302" s="88"/>
      <c r="BF302" s="86">
        <f t="shared" si="95"/>
        <v>1.6407372765871995</v>
      </c>
      <c r="BG302" s="89"/>
      <c r="BH302" s="89"/>
    </row>
    <row r="303" spans="1:60" s="90" customFormat="1" ht="12.75" customHeight="1" x14ac:dyDescent="0.2">
      <c r="A303" s="76">
        <v>500</v>
      </c>
      <c r="B303" s="76" t="s">
        <v>956</v>
      </c>
      <c r="C303" s="76" t="s">
        <v>944</v>
      </c>
      <c r="D303" s="77" t="s">
        <v>803</v>
      </c>
      <c r="E303" s="77"/>
      <c r="F303" s="78"/>
      <c r="G303" s="78"/>
      <c r="H303" s="78"/>
      <c r="I303" s="78"/>
      <c r="J303" s="78"/>
      <c r="K303" s="78"/>
      <c r="L303" s="78"/>
      <c r="M303" s="78"/>
      <c r="N303" s="79" t="s">
        <v>1042</v>
      </c>
      <c r="O303" s="80" t="s">
        <v>5</v>
      </c>
      <c r="P303" s="81">
        <v>15</v>
      </c>
      <c r="Q303" s="82">
        <f t="shared" si="99"/>
        <v>11.19</v>
      </c>
      <c r="R303" s="84"/>
      <c r="S303" s="84">
        <f>IF(O303="","",IF(O303="NA","",IF(O303="Mini disjuntor + DR",0.92,IF(O303="Mini disjuntor",0.92,IF(O303="Disjuntor Motor",0.92,IF(O303="Disjuntor C.M.",0.92,IF(O303="Disjuntor C.A.",0.92,IFERROR(VLOOKUP('Lista de Cargas'!P303,Motores!$B$9:$T$48,19,FALSE),"Erro"))))))))</f>
        <v>0.85</v>
      </c>
      <c r="T303" s="85">
        <f>IF(O303="","",IF(O303="NA","",IF(O303="Mini disjuntor + DR",100%,IF(O303="Mini disjuntor",100%,IF(O303="Disjuntor Motor",0.92,IF(O303="Disjuntor C.M.",100%,IF(O303="Disjuntor C.A.",100%,IFERROR(VLOOKUP('Lista de Cargas'!P303,Motores!$B$9:$T$48,16,FALSE)/100,"Erro"))))))))</f>
        <v>0.91700000000000004</v>
      </c>
      <c r="U303" s="85" t="s">
        <v>445</v>
      </c>
      <c r="V303" s="84">
        <v>440</v>
      </c>
      <c r="W303" s="86">
        <f t="shared" si="96"/>
        <v>18.837727979029246</v>
      </c>
      <c r="X303" s="86">
        <f t="shared" si="100"/>
        <v>13.164705882352941</v>
      </c>
      <c r="Y303" s="86">
        <f t="shared" si="97"/>
        <v>28.256591968543869</v>
      </c>
      <c r="Z303" s="83"/>
      <c r="AA303" s="83"/>
      <c r="AB303" s="83">
        <v>0</v>
      </c>
      <c r="AC303" s="83"/>
      <c r="AD303" s="83"/>
      <c r="AE303" s="83"/>
      <c r="AF303" s="83"/>
      <c r="AG303" s="83">
        <f t="shared" si="101"/>
        <v>0</v>
      </c>
      <c r="AH303" s="83"/>
      <c r="AI303" s="83"/>
      <c r="AJ303" s="83">
        <f t="shared" si="102"/>
        <v>0</v>
      </c>
      <c r="AK303" s="83"/>
      <c r="AL303" s="83"/>
      <c r="AM303" s="83">
        <f t="shared" si="103"/>
        <v>0</v>
      </c>
      <c r="AN303" s="83"/>
      <c r="AO303" s="83"/>
      <c r="AP303" s="83">
        <f t="shared" si="104"/>
        <v>0</v>
      </c>
      <c r="AQ303" s="1" t="s">
        <v>69</v>
      </c>
      <c r="AR303" s="83" t="str">
        <f t="shared" si="98"/>
        <v>1"</v>
      </c>
      <c r="AS303" s="1">
        <v>1</v>
      </c>
      <c r="AT303" s="83"/>
      <c r="AU303" s="83"/>
      <c r="AV303" s="87"/>
      <c r="AW303" s="86"/>
      <c r="AX303" s="86"/>
      <c r="AY303" s="86"/>
      <c r="AZ303" s="87"/>
      <c r="BA303" s="83"/>
      <c r="BB303" s="83"/>
      <c r="BC303" s="83"/>
      <c r="BD303" s="83"/>
      <c r="BE303" s="88"/>
      <c r="BF303" s="86">
        <f t="shared" si="95"/>
        <v>0</v>
      </c>
      <c r="BG303" s="89"/>
      <c r="BH303" s="89"/>
    </row>
    <row r="304" spans="1:60" s="90" customFormat="1" ht="12.75" customHeight="1" x14ac:dyDescent="0.2">
      <c r="A304" s="76">
        <v>500</v>
      </c>
      <c r="B304" s="76" t="s">
        <v>956</v>
      </c>
      <c r="C304" s="76" t="s">
        <v>945</v>
      </c>
      <c r="D304" s="77" t="s">
        <v>803</v>
      </c>
      <c r="E304" s="77"/>
      <c r="F304" s="78"/>
      <c r="G304" s="78"/>
      <c r="H304" s="78"/>
      <c r="I304" s="78"/>
      <c r="J304" s="78"/>
      <c r="K304" s="78"/>
      <c r="L304" s="78"/>
      <c r="M304" s="78"/>
      <c r="N304" s="79" t="s">
        <v>1042</v>
      </c>
      <c r="O304" s="80" t="s">
        <v>5</v>
      </c>
      <c r="P304" s="81">
        <v>15</v>
      </c>
      <c r="Q304" s="82">
        <f t="shared" si="99"/>
        <v>11.19</v>
      </c>
      <c r="R304" s="84"/>
      <c r="S304" s="84">
        <f>IF(O304="","",IF(O304="NA","",IF(O304="Mini disjuntor + DR",0.92,IF(O304="Mini disjuntor",0.92,IF(O304="Disjuntor Motor",0.92,IF(O304="Disjuntor C.M.",0.92,IF(O304="Disjuntor C.A.",0.92,IFERROR(VLOOKUP('Lista de Cargas'!P304,Motores!$B$9:$T$48,19,FALSE),"Erro"))))))))</f>
        <v>0.85</v>
      </c>
      <c r="T304" s="85">
        <f>IF(O304="","",IF(O304="NA","",IF(O304="Mini disjuntor + DR",100%,IF(O304="Mini disjuntor",100%,IF(O304="Disjuntor Motor",0.92,IF(O304="Disjuntor C.M.",100%,IF(O304="Disjuntor C.A.",100%,IFERROR(VLOOKUP('Lista de Cargas'!P304,Motores!$B$9:$T$48,16,FALSE)/100,"Erro"))))))))</f>
        <v>0.91700000000000004</v>
      </c>
      <c r="U304" s="85" t="s">
        <v>445</v>
      </c>
      <c r="V304" s="84">
        <v>440</v>
      </c>
      <c r="W304" s="86">
        <f t="shared" si="96"/>
        <v>18.837727979029246</v>
      </c>
      <c r="X304" s="86">
        <f t="shared" si="100"/>
        <v>13.164705882352941</v>
      </c>
      <c r="Y304" s="86">
        <f t="shared" si="97"/>
        <v>28.256591968543869</v>
      </c>
      <c r="Z304" s="83"/>
      <c r="AA304" s="83"/>
      <c r="AB304" s="83">
        <v>0</v>
      </c>
      <c r="AC304" s="83"/>
      <c r="AD304" s="83"/>
      <c r="AE304" s="83"/>
      <c r="AF304" s="83"/>
      <c r="AG304" s="83">
        <f t="shared" si="101"/>
        <v>0</v>
      </c>
      <c r="AH304" s="83"/>
      <c r="AI304" s="83"/>
      <c r="AJ304" s="83">
        <f t="shared" si="102"/>
        <v>0</v>
      </c>
      <c r="AK304" s="83"/>
      <c r="AL304" s="83"/>
      <c r="AM304" s="83">
        <f t="shared" si="103"/>
        <v>0</v>
      </c>
      <c r="AN304" s="83"/>
      <c r="AO304" s="83"/>
      <c r="AP304" s="83">
        <f t="shared" si="104"/>
        <v>0</v>
      </c>
      <c r="AQ304" s="1" t="s">
        <v>69</v>
      </c>
      <c r="AR304" s="83" t="str">
        <f t="shared" ref="AR304:AR311" si="105">IFERROR(VLOOKUP(AQ304,$O$368:$P$412,2,1),"NA")</f>
        <v>1"</v>
      </c>
      <c r="AS304" s="1">
        <v>1</v>
      </c>
      <c r="AT304" s="83"/>
      <c r="AU304" s="83"/>
      <c r="AV304" s="87"/>
      <c r="AW304" s="86"/>
      <c r="AX304" s="86"/>
      <c r="AY304" s="86"/>
      <c r="AZ304" s="87"/>
      <c r="BA304" s="83"/>
      <c r="BB304" s="83"/>
      <c r="BC304" s="83"/>
      <c r="BD304" s="83"/>
      <c r="BE304" s="88"/>
      <c r="BF304" s="86">
        <f t="shared" si="95"/>
        <v>0</v>
      </c>
      <c r="BG304" s="89"/>
      <c r="BH304" s="89"/>
    </row>
    <row r="305" spans="1:60" s="90" customFormat="1" ht="12.75" customHeight="1" x14ac:dyDescent="0.2">
      <c r="A305" s="76">
        <v>500</v>
      </c>
      <c r="B305" s="76" t="s">
        <v>956</v>
      </c>
      <c r="C305" s="76" t="s">
        <v>946</v>
      </c>
      <c r="D305" s="77" t="s">
        <v>804</v>
      </c>
      <c r="E305" s="77"/>
      <c r="F305" s="78"/>
      <c r="G305" s="78"/>
      <c r="H305" s="78"/>
      <c r="I305" s="78"/>
      <c r="J305" s="78"/>
      <c r="K305" s="78"/>
      <c r="L305" s="78"/>
      <c r="M305" s="78"/>
      <c r="N305" s="79" t="s">
        <v>1042</v>
      </c>
      <c r="O305" s="80" t="s">
        <v>5</v>
      </c>
      <c r="P305" s="81">
        <v>60</v>
      </c>
      <c r="Q305" s="82">
        <f t="shared" si="99"/>
        <v>44.76</v>
      </c>
      <c r="R305" s="84"/>
      <c r="S305" s="84">
        <f>IF(O305="","",IF(O305="NA","",IF(O305="Mini disjuntor + DR",0.92,IF(O305="Mini disjuntor",0.92,IF(O305="Disjuntor Motor",0.92,IF(O305="Disjuntor C.M.",0.92,IF(O305="Disjuntor C.A.",0.92,IFERROR(VLOOKUP('Lista de Cargas'!P305,Motores!$B$9:$T$48,19,FALSE),"Erro"))))))))</f>
        <v>0.86</v>
      </c>
      <c r="T305" s="85">
        <f>IF(O305="","",IF(O305="NA","",IF(O305="Mini disjuntor + DR",100%,IF(O305="Mini disjuntor",100%,IF(O305="Disjuntor Motor",0.92,IF(O305="Disjuntor C.M.",100%,IF(O305="Disjuntor C.A.",100%,IFERROR(VLOOKUP('Lista de Cargas'!P305,Motores!$B$9:$T$48,16,FALSE)/100,"Erro"))))))))</f>
        <v>0.94099999999999995</v>
      </c>
      <c r="U305" s="85" t="s">
        <v>445</v>
      </c>
      <c r="V305" s="84">
        <v>440</v>
      </c>
      <c r="W305" s="86">
        <f t="shared" si="96"/>
        <v>72.57527654031756</v>
      </c>
      <c r="X305" s="86">
        <f t="shared" si="100"/>
        <v>52.046511627906973</v>
      </c>
      <c r="Y305" s="86">
        <f t="shared" si="97"/>
        <v>108.86291481047634</v>
      </c>
      <c r="Z305" s="83"/>
      <c r="AA305" s="83"/>
      <c r="AB305" s="83">
        <v>0</v>
      </c>
      <c r="AC305" s="83"/>
      <c r="AD305" s="83"/>
      <c r="AE305" s="83"/>
      <c r="AF305" s="83"/>
      <c r="AG305" s="83">
        <f t="shared" si="101"/>
        <v>0</v>
      </c>
      <c r="AH305" s="83"/>
      <c r="AI305" s="83"/>
      <c r="AJ305" s="83">
        <f t="shared" si="102"/>
        <v>0</v>
      </c>
      <c r="AK305" s="83"/>
      <c r="AL305" s="83"/>
      <c r="AM305" s="83">
        <f t="shared" si="103"/>
        <v>0</v>
      </c>
      <c r="AN305" s="83"/>
      <c r="AO305" s="83"/>
      <c r="AP305" s="83">
        <f t="shared" si="104"/>
        <v>0</v>
      </c>
      <c r="AQ305" s="1" t="s">
        <v>72</v>
      </c>
      <c r="AR305" s="83" t="str">
        <f t="shared" si="105"/>
        <v>2"</v>
      </c>
      <c r="AS305" s="1">
        <v>1</v>
      </c>
      <c r="AT305" s="83"/>
      <c r="AU305" s="83"/>
      <c r="AV305" s="87"/>
      <c r="AW305" s="86"/>
      <c r="AX305" s="86"/>
      <c r="AY305" s="86"/>
      <c r="AZ305" s="87"/>
      <c r="BA305" s="83"/>
      <c r="BB305" s="83"/>
      <c r="BC305" s="83"/>
      <c r="BD305" s="83"/>
      <c r="BE305" s="88"/>
      <c r="BF305" s="86">
        <f t="shared" si="95"/>
        <v>0</v>
      </c>
      <c r="BG305" s="89"/>
      <c r="BH305" s="89"/>
    </row>
    <row r="306" spans="1:60" s="90" customFormat="1" ht="12.75" customHeight="1" x14ac:dyDescent="0.2">
      <c r="A306" s="76">
        <v>500</v>
      </c>
      <c r="B306" s="76" t="s">
        <v>956</v>
      </c>
      <c r="C306" s="76" t="s">
        <v>947</v>
      </c>
      <c r="D306" s="77" t="s">
        <v>804</v>
      </c>
      <c r="E306" s="77"/>
      <c r="F306" s="78"/>
      <c r="G306" s="78"/>
      <c r="H306" s="78"/>
      <c r="I306" s="78"/>
      <c r="J306" s="78"/>
      <c r="K306" s="78"/>
      <c r="L306" s="78"/>
      <c r="M306" s="78"/>
      <c r="N306" s="79" t="s">
        <v>1042</v>
      </c>
      <c r="O306" s="80" t="s">
        <v>5</v>
      </c>
      <c r="P306" s="81">
        <v>60</v>
      </c>
      <c r="Q306" s="82">
        <f t="shared" si="99"/>
        <v>44.76</v>
      </c>
      <c r="R306" s="84"/>
      <c r="S306" s="84">
        <f>IF(O306="","",IF(O306="NA","",IF(O306="Mini disjuntor + DR",0.92,IF(O306="Mini disjuntor",0.92,IF(O306="Disjuntor Motor",0.92,IF(O306="Disjuntor C.M.",0.92,IF(O306="Disjuntor C.A.",0.92,IFERROR(VLOOKUP('Lista de Cargas'!P306,Motores!$B$9:$T$48,19,FALSE),"Erro"))))))))</f>
        <v>0.86</v>
      </c>
      <c r="T306" s="85">
        <f>IF(O306="","",IF(O306="NA","",IF(O306="Mini disjuntor + DR",100%,IF(O306="Mini disjuntor",100%,IF(O306="Disjuntor Motor",0.92,IF(O306="Disjuntor C.M.",100%,IF(O306="Disjuntor C.A.",100%,IFERROR(VLOOKUP('Lista de Cargas'!P306,Motores!$B$9:$T$48,16,FALSE)/100,"Erro"))))))))</f>
        <v>0.94099999999999995</v>
      </c>
      <c r="U306" s="85" t="s">
        <v>445</v>
      </c>
      <c r="V306" s="84">
        <v>440</v>
      </c>
      <c r="W306" s="86">
        <f t="shared" si="96"/>
        <v>72.57527654031756</v>
      </c>
      <c r="X306" s="86">
        <f t="shared" si="100"/>
        <v>52.046511627906973</v>
      </c>
      <c r="Y306" s="86">
        <f t="shared" si="97"/>
        <v>108.86291481047634</v>
      </c>
      <c r="Z306" s="83"/>
      <c r="AA306" s="83"/>
      <c r="AB306" s="83">
        <v>0</v>
      </c>
      <c r="AC306" s="83"/>
      <c r="AD306" s="83"/>
      <c r="AE306" s="83"/>
      <c r="AF306" s="83"/>
      <c r="AG306" s="83">
        <f t="shared" si="101"/>
        <v>0</v>
      </c>
      <c r="AH306" s="83"/>
      <c r="AI306" s="83"/>
      <c r="AJ306" s="83">
        <f t="shared" si="102"/>
        <v>0</v>
      </c>
      <c r="AK306" s="83"/>
      <c r="AL306" s="83"/>
      <c r="AM306" s="83">
        <f t="shared" si="103"/>
        <v>0</v>
      </c>
      <c r="AN306" s="83"/>
      <c r="AO306" s="83"/>
      <c r="AP306" s="83">
        <f t="shared" si="104"/>
        <v>0</v>
      </c>
      <c r="AQ306" s="1" t="s">
        <v>72</v>
      </c>
      <c r="AR306" s="83" t="str">
        <f t="shared" si="105"/>
        <v>2"</v>
      </c>
      <c r="AS306" s="1">
        <v>1</v>
      </c>
      <c r="AT306" s="83"/>
      <c r="AU306" s="83"/>
      <c r="AV306" s="87"/>
      <c r="AW306" s="86"/>
      <c r="AX306" s="86"/>
      <c r="AY306" s="86"/>
      <c r="AZ306" s="87"/>
      <c r="BA306" s="83"/>
      <c r="BB306" s="83"/>
      <c r="BC306" s="83"/>
      <c r="BD306" s="83"/>
      <c r="BE306" s="88"/>
      <c r="BF306" s="86">
        <f t="shared" si="95"/>
        <v>0</v>
      </c>
      <c r="BG306" s="89"/>
      <c r="BH306" s="89"/>
    </row>
    <row r="307" spans="1:60" s="90" customFormat="1" ht="12.75" customHeight="1" x14ac:dyDescent="0.2">
      <c r="A307" s="76">
        <v>500</v>
      </c>
      <c r="B307" s="76" t="s">
        <v>956</v>
      </c>
      <c r="C307" s="76" t="s">
        <v>633</v>
      </c>
      <c r="D307" s="77" t="s">
        <v>702</v>
      </c>
      <c r="E307" s="77"/>
      <c r="F307" s="78"/>
      <c r="G307" s="78"/>
      <c r="H307" s="78"/>
      <c r="I307" s="78"/>
      <c r="J307" s="78"/>
      <c r="K307" s="78"/>
      <c r="L307" s="78"/>
      <c r="M307" s="78"/>
      <c r="N307" s="79" t="s">
        <v>1042</v>
      </c>
      <c r="O307" s="80" t="s">
        <v>5</v>
      </c>
      <c r="P307" s="81">
        <v>25</v>
      </c>
      <c r="Q307" s="82">
        <f t="shared" si="99"/>
        <v>18.649999999999999</v>
      </c>
      <c r="R307" s="84"/>
      <c r="S307" s="84">
        <f>IF(O307="","",IF(O307="NA","",IF(O307="Mini disjuntor + DR",0.92,IF(O307="Mini disjuntor",0.92,IF(O307="Disjuntor Motor",0.92,IF(O307="Disjuntor C.M.",0.92,IF(O307="Disjuntor C.A.",0.92,IFERROR(VLOOKUP('Lista de Cargas'!P307,Motores!$B$9:$T$48,19,FALSE),"Erro"))))))))</f>
        <v>0.81</v>
      </c>
      <c r="T307" s="85">
        <f>IF(O307="","",IF(O307="NA","",IF(O307="Mini disjuntor + DR",100%,IF(O307="Mini disjuntor",100%,IF(O307="Disjuntor Motor",0.92,IF(O307="Disjuntor C.M.",100%,IF(O307="Disjuntor C.A.",100%,IFERROR(VLOOKUP('Lista de Cargas'!P307,Motores!$B$9:$T$48,16,FALSE)/100,"Erro"))))))))</f>
        <v>0.92799999999999994</v>
      </c>
      <c r="U307" s="85" t="s">
        <v>445</v>
      </c>
      <c r="V307" s="84">
        <v>440</v>
      </c>
      <c r="W307" s="86">
        <f t="shared" si="96"/>
        <v>32.556112249127175</v>
      </c>
      <c r="X307" s="86">
        <f t="shared" si="100"/>
        <v>23.02469135802469</v>
      </c>
      <c r="Y307" s="86">
        <f t="shared" si="97"/>
        <v>48.834168373690758</v>
      </c>
      <c r="Z307" s="83"/>
      <c r="AA307" s="83"/>
      <c r="AB307" s="83">
        <v>0</v>
      </c>
      <c r="AC307" s="83"/>
      <c r="AD307" s="83"/>
      <c r="AE307" s="83"/>
      <c r="AF307" s="83"/>
      <c r="AG307" s="83">
        <f t="shared" si="101"/>
        <v>0</v>
      </c>
      <c r="AH307" s="83"/>
      <c r="AI307" s="83"/>
      <c r="AJ307" s="83">
        <f t="shared" si="102"/>
        <v>0</v>
      </c>
      <c r="AK307" s="83"/>
      <c r="AL307" s="83"/>
      <c r="AM307" s="83">
        <f t="shared" si="103"/>
        <v>0</v>
      </c>
      <c r="AN307" s="83"/>
      <c r="AO307" s="83"/>
      <c r="AP307" s="83">
        <f t="shared" si="104"/>
        <v>0</v>
      </c>
      <c r="AQ307" s="1" t="s">
        <v>71</v>
      </c>
      <c r="AR307" s="83" t="str">
        <f t="shared" si="105"/>
        <v>1.1/2"</v>
      </c>
      <c r="AS307" s="1">
        <v>1</v>
      </c>
      <c r="AT307" s="83"/>
      <c r="AU307" s="83"/>
      <c r="AV307" s="87"/>
      <c r="AW307" s="86"/>
      <c r="AX307" s="86"/>
      <c r="AY307" s="86"/>
      <c r="AZ307" s="87"/>
      <c r="BA307" s="83"/>
      <c r="BB307" s="83"/>
      <c r="BC307" s="83"/>
      <c r="BD307" s="83"/>
      <c r="BE307" s="88"/>
      <c r="BF307" s="86">
        <f t="shared" si="95"/>
        <v>0</v>
      </c>
      <c r="BG307" s="89"/>
      <c r="BH307" s="89"/>
    </row>
    <row r="308" spans="1:60" s="90" customFormat="1" ht="12.75" customHeight="1" x14ac:dyDescent="0.2">
      <c r="A308" s="76">
        <v>500</v>
      </c>
      <c r="B308" s="76" t="s">
        <v>956</v>
      </c>
      <c r="C308" s="76" t="s">
        <v>634</v>
      </c>
      <c r="D308" s="77" t="s">
        <v>704</v>
      </c>
      <c r="E308" s="77"/>
      <c r="F308" s="78"/>
      <c r="G308" s="78"/>
      <c r="H308" s="78"/>
      <c r="I308" s="78"/>
      <c r="J308" s="78"/>
      <c r="K308" s="78"/>
      <c r="L308" s="78"/>
      <c r="M308" s="78"/>
      <c r="N308" s="79" t="s">
        <v>1042</v>
      </c>
      <c r="O308" s="80" t="s">
        <v>5</v>
      </c>
      <c r="P308" s="81">
        <v>1</v>
      </c>
      <c r="Q308" s="82">
        <f t="shared" si="99"/>
        <v>0.746</v>
      </c>
      <c r="R308" s="84"/>
      <c r="S308" s="84">
        <f>IF(O308="","",IF(O308="NA","",IF(O308="Mini disjuntor + DR",0.92,IF(O308="Mini disjuntor",0.92,IF(O308="Disjuntor Motor",0.92,IF(O308="Disjuntor C.M.",0.92,IF(O308="Disjuntor C.A.",0.92,IFERROR(VLOOKUP('Lista de Cargas'!P308,Motores!$B$9:$T$48,19,FALSE),"Erro"))))))))</f>
        <v>0.81</v>
      </c>
      <c r="T308" s="85">
        <f>IF(O308="","",IF(O308="NA","",IF(O308="Mini disjuntor + DR",100%,IF(O308="Mini disjuntor",100%,IF(O308="Disjuntor Motor",0.92,IF(O308="Disjuntor C.M.",100%,IF(O308="Disjuntor C.A.",100%,IFERROR(VLOOKUP('Lista de Cargas'!P308,Motores!$B$9:$T$48,16,FALSE)/100,"Erro"))))))))</f>
        <v>0.80500000000000005</v>
      </c>
      <c r="U308" s="85" t="s">
        <v>445</v>
      </c>
      <c r="V308" s="84">
        <v>440</v>
      </c>
      <c r="W308" s="86">
        <f t="shared" si="96"/>
        <v>1.5012209772516776</v>
      </c>
      <c r="X308" s="86">
        <f t="shared" si="100"/>
        <v>0.92098765432098761</v>
      </c>
      <c r="Y308" s="86">
        <f t="shared" si="97"/>
        <v>2.2518314658775163</v>
      </c>
      <c r="Z308" s="83"/>
      <c r="AA308" s="83"/>
      <c r="AB308" s="83">
        <v>0</v>
      </c>
      <c r="AC308" s="83"/>
      <c r="AD308" s="83"/>
      <c r="AE308" s="83"/>
      <c r="AF308" s="83"/>
      <c r="AG308" s="83">
        <f t="shared" si="101"/>
        <v>0</v>
      </c>
      <c r="AH308" s="83"/>
      <c r="AI308" s="83"/>
      <c r="AJ308" s="83">
        <f t="shared" si="102"/>
        <v>0</v>
      </c>
      <c r="AK308" s="83"/>
      <c r="AL308" s="83"/>
      <c r="AM308" s="83">
        <f t="shared" si="103"/>
        <v>0</v>
      </c>
      <c r="AN308" s="83"/>
      <c r="AO308" s="83"/>
      <c r="AP308" s="83">
        <f t="shared" si="104"/>
        <v>0</v>
      </c>
      <c r="AQ308" s="1" t="s">
        <v>57</v>
      </c>
      <c r="AR308" s="83" t="str">
        <f t="shared" si="105"/>
        <v>3/4"</v>
      </c>
      <c r="AS308" s="1">
        <v>1</v>
      </c>
      <c r="AT308" s="83"/>
      <c r="AU308" s="83"/>
      <c r="AV308" s="87"/>
      <c r="AW308" s="86"/>
      <c r="AX308" s="86"/>
      <c r="AY308" s="86"/>
      <c r="AZ308" s="87"/>
      <c r="BA308" s="83"/>
      <c r="BB308" s="83"/>
      <c r="BC308" s="83"/>
      <c r="BD308" s="83"/>
      <c r="BE308" s="88"/>
      <c r="BF308" s="86">
        <f t="shared" si="95"/>
        <v>0</v>
      </c>
      <c r="BG308" s="89"/>
      <c r="BH308" s="89"/>
    </row>
    <row r="309" spans="1:60" s="90" customFormat="1" ht="12.75" customHeight="1" x14ac:dyDescent="0.2">
      <c r="A309" s="76">
        <v>500</v>
      </c>
      <c r="B309" s="76" t="s">
        <v>956</v>
      </c>
      <c r="C309" s="76" t="s">
        <v>635</v>
      </c>
      <c r="D309" s="77" t="s">
        <v>705</v>
      </c>
      <c r="E309" s="77"/>
      <c r="F309" s="78"/>
      <c r="G309" s="78"/>
      <c r="H309" s="78"/>
      <c r="I309" s="78"/>
      <c r="J309" s="78"/>
      <c r="K309" s="78"/>
      <c r="L309" s="78"/>
      <c r="M309" s="78"/>
      <c r="N309" s="79" t="s">
        <v>1042</v>
      </c>
      <c r="O309" s="80" t="s">
        <v>5</v>
      </c>
      <c r="P309" s="81">
        <v>0.75</v>
      </c>
      <c r="Q309" s="82">
        <f t="shared" si="99"/>
        <v>0.5595</v>
      </c>
      <c r="R309" s="84"/>
      <c r="S309" s="84">
        <f>IF(O309="","",IF(O309="NA","",IF(O309="Mini disjuntor + DR",0.92,IF(O309="Mini disjuntor",0.92,IF(O309="Disjuntor Motor",0.92,IF(O309="Disjuntor C.M.",0.92,IF(O309="Disjuntor C.A.",0.92,IFERROR(VLOOKUP('Lista de Cargas'!P309,Motores!$B$9:$T$48,19,FALSE),"Erro"))))))))</f>
        <v>0.66</v>
      </c>
      <c r="T309" s="85">
        <f>IF(O309="","",IF(O309="NA","",IF(O309="Mini disjuntor + DR",100%,IF(O309="Mini disjuntor",100%,IF(O309="Disjuntor Motor",0.92,IF(O309="Disjuntor C.M.",100%,IF(O309="Disjuntor C.A.",100%,IFERROR(VLOOKUP('Lista de Cargas'!P309,Motores!$B$9:$T$48,16,FALSE)/100,"Erro"))))))))</f>
        <v>0.72</v>
      </c>
      <c r="U309" s="85" t="s">
        <v>445</v>
      </c>
      <c r="V309" s="84">
        <v>440</v>
      </c>
      <c r="W309" s="86">
        <f t="shared" si="96"/>
        <v>1.5449355085494896</v>
      </c>
      <c r="X309" s="86">
        <f t="shared" si="100"/>
        <v>0.84772727272727266</v>
      </c>
      <c r="Y309" s="86">
        <f t="shared" si="97"/>
        <v>2.3174032628242345</v>
      </c>
      <c r="Z309" s="83"/>
      <c r="AA309" s="83"/>
      <c r="AB309" s="83">
        <v>0</v>
      </c>
      <c r="AC309" s="83"/>
      <c r="AD309" s="83"/>
      <c r="AE309" s="83"/>
      <c r="AF309" s="83"/>
      <c r="AG309" s="83">
        <f t="shared" si="101"/>
        <v>0</v>
      </c>
      <c r="AH309" s="83"/>
      <c r="AI309" s="83"/>
      <c r="AJ309" s="83">
        <f t="shared" si="102"/>
        <v>0</v>
      </c>
      <c r="AK309" s="83"/>
      <c r="AL309" s="83"/>
      <c r="AM309" s="83">
        <f t="shared" si="103"/>
        <v>0</v>
      </c>
      <c r="AN309" s="83"/>
      <c r="AO309" s="83"/>
      <c r="AP309" s="83">
        <f t="shared" si="104"/>
        <v>0</v>
      </c>
      <c r="AQ309" s="1" t="s">
        <v>57</v>
      </c>
      <c r="AR309" s="83" t="str">
        <f t="shared" si="105"/>
        <v>3/4"</v>
      </c>
      <c r="AS309" s="1">
        <v>1</v>
      </c>
      <c r="AT309" s="83"/>
      <c r="AU309" s="83"/>
      <c r="AV309" s="87"/>
      <c r="AW309" s="86"/>
      <c r="AX309" s="86"/>
      <c r="AY309" s="86"/>
      <c r="AZ309" s="87"/>
      <c r="BA309" s="83"/>
      <c r="BB309" s="83"/>
      <c r="BC309" s="83"/>
      <c r="BD309" s="83"/>
      <c r="BE309" s="88"/>
      <c r="BF309" s="86">
        <f t="shared" si="95"/>
        <v>0</v>
      </c>
      <c r="BG309" s="89"/>
      <c r="BH309" s="89"/>
    </row>
    <row r="310" spans="1:60" s="90" customFormat="1" ht="12.75" customHeight="1" x14ac:dyDescent="0.2">
      <c r="A310" s="76">
        <v>500</v>
      </c>
      <c r="B310" s="76" t="s">
        <v>956</v>
      </c>
      <c r="C310" s="76" t="s">
        <v>635</v>
      </c>
      <c r="D310" s="77" t="s">
        <v>705</v>
      </c>
      <c r="E310" s="77"/>
      <c r="F310" s="78"/>
      <c r="G310" s="78"/>
      <c r="H310" s="78"/>
      <c r="I310" s="78"/>
      <c r="J310" s="78"/>
      <c r="K310" s="78"/>
      <c r="L310" s="78"/>
      <c r="M310" s="78"/>
      <c r="N310" s="79" t="s">
        <v>1042</v>
      </c>
      <c r="O310" s="80" t="s">
        <v>5</v>
      </c>
      <c r="P310" s="81">
        <v>0.75</v>
      </c>
      <c r="Q310" s="82">
        <f t="shared" si="99"/>
        <v>0.5595</v>
      </c>
      <c r="R310" s="84"/>
      <c r="S310" s="84">
        <f>IF(O310="","",IF(O310="NA","",IF(O310="Mini disjuntor + DR",0.92,IF(O310="Mini disjuntor",0.92,IF(O310="Disjuntor Motor",0.92,IF(O310="Disjuntor C.M.",0.92,IF(O310="Disjuntor C.A.",0.92,IFERROR(VLOOKUP('Lista de Cargas'!P310,Motores!$B$9:$T$48,19,FALSE),"Erro"))))))))</f>
        <v>0.66</v>
      </c>
      <c r="T310" s="85">
        <f>IF(O310="","",IF(O310="NA","",IF(O310="Mini disjuntor + DR",100%,IF(O310="Mini disjuntor",100%,IF(O310="Disjuntor Motor",0.92,IF(O310="Disjuntor C.M.",100%,IF(O310="Disjuntor C.A.",100%,IFERROR(VLOOKUP('Lista de Cargas'!P310,Motores!$B$9:$T$48,16,FALSE)/100,"Erro"))))))))</f>
        <v>0.72</v>
      </c>
      <c r="U310" s="85" t="s">
        <v>445</v>
      </c>
      <c r="V310" s="84">
        <v>440</v>
      </c>
      <c r="W310" s="86">
        <f t="shared" si="96"/>
        <v>1.5449355085494896</v>
      </c>
      <c r="X310" s="86">
        <f t="shared" si="100"/>
        <v>0.84772727272727266</v>
      </c>
      <c r="Y310" s="86">
        <f t="shared" si="97"/>
        <v>2.3174032628242345</v>
      </c>
      <c r="Z310" s="83"/>
      <c r="AA310" s="83"/>
      <c r="AB310" s="83">
        <v>0</v>
      </c>
      <c r="AC310" s="83"/>
      <c r="AD310" s="83"/>
      <c r="AE310" s="83"/>
      <c r="AF310" s="83"/>
      <c r="AG310" s="83">
        <f t="shared" si="101"/>
        <v>0</v>
      </c>
      <c r="AH310" s="83"/>
      <c r="AI310" s="83"/>
      <c r="AJ310" s="83">
        <f t="shared" si="102"/>
        <v>0</v>
      </c>
      <c r="AK310" s="83"/>
      <c r="AL310" s="83"/>
      <c r="AM310" s="83">
        <f t="shared" si="103"/>
        <v>0</v>
      </c>
      <c r="AN310" s="83"/>
      <c r="AO310" s="83"/>
      <c r="AP310" s="83">
        <f t="shared" si="104"/>
        <v>0</v>
      </c>
      <c r="AQ310" s="1" t="s">
        <v>57</v>
      </c>
      <c r="AR310" s="83" t="str">
        <f t="shared" si="105"/>
        <v>3/4"</v>
      </c>
      <c r="AS310" s="1">
        <v>1</v>
      </c>
      <c r="AT310" s="83"/>
      <c r="AU310" s="83"/>
      <c r="AV310" s="87"/>
      <c r="AW310" s="86"/>
      <c r="AX310" s="86"/>
      <c r="AY310" s="86"/>
      <c r="AZ310" s="87"/>
      <c r="BA310" s="83"/>
      <c r="BB310" s="83"/>
      <c r="BC310" s="83"/>
      <c r="BD310" s="83"/>
      <c r="BE310" s="88"/>
      <c r="BF310" s="86">
        <f t="shared" si="95"/>
        <v>0</v>
      </c>
      <c r="BG310" s="89"/>
      <c r="BH310" s="89"/>
    </row>
    <row r="311" spans="1:60" s="105" customFormat="1" ht="12.75" customHeight="1" x14ac:dyDescent="0.2">
      <c r="A311" s="91">
        <v>500</v>
      </c>
      <c r="B311" s="91" t="s">
        <v>956</v>
      </c>
      <c r="C311" s="91" t="s">
        <v>636</v>
      </c>
      <c r="D311" s="92" t="s">
        <v>805</v>
      </c>
      <c r="E311" s="92"/>
      <c r="F311" s="93"/>
      <c r="G311" s="93"/>
      <c r="H311" s="93"/>
      <c r="I311" s="93"/>
      <c r="J311" s="93"/>
      <c r="K311" s="93"/>
      <c r="L311" s="93"/>
      <c r="M311" s="93"/>
      <c r="N311" s="94"/>
      <c r="O311" s="95"/>
      <c r="P311" s="96"/>
      <c r="Q311" s="97">
        <f t="shared" si="99"/>
        <v>0</v>
      </c>
      <c r="R311" s="98"/>
      <c r="S311" s="98" t="str">
        <f>IF(O311="","",IF(O311="NA","",IF(O311="Mini disjuntor + DR",0.92,IF(O311="Mini disjuntor",0.92,IF(O311="Disjuntor Motor",0.92,IF(O311="Disjuntor C.M.",0.92,IF(O311="Disjuntor C.A.",0.92,IFERROR(VLOOKUP('Lista de Cargas'!P311,Motores!$B$9:$T$48,19,FALSE),"Erro"))))))))</f>
        <v/>
      </c>
      <c r="T311" s="99" t="str">
        <f>IF(O311="","",IF(O311="NA","",IF(O311="Mini disjuntor + DR",100%,IF(O311="Mini disjuntor",100%,IF(O311="Disjuntor Motor",0.92,IF(O311="Disjuntor C.M.",100%,IF(O311="Disjuntor C.A.",100%,IFERROR(VLOOKUP('Lista de Cargas'!P311,Motores!$B$9:$T$48,16,FALSE)/100,"Erro"))))))))</f>
        <v/>
      </c>
      <c r="U311" s="99" t="s">
        <v>445</v>
      </c>
      <c r="V311" s="98">
        <v>440</v>
      </c>
      <c r="W311" s="100">
        <f t="shared" si="96"/>
        <v>0</v>
      </c>
      <c r="X311" s="100">
        <f t="shared" si="100"/>
        <v>0</v>
      </c>
      <c r="Y311" s="100">
        <f t="shared" si="97"/>
        <v>0</v>
      </c>
      <c r="Z311" s="101"/>
      <c r="AA311" s="101"/>
      <c r="AB311" s="101">
        <v>0</v>
      </c>
      <c r="AC311" s="101"/>
      <c r="AD311" s="101"/>
      <c r="AE311" s="101"/>
      <c r="AF311" s="101"/>
      <c r="AG311" s="101">
        <f t="shared" si="101"/>
        <v>0</v>
      </c>
      <c r="AH311" s="101"/>
      <c r="AI311" s="101"/>
      <c r="AJ311" s="101">
        <f t="shared" si="102"/>
        <v>0</v>
      </c>
      <c r="AK311" s="101"/>
      <c r="AL311" s="101"/>
      <c r="AM311" s="101">
        <f t="shared" si="103"/>
        <v>0</v>
      </c>
      <c r="AN311" s="101"/>
      <c r="AO311" s="101"/>
      <c r="AP311" s="101">
        <f t="shared" si="104"/>
        <v>0</v>
      </c>
      <c r="AQ311" s="101"/>
      <c r="AR311" s="101" t="str">
        <f t="shared" si="105"/>
        <v>NA</v>
      </c>
      <c r="AS311" s="1">
        <v>1</v>
      </c>
      <c r="AT311" s="101"/>
      <c r="AU311" s="101"/>
      <c r="AV311" s="102"/>
      <c r="AW311" s="100"/>
      <c r="AX311" s="100"/>
      <c r="AY311" s="100"/>
      <c r="AZ311" s="102"/>
      <c r="BA311" s="101"/>
      <c r="BB311" s="101"/>
      <c r="BC311" s="101"/>
      <c r="BD311" s="101"/>
      <c r="BE311" s="103"/>
      <c r="BF311" s="100">
        <f t="shared" si="95"/>
        <v>0</v>
      </c>
      <c r="BG311" s="104"/>
      <c r="BH311" s="104"/>
    </row>
    <row r="312" spans="1:60" s="105" customFormat="1" ht="12.75" customHeight="1" x14ac:dyDescent="0.2">
      <c r="A312" s="91">
        <v>500</v>
      </c>
      <c r="B312" s="91" t="s">
        <v>956</v>
      </c>
      <c r="C312" s="91" t="s">
        <v>948</v>
      </c>
      <c r="D312" s="92" t="s">
        <v>806</v>
      </c>
      <c r="E312" s="92"/>
      <c r="F312" s="93"/>
      <c r="G312" s="93"/>
      <c r="H312" s="93"/>
      <c r="I312" s="93"/>
      <c r="J312" s="93"/>
      <c r="K312" s="93"/>
      <c r="L312" s="93"/>
      <c r="M312" s="93"/>
      <c r="N312" s="94" t="s">
        <v>1037</v>
      </c>
      <c r="O312" s="95" t="s">
        <v>5</v>
      </c>
      <c r="P312" s="96">
        <v>15</v>
      </c>
      <c r="Q312" s="97">
        <f t="shared" si="99"/>
        <v>11.19</v>
      </c>
      <c r="R312" s="98"/>
      <c r="S312" s="98">
        <f>IF(O312="","",IF(O312="NA","",IF(O312="Mini disjuntor + DR",0.92,IF(O312="Mini disjuntor",0.92,IF(O312="Disjuntor Motor",0.92,IF(O312="Disjuntor C.M.",0.92,IF(O312="Disjuntor C.A.",0.92,IFERROR(VLOOKUP('Lista de Cargas'!P312,Motores!$B$9:$T$48,19,FALSE),"Erro"))))))))</f>
        <v>0.85</v>
      </c>
      <c r="T312" s="99">
        <f>IF(O312="","",IF(O312="NA","",IF(O312="Mini disjuntor + DR",100%,IF(O312="Mini disjuntor",100%,IF(O312="Disjuntor Motor",0.92,IF(O312="Disjuntor C.M.",100%,IF(O312="Disjuntor C.A.",100%,IFERROR(VLOOKUP('Lista de Cargas'!P312,Motores!$B$9:$T$48,16,FALSE)/100,"Erro"))))))))</f>
        <v>0.91700000000000004</v>
      </c>
      <c r="U312" s="99" t="s">
        <v>445</v>
      </c>
      <c r="V312" s="98">
        <v>440</v>
      </c>
      <c r="W312" s="100">
        <f t="shared" ref="W312:W329" si="106">IFERROR(IF(U312=$U$344,(P312*746)/(SQRT(3)*S312*T312*V312),(P312*746)/(S312*T312*V312)),0)</f>
        <v>18.837727979029246</v>
      </c>
      <c r="X312" s="100">
        <f t="shared" si="100"/>
        <v>13.164705882352941</v>
      </c>
      <c r="Y312" s="100">
        <f t="shared" ref="Y312:Y329" si="107">IFERROR(IF(O312=$O$344,6*W312,IF(O312=$O$345,6*W312,IF(O312=$O$346,3*W312,IF(O312=$O$347,1.5*W312,W312)))),0)</f>
        <v>28.256591968543869</v>
      </c>
      <c r="Z312" s="101"/>
      <c r="AA312" s="101"/>
      <c r="AB312" s="101">
        <v>60</v>
      </c>
      <c r="AC312" s="101"/>
      <c r="AD312" s="101"/>
      <c r="AE312" s="101"/>
      <c r="AF312" s="101"/>
      <c r="AG312" s="101">
        <f t="shared" si="101"/>
        <v>60</v>
      </c>
      <c r="AH312" s="101">
        <v>1</v>
      </c>
      <c r="AI312" s="101" t="s">
        <v>1054</v>
      </c>
      <c r="AJ312" s="101">
        <f t="shared" si="102"/>
        <v>60</v>
      </c>
      <c r="AK312" s="101">
        <v>0</v>
      </c>
      <c r="AL312" s="101" t="s">
        <v>118</v>
      </c>
      <c r="AM312" s="101">
        <f t="shared" si="103"/>
        <v>0</v>
      </c>
      <c r="AN312" s="101">
        <v>0</v>
      </c>
      <c r="AO312" s="101" t="s">
        <v>118</v>
      </c>
      <c r="AP312" s="101">
        <f t="shared" si="104"/>
        <v>0</v>
      </c>
      <c r="AQ312" s="1" t="s">
        <v>57</v>
      </c>
      <c r="AR312" s="101" t="str">
        <f t="shared" ref="AR312:AR340" si="108">IFERROR(VLOOKUP(AQ312,$O$368:$P$412,2,1),"NA")</f>
        <v>3/4"</v>
      </c>
      <c r="AS312" s="1">
        <v>1</v>
      </c>
      <c r="AT312" s="101"/>
      <c r="AU312" s="101"/>
      <c r="AV312" s="102"/>
      <c r="AW312" s="100"/>
      <c r="AX312" s="100"/>
      <c r="AY312" s="100"/>
      <c r="AZ312" s="102"/>
      <c r="BA312" s="101"/>
      <c r="BB312" s="101"/>
      <c r="BC312" s="101"/>
      <c r="BD312" s="101"/>
      <c r="BE312" s="103"/>
      <c r="BF312" s="100">
        <f t="shared" ref="BF312:BF340" si="109">IFERROR(IF(F312=$O$358,0,IF(S312&gt;$BH$1,0,IF(O312=$O$347,0,SQRT((X312^2)-(Q312^2))-(SQRT(((Q312/$BH$1)^2)-(Q312^2)))))),0)</f>
        <v>0</v>
      </c>
      <c r="BG312" s="104"/>
      <c r="BH312" s="104"/>
    </row>
    <row r="313" spans="1:60" s="105" customFormat="1" ht="12.75" customHeight="1" x14ac:dyDescent="0.2">
      <c r="A313" s="91">
        <v>500</v>
      </c>
      <c r="B313" s="91" t="s">
        <v>956</v>
      </c>
      <c r="C313" s="91" t="s">
        <v>949</v>
      </c>
      <c r="D313" s="92" t="s">
        <v>806</v>
      </c>
      <c r="E313" s="92"/>
      <c r="F313" s="93"/>
      <c r="G313" s="93"/>
      <c r="H313" s="93"/>
      <c r="I313" s="93"/>
      <c r="J313" s="93"/>
      <c r="K313" s="93"/>
      <c r="L313" s="93"/>
      <c r="M313" s="93"/>
      <c r="N313" s="94" t="s">
        <v>1037</v>
      </c>
      <c r="O313" s="95" t="s">
        <v>5</v>
      </c>
      <c r="P313" s="96">
        <v>15</v>
      </c>
      <c r="Q313" s="97">
        <f t="shared" si="99"/>
        <v>11.19</v>
      </c>
      <c r="R313" s="98"/>
      <c r="S313" s="98">
        <f>IF(O313="","",IF(O313="NA","",IF(O313="Mini disjuntor + DR",0.92,IF(O313="Mini disjuntor",0.92,IF(O313="Disjuntor Motor",0.92,IF(O313="Disjuntor C.M.",0.92,IF(O313="Disjuntor C.A.",0.92,IFERROR(VLOOKUP('Lista de Cargas'!P313,Motores!$B$9:$T$48,19,FALSE),"Erro"))))))))</f>
        <v>0.85</v>
      </c>
      <c r="T313" s="99">
        <f>IF(O313="","",IF(O313="NA","",IF(O313="Mini disjuntor + DR",100%,IF(O313="Mini disjuntor",100%,IF(O313="Disjuntor Motor",0.92,IF(O313="Disjuntor C.M.",100%,IF(O313="Disjuntor C.A.",100%,IFERROR(VLOOKUP('Lista de Cargas'!P313,Motores!$B$9:$T$48,16,FALSE)/100,"Erro"))))))))</f>
        <v>0.91700000000000004</v>
      </c>
      <c r="U313" s="99" t="s">
        <v>445</v>
      </c>
      <c r="V313" s="98">
        <v>440</v>
      </c>
      <c r="W313" s="100">
        <f t="shared" si="106"/>
        <v>18.837727979029246</v>
      </c>
      <c r="X313" s="100">
        <f t="shared" si="100"/>
        <v>13.164705882352941</v>
      </c>
      <c r="Y313" s="100">
        <f t="shared" si="107"/>
        <v>28.256591968543869</v>
      </c>
      <c r="Z313" s="101"/>
      <c r="AA313" s="101"/>
      <c r="AB313" s="101">
        <v>60</v>
      </c>
      <c r="AC313" s="101"/>
      <c r="AD313" s="101"/>
      <c r="AE313" s="101"/>
      <c r="AF313" s="101"/>
      <c r="AG313" s="101">
        <f t="shared" si="101"/>
        <v>60</v>
      </c>
      <c r="AH313" s="101">
        <v>1</v>
      </c>
      <c r="AI313" s="101" t="s">
        <v>1054</v>
      </c>
      <c r="AJ313" s="101">
        <f t="shared" si="102"/>
        <v>60</v>
      </c>
      <c r="AK313" s="101">
        <v>0</v>
      </c>
      <c r="AL313" s="101" t="s">
        <v>118</v>
      </c>
      <c r="AM313" s="101">
        <f t="shared" si="103"/>
        <v>0</v>
      </c>
      <c r="AN313" s="101">
        <v>0</v>
      </c>
      <c r="AO313" s="101" t="s">
        <v>118</v>
      </c>
      <c r="AP313" s="101">
        <f t="shared" si="104"/>
        <v>0</v>
      </c>
      <c r="AQ313" s="1" t="s">
        <v>57</v>
      </c>
      <c r="AR313" s="101" t="str">
        <f t="shared" si="108"/>
        <v>3/4"</v>
      </c>
      <c r="AS313" s="1">
        <v>1</v>
      </c>
      <c r="AT313" s="101"/>
      <c r="AU313" s="101"/>
      <c r="AV313" s="102"/>
      <c r="AW313" s="100"/>
      <c r="AX313" s="100"/>
      <c r="AY313" s="100"/>
      <c r="AZ313" s="102"/>
      <c r="BA313" s="101"/>
      <c r="BB313" s="101"/>
      <c r="BC313" s="101"/>
      <c r="BD313" s="101"/>
      <c r="BE313" s="103"/>
      <c r="BF313" s="100">
        <f t="shared" si="109"/>
        <v>0</v>
      </c>
      <c r="BG313" s="104"/>
      <c r="BH313" s="104"/>
    </row>
    <row r="314" spans="1:60" s="118" customFormat="1" ht="12.75" customHeight="1" x14ac:dyDescent="0.2">
      <c r="A314" s="91">
        <v>500</v>
      </c>
      <c r="B314" s="91" t="s">
        <v>956</v>
      </c>
      <c r="C314" s="91" t="s">
        <v>637</v>
      </c>
      <c r="D314" s="106" t="s">
        <v>807</v>
      </c>
      <c r="E314" s="106"/>
      <c r="F314" s="107"/>
      <c r="G314" s="107"/>
      <c r="H314" s="107"/>
      <c r="I314" s="107"/>
      <c r="J314" s="107"/>
      <c r="K314" s="107"/>
      <c r="L314" s="107"/>
      <c r="M314" s="107"/>
      <c r="N314" s="75" t="s">
        <v>9</v>
      </c>
      <c r="O314" s="108" t="s">
        <v>5</v>
      </c>
      <c r="P314" s="109">
        <v>60</v>
      </c>
      <c r="Q314" s="110">
        <f t="shared" si="99"/>
        <v>44.76</v>
      </c>
      <c r="R314" s="111"/>
      <c r="S314" s="111">
        <f>IF(O314="","",IF(O314="NA","",IF(O314="Mini disjuntor + DR",0.92,IF(O314="Mini disjuntor",0.92,IF(O314="Disjuntor Motor",0.92,IF(O314="Disjuntor C.M.",0.92,IF(O314="Disjuntor C.A.",0.92,IFERROR(VLOOKUP('Lista de Cargas'!P314,Motores!$B$9:$T$48,19,FALSE),"Erro"))))))))</f>
        <v>0.86</v>
      </c>
      <c r="T314" s="112">
        <f>IF(O314="","",IF(O314="NA","",IF(O314="Mini disjuntor + DR",100%,IF(O314="Mini disjuntor",100%,IF(O314="Disjuntor Motor",0.92,IF(O314="Disjuntor C.M.",100%,IF(O314="Disjuntor C.A.",100%,IFERROR(VLOOKUP('Lista de Cargas'!P314,Motores!$B$9:$T$48,16,FALSE)/100,"Erro"))))))))</f>
        <v>0.94099999999999995</v>
      </c>
      <c r="U314" s="112" t="s">
        <v>445</v>
      </c>
      <c r="V314" s="111">
        <v>440</v>
      </c>
      <c r="W314" s="113">
        <f t="shared" si="106"/>
        <v>72.57527654031756</v>
      </c>
      <c r="X314" s="113">
        <f t="shared" si="100"/>
        <v>52.046511627906973</v>
      </c>
      <c r="Y314" s="113">
        <f t="shared" si="107"/>
        <v>108.86291481047634</v>
      </c>
      <c r="Z314" s="114"/>
      <c r="AA314" s="114"/>
      <c r="AB314" s="114">
        <v>60</v>
      </c>
      <c r="AC314" s="114"/>
      <c r="AD314" s="114"/>
      <c r="AE314" s="114"/>
      <c r="AF314" s="114"/>
      <c r="AG314" s="114">
        <f t="shared" si="101"/>
        <v>60</v>
      </c>
      <c r="AH314" s="114">
        <v>1</v>
      </c>
      <c r="AI314" s="114" t="s">
        <v>1067</v>
      </c>
      <c r="AJ314" s="114">
        <f t="shared" si="102"/>
        <v>60</v>
      </c>
      <c r="AK314" s="114">
        <v>0</v>
      </c>
      <c r="AL314" s="114" t="s">
        <v>118</v>
      </c>
      <c r="AM314" s="114">
        <f t="shared" si="103"/>
        <v>0</v>
      </c>
      <c r="AN314" s="114">
        <v>0</v>
      </c>
      <c r="AO314" s="114" t="s">
        <v>118</v>
      </c>
      <c r="AP314" s="114">
        <f t="shared" si="104"/>
        <v>0</v>
      </c>
      <c r="AQ314" s="1" t="s">
        <v>71</v>
      </c>
      <c r="AR314" s="114" t="str">
        <f t="shared" si="108"/>
        <v>1.1/2"</v>
      </c>
      <c r="AS314" s="1">
        <v>1</v>
      </c>
      <c r="AT314" s="114"/>
      <c r="AU314" s="114"/>
      <c r="AV314" s="115"/>
      <c r="AW314" s="113"/>
      <c r="AX314" s="113"/>
      <c r="AY314" s="113"/>
      <c r="AZ314" s="115"/>
      <c r="BA314" s="114"/>
      <c r="BB314" s="114"/>
      <c r="BC314" s="114"/>
      <c r="BD314" s="114"/>
      <c r="BE314" s="116"/>
      <c r="BF314" s="113">
        <f t="shared" si="109"/>
        <v>0</v>
      </c>
      <c r="BG314" s="117"/>
      <c r="BH314" s="117"/>
    </row>
    <row r="315" spans="1:60" s="118" customFormat="1" ht="12.75" customHeight="1" x14ac:dyDescent="0.2">
      <c r="A315" s="91">
        <v>500</v>
      </c>
      <c r="B315" s="91" t="s">
        <v>956</v>
      </c>
      <c r="C315" s="91" t="s">
        <v>638</v>
      </c>
      <c r="D315" s="106" t="s">
        <v>808</v>
      </c>
      <c r="E315" s="106"/>
      <c r="F315" s="107"/>
      <c r="G315" s="107"/>
      <c r="H315" s="107"/>
      <c r="I315" s="107"/>
      <c r="J315" s="107"/>
      <c r="K315" s="107"/>
      <c r="L315" s="107"/>
      <c r="M315" s="107"/>
      <c r="N315" s="75" t="s">
        <v>9</v>
      </c>
      <c r="O315" s="108" t="s">
        <v>5</v>
      </c>
      <c r="P315" s="109">
        <v>20</v>
      </c>
      <c r="Q315" s="110">
        <f t="shared" si="99"/>
        <v>14.92</v>
      </c>
      <c r="R315" s="111"/>
      <c r="S315" s="111">
        <f>IF(O315="","",IF(O315="NA","",IF(O315="Mini disjuntor + DR",0.92,IF(O315="Mini disjuntor",0.92,IF(O315="Disjuntor Motor",0.92,IF(O315="Disjuntor C.M.",0.92,IF(O315="Disjuntor C.A.",0.92,IFERROR(VLOOKUP('Lista de Cargas'!P315,Motores!$B$9:$T$48,19,FALSE),"Erro"))))))))</f>
        <v>0.81</v>
      </c>
      <c r="T315" s="112">
        <f>IF(O315="","",IF(O315="NA","",IF(O315="Mini disjuntor + DR",100%,IF(O315="Mini disjuntor",100%,IF(O315="Disjuntor Motor",0.92,IF(O315="Disjuntor C.M.",100%,IF(O315="Disjuntor C.A.",100%,IFERROR(VLOOKUP('Lista de Cargas'!P315,Motores!$B$9:$T$48,16,FALSE)/100,"Erro"))))))))</f>
        <v>0.92400000000000004</v>
      </c>
      <c r="U315" s="112" t="s">
        <v>445</v>
      </c>
      <c r="V315" s="111">
        <v>440</v>
      </c>
      <c r="W315" s="113">
        <f t="shared" si="106"/>
        <v>26.15763823999135</v>
      </c>
      <c r="X315" s="113">
        <f t="shared" si="100"/>
        <v>18.419753086419753</v>
      </c>
      <c r="Y315" s="113">
        <f t="shared" si="107"/>
        <v>39.236457359987028</v>
      </c>
      <c r="Z315" s="114"/>
      <c r="AA315" s="114"/>
      <c r="AB315" s="114">
        <v>60</v>
      </c>
      <c r="AC315" s="114"/>
      <c r="AD315" s="114"/>
      <c r="AE315" s="114"/>
      <c r="AF315" s="114"/>
      <c r="AG315" s="114">
        <f t="shared" si="101"/>
        <v>60</v>
      </c>
      <c r="AH315" s="114">
        <v>1</v>
      </c>
      <c r="AI315" s="114" t="s">
        <v>1063</v>
      </c>
      <c r="AJ315" s="114">
        <f t="shared" si="102"/>
        <v>60</v>
      </c>
      <c r="AK315" s="114">
        <v>0</v>
      </c>
      <c r="AL315" s="114" t="s">
        <v>118</v>
      </c>
      <c r="AM315" s="114">
        <f t="shared" si="103"/>
        <v>0</v>
      </c>
      <c r="AN315" s="114">
        <v>0</v>
      </c>
      <c r="AO315" s="114" t="s">
        <v>118</v>
      </c>
      <c r="AP315" s="114">
        <f t="shared" si="104"/>
        <v>0</v>
      </c>
      <c r="AQ315" s="1" t="s">
        <v>57</v>
      </c>
      <c r="AR315" s="114" t="str">
        <f t="shared" si="108"/>
        <v>3/4"</v>
      </c>
      <c r="AS315" s="1">
        <v>1</v>
      </c>
      <c r="AT315" s="114"/>
      <c r="AU315" s="114"/>
      <c r="AV315" s="115"/>
      <c r="AW315" s="113"/>
      <c r="AX315" s="113"/>
      <c r="AY315" s="113"/>
      <c r="AZ315" s="115"/>
      <c r="BA315" s="114"/>
      <c r="BB315" s="114"/>
      <c r="BC315" s="114"/>
      <c r="BD315" s="114"/>
      <c r="BE315" s="116"/>
      <c r="BF315" s="113">
        <f t="shared" si="109"/>
        <v>0</v>
      </c>
      <c r="BG315" s="117"/>
      <c r="BH315" s="117"/>
    </row>
    <row r="316" spans="1:60" ht="12.75" customHeight="1" x14ac:dyDescent="0.2">
      <c r="A316" s="19">
        <v>700</v>
      </c>
      <c r="B316" s="19" t="s">
        <v>957</v>
      </c>
      <c r="C316" s="19" t="s">
        <v>639</v>
      </c>
      <c r="D316" s="20" t="s">
        <v>809</v>
      </c>
      <c r="E316" s="20"/>
      <c r="F316" s="21"/>
      <c r="G316" s="21"/>
      <c r="H316" s="21"/>
      <c r="I316" s="21"/>
      <c r="J316" s="21"/>
      <c r="K316" s="21"/>
      <c r="L316" s="21"/>
      <c r="M316" s="21"/>
      <c r="N316" s="32" t="s">
        <v>1036</v>
      </c>
      <c r="O316" s="22" t="s">
        <v>35</v>
      </c>
      <c r="P316" s="23">
        <v>60</v>
      </c>
      <c r="Q316" s="34">
        <f t="shared" si="99"/>
        <v>44.76</v>
      </c>
      <c r="R316" s="39"/>
      <c r="S316" s="39">
        <f>IF(O316="","",IF(O316="NA","",IF(O316="Mini disjuntor + DR",0.92,IF(O316="Mini disjuntor",0.92,IF(O316="Disjuntor Motor",0.92,IF(O316="Disjuntor C.M.",0.92,IF(O316="Disjuntor C.A.",0.92,IFERROR(VLOOKUP('Lista de Cargas'!P316,Motores!$B$9:$T$48,19,FALSE),"Erro"))))))))</f>
        <v>0.86</v>
      </c>
      <c r="T316" s="40">
        <f>IF(O316="","",IF(O316="NA","",IF(O316="Mini disjuntor + DR",100%,IF(O316="Mini disjuntor",100%,IF(O316="Disjuntor Motor",0.92,IF(O316="Disjuntor C.M.",100%,IF(O316="Disjuntor C.A.",100%,IFERROR(VLOOKUP('Lista de Cargas'!P316,Motores!$B$9:$T$48,16,FALSE)/100,"Erro"))))))))</f>
        <v>0.94099999999999995</v>
      </c>
      <c r="U316" s="40" t="s">
        <v>445</v>
      </c>
      <c r="V316" s="39">
        <v>440</v>
      </c>
      <c r="W316" s="2">
        <f t="shared" si="106"/>
        <v>72.57527654031756</v>
      </c>
      <c r="X316" s="2">
        <f t="shared" si="100"/>
        <v>52.046511627906973</v>
      </c>
      <c r="Y316" s="2">
        <f t="shared" si="107"/>
        <v>217.72582962095268</v>
      </c>
      <c r="Z316" s="1"/>
      <c r="AA316" s="1"/>
      <c r="AB316" s="1">
        <v>100</v>
      </c>
      <c r="AC316" s="1"/>
      <c r="AD316" s="1"/>
      <c r="AE316" s="1"/>
      <c r="AF316" s="1"/>
      <c r="AG316" s="1">
        <f t="shared" si="101"/>
        <v>100</v>
      </c>
      <c r="AH316" s="1">
        <v>1</v>
      </c>
      <c r="AI316" s="1" t="s">
        <v>1067</v>
      </c>
      <c r="AJ316" s="1">
        <f t="shared" si="102"/>
        <v>100</v>
      </c>
      <c r="AK316" s="1">
        <v>0</v>
      </c>
      <c r="AL316" s="1" t="s">
        <v>118</v>
      </c>
      <c r="AM316" s="1">
        <f t="shared" si="103"/>
        <v>0</v>
      </c>
      <c r="AN316" s="1">
        <v>0</v>
      </c>
      <c r="AO316" s="1" t="s">
        <v>118</v>
      </c>
      <c r="AP316" s="1">
        <f t="shared" si="104"/>
        <v>0</v>
      </c>
      <c r="AQ316" s="1" t="s">
        <v>71</v>
      </c>
      <c r="AR316" s="1" t="str">
        <f t="shared" si="108"/>
        <v>1.1/2"</v>
      </c>
      <c r="AS316" s="1">
        <v>1</v>
      </c>
      <c r="AT316" s="1"/>
      <c r="AU316" s="1"/>
      <c r="AV316" s="17"/>
      <c r="AW316" s="2"/>
      <c r="AX316" s="2"/>
      <c r="AY316" s="2"/>
      <c r="AZ316" s="17"/>
      <c r="BA316" s="1"/>
      <c r="BB316" s="1"/>
      <c r="BC316" s="1"/>
      <c r="BD316" s="1"/>
      <c r="BE316" s="18"/>
      <c r="BF316" s="2">
        <f t="shared" si="109"/>
        <v>7.4913441620442498</v>
      </c>
      <c r="BG316" s="6"/>
      <c r="BH316" s="6"/>
    </row>
    <row r="317" spans="1:60" ht="12.75" customHeight="1" x14ac:dyDescent="0.2">
      <c r="A317" s="19">
        <v>700</v>
      </c>
      <c r="B317" s="19" t="s">
        <v>957</v>
      </c>
      <c r="C317" s="19" t="s">
        <v>640</v>
      </c>
      <c r="D317" s="20" t="s">
        <v>810</v>
      </c>
      <c r="E317" s="20"/>
      <c r="F317" s="21"/>
      <c r="G317" s="21"/>
      <c r="H317" s="21"/>
      <c r="I317" s="21"/>
      <c r="J317" s="21"/>
      <c r="K317" s="21"/>
      <c r="L317" s="21"/>
      <c r="M317" s="21"/>
      <c r="N317" s="32" t="s">
        <v>1036</v>
      </c>
      <c r="O317" s="22" t="s">
        <v>34</v>
      </c>
      <c r="P317" s="23">
        <v>7.5</v>
      </c>
      <c r="Q317" s="34">
        <f t="shared" si="99"/>
        <v>5.5949999999999998</v>
      </c>
      <c r="R317" s="39"/>
      <c r="S317" s="39">
        <f>IF(O317="","",IF(O317="NA","",IF(O317="Mini disjuntor + DR",0.92,IF(O317="Mini disjuntor",0.92,IF(O317="Disjuntor Motor",0.92,IF(O317="Disjuntor C.M.",0.92,IF(O317="Disjuntor C.A.",0.92,IFERROR(VLOOKUP('Lista de Cargas'!P317,Motores!$B$9:$T$48,19,FALSE),"Erro"))))))))</f>
        <v>0.79</v>
      </c>
      <c r="T317" s="40">
        <f>IF(O317="","",IF(O317="NA","",IF(O317="Mini disjuntor + DR",100%,IF(O317="Mini disjuntor",100%,IF(O317="Disjuntor Motor",0.92,IF(O317="Disjuntor C.M.",100%,IF(O317="Disjuntor C.A.",100%,IFERROR(VLOOKUP('Lista de Cargas'!P317,Motores!$B$9:$T$48,16,FALSE)/100,"Erro"))))))))</f>
        <v>0.9</v>
      </c>
      <c r="U317" s="40" t="s">
        <v>445</v>
      </c>
      <c r="V317" s="39">
        <v>440</v>
      </c>
      <c r="W317" s="2">
        <f t="shared" si="106"/>
        <v>10.325644917900386</v>
      </c>
      <c r="X317" s="2">
        <f t="shared" si="100"/>
        <v>7.0822784810126578</v>
      </c>
      <c r="Y317" s="2">
        <f t="shared" si="107"/>
        <v>61.953869507402317</v>
      </c>
      <c r="Z317" s="1"/>
      <c r="AA317" s="1"/>
      <c r="AB317" s="1">
        <v>100</v>
      </c>
      <c r="AC317" s="1"/>
      <c r="AD317" s="1"/>
      <c r="AE317" s="1"/>
      <c r="AF317" s="1"/>
      <c r="AG317" s="1">
        <f t="shared" si="101"/>
        <v>100</v>
      </c>
      <c r="AH317" s="1">
        <v>1</v>
      </c>
      <c r="AI317" s="1" t="s">
        <v>1062</v>
      </c>
      <c r="AJ317" s="1">
        <f t="shared" si="102"/>
        <v>100</v>
      </c>
      <c r="AK317" s="1">
        <v>0</v>
      </c>
      <c r="AL317" s="1" t="s">
        <v>118</v>
      </c>
      <c r="AM317" s="1">
        <f t="shared" si="103"/>
        <v>0</v>
      </c>
      <c r="AN317" s="1">
        <v>0</v>
      </c>
      <c r="AO317" s="1" t="s">
        <v>118</v>
      </c>
      <c r="AP317" s="1">
        <f t="shared" si="104"/>
        <v>0</v>
      </c>
      <c r="AQ317" s="1" t="s">
        <v>69</v>
      </c>
      <c r="AR317" s="1" t="str">
        <f t="shared" si="108"/>
        <v>1"</v>
      </c>
      <c r="AS317" s="1">
        <v>1</v>
      </c>
      <c r="AT317" s="1"/>
      <c r="AU317" s="1"/>
      <c r="AV317" s="17"/>
      <c r="AW317" s="2"/>
      <c r="AX317" s="2"/>
      <c r="AY317" s="2"/>
      <c r="AZ317" s="17"/>
      <c r="BA317" s="1"/>
      <c r="BB317" s="1"/>
      <c r="BC317" s="1"/>
      <c r="BD317" s="1"/>
      <c r="BE317" s="18"/>
      <c r="BF317" s="2">
        <f t="shared" si="109"/>
        <v>1.9587333760672192</v>
      </c>
      <c r="BG317" s="6"/>
      <c r="BH317" s="6"/>
    </row>
    <row r="318" spans="1:60" ht="12.75" customHeight="1" x14ac:dyDescent="0.2">
      <c r="A318" s="19">
        <v>700</v>
      </c>
      <c r="B318" s="19" t="s">
        <v>957</v>
      </c>
      <c r="C318" s="19" t="s">
        <v>641</v>
      </c>
      <c r="D318" s="20" t="s">
        <v>811</v>
      </c>
      <c r="E318" s="20"/>
      <c r="F318" s="21"/>
      <c r="G318" s="21"/>
      <c r="H318" s="21"/>
      <c r="I318" s="21"/>
      <c r="J318" s="21"/>
      <c r="K318" s="21"/>
      <c r="L318" s="21"/>
      <c r="M318" s="21"/>
      <c r="N318" s="32" t="s">
        <v>1036</v>
      </c>
      <c r="O318" s="22" t="s">
        <v>34</v>
      </c>
      <c r="P318" s="23">
        <v>6</v>
      </c>
      <c r="Q318" s="34">
        <f t="shared" si="99"/>
        <v>4.476</v>
      </c>
      <c r="R318" s="39"/>
      <c r="S318" s="39">
        <f>IF(O318="","",IF(O318="NA","",IF(O318="Mini disjuntor + DR",0.92,IF(O318="Mini disjuntor",0.92,IF(O318="Disjuntor Motor",0.92,IF(O318="Disjuntor C.M.",0.92,IF(O318="Disjuntor C.A.",0.92,IFERROR(VLOOKUP('Lista de Cargas'!P318,Motores!$B$9:$T$48,19,FALSE),"Erro"))))))))</f>
        <v>0.81</v>
      </c>
      <c r="T318" s="40">
        <f>IF(O318="","",IF(O318="NA","",IF(O318="Mini disjuntor + DR",100%,IF(O318="Mini disjuntor",100%,IF(O318="Disjuntor Motor",0.92,IF(O318="Disjuntor C.M.",100%,IF(O318="Disjuntor C.A.",100%,IFERROR(VLOOKUP('Lista de Cargas'!P318,Motores!$B$9:$T$48,16,FALSE)/100,"Erro"))))))))</f>
        <v>0.88500000000000001</v>
      </c>
      <c r="U318" s="40" t="s">
        <v>445</v>
      </c>
      <c r="V318" s="39">
        <v>440</v>
      </c>
      <c r="W318" s="2">
        <f t="shared" si="106"/>
        <v>8.1931043165261048</v>
      </c>
      <c r="X318" s="2">
        <f t="shared" si="100"/>
        <v>5.5259259259259252</v>
      </c>
      <c r="Y318" s="2">
        <f t="shared" si="107"/>
        <v>49.158625899156632</v>
      </c>
      <c r="Z318" s="1"/>
      <c r="AA318" s="1"/>
      <c r="AB318" s="1">
        <v>100</v>
      </c>
      <c r="AC318" s="1"/>
      <c r="AD318" s="1"/>
      <c r="AE318" s="1"/>
      <c r="AF318" s="1"/>
      <c r="AG318" s="1">
        <f t="shared" si="101"/>
        <v>100</v>
      </c>
      <c r="AH318" s="1">
        <v>1</v>
      </c>
      <c r="AI318" s="1" t="s">
        <v>1063</v>
      </c>
      <c r="AJ318" s="1">
        <f t="shared" si="102"/>
        <v>100</v>
      </c>
      <c r="AK318" s="1">
        <v>0</v>
      </c>
      <c r="AL318" s="1" t="s">
        <v>118</v>
      </c>
      <c r="AM318" s="1">
        <f t="shared" si="103"/>
        <v>0</v>
      </c>
      <c r="AN318" s="1">
        <v>0</v>
      </c>
      <c r="AO318" s="1" t="s">
        <v>118</v>
      </c>
      <c r="AP318" s="1">
        <f t="shared" si="104"/>
        <v>0</v>
      </c>
      <c r="AQ318" s="1" t="s">
        <v>57</v>
      </c>
      <c r="AR318" s="1" t="str">
        <f t="shared" si="108"/>
        <v>3/4"</v>
      </c>
      <c r="AS318" s="1">
        <v>1</v>
      </c>
      <c r="AT318" s="1"/>
      <c r="AU318" s="1"/>
      <c r="AV318" s="17"/>
      <c r="AW318" s="2"/>
      <c r="AX318" s="2"/>
      <c r="AY318" s="2"/>
      <c r="AZ318" s="17"/>
      <c r="BA318" s="1"/>
      <c r="BB318" s="1"/>
      <c r="BC318" s="1"/>
      <c r="BD318" s="1"/>
      <c r="BE318" s="18"/>
      <c r="BF318" s="2">
        <f t="shared" si="109"/>
        <v>1.3338000426191545</v>
      </c>
      <c r="BG318" s="6"/>
      <c r="BH318" s="6"/>
    </row>
    <row r="319" spans="1:60" ht="12.75" customHeight="1" x14ac:dyDescent="0.2">
      <c r="A319" s="19">
        <v>700</v>
      </c>
      <c r="B319" s="19" t="s">
        <v>957</v>
      </c>
      <c r="C319" s="19" t="s">
        <v>642</v>
      </c>
      <c r="D319" s="20" t="s">
        <v>812</v>
      </c>
      <c r="E319" s="20"/>
      <c r="F319" s="21"/>
      <c r="G319" s="21"/>
      <c r="H319" s="21"/>
      <c r="I319" s="21"/>
      <c r="J319" s="21"/>
      <c r="K319" s="21"/>
      <c r="L319" s="21"/>
      <c r="M319" s="21"/>
      <c r="N319" s="32" t="s">
        <v>1036</v>
      </c>
      <c r="O319" s="22" t="s">
        <v>34</v>
      </c>
      <c r="P319" s="23">
        <v>10</v>
      </c>
      <c r="Q319" s="34">
        <f t="shared" si="99"/>
        <v>7.46</v>
      </c>
      <c r="R319" s="39"/>
      <c r="S319" s="39">
        <f>IF(O319="","",IF(O319="NA","",IF(O319="Mini disjuntor + DR",0.92,IF(O319="Mini disjuntor",0.92,IF(O319="Disjuntor Motor",0.92,IF(O319="Disjuntor C.M.",0.92,IF(O319="Disjuntor C.A.",0.92,IFERROR(VLOOKUP('Lista de Cargas'!P319,Motores!$B$9:$T$48,19,FALSE),"Erro"))))))))</f>
        <v>0.84</v>
      </c>
      <c r="T319" s="40">
        <f>IF(O319="","",IF(O319="NA","",IF(O319="Mini disjuntor + DR",100%,IF(O319="Mini disjuntor",100%,IF(O319="Disjuntor Motor",0.92,IF(O319="Disjuntor C.M.",100%,IF(O319="Disjuntor C.A.",100%,IFERROR(VLOOKUP('Lista de Cargas'!P319,Motores!$B$9:$T$48,16,FALSE)/100,"Erro"))))))))</f>
        <v>0.91</v>
      </c>
      <c r="U319" s="40" t="s">
        <v>445</v>
      </c>
      <c r="V319" s="39">
        <v>440</v>
      </c>
      <c r="W319" s="2">
        <f t="shared" si="106"/>
        <v>12.805744874633129</v>
      </c>
      <c r="X319" s="2">
        <f t="shared" si="100"/>
        <v>8.8809523809523814</v>
      </c>
      <c r="Y319" s="2">
        <f t="shared" si="107"/>
        <v>76.834469247798779</v>
      </c>
      <c r="Z319" s="1"/>
      <c r="AA319" s="1"/>
      <c r="AB319" s="1">
        <v>100</v>
      </c>
      <c r="AC319" s="1"/>
      <c r="AD319" s="1"/>
      <c r="AE319" s="1"/>
      <c r="AF319" s="1"/>
      <c r="AG319" s="1">
        <f t="shared" si="101"/>
        <v>100</v>
      </c>
      <c r="AH319" s="1">
        <v>1</v>
      </c>
      <c r="AI319" s="1" t="s">
        <v>1062</v>
      </c>
      <c r="AJ319" s="1">
        <f t="shared" si="102"/>
        <v>100</v>
      </c>
      <c r="AK319" s="1">
        <v>0</v>
      </c>
      <c r="AL319" s="1" t="s">
        <v>118</v>
      </c>
      <c r="AM319" s="1">
        <f t="shared" si="103"/>
        <v>0</v>
      </c>
      <c r="AN319" s="1">
        <v>0</v>
      </c>
      <c r="AO319" s="1" t="s">
        <v>118</v>
      </c>
      <c r="AP319" s="1">
        <f t="shared" si="104"/>
        <v>0</v>
      </c>
      <c r="AQ319" s="1" t="s">
        <v>69</v>
      </c>
      <c r="AR319" s="1" t="str">
        <f t="shared" si="108"/>
        <v>1"</v>
      </c>
      <c r="AS319" s="1">
        <v>1</v>
      </c>
      <c r="AT319" s="1"/>
      <c r="AU319" s="1"/>
      <c r="AV319" s="17"/>
      <c r="AW319" s="2"/>
      <c r="AX319" s="2"/>
      <c r="AY319" s="2"/>
      <c r="AZ319" s="17"/>
      <c r="BA319" s="1"/>
      <c r="BB319" s="1"/>
      <c r="BC319" s="1"/>
      <c r="BD319" s="1"/>
      <c r="BE319" s="18"/>
      <c r="BF319" s="2">
        <f t="shared" si="109"/>
        <v>1.6407372765871995</v>
      </c>
      <c r="BG319" s="6"/>
      <c r="BH319" s="6"/>
    </row>
    <row r="320" spans="1:60" ht="12.75" customHeight="1" x14ac:dyDescent="0.2">
      <c r="A320" s="19">
        <v>700</v>
      </c>
      <c r="B320" s="19" t="s">
        <v>957</v>
      </c>
      <c r="C320" s="19" t="s">
        <v>643</v>
      </c>
      <c r="D320" s="20" t="s">
        <v>813</v>
      </c>
      <c r="E320" s="20"/>
      <c r="F320" s="21"/>
      <c r="G320" s="21"/>
      <c r="H320" s="21"/>
      <c r="I320" s="21"/>
      <c r="J320" s="21"/>
      <c r="K320" s="21"/>
      <c r="L320" s="21"/>
      <c r="M320" s="21"/>
      <c r="N320" s="32" t="s">
        <v>1036</v>
      </c>
      <c r="O320" s="22" t="s">
        <v>34</v>
      </c>
      <c r="P320" s="23">
        <v>10</v>
      </c>
      <c r="Q320" s="34">
        <f t="shared" si="99"/>
        <v>7.46</v>
      </c>
      <c r="R320" s="39"/>
      <c r="S320" s="39">
        <f>IF(O320="","",IF(O320="NA","",IF(O320="Mini disjuntor + DR",0.92,IF(O320="Mini disjuntor",0.92,IF(O320="Disjuntor Motor",0.92,IF(O320="Disjuntor C.M.",0.92,IF(O320="Disjuntor C.A.",0.92,IFERROR(VLOOKUP('Lista de Cargas'!P320,Motores!$B$9:$T$48,19,FALSE),"Erro"))))))))</f>
        <v>0.84</v>
      </c>
      <c r="T320" s="40">
        <f>IF(O320="","",IF(O320="NA","",IF(O320="Mini disjuntor + DR",100%,IF(O320="Mini disjuntor",100%,IF(O320="Disjuntor Motor",0.92,IF(O320="Disjuntor C.M.",100%,IF(O320="Disjuntor C.A.",100%,IFERROR(VLOOKUP('Lista de Cargas'!P320,Motores!$B$9:$T$48,16,FALSE)/100,"Erro"))))))))</f>
        <v>0.91</v>
      </c>
      <c r="U320" s="40" t="s">
        <v>445</v>
      </c>
      <c r="V320" s="39">
        <v>440</v>
      </c>
      <c r="W320" s="2">
        <f t="shared" si="106"/>
        <v>12.805744874633129</v>
      </c>
      <c r="X320" s="2">
        <f t="shared" si="100"/>
        <v>8.8809523809523814</v>
      </c>
      <c r="Y320" s="2">
        <f t="shared" si="107"/>
        <v>76.834469247798779</v>
      </c>
      <c r="Z320" s="1"/>
      <c r="AA320" s="1"/>
      <c r="AB320" s="1">
        <v>100</v>
      </c>
      <c r="AC320" s="1"/>
      <c r="AD320" s="1"/>
      <c r="AE320" s="1"/>
      <c r="AF320" s="1"/>
      <c r="AG320" s="1">
        <f t="shared" si="101"/>
        <v>100</v>
      </c>
      <c r="AH320" s="1">
        <v>1</v>
      </c>
      <c r="AI320" s="1" t="s">
        <v>1062</v>
      </c>
      <c r="AJ320" s="1">
        <f t="shared" si="102"/>
        <v>100</v>
      </c>
      <c r="AK320" s="1">
        <v>0</v>
      </c>
      <c r="AL320" s="1" t="s">
        <v>118</v>
      </c>
      <c r="AM320" s="1">
        <f t="shared" si="103"/>
        <v>0</v>
      </c>
      <c r="AN320" s="1">
        <v>0</v>
      </c>
      <c r="AO320" s="1" t="s">
        <v>118</v>
      </c>
      <c r="AP320" s="1">
        <f t="shared" si="104"/>
        <v>0</v>
      </c>
      <c r="AQ320" s="1" t="s">
        <v>69</v>
      </c>
      <c r="AR320" s="1" t="str">
        <f t="shared" si="108"/>
        <v>1"</v>
      </c>
      <c r="AS320" s="1">
        <v>1</v>
      </c>
      <c r="AT320" s="1"/>
      <c r="AU320" s="1"/>
      <c r="AV320" s="17"/>
      <c r="AW320" s="2"/>
      <c r="AX320" s="2"/>
      <c r="AY320" s="2"/>
      <c r="AZ320" s="17"/>
      <c r="BA320" s="1"/>
      <c r="BB320" s="1"/>
      <c r="BC320" s="1"/>
      <c r="BD320" s="1"/>
      <c r="BE320" s="18"/>
      <c r="BF320" s="2">
        <f t="shared" si="109"/>
        <v>1.6407372765871995</v>
      </c>
      <c r="BG320" s="6"/>
      <c r="BH320" s="6"/>
    </row>
    <row r="321" spans="1:60" ht="12.75" customHeight="1" x14ac:dyDescent="0.2">
      <c r="A321" s="19">
        <v>700</v>
      </c>
      <c r="B321" s="19" t="s">
        <v>957</v>
      </c>
      <c r="C321" s="19" t="s">
        <v>644</v>
      </c>
      <c r="D321" s="20" t="s">
        <v>814</v>
      </c>
      <c r="E321" s="20"/>
      <c r="F321" s="21"/>
      <c r="G321" s="21"/>
      <c r="H321" s="21"/>
      <c r="I321" s="21"/>
      <c r="J321" s="21"/>
      <c r="K321" s="21"/>
      <c r="L321" s="21"/>
      <c r="M321" s="21"/>
      <c r="N321" s="32" t="s">
        <v>1036</v>
      </c>
      <c r="O321" s="22" t="s">
        <v>34</v>
      </c>
      <c r="P321" s="23">
        <v>6</v>
      </c>
      <c r="Q321" s="34">
        <f t="shared" si="99"/>
        <v>4.476</v>
      </c>
      <c r="R321" s="39"/>
      <c r="S321" s="39">
        <f>IF(O321="","",IF(O321="NA","",IF(O321="Mini disjuntor + DR",0.92,IF(O321="Mini disjuntor",0.92,IF(O321="Disjuntor Motor",0.92,IF(O321="Disjuntor C.M.",0.92,IF(O321="Disjuntor C.A.",0.92,IFERROR(VLOOKUP('Lista de Cargas'!P321,Motores!$B$9:$T$48,19,FALSE),"Erro"))))))))</f>
        <v>0.81</v>
      </c>
      <c r="T321" s="40">
        <f>IF(O321="","",IF(O321="NA","",IF(O321="Mini disjuntor + DR",100%,IF(O321="Mini disjuntor",100%,IF(O321="Disjuntor Motor",0.92,IF(O321="Disjuntor C.M.",100%,IF(O321="Disjuntor C.A.",100%,IFERROR(VLOOKUP('Lista de Cargas'!P321,Motores!$B$9:$T$48,16,FALSE)/100,"Erro"))))))))</f>
        <v>0.88500000000000001</v>
      </c>
      <c r="U321" s="40" t="s">
        <v>445</v>
      </c>
      <c r="V321" s="39">
        <v>440</v>
      </c>
      <c r="W321" s="2">
        <f t="shared" si="106"/>
        <v>8.1931043165261048</v>
      </c>
      <c r="X321" s="2">
        <f t="shared" si="100"/>
        <v>5.5259259259259252</v>
      </c>
      <c r="Y321" s="2">
        <f t="shared" si="107"/>
        <v>49.158625899156632</v>
      </c>
      <c r="Z321" s="1"/>
      <c r="AA321" s="1"/>
      <c r="AB321" s="1">
        <v>100</v>
      </c>
      <c r="AC321" s="1"/>
      <c r="AD321" s="1"/>
      <c r="AE321" s="1"/>
      <c r="AF321" s="1"/>
      <c r="AG321" s="1">
        <f t="shared" si="101"/>
        <v>100</v>
      </c>
      <c r="AH321" s="1">
        <v>1</v>
      </c>
      <c r="AI321" s="1" t="s">
        <v>1063</v>
      </c>
      <c r="AJ321" s="1">
        <f t="shared" si="102"/>
        <v>100</v>
      </c>
      <c r="AK321" s="1">
        <v>0</v>
      </c>
      <c r="AL321" s="1" t="s">
        <v>118</v>
      </c>
      <c r="AM321" s="1">
        <f t="shared" si="103"/>
        <v>0</v>
      </c>
      <c r="AN321" s="1">
        <v>0</v>
      </c>
      <c r="AO321" s="1" t="s">
        <v>118</v>
      </c>
      <c r="AP321" s="1">
        <f t="shared" si="104"/>
        <v>0</v>
      </c>
      <c r="AQ321" s="1" t="s">
        <v>57</v>
      </c>
      <c r="AR321" s="1" t="str">
        <f t="shared" si="108"/>
        <v>3/4"</v>
      </c>
      <c r="AS321" s="1">
        <v>1</v>
      </c>
      <c r="AT321" s="1"/>
      <c r="AU321" s="1"/>
      <c r="AV321" s="17"/>
      <c r="AW321" s="2"/>
      <c r="AX321" s="2"/>
      <c r="AY321" s="2"/>
      <c r="AZ321" s="17"/>
      <c r="BA321" s="1"/>
      <c r="BB321" s="1"/>
      <c r="BC321" s="1"/>
      <c r="BD321" s="1"/>
      <c r="BE321" s="18"/>
      <c r="BF321" s="2">
        <f t="shared" si="109"/>
        <v>1.3338000426191545</v>
      </c>
      <c r="BG321" s="6"/>
      <c r="BH321" s="6"/>
    </row>
    <row r="322" spans="1:60" ht="12.75" customHeight="1" x14ac:dyDescent="0.2">
      <c r="A322" s="19">
        <v>700</v>
      </c>
      <c r="B322" s="19" t="s">
        <v>957</v>
      </c>
      <c r="C322" s="19" t="s">
        <v>645</v>
      </c>
      <c r="D322" s="20" t="s">
        <v>815</v>
      </c>
      <c r="E322" s="20"/>
      <c r="F322" s="21"/>
      <c r="G322" s="21"/>
      <c r="H322" s="21"/>
      <c r="I322" s="21"/>
      <c r="J322" s="21"/>
      <c r="K322" s="21"/>
      <c r="L322" s="21"/>
      <c r="M322" s="21"/>
      <c r="N322" s="32" t="s">
        <v>1036</v>
      </c>
      <c r="O322" s="22" t="s">
        <v>34</v>
      </c>
      <c r="P322" s="23">
        <v>10</v>
      </c>
      <c r="Q322" s="34">
        <f t="shared" si="99"/>
        <v>7.46</v>
      </c>
      <c r="R322" s="39"/>
      <c r="S322" s="39">
        <f>IF(O322="","",IF(O322="NA","",IF(O322="Mini disjuntor + DR",0.92,IF(O322="Mini disjuntor",0.92,IF(O322="Disjuntor Motor",0.92,IF(O322="Disjuntor C.M.",0.92,IF(O322="Disjuntor C.A.",0.92,IFERROR(VLOOKUP('Lista de Cargas'!P322,Motores!$B$9:$T$48,19,FALSE),"Erro"))))))))</f>
        <v>0.84</v>
      </c>
      <c r="T322" s="40">
        <f>IF(O322="","",IF(O322="NA","",IF(O322="Mini disjuntor + DR",100%,IF(O322="Mini disjuntor",100%,IF(O322="Disjuntor Motor",0.92,IF(O322="Disjuntor C.M.",100%,IF(O322="Disjuntor C.A.",100%,IFERROR(VLOOKUP('Lista de Cargas'!P322,Motores!$B$9:$T$48,16,FALSE)/100,"Erro"))))))))</f>
        <v>0.91</v>
      </c>
      <c r="U322" s="40" t="s">
        <v>445</v>
      </c>
      <c r="V322" s="39">
        <v>440</v>
      </c>
      <c r="W322" s="2">
        <f t="shared" si="106"/>
        <v>12.805744874633129</v>
      </c>
      <c r="X322" s="2">
        <f t="shared" si="100"/>
        <v>8.8809523809523814</v>
      </c>
      <c r="Y322" s="2">
        <f t="shared" si="107"/>
        <v>76.834469247798779</v>
      </c>
      <c r="Z322" s="1"/>
      <c r="AA322" s="1"/>
      <c r="AB322" s="1">
        <v>100</v>
      </c>
      <c r="AC322" s="1"/>
      <c r="AD322" s="1"/>
      <c r="AE322" s="1"/>
      <c r="AF322" s="1"/>
      <c r="AG322" s="1">
        <f t="shared" si="101"/>
        <v>100</v>
      </c>
      <c r="AH322" s="1">
        <v>1</v>
      </c>
      <c r="AI322" s="1" t="s">
        <v>1062</v>
      </c>
      <c r="AJ322" s="1">
        <f t="shared" si="102"/>
        <v>100</v>
      </c>
      <c r="AK322" s="1">
        <v>0</v>
      </c>
      <c r="AL322" s="1" t="s">
        <v>118</v>
      </c>
      <c r="AM322" s="1">
        <f t="shared" si="103"/>
        <v>0</v>
      </c>
      <c r="AN322" s="1">
        <v>0</v>
      </c>
      <c r="AO322" s="1" t="s">
        <v>118</v>
      </c>
      <c r="AP322" s="1">
        <f t="shared" si="104"/>
        <v>0</v>
      </c>
      <c r="AQ322" s="1" t="s">
        <v>69</v>
      </c>
      <c r="AR322" s="1" t="str">
        <f t="shared" si="108"/>
        <v>1"</v>
      </c>
      <c r="AS322" s="1">
        <v>1</v>
      </c>
      <c r="AT322" s="1"/>
      <c r="AU322" s="1"/>
      <c r="AV322" s="17"/>
      <c r="AW322" s="2"/>
      <c r="AX322" s="2"/>
      <c r="AY322" s="2"/>
      <c r="AZ322" s="17"/>
      <c r="BA322" s="1"/>
      <c r="BB322" s="1"/>
      <c r="BC322" s="1"/>
      <c r="BD322" s="1"/>
      <c r="BE322" s="18"/>
      <c r="BF322" s="2">
        <f t="shared" si="109"/>
        <v>1.6407372765871995</v>
      </c>
      <c r="BG322" s="6"/>
      <c r="BH322" s="6"/>
    </row>
    <row r="323" spans="1:60" ht="12.75" customHeight="1" x14ac:dyDescent="0.2">
      <c r="A323" s="19">
        <v>700</v>
      </c>
      <c r="B323" s="19" t="s">
        <v>957</v>
      </c>
      <c r="C323" s="19" t="s">
        <v>646</v>
      </c>
      <c r="D323" s="20" t="s">
        <v>816</v>
      </c>
      <c r="E323" s="20"/>
      <c r="F323" s="21"/>
      <c r="G323" s="21"/>
      <c r="H323" s="21"/>
      <c r="I323" s="21"/>
      <c r="J323" s="21"/>
      <c r="K323" s="21"/>
      <c r="L323" s="21"/>
      <c r="M323" s="21"/>
      <c r="N323" s="32" t="s">
        <v>1036</v>
      </c>
      <c r="O323" s="22" t="s">
        <v>35</v>
      </c>
      <c r="P323" s="23">
        <v>7.5</v>
      </c>
      <c r="Q323" s="34">
        <f t="shared" si="99"/>
        <v>5.5949999999999998</v>
      </c>
      <c r="R323" s="39"/>
      <c r="S323" s="39">
        <f>IF(O323="","",IF(O323="NA","",IF(O323="Mini disjuntor + DR",0.92,IF(O323="Mini disjuntor",0.92,IF(O323="Disjuntor Motor",0.92,IF(O323="Disjuntor C.M.",0.92,IF(O323="Disjuntor C.A.",0.92,IFERROR(VLOOKUP('Lista de Cargas'!P323,Motores!$B$9:$T$48,19,FALSE),"Erro"))))))))</f>
        <v>0.79</v>
      </c>
      <c r="T323" s="40">
        <f>IF(O323="","",IF(O323="NA","",IF(O323="Mini disjuntor + DR",100%,IF(O323="Mini disjuntor",100%,IF(O323="Disjuntor Motor",0.92,IF(O323="Disjuntor C.M.",100%,IF(O323="Disjuntor C.A.",100%,IFERROR(VLOOKUP('Lista de Cargas'!P323,Motores!$B$9:$T$48,16,FALSE)/100,"Erro"))))))))</f>
        <v>0.9</v>
      </c>
      <c r="U323" s="40" t="s">
        <v>445</v>
      </c>
      <c r="V323" s="39">
        <v>440</v>
      </c>
      <c r="W323" s="2">
        <f t="shared" si="106"/>
        <v>10.325644917900386</v>
      </c>
      <c r="X323" s="2">
        <f t="shared" si="100"/>
        <v>7.0822784810126578</v>
      </c>
      <c r="Y323" s="2">
        <f t="shared" si="107"/>
        <v>30.976934753701158</v>
      </c>
      <c r="Z323" s="1"/>
      <c r="AA323" s="1"/>
      <c r="AB323" s="1">
        <v>100</v>
      </c>
      <c r="AC323" s="1"/>
      <c r="AD323" s="1"/>
      <c r="AE323" s="1"/>
      <c r="AF323" s="1"/>
      <c r="AG323" s="1">
        <f t="shared" si="101"/>
        <v>100</v>
      </c>
      <c r="AH323" s="1">
        <v>1</v>
      </c>
      <c r="AI323" s="1" t="s">
        <v>1054</v>
      </c>
      <c r="AJ323" s="1">
        <f t="shared" si="102"/>
        <v>100</v>
      </c>
      <c r="AK323" s="1">
        <v>0</v>
      </c>
      <c r="AL323" s="1" t="s">
        <v>118</v>
      </c>
      <c r="AM323" s="1">
        <f t="shared" si="103"/>
        <v>0</v>
      </c>
      <c r="AN323" s="1">
        <v>0</v>
      </c>
      <c r="AO323" s="1" t="s">
        <v>118</v>
      </c>
      <c r="AP323" s="1">
        <f t="shared" si="104"/>
        <v>0</v>
      </c>
      <c r="AQ323" s="1" t="s">
        <v>57</v>
      </c>
      <c r="AR323" s="1" t="str">
        <f t="shared" si="108"/>
        <v>3/4"</v>
      </c>
      <c r="AS323" s="1">
        <v>1</v>
      </c>
      <c r="AT323" s="1"/>
      <c r="AU323" s="1"/>
      <c r="AV323" s="17"/>
      <c r="AW323" s="2"/>
      <c r="AX323" s="2"/>
      <c r="AY323" s="2"/>
      <c r="AZ323" s="17"/>
      <c r="BA323" s="1"/>
      <c r="BB323" s="1"/>
      <c r="BC323" s="1"/>
      <c r="BD323" s="1"/>
      <c r="BE323" s="18"/>
      <c r="BF323" s="2">
        <f t="shared" si="109"/>
        <v>1.9587333760672192</v>
      </c>
      <c r="BG323" s="6"/>
      <c r="BH323" s="6"/>
    </row>
    <row r="324" spans="1:60" ht="12.75" customHeight="1" x14ac:dyDescent="0.2">
      <c r="A324" s="19">
        <v>700</v>
      </c>
      <c r="B324" s="19" t="s">
        <v>957</v>
      </c>
      <c r="C324" s="19" t="s">
        <v>647</v>
      </c>
      <c r="D324" s="20" t="s">
        <v>817</v>
      </c>
      <c r="E324" s="20"/>
      <c r="F324" s="21"/>
      <c r="G324" s="21"/>
      <c r="H324" s="21"/>
      <c r="I324" s="21"/>
      <c r="J324" s="21"/>
      <c r="K324" s="21"/>
      <c r="L324" s="21"/>
      <c r="M324" s="21"/>
      <c r="N324" s="32" t="s">
        <v>1036</v>
      </c>
      <c r="O324" s="22" t="s">
        <v>35</v>
      </c>
      <c r="P324" s="23">
        <v>75</v>
      </c>
      <c r="Q324" s="34">
        <f t="shared" si="99"/>
        <v>55.95</v>
      </c>
      <c r="R324" s="39"/>
      <c r="S324" s="39">
        <f>IF(O324="","",IF(O324="NA","",IF(O324="Mini disjuntor + DR",0.92,IF(O324="Mini disjuntor",0.92,IF(O324="Disjuntor Motor",0.92,IF(O324="Disjuntor C.M.",0.92,IF(O324="Disjuntor C.A.",0.92,IFERROR(VLOOKUP('Lista de Cargas'!P324,Motores!$B$9:$T$48,19,FALSE),"Erro"))))))))</f>
        <v>0.87</v>
      </c>
      <c r="T324" s="40">
        <f>IF(O324="","",IF(O324="NA","",IF(O324="Mini disjuntor + DR",100%,IF(O324="Mini disjuntor",100%,IF(O324="Disjuntor Motor",0.92,IF(O324="Disjuntor C.M.",100%,IF(O324="Disjuntor C.A.",100%,IFERROR(VLOOKUP('Lista de Cargas'!P324,Motores!$B$9:$T$48,16,FALSE)/100,"Erro"))))))))</f>
        <v>0.94400000000000006</v>
      </c>
      <c r="U324" s="40" t="s">
        <v>445</v>
      </c>
      <c r="V324" s="39">
        <v>440</v>
      </c>
      <c r="W324" s="2">
        <f t="shared" si="106"/>
        <v>89.391359056925452</v>
      </c>
      <c r="X324" s="2">
        <f t="shared" si="100"/>
        <v>64.310344827586206</v>
      </c>
      <c r="Y324" s="2">
        <f t="shared" si="107"/>
        <v>268.17407717077634</v>
      </c>
      <c r="Z324" s="1"/>
      <c r="AA324" s="1"/>
      <c r="AB324" s="1">
        <v>100</v>
      </c>
      <c r="AC324" s="1"/>
      <c r="AD324" s="1"/>
      <c r="AE324" s="1"/>
      <c r="AF324" s="1"/>
      <c r="AG324" s="1">
        <f t="shared" si="101"/>
        <v>100</v>
      </c>
      <c r="AH324" s="1">
        <v>1</v>
      </c>
      <c r="AI324" s="1" t="s">
        <v>1069</v>
      </c>
      <c r="AJ324" s="1">
        <f t="shared" si="102"/>
        <v>100</v>
      </c>
      <c r="AK324" s="1">
        <v>0</v>
      </c>
      <c r="AL324" s="1" t="s">
        <v>118</v>
      </c>
      <c r="AM324" s="1">
        <f t="shared" si="103"/>
        <v>0</v>
      </c>
      <c r="AN324" s="1">
        <v>0</v>
      </c>
      <c r="AO324" s="1" t="s">
        <v>118</v>
      </c>
      <c r="AP324" s="1">
        <f t="shared" si="104"/>
        <v>0</v>
      </c>
      <c r="AQ324" s="1" t="s">
        <v>72</v>
      </c>
      <c r="AR324" s="1" t="str">
        <f t="shared" si="108"/>
        <v>2"</v>
      </c>
      <c r="AS324" s="1">
        <v>1</v>
      </c>
      <c r="AT324" s="1"/>
      <c r="AU324" s="1"/>
      <c r="AV324" s="17"/>
      <c r="AW324" s="2"/>
      <c r="AX324" s="2"/>
      <c r="AY324" s="2"/>
      <c r="AZ324" s="17"/>
      <c r="BA324" s="1"/>
      <c r="BB324" s="1"/>
      <c r="BC324" s="1"/>
      <c r="BD324" s="1"/>
      <c r="BE324" s="18"/>
      <c r="BF324" s="2">
        <f t="shared" si="109"/>
        <v>7.8737260298458942</v>
      </c>
      <c r="BG324" s="6"/>
      <c r="BH324" s="6"/>
    </row>
    <row r="325" spans="1:60" ht="12.75" customHeight="1" x14ac:dyDescent="0.2">
      <c r="A325" s="19">
        <v>700</v>
      </c>
      <c r="B325" s="19" t="s">
        <v>957</v>
      </c>
      <c r="C325" s="19" t="s">
        <v>648</v>
      </c>
      <c r="D325" s="20" t="s">
        <v>818</v>
      </c>
      <c r="E325" s="20"/>
      <c r="F325" s="21"/>
      <c r="G325" s="21"/>
      <c r="H325" s="21"/>
      <c r="I325" s="21"/>
      <c r="J325" s="21"/>
      <c r="K325" s="21"/>
      <c r="L325" s="21"/>
      <c r="M325" s="21"/>
      <c r="N325" s="32" t="s">
        <v>1036</v>
      </c>
      <c r="O325" s="22" t="s">
        <v>35</v>
      </c>
      <c r="P325" s="23">
        <v>60</v>
      </c>
      <c r="Q325" s="34">
        <f t="shared" si="99"/>
        <v>44.76</v>
      </c>
      <c r="R325" s="39"/>
      <c r="S325" s="39">
        <f>IF(O325="","",IF(O325="NA","",IF(O325="Mini disjuntor + DR",0.92,IF(O325="Mini disjuntor",0.92,IF(O325="Disjuntor Motor",0.92,IF(O325="Disjuntor C.M.",0.92,IF(O325="Disjuntor C.A.",0.92,IFERROR(VLOOKUP('Lista de Cargas'!P325,Motores!$B$9:$T$48,19,FALSE),"Erro"))))))))</f>
        <v>0.86</v>
      </c>
      <c r="T325" s="40">
        <f>IF(O325="","",IF(O325="NA","",IF(O325="Mini disjuntor + DR",100%,IF(O325="Mini disjuntor",100%,IF(O325="Disjuntor Motor",0.92,IF(O325="Disjuntor C.M.",100%,IF(O325="Disjuntor C.A.",100%,IFERROR(VLOOKUP('Lista de Cargas'!P325,Motores!$B$9:$T$48,16,FALSE)/100,"Erro"))))))))</f>
        <v>0.94099999999999995</v>
      </c>
      <c r="U325" s="40" t="s">
        <v>445</v>
      </c>
      <c r="V325" s="39">
        <v>440</v>
      </c>
      <c r="W325" s="2">
        <f t="shared" si="106"/>
        <v>72.57527654031756</v>
      </c>
      <c r="X325" s="2">
        <f t="shared" si="100"/>
        <v>52.046511627906973</v>
      </c>
      <c r="Y325" s="2">
        <f t="shared" si="107"/>
        <v>217.72582962095268</v>
      </c>
      <c r="Z325" s="1"/>
      <c r="AA325" s="1"/>
      <c r="AB325" s="1">
        <v>100</v>
      </c>
      <c r="AC325" s="1"/>
      <c r="AD325" s="1"/>
      <c r="AE325" s="1"/>
      <c r="AF325" s="1"/>
      <c r="AG325" s="1">
        <f t="shared" si="101"/>
        <v>100</v>
      </c>
      <c r="AH325" s="1">
        <v>1</v>
      </c>
      <c r="AI325" s="1" t="s">
        <v>1067</v>
      </c>
      <c r="AJ325" s="1">
        <f t="shared" si="102"/>
        <v>100</v>
      </c>
      <c r="AK325" s="1">
        <v>0</v>
      </c>
      <c r="AL325" s="1" t="s">
        <v>118</v>
      </c>
      <c r="AM325" s="1">
        <f t="shared" si="103"/>
        <v>0</v>
      </c>
      <c r="AN325" s="1">
        <v>0</v>
      </c>
      <c r="AO325" s="1" t="s">
        <v>118</v>
      </c>
      <c r="AP325" s="1">
        <f t="shared" si="104"/>
        <v>0</v>
      </c>
      <c r="AQ325" s="1" t="s">
        <v>71</v>
      </c>
      <c r="AR325" s="1" t="str">
        <f t="shared" si="108"/>
        <v>1.1/2"</v>
      </c>
      <c r="AS325" s="1">
        <v>1</v>
      </c>
      <c r="AT325" s="1"/>
      <c r="AU325" s="1"/>
      <c r="AV325" s="17"/>
      <c r="AW325" s="2"/>
      <c r="AX325" s="2"/>
      <c r="AY325" s="2"/>
      <c r="AZ325" s="17"/>
      <c r="BA325" s="1"/>
      <c r="BB325" s="1"/>
      <c r="BC325" s="1"/>
      <c r="BD325" s="1"/>
      <c r="BE325" s="18"/>
      <c r="BF325" s="2">
        <f t="shared" si="109"/>
        <v>7.4913441620442498</v>
      </c>
      <c r="BG325" s="6"/>
      <c r="BH325" s="6"/>
    </row>
    <row r="326" spans="1:60" ht="12.75" customHeight="1" x14ac:dyDescent="0.2">
      <c r="A326" s="19">
        <v>700</v>
      </c>
      <c r="B326" s="19" t="s">
        <v>957</v>
      </c>
      <c r="C326" s="19" t="s">
        <v>649</v>
      </c>
      <c r="D326" s="20" t="s">
        <v>819</v>
      </c>
      <c r="E326" s="20"/>
      <c r="F326" s="21"/>
      <c r="G326" s="21"/>
      <c r="H326" s="21"/>
      <c r="I326" s="21"/>
      <c r="J326" s="21"/>
      <c r="K326" s="21"/>
      <c r="L326" s="21"/>
      <c r="M326" s="21"/>
      <c r="N326" s="32" t="s">
        <v>1036</v>
      </c>
      <c r="O326" s="22" t="s">
        <v>5</v>
      </c>
      <c r="P326" s="23">
        <v>150</v>
      </c>
      <c r="Q326" s="34">
        <f t="shared" si="99"/>
        <v>111.9</v>
      </c>
      <c r="R326" s="39"/>
      <c r="S326" s="39">
        <f>IF(O326="","",IF(O326="NA","",IF(O326="Mini disjuntor + DR",0.92,IF(O326="Mini disjuntor",0.92,IF(O326="Disjuntor Motor",0.92,IF(O326="Disjuntor C.M.",0.92,IF(O326="Disjuntor C.A.",0.92,IFERROR(VLOOKUP('Lista de Cargas'!P326,Motores!$B$9:$T$48,19,FALSE),"Erro"))))))))</f>
        <v>0.86</v>
      </c>
      <c r="T326" s="40">
        <f>IF(O326="","",IF(O326="NA","",IF(O326="Mini disjuntor + DR",100%,IF(O326="Mini disjuntor",100%,IF(O326="Disjuntor Motor",0.92,IF(O326="Disjuntor C.M.",100%,IF(O326="Disjuntor C.A.",100%,IFERROR(VLOOKUP('Lista de Cargas'!P326,Motores!$B$9:$T$48,16,FALSE)/100,"Erro"))))))))</f>
        <v>0.95200000000000007</v>
      </c>
      <c r="U326" s="40" t="s">
        <v>445</v>
      </c>
      <c r="V326" s="39">
        <v>440</v>
      </c>
      <c r="W326" s="2">
        <f t="shared" si="106"/>
        <v>179.34174166081624</v>
      </c>
      <c r="X326" s="2">
        <f t="shared" si="100"/>
        <v>130.11627906976744</v>
      </c>
      <c r="Y326" s="2">
        <f t="shared" si="107"/>
        <v>269.01261249122433</v>
      </c>
      <c r="Z326" s="1"/>
      <c r="AA326" s="1"/>
      <c r="AB326" s="1">
        <v>100</v>
      </c>
      <c r="AC326" s="1"/>
      <c r="AD326" s="1"/>
      <c r="AE326" s="1"/>
      <c r="AF326" s="1"/>
      <c r="AG326" s="1">
        <f t="shared" si="101"/>
        <v>100</v>
      </c>
      <c r="AH326" s="1">
        <v>3</v>
      </c>
      <c r="AI326" s="1" t="s">
        <v>1052</v>
      </c>
      <c r="AJ326" s="1">
        <f t="shared" si="102"/>
        <v>300</v>
      </c>
      <c r="AK326" s="1">
        <v>0</v>
      </c>
      <c r="AL326" s="1" t="s">
        <v>118</v>
      </c>
      <c r="AM326" s="1">
        <f t="shared" si="103"/>
        <v>0</v>
      </c>
      <c r="AN326" s="1">
        <v>1</v>
      </c>
      <c r="AO326" s="1" t="s">
        <v>1053</v>
      </c>
      <c r="AP326" s="1">
        <f t="shared" si="104"/>
        <v>100</v>
      </c>
      <c r="AQ326" s="1" t="s">
        <v>72</v>
      </c>
      <c r="AR326" s="1" t="str">
        <f t="shared" si="108"/>
        <v>2"</v>
      </c>
      <c r="AS326" s="1">
        <v>1</v>
      </c>
      <c r="AT326" s="1"/>
      <c r="AU326" s="1"/>
      <c r="AV326" s="17"/>
      <c r="AW326" s="2"/>
      <c r="AX326" s="2"/>
      <c r="AY326" s="2"/>
      <c r="AZ326" s="17"/>
      <c r="BA326" s="1"/>
      <c r="BB326" s="1"/>
      <c r="BC326" s="1"/>
      <c r="BD326" s="1"/>
      <c r="BE326" s="18"/>
      <c r="BF326" s="2">
        <f t="shared" si="109"/>
        <v>0</v>
      </c>
      <c r="BG326" s="6"/>
      <c r="BH326" s="6"/>
    </row>
    <row r="327" spans="1:60" ht="12.75" customHeight="1" x14ac:dyDescent="0.2">
      <c r="A327" s="19">
        <v>700</v>
      </c>
      <c r="B327" s="19" t="s">
        <v>957</v>
      </c>
      <c r="C327" s="19" t="s">
        <v>650</v>
      </c>
      <c r="D327" s="20" t="s">
        <v>820</v>
      </c>
      <c r="E327" s="20"/>
      <c r="F327" s="21"/>
      <c r="G327" s="21"/>
      <c r="H327" s="21"/>
      <c r="I327" s="21"/>
      <c r="J327" s="21"/>
      <c r="K327" s="21"/>
      <c r="L327" s="21"/>
      <c r="M327" s="21"/>
      <c r="N327" s="32" t="s">
        <v>1036</v>
      </c>
      <c r="O327" s="22" t="s">
        <v>35</v>
      </c>
      <c r="P327" s="23">
        <v>75</v>
      </c>
      <c r="Q327" s="34">
        <f t="shared" si="99"/>
        <v>55.95</v>
      </c>
      <c r="R327" s="1"/>
      <c r="S327" s="39">
        <f>IF(O327="","",IF(O327="NA","",IF(O327="Mini disjuntor + DR",0.92,IF(O327="Mini disjuntor",0.92,IF(O327="Disjuntor Motor",0.92,IF(O327="Disjuntor C.M.",0.92,IF(O327="Disjuntor C.A.",0.92,IFERROR(VLOOKUP('Lista de Cargas'!P327,Motores!$B$9:$T$48,19,FALSE),"Erro"))))))))</f>
        <v>0.87</v>
      </c>
      <c r="T327" s="40">
        <f>IF(O327="","",IF(O327="NA","",IF(O327="Mini disjuntor + DR",100%,IF(O327="Mini disjuntor",100%,IF(O327="Disjuntor Motor",0.92,IF(O327="Disjuntor C.M.",100%,IF(O327="Disjuntor C.A.",100%,IFERROR(VLOOKUP('Lista de Cargas'!P327,Motores!$B$9:$T$48,16,FALSE)/100,"Erro"))))))))</f>
        <v>0.94400000000000006</v>
      </c>
      <c r="U327" s="40" t="s">
        <v>445</v>
      </c>
      <c r="V327" s="39">
        <v>440</v>
      </c>
      <c r="W327" s="2">
        <f t="shared" si="106"/>
        <v>89.391359056925452</v>
      </c>
      <c r="X327" s="2">
        <f t="shared" si="100"/>
        <v>64.310344827586206</v>
      </c>
      <c r="Y327" s="2">
        <f t="shared" si="107"/>
        <v>268.17407717077634</v>
      </c>
      <c r="Z327" s="1"/>
      <c r="AA327" s="1"/>
      <c r="AB327" s="1">
        <v>100</v>
      </c>
      <c r="AC327" s="1"/>
      <c r="AD327" s="1"/>
      <c r="AE327" s="1"/>
      <c r="AF327" s="1"/>
      <c r="AG327" s="1">
        <f t="shared" si="101"/>
        <v>100</v>
      </c>
      <c r="AH327" s="1">
        <v>1</v>
      </c>
      <c r="AI327" s="1" t="s">
        <v>1069</v>
      </c>
      <c r="AJ327" s="1">
        <f t="shared" si="102"/>
        <v>100</v>
      </c>
      <c r="AK327" s="1">
        <v>0</v>
      </c>
      <c r="AL327" s="1" t="s">
        <v>118</v>
      </c>
      <c r="AM327" s="1">
        <f t="shared" si="103"/>
        <v>0</v>
      </c>
      <c r="AN327" s="1">
        <v>0</v>
      </c>
      <c r="AO327" s="1" t="s">
        <v>118</v>
      </c>
      <c r="AP327" s="1">
        <f t="shared" si="104"/>
        <v>0</v>
      </c>
      <c r="AQ327" s="1" t="s">
        <v>72</v>
      </c>
      <c r="AR327" s="1" t="str">
        <f t="shared" si="108"/>
        <v>2"</v>
      </c>
      <c r="AS327" s="1">
        <v>1</v>
      </c>
      <c r="AT327" s="1"/>
      <c r="AU327" s="1"/>
      <c r="AV327" s="17"/>
      <c r="AW327" s="2"/>
      <c r="AX327" s="2"/>
      <c r="AY327" s="2"/>
      <c r="AZ327" s="17"/>
      <c r="BA327" s="1"/>
      <c r="BB327" s="1"/>
      <c r="BC327" s="1"/>
      <c r="BD327" s="1"/>
      <c r="BE327" s="18"/>
      <c r="BF327" s="2">
        <f t="shared" si="109"/>
        <v>7.8737260298458942</v>
      </c>
      <c r="BG327" s="6"/>
      <c r="BH327" s="6"/>
    </row>
    <row r="328" spans="1:60" ht="12.75" customHeight="1" x14ac:dyDescent="0.2">
      <c r="A328" s="19">
        <v>700</v>
      </c>
      <c r="B328" s="19" t="s">
        <v>957</v>
      </c>
      <c r="C328" s="19" t="s">
        <v>651</v>
      </c>
      <c r="D328" s="20" t="s">
        <v>821</v>
      </c>
      <c r="E328" s="20"/>
      <c r="F328" s="21"/>
      <c r="G328" s="21"/>
      <c r="H328" s="21"/>
      <c r="I328" s="21"/>
      <c r="J328" s="21"/>
      <c r="K328" s="21"/>
      <c r="L328" s="21"/>
      <c r="M328" s="21"/>
      <c r="N328" s="32" t="s">
        <v>1036</v>
      </c>
      <c r="O328" s="22" t="s">
        <v>35</v>
      </c>
      <c r="P328" s="23">
        <v>30</v>
      </c>
      <c r="Q328" s="34">
        <f t="shared" si="99"/>
        <v>22.38</v>
      </c>
      <c r="R328" s="1"/>
      <c r="S328" s="39">
        <f>IF(O328="","",IF(O328="NA","",IF(O328="Mini disjuntor + DR",0.92,IF(O328="Mini disjuntor",0.92,IF(O328="Disjuntor Motor",0.92,IF(O328="Disjuntor C.M.",0.92,IF(O328="Disjuntor C.A.",0.92,IFERROR(VLOOKUP('Lista de Cargas'!P328,Motores!$B$9:$T$48,19,FALSE),"Erro"))))))))</f>
        <v>0.84</v>
      </c>
      <c r="T328" s="40">
        <f>IF(O328="","",IF(O328="NA","",IF(O328="Mini disjuntor + DR",100%,IF(O328="Mini disjuntor",100%,IF(O328="Disjuntor Motor",0.92,IF(O328="Disjuntor C.M.",100%,IF(O328="Disjuntor C.A.",100%,IFERROR(VLOOKUP('Lista de Cargas'!P328,Motores!$B$9:$T$48,16,FALSE)/100,"Erro"))))))))</f>
        <v>0.93</v>
      </c>
      <c r="U328" s="40" t="s">
        <v>445</v>
      </c>
      <c r="V328" s="39">
        <v>440</v>
      </c>
      <c r="W328" s="2">
        <f t="shared" si="106"/>
        <v>37.59105753521338</v>
      </c>
      <c r="X328" s="2">
        <f t="shared" si="100"/>
        <v>26.642857142857142</v>
      </c>
      <c r="Y328" s="2">
        <f t="shared" si="107"/>
        <v>112.77317260564014</v>
      </c>
      <c r="Z328" s="1"/>
      <c r="AA328" s="1"/>
      <c r="AB328" s="1">
        <v>100</v>
      </c>
      <c r="AC328" s="1"/>
      <c r="AD328" s="1"/>
      <c r="AE328" s="1"/>
      <c r="AF328" s="1"/>
      <c r="AG328" s="1">
        <f t="shared" si="101"/>
        <v>100</v>
      </c>
      <c r="AH328" s="1">
        <v>1</v>
      </c>
      <c r="AI328" s="1" t="s">
        <v>1057</v>
      </c>
      <c r="AJ328" s="1">
        <f t="shared" si="102"/>
        <v>100</v>
      </c>
      <c r="AK328" s="1">
        <v>0</v>
      </c>
      <c r="AL328" s="1" t="s">
        <v>118</v>
      </c>
      <c r="AM328" s="1">
        <f t="shared" si="103"/>
        <v>0</v>
      </c>
      <c r="AN328" s="1">
        <v>0</v>
      </c>
      <c r="AO328" s="1" t="s">
        <v>118</v>
      </c>
      <c r="AP328" s="1">
        <f t="shared" si="104"/>
        <v>0</v>
      </c>
      <c r="AQ328" s="1" t="s">
        <v>60</v>
      </c>
      <c r="AR328" s="1" t="str">
        <f t="shared" si="108"/>
        <v>1"</v>
      </c>
      <c r="AS328" s="1">
        <v>1</v>
      </c>
      <c r="AT328" s="1"/>
      <c r="AU328" s="1"/>
      <c r="AV328" s="17"/>
      <c r="AW328" s="2"/>
      <c r="AX328" s="2"/>
      <c r="AY328" s="2"/>
      <c r="AZ328" s="17"/>
      <c r="BA328" s="1"/>
      <c r="BB328" s="1"/>
      <c r="BC328" s="1"/>
      <c r="BD328" s="1"/>
      <c r="BE328" s="18"/>
      <c r="BF328" s="2">
        <f t="shared" si="109"/>
        <v>4.9222118297615935</v>
      </c>
      <c r="BG328" s="6"/>
      <c r="BH328" s="6"/>
    </row>
    <row r="329" spans="1:60" ht="12.75" customHeight="1" x14ac:dyDescent="0.2">
      <c r="A329" s="19">
        <v>700</v>
      </c>
      <c r="B329" s="19" t="s">
        <v>957</v>
      </c>
      <c r="C329" s="19" t="s">
        <v>652</v>
      </c>
      <c r="D329" s="20" t="s">
        <v>822</v>
      </c>
      <c r="E329" s="20"/>
      <c r="F329" s="21"/>
      <c r="G329" s="21"/>
      <c r="H329" s="21"/>
      <c r="I329" s="21"/>
      <c r="J329" s="21"/>
      <c r="K329" s="21"/>
      <c r="L329" s="21"/>
      <c r="M329" s="21"/>
      <c r="N329" s="32" t="s">
        <v>1036</v>
      </c>
      <c r="O329" s="22" t="s">
        <v>5</v>
      </c>
      <c r="P329" s="23">
        <v>10</v>
      </c>
      <c r="Q329" s="34">
        <f t="shared" si="99"/>
        <v>7.46</v>
      </c>
      <c r="R329" s="1"/>
      <c r="S329" s="39">
        <f>IF(O329="","",IF(O329="NA","",IF(O329="Mini disjuntor + DR",0.92,IF(O329="Mini disjuntor",0.92,IF(O329="Disjuntor Motor",0.92,IF(O329="Disjuntor C.M.",0.92,IF(O329="Disjuntor C.A.",0.92,IFERROR(VLOOKUP('Lista de Cargas'!P329,Motores!$B$9:$T$48,19,FALSE),"Erro"))))))))</f>
        <v>0.84</v>
      </c>
      <c r="T329" s="40">
        <f>IF(O329="","",IF(O329="NA","",IF(O329="Mini disjuntor + DR",100%,IF(O329="Mini disjuntor",100%,IF(O329="Disjuntor Motor",0.92,IF(O329="Disjuntor C.M.",100%,IF(O329="Disjuntor C.A.",100%,IFERROR(VLOOKUP('Lista de Cargas'!P329,Motores!$B$9:$T$48,16,FALSE)/100,"Erro"))))))))</f>
        <v>0.91</v>
      </c>
      <c r="U329" s="40" t="s">
        <v>445</v>
      </c>
      <c r="V329" s="39">
        <v>440</v>
      </c>
      <c r="W329" s="2">
        <f t="shared" si="106"/>
        <v>12.805744874633129</v>
      </c>
      <c r="X329" s="2">
        <f t="shared" si="100"/>
        <v>8.8809523809523814</v>
      </c>
      <c r="Y329" s="2">
        <f t="shared" si="107"/>
        <v>19.208617311949695</v>
      </c>
      <c r="Z329" s="1"/>
      <c r="AA329" s="1"/>
      <c r="AB329" s="1">
        <v>100</v>
      </c>
      <c r="AC329" s="1"/>
      <c r="AD329" s="1"/>
      <c r="AE329" s="1"/>
      <c r="AF329" s="1"/>
      <c r="AG329" s="1">
        <f t="shared" si="101"/>
        <v>100</v>
      </c>
      <c r="AH329" s="1">
        <v>1</v>
      </c>
      <c r="AI329" s="1" t="s">
        <v>1063</v>
      </c>
      <c r="AJ329" s="1">
        <f t="shared" si="102"/>
        <v>100</v>
      </c>
      <c r="AK329" s="1">
        <v>0</v>
      </c>
      <c r="AL329" s="1" t="s">
        <v>118</v>
      </c>
      <c r="AM329" s="1">
        <f t="shared" si="103"/>
        <v>0</v>
      </c>
      <c r="AN329" s="1">
        <v>0</v>
      </c>
      <c r="AO329" s="1" t="s">
        <v>118</v>
      </c>
      <c r="AP329" s="1">
        <f t="shared" si="104"/>
        <v>0</v>
      </c>
      <c r="AQ329" s="1" t="s">
        <v>57</v>
      </c>
      <c r="AR329" s="1" t="str">
        <f t="shared" si="108"/>
        <v>3/4"</v>
      </c>
      <c r="AS329" s="1">
        <v>1</v>
      </c>
      <c r="AT329" s="1"/>
      <c r="AU329" s="1"/>
      <c r="AV329" s="17"/>
      <c r="AW329" s="2"/>
      <c r="AX329" s="2"/>
      <c r="AY329" s="2"/>
      <c r="AZ329" s="17"/>
      <c r="BA329" s="1"/>
      <c r="BB329" s="1"/>
      <c r="BC329" s="1"/>
      <c r="BD329" s="1"/>
      <c r="BE329" s="18"/>
      <c r="BF329" s="2">
        <f t="shared" si="109"/>
        <v>0</v>
      </c>
      <c r="BG329" s="6"/>
      <c r="BH329" s="6"/>
    </row>
    <row r="330" spans="1:60" ht="12.75" customHeight="1" x14ac:dyDescent="0.2">
      <c r="A330" s="19">
        <v>700</v>
      </c>
      <c r="B330" s="19" t="s">
        <v>957</v>
      </c>
      <c r="C330" s="19" t="s">
        <v>653</v>
      </c>
      <c r="D330" s="20" t="s">
        <v>823</v>
      </c>
      <c r="E330" s="20"/>
      <c r="F330" s="21"/>
      <c r="G330" s="21"/>
      <c r="H330" s="21"/>
      <c r="I330" s="21"/>
      <c r="J330" s="21"/>
      <c r="K330" s="21"/>
      <c r="L330" s="21"/>
      <c r="M330" s="21"/>
      <c r="N330" s="32" t="s">
        <v>1036</v>
      </c>
      <c r="O330" s="22" t="s">
        <v>5</v>
      </c>
      <c r="P330" s="23">
        <v>10</v>
      </c>
      <c r="Q330" s="34">
        <f t="shared" si="99"/>
        <v>7.46</v>
      </c>
      <c r="R330" s="1"/>
      <c r="S330" s="39">
        <f>IF(O330="","",IF(O330="NA","",IF(O330="Mini disjuntor + DR",0.92,IF(O330="Mini disjuntor",0.92,IF(O330="Disjuntor Motor",0.92,IF(O330="Disjuntor C.M.",0.92,IF(O330="Disjuntor C.A.",0.92,IFERROR(VLOOKUP('Lista de Cargas'!P330,Motores!$B$9:$T$48,19,FALSE),"Erro"))))))))</f>
        <v>0.84</v>
      </c>
      <c r="T330" s="40">
        <f>IF(O330="","",IF(O330="NA","",IF(O330="Mini disjuntor + DR",100%,IF(O330="Mini disjuntor",100%,IF(O330="Disjuntor Motor",0.92,IF(O330="Disjuntor C.M.",100%,IF(O330="Disjuntor C.A.",100%,IFERROR(VLOOKUP('Lista de Cargas'!P330,Motores!$B$9:$T$48,16,FALSE)/100,"Erro"))))))))</f>
        <v>0.91</v>
      </c>
      <c r="U330" s="40" t="s">
        <v>445</v>
      </c>
      <c r="V330" s="39">
        <v>440</v>
      </c>
      <c r="W330" s="2">
        <f t="shared" ref="W330:W340" si="110">IFERROR(IF(U330=$U$344,(P330*746)/(SQRT(3)*S330*T330*V330),(P330*746)/(S330*T330*V330)),0)</f>
        <v>12.805744874633129</v>
      </c>
      <c r="X330" s="2">
        <f t="shared" si="100"/>
        <v>8.8809523809523814</v>
      </c>
      <c r="Y330" s="2">
        <f t="shared" ref="Y330:Y340" si="111">IFERROR(IF(O330=$O$344,6*W330,IF(O330=$O$345,6*W330,IF(O330=$O$346,3*W330,IF(O330=$O$347,1.5*W330,W330)))),0)</f>
        <v>19.208617311949695</v>
      </c>
      <c r="Z330" s="1"/>
      <c r="AA330" s="1"/>
      <c r="AB330" s="1">
        <v>100</v>
      </c>
      <c r="AC330" s="1"/>
      <c r="AD330" s="1"/>
      <c r="AE330" s="1"/>
      <c r="AF330" s="1"/>
      <c r="AG330" s="1">
        <f t="shared" si="101"/>
        <v>100</v>
      </c>
      <c r="AH330" s="1">
        <v>1</v>
      </c>
      <c r="AI330" s="1" t="s">
        <v>1063</v>
      </c>
      <c r="AJ330" s="1">
        <f t="shared" si="102"/>
        <v>100</v>
      </c>
      <c r="AK330" s="1">
        <v>0</v>
      </c>
      <c r="AL330" s="1" t="s">
        <v>118</v>
      </c>
      <c r="AM330" s="1">
        <f t="shared" si="103"/>
        <v>0</v>
      </c>
      <c r="AN330" s="1">
        <v>0</v>
      </c>
      <c r="AO330" s="1" t="s">
        <v>118</v>
      </c>
      <c r="AP330" s="1">
        <f t="shared" si="104"/>
        <v>0</v>
      </c>
      <c r="AQ330" s="1" t="s">
        <v>57</v>
      </c>
      <c r="AR330" s="1" t="str">
        <f t="shared" si="108"/>
        <v>3/4"</v>
      </c>
      <c r="AS330" s="1">
        <v>1</v>
      </c>
      <c r="AT330" s="1"/>
      <c r="AU330" s="1"/>
      <c r="AV330" s="17"/>
      <c r="AW330" s="2"/>
      <c r="AX330" s="2"/>
      <c r="AY330" s="2"/>
      <c r="AZ330" s="17"/>
      <c r="BA330" s="1"/>
      <c r="BB330" s="1"/>
      <c r="BC330" s="1"/>
      <c r="BD330" s="1"/>
      <c r="BE330" s="18"/>
      <c r="BF330" s="2">
        <f t="shared" si="109"/>
        <v>0</v>
      </c>
      <c r="BG330" s="6"/>
      <c r="BH330" s="6"/>
    </row>
    <row r="331" spans="1:60" ht="12.75" customHeight="1" x14ac:dyDescent="0.2">
      <c r="A331" s="19">
        <v>700</v>
      </c>
      <c r="B331" s="19" t="s">
        <v>957</v>
      </c>
      <c r="C331" s="19" t="s">
        <v>950</v>
      </c>
      <c r="D331" s="20" t="s">
        <v>824</v>
      </c>
      <c r="E331" s="20"/>
      <c r="F331" s="21"/>
      <c r="G331" s="21"/>
      <c r="H331" s="21"/>
      <c r="I331" s="21"/>
      <c r="J331" s="21"/>
      <c r="K331" s="21"/>
      <c r="L331" s="21"/>
      <c r="M331" s="21"/>
      <c r="N331" s="32" t="s">
        <v>1036</v>
      </c>
      <c r="O331" s="22" t="s">
        <v>34</v>
      </c>
      <c r="P331" s="23">
        <v>10</v>
      </c>
      <c r="Q331" s="34">
        <f t="shared" si="99"/>
        <v>7.46</v>
      </c>
      <c r="R331" s="1"/>
      <c r="S331" s="39">
        <f>IF(O331="","",IF(O331="NA","",IF(O331="Mini disjuntor + DR",0.92,IF(O331="Mini disjuntor",0.92,IF(O331="Disjuntor Motor",0.92,IF(O331="Disjuntor C.M.",0.92,IF(O331="Disjuntor C.A.",0.92,IFERROR(VLOOKUP('Lista de Cargas'!P331,Motores!$B$9:$T$48,19,FALSE),"Erro"))))))))</f>
        <v>0.84</v>
      </c>
      <c r="T331" s="40">
        <f>IF(O331="","",IF(O331="NA","",IF(O331="Mini disjuntor + DR",100%,IF(O331="Mini disjuntor",100%,IF(O331="Disjuntor Motor",0.92,IF(O331="Disjuntor C.M.",100%,IF(O331="Disjuntor C.A.",100%,IFERROR(VLOOKUP('Lista de Cargas'!P331,Motores!$B$9:$T$48,16,FALSE)/100,"Erro"))))))))</f>
        <v>0.91</v>
      </c>
      <c r="U331" s="40" t="s">
        <v>445</v>
      </c>
      <c r="V331" s="39">
        <v>440</v>
      </c>
      <c r="W331" s="2">
        <f t="shared" si="110"/>
        <v>12.805744874633129</v>
      </c>
      <c r="X331" s="2">
        <f t="shared" si="100"/>
        <v>8.8809523809523814</v>
      </c>
      <c r="Y331" s="2">
        <f t="shared" si="111"/>
        <v>76.834469247798779</v>
      </c>
      <c r="Z331" s="1"/>
      <c r="AA331" s="1"/>
      <c r="AB331" s="1">
        <v>100</v>
      </c>
      <c r="AC331" s="1"/>
      <c r="AD331" s="1"/>
      <c r="AE331" s="1"/>
      <c r="AF331" s="1"/>
      <c r="AG331" s="1">
        <f t="shared" si="101"/>
        <v>100</v>
      </c>
      <c r="AH331" s="1">
        <v>1</v>
      </c>
      <c r="AI331" s="1" t="s">
        <v>1062</v>
      </c>
      <c r="AJ331" s="1">
        <f t="shared" si="102"/>
        <v>100</v>
      </c>
      <c r="AK331" s="1">
        <v>0</v>
      </c>
      <c r="AL331" s="1" t="s">
        <v>118</v>
      </c>
      <c r="AM331" s="1">
        <f t="shared" si="103"/>
        <v>0</v>
      </c>
      <c r="AN331" s="1">
        <v>0</v>
      </c>
      <c r="AO331" s="1" t="s">
        <v>118</v>
      </c>
      <c r="AP331" s="1">
        <f t="shared" si="104"/>
        <v>0</v>
      </c>
      <c r="AQ331" s="1" t="s">
        <v>69</v>
      </c>
      <c r="AR331" s="1" t="str">
        <f t="shared" si="108"/>
        <v>1"</v>
      </c>
      <c r="AS331" s="1">
        <v>1</v>
      </c>
      <c r="AT331" s="1"/>
      <c r="AU331" s="1"/>
      <c r="AV331" s="17"/>
      <c r="AW331" s="2"/>
      <c r="AX331" s="2"/>
      <c r="AY331" s="2"/>
      <c r="AZ331" s="17"/>
      <c r="BA331" s="1"/>
      <c r="BB331" s="1"/>
      <c r="BC331" s="1"/>
      <c r="BD331" s="1"/>
      <c r="BE331" s="18"/>
      <c r="BF331" s="2">
        <f t="shared" si="109"/>
        <v>1.6407372765871995</v>
      </c>
      <c r="BG331" s="6"/>
      <c r="BH331" s="6"/>
    </row>
    <row r="332" spans="1:60" ht="12.75" customHeight="1" x14ac:dyDescent="0.2">
      <c r="A332" s="19">
        <v>700</v>
      </c>
      <c r="B332" s="19" t="s">
        <v>957</v>
      </c>
      <c r="C332" s="19" t="s">
        <v>951</v>
      </c>
      <c r="D332" s="20" t="s">
        <v>824</v>
      </c>
      <c r="E332" s="20"/>
      <c r="F332" s="21"/>
      <c r="G332" s="21"/>
      <c r="H332" s="21"/>
      <c r="I332" s="21"/>
      <c r="J332" s="21"/>
      <c r="K332" s="21"/>
      <c r="L332" s="21"/>
      <c r="M332" s="21"/>
      <c r="N332" s="32" t="s">
        <v>1036</v>
      </c>
      <c r="O332" s="22" t="s">
        <v>34</v>
      </c>
      <c r="P332" s="23">
        <v>10</v>
      </c>
      <c r="Q332" s="34">
        <f t="shared" si="99"/>
        <v>7.46</v>
      </c>
      <c r="R332" s="1"/>
      <c r="S332" s="39">
        <f>IF(O332="","",IF(O332="NA","",IF(O332="Mini disjuntor + DR",0.92,IF(O332="Mini disjuntor",0.92,IF(O332="Disjuntor Motor",0.92,IF(O332="Disjuntor C.M.",0.92,IF(O332="Disjuntor C.A.",0.92,IFERROR(VLOOKUP('Lista de Cargas'!P332,Motores!$B$9:$T$48,19,FALSE),"Erro"))))))))</f>
        <v>0.84</v>
      </c>
      <c r="T332" s="40">
        <f>IF(O332="","",IF(O332="NA","",IF(O332="Mini disjuntor + DR",100%,IF(O332="Mini disjuntor",100%,IF(O332="Disjuntor Motor",0.92,IF(O332="Disjuntor C.M.",100%,IF(O332="Disjuntor C.A.",100%,IFERROR(VLOOKUP('Lista de Cargas'!P332,Motores!$B$9:$T$48,16,FALSE)/100,"Erro"))))))))</f>
        <v>0.91</v>
      </c>
      <c r="U332" s="40" t="s">
        <v>445</v>
      </c>
      <c r="V332" s="39">
        <v>440</v>
      </c>
      <c r="W332" s="2">
        <f t="shared" si="110"/>
        <v>12.805744874633129</v>
      </c>
      <c r="X332" s="2">
        <f t="shared" si="100"/>
        <v>8.8809523809523814</v>
      </c>
      <c r="Y332" s="2">
        <f t="shared" si="111"/>
        <v>76.834469247798779</v>
      </c>
      <c r="Z332" s="1"/>
      <c r="AA332" s="1"/>
      <c r="AB332" s="1">
        <v>100</v>
      </c>
      <c r="AC332" s="1"/>
      <c r="AD332" s="1"/>
      <c r="AE332" s="1"/>
      <c r="AF332" s="1"/>
      <c r="AG332" s="1">
        <f t="shared" si="101"/>
        <v>100</v>
      </c>
      <c r="AH332" s="1">
        <v>1</v>
      </c>
      <c r="AI332" s="1" t="s">
        <v>1062</v>
      </c>
      <c r="AJ332" s="1">
        <f t="shared" si="102"/>
        <v>100</v>
      </c>
      <c r="AK332" s="1">
        <v>0</v>
      </c>
      <c r="AL332" s="1" t="s">
        <v>118</v>
      </c>
      <c r="AM332" s="1">
        <f t="shared" si="103"/>
        <v>0</v>
      </c>
      <c r="AN332" s="1">
        <v>0</v>
      </c>
      <c r="AO332" s="1" t="s">
        <v>118</v>
      </c>
      <c r="AP332" s="1">
        <f t="shared" si="104"/>
        <v>0</v>
      </c>
      <c r="AQ332" s="1" t="s">
        <v>69</v>
      </c>
      <c r="AR332" s="1" t="str">
        <f t="shared" si="108"/>
        <v>1"</v>
      </c>
      <c r="AS332" s="1">
        <v>1</v>
      </c>
      <c r="AT332" s="1"/>
      <c r="AU332" s="1"/>
      <c r="AV332" s="17"/>
      <c r="AW332" s="2"/>
      <c r="AX332" s="2"/>
      <c r="AY332" s="2"/>
      <c r="AZ332" s="17"/>
      <c r="BA332" s="1"/>
      <c r="BB332" s="1"/>
      <c r="BC332" s="1"/>
      <c r="BD332" s="1"/>
      <c r="BE332" s="18"/>
      <c r="BF332" s="2">
        <f t="shared" si="109"/>
        <v>1.6407372765871995</v>
      </c>
      <c r="BG332" s="6"/>
      <c r="BH332" s="6"/>
    </row>
    <row r="333" spans="1:60" ht="12.75" customHeight="1" x14ac:dyDescent="0.2">
      <c r="A333" s="19">
        <v>700</v>
      </c>
      <c r="B333" s="19" t="s">
        <v>957</v>
      </c>
      <c r="C333" s="19" t="s">
        <v>654</v>
      </c>
      <c r="D333" s="20" t="s">
        <v>825</v>
      </c>
      <c r="E333" s="20"/>
      <c r="F333" s="21"/>
      <c r="G333" s="21"/>
      <c r="H333" s="21"/>
      <c r="I333" s="21"/>
      <c r="J333" s="21"/>
      <c r="K333" s="21"/>
      <c r="L333" s="21"/>
      <c r="M333" s="21"/>
      <c r="N333" s="32" t="s">
        <v>1036</v>
      </c>
      <c r="O333" s="22" t="s">
        <v>5</v>
      </c>
      <c r="P333" s="23">
        <v>1</v>
      </c>
      <c r="Q333" s="34">
        <f t="shared" si="99"/>
        <v>0.746</v>
      </c>
      <c r="R333" s="1"/>
      <c r="S333" s="39">
        <f>IF(O333="","",IF(O333="NA","",IF(O333="Mini disjuntor + DR",0.92,IF(O333="Mini disjuntor",0.92,IF(O333="Disjuntor Motor",0.92,IF(O333="Disjuntor C.M.",0.92,IF(O333="Disjuntor C.A.",0.92,IFERROR(VLOOKUP('Lista de Cargas'!P333,Motores!$B$9:$T$48,19,FALSE),"Erro"))))))))</f>
        <v>0.81</v>
      </c>
      <c r="T333" s="40">
        <f>IF(O333="","",IF(O333="NA","",IF(O333="Mini disjuntor + DR",100%,IF(O333="Mini disjuntor",100%,IF(O333="Disjuntor Motor",0.92,IF(O333="Disjuntor C.M.",100%,IF(O333="Disjuntor C.A.",100%,IFERROR(VLOOKUP('Lista de Cargas'!P333,Motores!$B$9:$T$48,16,FALSE)/100,"Erro"))))))))</f>
        <v>0.80500000000000005</v>
      </c>
      <c r="U333" s="40" t="s">
        <v>445</v>
      </c>
      <c r="V333" s="39">
        <v>440</v>
      </c>
      <c r="W333" s="2">
        <f t="shared" si="110"/>
        <v>1.5012209772516776</v>
      </c>
      <c r="X333" s="2">
        <f t="shared" si="100"/>
        <v>0.92098765432098761</v>
      </c>
      <c r="Y333" s="2">
        <f t="shared" si="111"/>
        <v>2.2518314658775163</v>
      </c>
      <c r="Z333" s="1"/>
      <c r="AA333" s="1"/>
      <c r="AB333" s="1">
        <v>100</v>
      </c>
      <c r="AC333" s="1"/>
      <c r="AD333" s="1"/>
      <c r="AE333" s="1"/>
      <c r="AF333" s="1"/>
      <c r="AG333" s="1">
        <f t="shared" si="101"/>
        <v>100</v>
      </c>
      <c r="AH333" s="1">
        <v>1</v>
      </c>
      <c r="AI333" s="1" t="s">
        <v>1054</v>
      </c>
      <c r="AJ333" s="1">
        <f t="shared" si="102"/>
        <v>100</v>
      </c>
      <c r="AK333" s="1">
        <v>0</v>
      </c>
      <c r="AL333" s="1" t="s">
        <v>118</v>
      </c>
      <c r="AM333" s="1">
        <f t="shared" si="103"/>
        <v>0</v>
      </c>
      <c r="AN333" s="1">
        <v>0</v>
      </c>
      <c r="AO333" s="1" t="s">
        <v>118</v>
      </c>
      <c r="AP333" s="1">
        <f t="shared" si="104"/>
        <v>0</v>
      </c>
      <c r="AQ333" s="1" t="s">
        <v>57</v>
      </c>
      <c r="AR333" s="1" t="str">
        <f t="shared" si="108"/>
        <v>3/4"</v>
      </c>
      <c r="AS333" s="1">
        <v>1</v>
      </c>
      <c r="AT333" s="1"/>
      <c r="AU333" s="1"/>
      <c r="AV333" s="17"/>
      <c r="AW333" s="2"/>
      <c r="AX333" s="2"/>
      <c r="AY333" s="2"/>
      <c r="AZ333" s="17"/>
      <c r="BA333" s="1"/>
      <c r="BB333" s="1"/>
      <c r="BC333" s="1"/>
      <c r="BD333" s="1"/>
      <c r="BE333" s="18"/>
      <c r="BF333" s="2">
        <f t="shared" si="109"/>
        <v>0</v>
      </c>
      <c r="BG333" s="6"/>
      <c r="BH333" s="6"/>
    </row>
    <row r="334" spans="1:60" ht="12.75" customHeight="1" x14ac:dyDescent="0.2">
      <c r="A334" s="19">
        <v>700</v>
      </c>
      <c r="B334" s="19" t="s">
        <v>957</v>
      </c>
      <c r="C334" s="19" t="s">
        <v>655</v>
      </c>
      <c r="D334" s="20" t="s">
        <v>826</v>
      </c>
      <c r="E334" s="20"/>
      <c r="F334" s="21"/>
      <c r="G334" s="21"/>
      <c r="H334" s="21"/>
      <c r="I334" s="21"/>
      <c r="J334" s="21"/>
      <c r="K334" s="21"/>
      <c r="L334" s="21"/>
      <c r="M334" s="21"/>
      <c r="N334" s="32" t="s">
        <v>1036</v>
      </c>
      <c r="O334" s="22" t="s">
        <v>5</v>
      </c>
      <c r="P334" s="23">
        <v>1</v>
      </c>
      <c r="Q334" s="34">
        <f t="shared" si="99"/>
        <v>0.746</v>
      </c>
      <c r="R334" s="1"/>
      <c r="S334" s="39">
        <f>IF(O334="","",IF(O334="NA","",IF(O334="Mini disjuntor + DR",0.92,IF(O334="Mini disjuntor",0.92,IF(O334="Disjuntor Motor",0.92,IF(O334="Disjuntor C.M.",0.92,IF(O334="Disjuntor C.A.",0.92,IFERROR(VLOOKUP('Lista de Cargas'!P334,Motores!$B$9:$T$48,19,FALSE),"Erro"))))))))</f>
        <v>0.81</v>
      </c>
      <c r="T334" s="40">
        <f>IF(O334="","",IF(O334="NA","",IF(O334="Mini disjuntor + DR",100%,IF(O334="Mini disjuntor",100%,IF(O334="Disjuntor Motor",0.92,IF(O334="Disjuntor C.M.",100%,IF(O334="Disjuntor C.A.",100%,IFERROR(VLOOKUP('Lista de Cargas'!P334,Motores!$B$9:$T$48,16,FALSE)/100,"Erro"))))))))</f>
        <v>0.80500000000000005</v>
      </c>
      <c r="U334" s="40" t="s">
        <v>445</v>
      </c>
      <c r="V334" s="39">
        <v>440</v>
      </c>
      <c r="W334" s="2">
        <f t="shared" si="110"/>
        <v>1.5012209772516776</v>
      </c>
      <c r="X334" s="2">
        <f t="shared" si="100"/>
        <v>0.92098765432098761</v>
      </c>
      <c r="Y334" s="2">
        <f t="shared" si="111"/>
        <v>2.2518314658775163</v>
      </c>
      <c r="Z334" s="1"/>
      <c r="AA334" s="1"/>
      <c r="AB334" s="1">
        <v>100</v>
      </c>
      <c r="AC334" s="1"/>
      <c r="AD334" s="1"/>
      <c r="AE334" s="1"/>
      <c r="AF334" s="1"/>
      <c r="AG334" s="1">
        <f t="shared" si="101"/>
        <v>100</v>
      </c>
      <c r="AH334" s="1">
        <v>1</v>
      </c>
      <c r="AI334" s="1" t="s">
        <v>1054</v>
      </c>
      <c r="AJ334" s="1">
        <f t="shared" si="102"/>
        <v>100</v>
      </c>
      <c r="AK334" s="1">
        <v>0</v>
      </c>
      <c r="AL334" s="1" t="s">
        <v>118</v>
      </c>
      <c r="AM334" s="1">
        <f t="shared" si="103"/>
        <v>0</v>
      </c>
      <c r="AN334" s="1">
        <v>0</v>
      </c>
      <c r="AO334" s="1" t="s">
        <v>118</v>
      </c>
      <c r="AP334" s="1">
        <f t="shared" si="104"/>
        <v>0</v>
      </c>
      <c r="AQ334" s="1" t="s">
        <v>57</v>
      </c>
      <c r="AR334" s="1" t="str">
        <f t="shared" si="108"/>
        <v>3/4"</v>
      </c>
      <c r="AS334" s="1">
        <v>1</v>
      </c>
      <c r="AT334" s="1"/>
      <c r="AU334" s="1"/>
      <c r="AV334" s="17"/>
      <c r="AW334" s="2"/>
      <c r="AX334" s="2"/>
      <c r="AY334" s="2"/>
      <c r="AZ334" s="17"/>
      <c r="BA334" s="1"/>
      <c r="BB334" s="1"/>
      <c r="BC334" s="1"/>
      <c r="BD334" s="1"/>
      <c r="BE334" s="18"/>
      <c r="BF334" s="2">
        <f t="shared" si="109"/>
        <v>0</v>
      </c>
      <c r="BG334" s="6"/>
      <c r="BH334" s="6"/>
    </row>
    <row r="335" spans="1:60" ht="12.75" customHeight="1" x14ac:dyDescent="0.2">
      <c r="A335" s="19"/>
      <c r="B335" s="19"/>
      <c r="C335" s="19"/>
      <c r="D335" s="20"/>
      <c r="E335" s="20"/>
      <c r="F335" s="21"/>
      <c r="G335" s="21"/>
      <c r="H335" s="21"/>
      <c r="I335" s="21"/>
      <c r="J335" s="21"/>
      <c r="K335" s="21"/>
      <c r="L335" s="21"/>
      <c r="M335" s="21"/>
      <c r="N335" s="32"/>
      <c r="O335" s="22"/>
      <c r="P335" s="23"/>
      <c r="Q335" s="34">
        <f t="shared" si="99"/>
        <v>0</v>
      </c>
      <c r="R335" s="1"/>
      <c r="S335" s="39" t="str">
        <f>IF(O335="","",IF(O335="NA","",IF(O335="Mini disjuntor + DR",0.92,IF(O335="Mini disjuntor",0.92,IF(O335="Disjuntor Motor",0.92,IF(O335="Disjuntor C.M.",0.92,IF(O335="Disjuntor C.A.",0.92,IFERROR(VLOOKUP('Lista de Cargas'!P335,Motores!$B$9:$T$48,19,FALSE),"Erro"))))))))</f>
        <v/>
      </c>
      <c r="T335" s="40" t="str">
        <f>IF(O335="","",IF(O335="NA","",IF(O335="Mini disjuntor + DR",100%,IF(O335="Mini disjuntor",100%,IF(O335="Disjuntor Motor",0.92,IF(O335="Disjuntor C.M.",100%,IF(O335="Disjuntor C.A.",100%,IFERROR(VLOOKUP('Lista de Cargas'!P335,Motores!$B$9:$T$48,16,FALSE)/100,"Erro"))))))))</f>
        <v/>
      </c>
      <c r="U335" s="16"/>
      <c r="V335" s="1"/>
      <c r="W335" s="2">
        <f t="shared" si="110"/>
        <v>0</v>
      </c>
      <c r="X335" s="2">
        <f t="shared" si="100"/>
        <v>0</v>
      </c>
      <c r="Y335" s="2">
        <f t="shared" si="111"/>
        <v>0</v>
      </c>
      <c r="Z335" s="1"/>
      <c r="AA335" s="1"/>
      <c r="AB335" s="1"/>
      <c r="AC335" s="1"/>
      <c r="AD335" s="1"/>
      <c r="AE335" s="1"/>
      <c r="AF335" s="1"/>
      <c r="AG335" s="1">
        <f t="shared" si="101"/>
        <v>0</v>
      </c>
      <c r="AH335" s="1"/>
      <c r="AI335" s="1"/>
      <c r="AJ335" s="1">
        <f t="shared" si="102"/>
        <v>0</v>
      </c>
      <c r="AK335" s="1"/>
      <c r="AL335" s="1"/>
      <c r="AM335" s="1">
        <f t="shared" si="103"/>
        <v>0</v>
      </c>
      <c r="AN335" s="1"/>
      <c r="AO335" s="1"/>
      <c r="AP335" s="1">
        <f t="shared" si="104"/>
        <v>0</v>
      </c>
      <c r="AQ335" s="1"/>
      <c r="AR335" s="1" t="str">
        <f t="shared" si="108"/>
        <v>NA</v>
      </c>
      <c r="AS335" s="1"/>
      <c r="AT335" s="1"/>
      <c r="AU335" s="1"/>
      <c r="AV335" s="17"/>
      <c r="AW335" s="2"/>
      <c r="AX335" s="2"/>
      <c r="AY335" s="2"/>
      <c r="AZ335" s="17"/>
      <c r="BA335" s="1"/>
      <c r="BB335" s="1"/>
      <c r="BC335" s="1"/>
      <c r="BD335" s="1"/>
      <c r="BE335" s="18"/>
      <c r="BF335" s="2">
        <f t="shared" si="109"/>
        <v>0</v>
      </c>
      <c r="BG335" s="6"/>
      <c r="BH335" s="6"/>
    </row>
    <row r="336" spans="1:60" ht="12.75" customHeight="1" x14ac:dyDescent="0.2">
      <c r="A336" s="19"/>
      <c r="B336" s="19"/>
      <c r="C336" s="19"/>
      <c r="D336" s="20"/>
      <c r="E336" s="20"/>
      <c r="F336" s="21"/>
      <c r="G336" s="21"/>
      <c r="H336" s="21"/>
      <c r="I336" s="21"/>
      <c r="J336" s="21"/>
      <c r="K336" s="21"/>
      <c r="L336" s="21"/>
      <c r="M336" s="21"/>
      <c r="N336" s="32"/>
      <c r="O336" s="22"/>
      <c r="P336" s="23"/>
      <c r="Q336" s="34">
        <f t="shared" si="99"/>
        <v>0</v>
      </c>
      <c r="R336" s="1"/>
      <c r="S336" s="39" t="str">
        <f>IF(O336="","",IF(O336="NA","",IF(O336="Mini disjuntor + DR",0.92,IF(O336="Mini disjuntor",0.92,IF(O336="Disjuntor Motor",0.92,IF(O336="Disjuntor C.M.",0.92,IF(O336="Disjuntor C.A.",0.92,IFERROR(VLOOKUP('Lista de Cargas'!P336,Motores!$B$9:$T$48,19,FALSE),"Erro"))))))))</f>
        <v/>
      </c>
      <c r="T336" s="40" t="str">
        <f>IF(O336="","",IF(O336="NA","",IF(O336="Mini disjuntor + DR",100%,IF(O336="Mini disjuntor",100%,IF(O336="Disjuntor Motor",0.92,IF(O336="Disjuntor C.M.",100%,IF(O336="Disjuntor C.A.",100%,IFERROR(VLOOKUP('Lista de Cargas'!P336,Motores!$B$9:$T$48,16,FALSE)/100,"Erro"))))))))</f>
        <v/>
      </c>
      <c r="U336" s="16"/>
      <c r="V336" s="1"/>
      <c r="W336" s="2">
        <f t="shared" si="110"/>
        <v>0</v>
      </c>
      <c r="X336" s="2">
        <f t="shared" si="100"/>
        <v>0</v>
      </c>
      <c r="Y336" s="2">
        <f t="shared" si="111"/>
        <v>0</v>
      </c>
      <c r="Z336" s="1"/>
      <c r="AA336" s="1"/>
      <c r="AB336" s="1"/>
      <c r="AC336" s="1"/>
      <c r="AD336" s="1"/>
      <c r="AE336" s="1"/>
      <c r="AF336" s="1"/>
      <c r="AG336" s="1">
        <f t="shared" si="101"/>
        <v>0</v>
      </c>
      <c r="AH336" s="1"/>
      <c r="AI336" s="1"/>
      <c r="AJ336" s="1">
        <f t="shared" si="102"/>
        <v>0</v>
      </c>
      <c r="AK336" s="1"/>
      <c r="AL336" s="1"/>
      <c r="AM336" s="1">
        <f t="shared" si="103"/>
        <v>0</v>
      </c>
      <c r="AN336" s="1"/>
      <c r="AO336" s="1"/>
      <c r="AP336" s="1">
        <f t="shared" si="104"/>
        <v>0</v>
      </c>
      <c r="AQ336" s="1"/>
      <c r="AR336" s="1" t="str">
        <f t="shared" si="108"/>
        <v>NA</v>
      </c>
      <c r="AS336" s="1"/>
      <c r="AT336" s="1"/>
      <c r="AU336" s="1"/>
      <c r="AV336" s="17"/>
      <c r="AW336" s="2"/>
      <c r="AX336" s="2"/>
      <c r="AY336" s="2"/>
      <c r="AZ336" s="17"/>
      <c r="BA336" s="1"/>
      <c r="BB336" s="1"/>
      <c r="BC336" s="1"/>
      <c r="BD336" s="1"/>
      <c r="BE336" s="18"/>
      <c r="BF336" s="2">
        <f t="shared" si="109"/>
        <v>0</v>
      </c>
      <c r="BG336" s="6"/>
      <c r="BH336" s="6"/>
    </row>
    <row r="337" spans="1:60" ht="12.75" customHeight="1" x14ac:dyDescent="0.2">
      <c r="A337" s="19"/>
      <c r="B337" s="19"/>
      <c r="C337" s="19"/>
      <c r="D337" s="20"/>
      <c r="E337" s="20"/>
      <c r="F337" s="21"/>
      <c r="G337" s="21"/>
      <c r="H337" s="21"/>
      <c r="I337" s="21"/>
      <c r="J337" s="21"/>
      <c r="K337" s="21"/>
      <c r="L337" s="21"/>
      <c r="M337" s="21"/>
      <c r="N337" s="32"/>
      <c r="O337" s="22"/>
      <c r="P337" s="23"/>
      <c r="Q337" s="34">
        <f t="shared" si="99"/>
        <v>0</v>
      </c>
      <c r="R337" s="1"/>
      <c r="S337" s="39" t="str">
        <f>IF(O337="","",IF(O337="NA","",IF(O337="Mini disjuntor + DR",0.92,IF(O337="Mini disjuntor",0.92,IF(O337="Disjuntor Motor",0.92,IF(O337="Disjuntor C.M.",0.92,IF(O337="Disjuntor C.A.",0.92,IFERROR(VLOOKUP('Lista de Cargas'!P337,Motores!$B$9:$T$48,19,FALSE),"Erro"))))))))</f>
        <v/>
      </c>
      <c r="T337" s="40" t="str">
        <f>IF(O337="","",IF(O337="NA","",IF(O337="Mini disjuntor + DR",100%,IF(O337="Mini disjuntor",100%,IF(O337="Disjuntor Motor",0.92,IF(O337="Disjuntor C.M.",100%,IF(O337="Disjuntor C.A.",100%,IFERROR(VLOOKUP('Lista de Cargas'!P337,Motores!$B$9:$T$48,16,FALSE)/100,"Erro"))))))))</f>
        <v/>
      </c>
      <c r="U337" s="16"/>
      <c r="V337" s="1"/>
      <c r="W337" s="2">
        <f t="shared" si="110"/>
        <v>0</v>
      </c>
      <c r="X337" s="2">
        <f t="shared" si="100"/>
        <v>0</v>
      </c>
      <c r="Y337" s="2">
        <f t="shared" si="111"/>
        <v>0</v>
      </c>
      <c r="Z337" s="1"/>
      <c r="AA337" s="1"/>
      <c r="AB337" s="1"/>
      <c r="AC337" s="1"/>
      <c r="AD337" s="1"/>
      <c r="AE337" s="1"/>
      <c r="AF337" s="1"/>
      <c r="AG337" s="1">
        <f t="shared" si="101"/>
        <v>0</v>
      </c>
      <c r="AH337" s="1"/>
      <c r="AI337" s="1"/>
      <c r="AJ337" s="1">
        <f t="shared" si="102"/>
        <v>0</v>
      </c>
      <c r="AK337" s="1"/>
      <c r="AL337" s="1"/>
      <c r="AM337" s="1">
        <f t="shared" si="103"/>
        <v>0</v>
      </c>
      <c r="AN337" s="1"/>
      <c r="AO337" s="1"/>
      <c r="AP337" s="1">
        <f t="shared" si="104"/>
        <v>0</v>
      </c>
      <c r="AQ337" s="1"/>
      <c r="AR337" s="1" t="str">
        <f t="shared" si="108"/>
        <v>NA</v>
      </c>
      <c r="AS337" s="1"/>
      <c r="AT337" s="1"/>
      <c r="AU337" s="1"/>
      <c r="AV337" s="17"/>
      <c r="AW337" s="2"/>
      <c r="AX337" s="2"/>
      <c r="AY337" s="2"/>
      <c r="AZ337" s="17"/>
      <c r="BA337" s="1"/>
      <c r="BB337" s="1"/>
      <c r="BC337" s="1"/>
      <c r="BD337" s="1"/>
      <c r="BE337" s="18"/>
      <c r="BF337" s="2">
        <f t="shared" si="109"/>
        <v>0</v>
      </c>
      <c r="BG337" s="6"/>
      <c r="BH337" s="6"/>
    </row>
    <row r="338" spans="1:60" ht="12.75" customHeight="1" x14ac:dyDescent="0.2">
      <c r="A338" s="19"/>
      <c r="B338" s="19"/>
      <c r="C338" s="19"/>
      <c r="D338" s="20"/>
      <c r="E338" s="20"/>
      <c r="F338" s="21"/>
      <c r="G338" s="21"/>
      <c r="H338" s="21"/>
      <c r="I338" s="21"/>
      <c r="J338" s="21"/>
      <c r="K338" s="21"/>
      <c r="L338" s="21"/>
      <c r="M338" s="21"/>
      <c r="N338" s="32"/>
      <c r="O338" s="22"/>
      <c r="P338" s="23"/>
      <c r="Q338" s="34">
        <f t="shared" si="99"/>
        <v>0</v>
      </c>
      <c r="R338" s="1"/>
      <c r="S338" s="39" t="str">
        <f>IF(O338="","",IF(O338="NA","",IF(O338="Mini disjuntor + DR",0.92,IF(O338="Mini disjuntor",0.92,IF(O338="Disjuntor Motor",0.92,IF(O338="Disjuntor C.M.",0.92,IF(O338="Disjuntor C.A.",0.92,IFERROR(VLOOKUP('Lista de Cargas'!P338,Motores!$B$9:$T$48,19,FALSE),"Erro"))))))))</f>
        <v/>
      </c>
      <c r="T338" s="40" t="str">
        <f>IF(O338="","",IF(O338="NA","",IF(O338="Mini disjuntor + DR",100%,IF(O338="Mini disjuntor",100%,IF(O338="Disjuntor Motor",0.92,IF(O338="Disjuntor C.M.",100%,IF(O338="Disjuntor C.A.",100%,IFERROR(VLOOKUP('Lista de Cargas'!P338,Motores!$B$9:$T$48,16,FALSE)/100,"Erro"))))))))</f>
        <v/>
      </c>
      <c r="U338" s="16"/>
      <c r="V338" s="1"/>
      <c r="W338" s="2">
        <f t="shared" si="110"/>
        <v>0</v>
      </c>
      <c r="X338" s="2">
        <f t="shared" si="100"/>
        <v>0</v>
      </c>
      <c r="Y338" s="2">
        <f t="shared" si="111"/>
        <v>0</v>
      </c>
      <c r="Z338" s="1"/>
      <c r="AA338" s="1"/>
      <c r="AB338" s="1"/>
      <c r="AC338" s="1"/>
      <c r="AD338" s="1"/>
      <c r="AE338" s="1"/>
      <c r="AF338" s="1"/>
      <c r="AG338" s="1">
        <f t="shared" si="101"/>
        <v>0</v>
      </c>
      <c r="AH338" s="1"/>
      <c r="AI338" s="1"/>
      <c r="AJ338" s="1">
        <f t="shared" si="102"/>
        <v>0</v>
      </c>
      <c r="AK338" s="1"/>
      <c r="AL338" s="1"/>
      <c r="AM338" s="1">
        <f t="shared" si="103"/>
        <v>0</v>
      </c>
      <c r="AN338" s="1"/>
      <c r="AO338" s="1"/>
      <c r="AP338" s="1">
        <f t="shared" si="104"/>
        <v>0</v>
      </c>
      <c r="AQ338" s="1"/>
      <c r="AR338" s="1" t="str">
        <f t="shared" si="108"/>
        <v>NA</v>
      </c>
      <c r="AS338" s="1"/>
      <c r="AT338" s="1"/>
      <c r="AU338" s="1"/>
      <c r="AV338" s="17"/>
      <c r="AW338" s="2"/>
      <c r="AX338" s="2"/>
      <c r="AY338" s="2"/>
      <c r="AZ338" s="17"/>
      <c r="BA338" s="1"/>
      <c r="BB338" s="1"/>
      <c r="BC338" s="1"/>
      <c r="BD338" s="1"/>
      <c r="BE338" s="18"/>
      <c r="BF338" s="2">
        <f t="shared" si="109"/>
        <v>0</v>
      </c>
      <c r="BG338" s="6"/>
      <c r="BH338" s="6"/>
    </row>
    <row r="339" spans="1:60" ht="12.75" customHeight="1" x14ac:dyDescent="0.2">
      <c r="A339" s="19"/>
      <c r="B339" s="19"/>
      <c r="C339" s="19"/>
      <c r="D339" s="20"/>
      <c r="E339" s="20"/>
      <c r="F339" s="21"/>
      <c r="G339" s="21"/>
      <c r="H339" s="21"/>
      <c r="I339" s="21"/>
      <c r="J339" s="21"/>
      <c r="K339" s="21"/>
      <c r="L339" s="21"/>
      <c r="M339" s="21"/>
      <c r="N339" s="32"/>
      <c r="O339" s="22"/>
      <c r="P339" s="23"/>
      <c r="Q339" s="34">
        <f t="shared" si="99"/>
        <v>0</v>
      </c>
      <c r="R339" s="1"/>
      <c r="S339" s="39" t="str">
        <f>IF(O339="","",IF(O339="NA","",IF(O339="Mini disjuntor + DR",0.92,IF(O339="Mini disjuntor",0.92,IF(O339="Disjuntor Motor",0.92,IF(O339="Disjuntor C.M.",0.92,IF(O339="Disjuntor C.A.",0.92,IFERROR(VLOOKUP('Lista de Cargas'!P339,Motores!$B$9:$T$48,19,FALSE),"Erro"))))))))</f>
        <v/>
      </c>
      <c r="T339" s="40" t="str">
        <f>IF(O339="","",IF(O339="NA","",IF(O339="Mini disjuntor + DR",100%,IF(O339="Mini disjuntor",100%,IF(O339="Disjuntor Motor",0.92,IF(O339="Disjuntor C.M.",100%,IF(O339="Disjuntor C.A.",100%,IFERROR(VLOOKUP('Lista de Cargas'!P339,Motores!$B$9:$T$48,16,FALSE)/100,"Erro"))))))))</f>
        <v/>
      </c>
      <c r="U339" s="16"/>
      <c r="V339" s="1"/>
      <c r="W339" s="2">
        <f t="shared" si="110"/>
        <v>0</v>
      </c>
      <c r="X339" s="2">
        <f t="shared" si="100"/>
        <v>0</v>
      </c>
      <c r="Y339" s="2">
        <f t="shared" si="111"/>
        <v>0</v>
      </c>
      <c r="Z339" s="1"/>
      <c r="AA339" s="1"/>
      <c r="AB339" s="1"/>
      <c r="AC339" s="1"/>
      <c r="AD339" s="1"/>
      <c r="AE339" s="1"/>
      <c r="AF339" s="1"/>
      <c r="AG339" s="1">
        <f t="shared" si="101"/>
        <v>0</v>
      </c>
      <c r="AH339" s="1"/>
      <c r="AI339" s="1"/>
      <c r="AJ339" s="1">
        <f t="shared" si="102"/>
        <v>0</v>
      </c>
      <c r="AK339" s="1"/>
      <c r="AL339" s="1"/>
      <c r="AM339" s="1">
        <f t="shared" si="103"/>
        <v>0</v>
      </c>
      <c r="AN339" s="1"/>
      <c r="AO339" s="1"/>
      <c r="AP339" s="1">
        <f t="shared" si="104"/>
        <v>0</v>
      </c>
      <c r="AQ339" s="1"/>
      <c r="AR339" s="1" t="str">
        <f t="shared" si="108"/>
        <v>NA</v>
      </c>
      <c r="AS339" s="1"/>
      <c r="AT339" s="1"/>
      <c r="AU339" s="1"/>
      <c r="AV339" s="17"/>
      <c r="AW339" s="2"/>
      <c r="AX339" s="2"/>
      <c r="AY339" s="2"/>
      <c r="AZ339" s="17"/>
      <c r="BA339" s="1"/>
      <c r="BB339" s="1"/>
      <c r="BC339" s="1"/>
      <c r="BD339" s="1"/>
      <c r="BE339" s="18"/>
      <c r="BF339" s="2">
        <f t="shared" si="109"/>
        <v>0</v>
      </c>
      <c r="BG339" s="6"/>
      <c r="BH339" s="6"/>
    </row>
    <row r="340" spans="1:60" ht="12.75" customHeight="1" x14ac:dyDescent="0.2">
      <c r="A340" s="19"/>
      <c r="B340" s="19"/>
      <c r="C340" s="19"/>
      <c r="D340" s="20"/>
      <c r="E340" s="20"/>
      <c r="F340" s="21"/>
      <c r="G340" s="21"/>
      <c r="H340" s="21"/>
      <c r="I340" s="21"/>
      <c r="J340" s="21"/>
      <c r="K340" s="21"/>
      <c r="L340" s="21"/>
      <c r="M340" s="21"/>
      <c r="N340" s="32"/>
      <c r="O340" s="22"/>
      <c r="P340" s="23"/>
      <c r="Q340" s="34">
        <f t="shared" si="99"/>
        <v>0</v>
      </c>
      <c r="R340" s="1"/>
      <c r="S340" s="39" t="str">
        <f>IF(O340="","",IF(O340="NA","",IF(O340="Mini disjuntor + DR",0.92,IF(O340="Mini disjuntor",0.92,IF(O340="Disjuntor Motor",0.92,IF(O340="Disjuntor C.M.",0.92,IF(O340="Disjuntor C.A.",0.92,IFERROR(VLOOKUP('Lista de Cargas'!P340,Motores!$B$9:$T$48,19,FALSE),"Erro"))))))))</f>
        <v/>
      </c>
      <c r="T340" s="40" t="str">
        <f>IF(O340="","",IF(O340="NA","",IF(O340="Mini disjuntor + DR",100%,IF(O340="Mini disjuntor",100%,IF(O340="Disjuntor Motor",0.92,IF(O340="Disjuntor C.M.",100%,IF(O340="Disjuntor C.A.",100%,IFERROR(VLOOKUP('Lista de Cargas'!P340,Motores!$B$9:$T$48,16,FALSE)/100,"Erro"))))))))</f>
        <v/>
      </c>
      <c r="U340" s="16"/>
      <c r="V340" s="1"/>
      <c r="W340" s="2">
        <f t="shared" si="110"/>
        <v>0</v>
      </c>
      <c r="X340" s="2">
        <f t="shared" si="100"/>
        <v>0</v>
      </c>
      <c r="Y340" s="2">
        <f t="shared" si="111"/>
        <v>0</v>
      </c>
      <c r="Z340" s="1"/>
      <c r="AA340" s="1"/>
      <c r="AB340" s="1"/>
      <c r="AC340" s="1"/>
      <c r="AD340" s="1"/>
      <c r="AE340" s="1"/>
      <c r="AF340" s="1"/>
      <c r="AG340" s="1">
        <f t="shared" si="101"/>
        <v>0</v>
      </c>
      <c r="AH340" s="1"/>
      <c r="AI340" s="1"/>
      <c r="AJ340" s="1">
        <f t="shared" si="102"/>
        <v>0</v>
      </c>
      <c r="AK340" s="1"/>
      <c r="AL340" s="1"/>
      <c r="AM340" s="1">
        <f t="shared" si="103"/>
        <v>0</v>
      </c>
      <c r="AN340" s="1"/>
      <c r="AO340" s="1"/>
      <c r="AP340" s="1">
        <f t="shared" si="104"/>
        <v>0</v>
      </c>
      <c r="AQ340" s="1"/>
      <c r="AR340" s="1" t="str">
        <f t="shared" si="108"/>
        <v>NA</v>
      </c>
      <c r="AS340" s="1"/>
      <c r="AT340" s="1"/>
      <c r="AU340" s="1"/>
      <c r="AV340" s="17"/>
      <c r="AW340" s="2"/>
      <c r="AX340" s="2"/>
      <c r="AY340" s="2"/>
      <c r="AZ340" s="17"/>
      <c r="BA340" s="1"/>
      <c r="BB340" s="1"/>
      <c r="BC340" s="1"/>
      <c r="BD340" s="1"/>
      <c r="BE340" s="18"/>
      <c r="BF340" s="2">
        <f t="shared" si="109"/>
        <v>0</v>
      </c>
      <c r="BG340" s="6"/>
      <c r="BH340" s="6"/>
    </row>
    <row r="341" spans="1:60" ht="12.75" customHeight="1" x14ac:dyDescent="0.2">
      <c r="P341" s="7"/>
      <c r="Q341" s="35"/>
      <c r="S341" s="7"/>
      <c r="T341" s="9"/>
      <c r="U341" s="9"/>
      <c r="AA341" s="7"/>
      <c r="AQ341" s="7"/>
    </row>
    <row r="342" spans="1:60" ht="12.75" customHeight="1" x14ac:dyDescent="0.2">
      <c r="D342" s="142" t="s">
        <v>12</v>
      </c>
      <c r="E342" s="142"/>
      <c r="F342" s="142"/>
      <c r="G342" s="31" t="s">
        <v>112</v>
      </c>
      <c r="H342" s="31"/>
      <c r="I342" s="31"/>
      <c r="J342" s="31"/>
      <c r="K342" s="31"/>
      <c r="L342" s="31"/>
      <c r="M342" s="31"/>
      <c r="P342" s="7"/>
      <c r="Q342" s="35"/>
      <c r="AA342" s="7" t="s">
        <v>451</v>
      </c>
      <c r="AI342" s="6"/>
      <c r="AQ342" s="7"/>
    </row>
    <row r="343" spans="1:60" ht="12.75" customHeight="1" x14ac:dyDescent="0.2">
      <c r="D343" s="29" t="s">
        <v>13</v>
      </c>
      <c r="E343" s="29"/>
      <c r="F343" s="10" t="s">
        <v>14</v>
      </c>
      <c r="G343" s="10" t="s">
        <v>113</v>
      </c>
      <c r="H343" s="10"/>
      <c r="I343" s="10"/>
      <c r="J343" s="10"/>
      <c r="K343" s="10"/>
      <c r="L343" s="10"/>
      <c r="M343" s="10"/>
      <c r="O343" s="7" t="s">
        <v>118</v>
      </c>
      <c r="P343" s="7"/>
      <c r="Q343" s="35"/>
      <c r="U343" s="5" t="s">
        <v>444</v>
      </c>
      <c r="AA343" s="7" t="s">
        <v>452</v>
      </c>
      <c r="AI343" s="6" t="s">
        <v>118</v>
      </c>
      <c r="AL343" s="6" t="s">
        <v>118</v>
      </c>
      <c r="AO343" s="6" t="s">
        <v>118</v>
      </c>
      <c r="AU343" s="7" t="s">
        <v>45</v>
      </c>
    </row>
    <row r="344" spans="1:60" ht="12.75" customHeight="1" x14ac:dyDescent="0.2">
      <c r="D344" s="29" t="s">
        <v>15</v>
      </c>
      <c r="E344" s="29"/>
      <c r="F344" s="10" t="s">
        <v>16</v>
      </c>
      <c r="G344" s="10"/>
      <c r="H344" s="10"/>
      <c r="I344" s="10"/>
      <c r="J344" s="10"/>
      <c r="K344" s="10"/>
      <c r="L344" s="10"/>
      <c r="M344" s="10"/>
      <c r="O344" s="7" t="s">
        <v>34</v>
      </c>
      <c r="P344" s="7"/>
      <c r="Q344" s="35"/>
      <c r="U344" s="5" t="s">
        <v>445</v>
      </c>
      <c r="AA344" s="7" t="s">
        <v>453</v>
      </c>
      <c r="AI344" s="6" t="s">
        <v>147</v>
      </c>
      <c r="AL344" s="6" t="s">
        <v>354</v>
      </c>
      <c r="AO344" s="6" t="s">
        <v>393</v>
      </c>
      <c r="AU344" s="7" t="s">
        <v>44</v>
      </c>
    </row>
    <row r="345" spans="1:60" ht="12.75" customHeight="1" x14ac:dyDescent="0.2">
      <c r="D345" s="29" t="s">
        <v>17</v>
      </c>
      <c r="E345" s="29"/>
      <c r="F345" s="10" t="s">
        <v>18</v>
      </c>
      <c r="G345" s="10"/>
      <c r="H345" s="10"/>
      <c r="I345" s="10"/>
      <c r="J345" s="10"/>
      <c r="K345" s="10"/>
      <c r="L345" s="10"/>
      <c r="M345" s="10"/>
      <c r="O345" s="7" t="s">
        <v>36</v>
      </c>
      <c r="P345" s="7"/>
      <c r="Q345" s="35"/>
      <c r="AA345" s="7" t="s">
        <v>454</v>
      </c>
      <c r="AI345" s="6" t="s">
        <v>148</v>
      </c>
      <c r="AL345" s="6" t="s">
        <v>355</v>
      </c>
      <c r="AO345" s="6" t="s">
        <v>394</v>
      </c>
      <c r="AU345" s="7" t="s">
        <v>439</v>
      </c>
    </row>
    <row r="346" spans="1:60" ht="12.75" customHeight="1" x14ac:dyDescent="0.2">
      <c r="D346" s="29" t="s">
        <v>19</v>
      </c>
      <c r="E346" s="29"/>
      <c r="F346" s="10" t="s">
        <v>121</v>
      </c>
      <c r="G346" s="10"/>
      <c r="H346" s="10"/>
      <c r="I346" s="10"/>
      <c r="J346" s="10"/>
      <c r="K346" s="10"/>
      <c r="L346" s="10"/>
      <c r="M346" s="10"/>
      <c r="O346" s="7" t="s">
        <v>35</v>
      </c>
      <c r="P346" s="7"/>
      <c r="Q346" s="35"/>
      <c r="AA346" s="7" t="s">
        <v>455</v>
      </c>
      <c r="AI346" s="6" t="s">
        <v>149</v>
      </c>
      <c r="AL346" s="6" t="s">
        <v>356</v>
      </c>
      <c r="AO346" s="6" t="s">
        <v>395</v>
      </c>
      <c r="AU346" s="7" t="s">
        <v>440</v>
      </c>
    </row>
    <row r="347" spans="1:60" ht="12.75" customHeight="1" x14ac:dyDescent="0.2">
      <c r="D347" s="29" t="s">
        <v>20</v>
      </c>
      <c r="E347" s="29"/>
      <c r="F347" s="10" t="s">
        <v>21</v>
      </c>
      <c r="G347" s="10"/>
      <c r="H347" s="10"/>
      <c r="I347" s="10"/>
      <c r="J347" s="10"/>
      <c r="K347" s="10"/>
      <c r="L347" s="10"/>
      <c r="M347" s="10"/>
      <c r="O347" s="7" t="s">
        <v>5</v>
      </c>
      <c r="P347" s="7"/>
      <c r="Q347" s="35"/>
      <c r="AA347" s="7" t="s">
        <v>456</v>
      </c>
      <c r="AI347" s="6" t="s">
        <v>150</v>
      </c>
      <c r="AL347" s="6" t="s">
        <v>357</v>
      </c>
      <c r="AO347" s="6" t="s">
        <v>396</v>
      </c>
      <c r="AU347" s="7" t="s">
        <v>441</v>
      </c>
    </row>
    <row r="348" spans="1:60" ht="12.75" customHeight="1" x14ac:dyDescent="0.2">
      <c r="D348" s="29" t="s">
        <v>22</v>
      </c>
      <c r="E348" s="29"/>
      <c r="F348" s="10" t="s">
        <v>23</v>
      </c>
      <c r="G348" s="10"/>
      <c r="H348" s="10"/>
      <c r="I348" s="10"/>
      <c r="J348" s="10"/>
      <c r="K348" s="10"/>
      <c r="L348" s="10"/>
      <c r="M348" s="10"/>
      <c r="O348" s="7" t="s">
        <v>447</v>
      </c>
      <c r="P348" s="7"/>
      <c r="Q348" s="35"/>
      <c r="AA348" s="7" t="s">
        <v>457</v>
      </c>
      <c r="AI348" s="6" t="s">
        <v>151</v>
      </c>
      <c r="AL348" s="6" t="s">
        <v>358</v>
      </c>
      <c r="AO348" s="6" t="s">
        <v>397</v>
      </c>
      <c r="AU348" s="7" t="s">
        <v>442</v>
      </c>
    </row>
    <row r="349" spans="1:60" ht="12.75" customHeight="1" x14ac:dyDescent="0.2">
      <c r="D349" s="29" t="s">
        <v>24</v>
      </c>
      <c r="E349" s="29"/>
      <c r="F349" s="10" t="s">
        <v>11</v>
      </c>
      <c r="G349" s="10"/>
      <c r="H349" s="10"/>
      <c r="I349" s="10"/>
      <c r="J349" s="10"/>
      <c r="K349" s="10"/>
      <c r="L349" s="10"/>
      <c r="M349" s="10"/>
      <c r="O349" s="7" t="s">
        <v>448</v>
      </c>
      <c r="P349" s="7"/>
      <c r="Q349" s="35"/>
      <c r="AA349" s="7" t="s">
        <v>458</v>
      </c>
      <c r="AI349" s="6" t="s">
        <v>152</v>
      </c>
      <c r="AL349" s="6" t="s">
        <v>359</v>
      </c>
      <c r="AO349" s="6" t="s">
        <v>398</v>
      </c>
      <c r="AU349" s="7" t="s">
        <v>443</v>
      </c>
    </row>
    <row r="350" spans="1:60" ht="12.75" customHeight="1" x14ac:dyDescent="0.2">
      <c r="D350" s="29" t="s">
        <v>25</v>
      </c>
      <c r="E350" s="29"/>
      <c r="F350" s="10" t="s">
        <v>26</v>
      </c>
      <c r="G350" s="10"/>
      <c r="H350" s="10"/>
      <c r="I350" s="10"/>
      <c r="J350" s="10"/>
      <c r="K350" s="10"/>
      <c r="L350" s="10"/>
      <c r="M350" s="10"/>
      <c r="O350" s="7" t="s">
        <v>7</v>
      </c>
      <c r="P350" s="7"/>
      <c r="Q350" s="35"/>
      <c r="AA350" s="7" t="s">
        <v>459</v>
      </c>
      <c r="AI350" s="6" t="s">
        <v>153</v>
      </c>
      <c r="AL350" s="6" t="s">
        <v>360</v>
      </c>
      <c r="AO350" s="6" t="s">
        <v>399</v>
      </c>
      <c r="AU350" s="7" t="s">
        <v>118</v>
      </c>
    </row>
    <row r="351" spans="1:60" ht="12.75" customHeight="1" x14ac:dyDescent="0.2">
      <c r="A351" s="11"/>
      <c r="B351" s="11"/>
      <c r="C351" s="11"/>
      <c r="D351" s="29" t="s">
        <v>27</v>
      </c>
      <c r="E351" s="29"/>
      <c r="F351" s="10" t="s">
        <v>28</v>
      </c>
      <c r="G351" s="10"/>
      <c r="H351" s="10"/>
      <c r="I351" s="10"/>
      <c r="J351" s="10"/>
      <c r="K351" s="10"/>
      <c r="L351" s="10"/>
      <c r="M351" s="10"/>
      <c r="N351" s="5"/>
      <c r="O351" s="7" t="s">
        <v>449</v>
      </c>
      <c r="P351" s="7"/>
      <c r="Q351" s="35"/>
      <c r="R351" s="7"/>
      <c r="S351" s="7"/>
      <c r="T351" s="12"/>
      <c r="U351" s="12"/>
      <c r="V351" s="7"/>
      <c r="W351" s="13"/>
      <c r="X351" s="13"/>
      <c r="Y351" s="13"/>
      <c r="Z351" s="7"/>
      <c r="AA351" s="7" t="s">
        <v>460</v>
      </c>
      <c r="AB351" s="7"/>
      <c r="AC351" s="7"/>
      <c r="AD351" s="7"/>
      <c r="AE351" s="7"/>
      <c r="AF351" s="7"/>
      <c r="AG351" s="14"/>
      <c r="AH351" s="7"/>
      <c r="AI351" s="6" t="s">
        <v>154</v>
      </c>
      <c r="AJ351" s="7"/>
      <c r="AK351" s="7"/>
      <c r="AL351" s="6" t="s">
        <v>361</v>
      </c>
      <c r="AM351" s="7"/>
      <c r="AN351" s="7"/>
      <c r="AO351" s="6" t="s">
        <v>400</v>
      </c>
      <c r="AP351" s="7"/>
      <c r="AQ351" s="7"/>
      <c r="AR351" s="7"/>
      <c r="AV351" s="6"/>
      <c r="AW351" s="6"/>
      <c r="AX351" s="6"/>
      <c r="AY351" s="6"/>
      <c r="AZ351" s="6"/>
      <c r="BF351" s="6"/>
      <c r="BG351" s="6"/>
      <c r="BH351" s="6"/>
    </row>
    <row r="352" spans="1:60" ht="12.75" customHeight="1" x14ac:dyDescent="0.2">
      <c r="A352" s="11"/>
      <c r="B352" s="11"/>
      <c r="C352" s="11"/>
      <c r="D352" s="29" t="s">
        <v>29</v>
      </c>
      <c r="E352" s="29"/>
      <c r="F352" s="10" t="s">
        <v>30</v>
      </c>
      <c r="G352" s="10"/>
      <c r="H352" s="10"/>
      <c r="I352" s="10"/>
      <c r="J352" s="10"/>
      <c r="K352" s="10"/>
      <c r="L352" s="10"/>
      <c r="M352" s="10"/>
      <c r="O352" s="7" t="s">
        <v>450</v>
      </c>
      <c r="P352" s="8"/>
      <c r="Q352" s="36"/>
      <c r="R352" s="15"/>
      <c r="S352" s="15"/>
      <c r="T352" s="15"/>
      <c r="U352" s="15"/>
      <c r="V352" s="15"/>
      <c r="W352" s="8"/>
      <c r="X352" s="8"/>
      <c r="Y352" s="8"/>
      <c r="Z352" s="7"/>
      <c r="AA352" s="7" t="s">
        <v>37</v>
      </c>
      <c r="AB352" s="7"/>
      <c r="AC352" s="7"/>
      <c r="AD352" s="7"/>
      <c r="AE352" s="7"/>
      <c r="AF352" s="7"/>
      <c r="AG352" s="14"/>
      <c r="AH352" s="7"/>
      <c r="AI352" s="6" t="s">
        <v>155</v>
      </c>
      <c r="AJ352" s="7"/>
      <c r="AK352" s="7"/>
      <c r="AL352" s="6" t="s">
        <v>362</v>
      </c>
      <c r="AM352" s="7"/>
      <c r="AN352" s="7"/>
      <c r="AO352" s="6" t="s">
        <v>401</v>
      </c>
      <c r="AP352" s="7"/>
      <c r="AQ352" s="7"/>
      <c r="AR352" s="7"/>
      <c r="AV352" s="6"/>
      <c r="AW352" s="6"/>
      <c r="AX352" s="6"/>
      <c r="AY352" s="6"/>
      <c r="AZ352" s="6"/>
      <c r="BF352" s="6"/>
      <c r="BG352" s="6"/>
      <c r="BH352" s="6"/>
    </row>
    <row r="353" spans="1:60" ht="12.75" customHeight="1" x14ac:dyDescent="0.2">
      <c r="A353" s="11"/>
      <c r="B353" s="11"/>
      <c r="C353" s="11"/>
      <c r="D353" s="29" t="s">
        <v>31</v>
      </c>
      <c r="E353" s="29"/>
      <c r="F353" s="10" t="s">
        <v>32</v>
      </c>
      <c r="G353" s="10"/>
      <c r="H353" s="10"/>
      <c r="I353" s="10"/>
      <c r="J353" s="10"/>
      <c r="K353" s="10"/>
      <c r="L353" s="10"/>
      <c r="M353" s="10"/>
      <c r="AA353" s="7" t="s">
        <v>39</v>
      </c>
      <c r="AI353" s="6" t="s">
        <v>156</v>
      </c>
      <c r="AL353" s="6" t="s">
        <v>363</v>
      </c>
      <c r="AO353" s="6" t="s">
        <v>402</v>
      </c>
      <c r="AR353" s="7"/>
    </row>
    <row r="354" spans="1:60" x14ac:dyDescent="0.2">
      <c r="O354" s="24" t="s">
        <v>42</v>
      </c>
      <c r="AA354" s="7" t="s">
        <v>461</v>
      </c>
      <c r="AI354" s="6" t="s">
        <v>157</v>
      </c>
      <c r="AL354" s="6" t="s">
        <v>364</v>
      </c>
      <c r="AO354" s="6" t="s">
        <v>403</v>
      </c>
      <c r="AR354" s="7"/>
    </row>
    <row r="355" spans="1:60" x14ac:dyDescent="0.2">
      <c r="D355" s="41" t="s">
        <v>33</v>
      </c>
      <c r="O355" s="24" t="s">
        <v>43</v>
      </c>
      <c r="AA355" s="7" t="s">
        <v>118</v>
      </c>
      <c r="AI355" s="6" t="s">
        <v>158</v>
      </c>
      <c r="AL355" s="6" t="s">
        <v>365</v>
      </c>
      <c r="AO355" s="6" t="s">
        <v>404</v>
      </c>
      <c r="AR355" s="7"/>
    </row>
    <row r="356" spans="1:60" x14ac:dyDescent="0.2">
      <c r="D356" s="42" t="s">
        <v>141</v>
      </c>
      <c r="O356" s="21" t="s">
        <v>40</v>
      </c>
      <c r="P356" s="7"/>
      <c r="AA356" s="7"/>
      <c r="AI356" s="6" t="s">
        <v>159</v>
      </c>
      <c r="AL356" s="6" t="s">
        <v>366</v>
      </c>
      <c r="AO356" s="6" t="s">
        <v>405</v>
      </c>
      <c r="AR356" s="7"/>
      <c r="BF356" s="6"/>
      <c r="BG356" s="6"/>
      <c r="BH356" s="6"/>
    </row>
    <row r="357" spans="1:60" x14ac:dyDescent="0.2">
      <c r="D357" s="30" t="s">
        <v>140</v>
      </c>
      <c r="O357" s="21" t="s">
        <v>41</v>
      </c>
      <c r="P357" s="7"/>
      <c r="Q357" s="35"/>
      <c r="AI357" s="6" t="s">
        <v>160</v>
      </c>
      <c r="AL357" s="6" t="s">
        <v>367</v>
      </c>
      <c r="AO357" s="6" t="s">
        <v>406</v>
      </c>
      <c r="AR357" s="7"/>
      <c r="BF357" s="6"/>
      <c r="BG357" s="6"/>
      <c r="BH357" s="6"/>
    </row>
    <row r="358" spans="1:60" x14ac:dyDescent="0.2">
      <c r="O358" s="21" t="s">
        <v>111</v>
      </c>
      <c r="P358" s="7"/>
      <c r="Q358" s="35"/>
      <c r="AI358" s="6" t="s">
        <v>161</v>
      </c>
      <c r="AL358" s="6" t="s">
        <v>368</v>
      </c>
      <c r="AO358" s="6" t="s">
        <v>407</v>
      </c>
      <c r="AR358" s="7"/>
    </row>
    <row r="359" spans="1:60" x14ac:dyDescent="0.2">
      <c r="H359" s="15"/>
      <c r="I359" s="15"/>
      <c r="J359" s="15"/>
      <c r="K359" s="15"/>
      <c r="L359" s="15"/>
      <c r="M359" s="15"/>
      <c r="N359" s="25"/>
      <c r="O359" s="21" t="s">
        <v>112</v>
      </c>
      <c r="P359" s="7"/>
      <c r="Q359" s="35"/>
      <c r="AI359" s="6" t="s">
        <v>162</v>
      </c>
      <c r="AL359" s="6" t="s">
        <v>369</v>
      </c>
      <c r="AO359" s="6" t="s">
        <v>408</v>
      </c>
      <c r="AR359" s="7"/>
    </row>
    <row r="360" spans="1:60" x14ac:dyDescent="0.2">
      <c r="H360" s="38"/>
      <c r="I360" s="38"/>
      <c r="J360" s="38"/>
      <c r="K360" s="38"/>
      <c r="L360" s="38"/>
      <c r="M360" s="38"/>
      <c r="O360" s="21" t="s">
        <v>113</v>
      </c>
      <c r="AI360" s="6" t="s">
        <v>163</v>
      </c>
      <c r="AL360" s="6" t="s">
        <v>370</v>
      </c>
      <c r="AO360" s="6" t="s">
        <v>409</v>
      </c>
    </row>
    <row r="361" spans="1:60" x14ac:dyDescent="0.2">
      <c r="H361" s="38"/>
      <c r="I361" s="38"/>
      <c r="J361" s="38"/>
      <c r="K361" s="38"/>
      <c r="L361" s="38"/>
      <c r="M361" s="38"/>
      <c r="AI361" s="6" t="s">
        <v>164</v>
      </c>
      <c r="AL361" s="6" t="s">
        <v>371</v>
      </c>
      <c r="AO361" s="6" t="s">
        <v>410</v>
      </c>
    </row>
    <row r="362" spans="1:60" x14ac:dyDescent="0.2">
      <c r="H362" s="38"/>
      <c r="I362" s="38"/>
      <c r="J362" s="38"/>
      <c r="K362" s="38"/>
      <c r="L362" s="38"/>
      <c r="M362" s="38"/>
      <c r="AI362" s="6" t="s">
        <v>166</v>
      </c>
      <c r="AL362" s="6" t="s">
        <v>372</v>
      </c>
      <c r="AO362" s="6" t="s">
        <v>411</v>
      </c>
    </row>
    <row r="363" spans="1:60" x14ac:dyDescent="0.2">
      <c r="AI363" s="6" t="s">
        <v>167</v>
      </c>
      <c r="AL363" s="6" t="s">
        <v>373</v>
      </c>
      <c r="AO363" s="6" t="s">
        <v>412</v>
      </c>
    </row>
    <row r="364" spans="1:60" x14ac:dyDescent="0.2">
      <c r="H364" s="38"/>
      <c r="I364" s="38"/>
      <c r="J364" s="38"/>
      <c r="K364" s="38"/>
      <c r="L364" s="38"/>
      <c r="M364" s="38"/>
      <c r="AI364" s="6" t="s">
        <v>168</v>
      </c>
      <c r="AL364" s="6" t="s">
        <v>374</v>
      </c>
      <c r="AO364" s="6" t="s">
        <v>413</v>
      </c>
    </row>
    <row r="365" spans="1:60" x14ac:dyDescent="0.2">
      <c r="AI365" s="6" t="s">
        <v>169</v>
      </c>
      <c r="AL365" s="6" t="s">
        <v>375</v>
      </c>
      <c r="AO365" s="6" t="s">
        <v>414</v>
      </c>
    </row>
    <row r="366" spans="1:60" x14ac:dyDescent="0.2">
      <c r="H366" s="38"/>
      <c r="I366" s="38"/>
      <c r="J366" s="38"/>
      <c r="K366" s="38"/>
      <c r="L366" s="38"/>
      <c r="M366" s="38"/>
      <c r="AI366" s="6" t="s">
        <v>170</v>
      </c>
      <c r="AL366" s="6" t="s">
        <v>376</v>
      </c>
      <c r="AO366" s="6" t="s">
        <v>415</v>
      </c>
    </row>
    <row r="367" spans="1:60" x14ac:dyDescent="0.2">
      <c r="O367" s="7" t="s">
        <v>86</v>
      </c>
      <c r="P367" s="5" t="s">
        <v>87</v>
      </c>
      <c r="AI367" s="6" t="s">
        <v>171</v>
      </c>
      <c r="AL367" s="6" t="s">
        <v>377</v>
      </c>
      <c r="AO367" s="6" t="s">
        <v>416</v>
      </c>
    </row>
    <row r="368" spans="1:60" x14ac:dyDescent="0.2">
      <c r="O368" s="28">
        <v>63</v>
      </c>
      <c r="P368" s="5" t="s">
        <v>80</v>
      </c>
      <c r="AI368" s="6" t="s">
        <v>172</v>
      </c>
      <c r="AL368" s="6" t="s">
        <v>378</v>
      </c>
      <c r="AO368" s="6" t="s">
        <v>417</v>
      </c>
    </row>
    <row r="369" spans="15:41" x14ac:dyDescent="0.2">
      <c r="O369" s="28">
        <v>71</v>
      </c>
      <c r="P369" s="5" t="s">
        <v>80</v>
      </c>
      <c r="AI369" s="6" t="s">
        <v>173</v>
      </c>
      <c r="AL369" s="6" t="s">
        <v>379</v>
      </c>
      <c r="AO369" s="6" t="s">
        <v>418</v>
      </c>
    </row>
    <row r="370" spans="15:41" x14ac:dyDescent="0.2">
      <c r="O370" s="28">
        <v>80</v>
      </c>
      <c r="P370" s="5" t="s">
        <v>80</v>
      </c>
      <c r="AI370" s="6" t="s">
        <v>174</v>
      </c>
      <c r="AL370" s="6" t="s">
        <v>380</v>
      </c>
      <c r="AO370" s="6" t="s">
        <v>419</v>
      </c>
    </row>
    <row r="371" spans="15:41" x14ac:dyDescent="0.2">
      <c r="O371" s="28" t="s">
        <v>57</v>
      </c>
      <c r="P371" s="5" t="s">
        <v>81</v>
      </c>
      <c r="AI371" s="6" t="s">
        <v>175</v>
      </c>
      <c r="AL371" s="6" t="s">
        <v>381</v>
      </c>
      <c r="AO371" s="6" t="s">
        <v>420</v>
      </c>
    </row>
    <row r="372" spans="15:41" x14ac:dyDescent="0.2">
      <c r="O372" s="8" t="s">
        <v>90</v>
      </c>
      <c r="P372" s="5" t="s">
        <v>105</v>
      </c>
      <c r="AI372" s="6" t="s">
        <v>190</v>
      </c>
      <c r="AL372" s="6" t="s">
        <v>382</v>
      </c>
      <c r="AO372" s="6" t="s">
        <v>421</v>
      </c>
    </row>
    <row r="373" spans="15:41" x14ac:dyDescent="0.2">
      <c r="O373" s="28" t="s">
        <v>58</v>
      </c>
      <c r="P373" s="5" t="s">
        <v>82</v>
      </c>
      <c r="AI373" s="6" t="s">
        <v>191</v>
      </c>
      <c r="AL373" s="6" t="s">
        <v>383</v>
      </c>
      <c r="AO373" s="6" t="s">
        <v>422</v>
      </c>
    </row>
    <row r="374" spans="15:41" x14ac:dyDescent="0.2">
      <c r="O374" s="8" t="s">
        <v>91</v>
      </c>
      <c r="P374" s="5" t="s">
        <v>105</v>
      </c>
      <c r="AI374" s="6" t="s">
        <v>192</v>
      </c>
      <c r="AL374" s="6" t="s">
        <v>384</v>
      </c>
      <c r="AO374" s="6" t="s">
        <v>423</v>
      </c>
    </row>
    <row r="375" spans="15:41" x14ac:dyDescent="0.2">
      <c r="O375" s="28" t="s">
        <v>60</v>
      </c>
      <c r="P375" s="5" t="s">
        <v>82</v>
      </c>
      <c r="AI375" s="6" t="s">
        <v>193</v>
      </c>
      <c r="AL375" s="6" t="s">
        <v>385</v>
      </c>
      <c r="AO375" s="6" t="s">
        <v>424</v>
      </c>
    </row>
    <row r="376" spans="15:41" x14ac:dyDescent="0.2">
      <c r="O376" s="8" t="s">
        <v>93</v>
      </c>
      <c r="P376" s="5" t="s">
        <v>106</v>
      </c>
      <c r="AI376" s="6" t="s">
        <v>194</v>
      </c>
      <c r="AL376" s="6" t="s">
        <v>386</v>
      </c>
      <c r="AO376" s="6" t="s">
        <v>425</v>
      </c>
    </row>
    <row r="377" spans="15:41" x14ac:dyDescent="0.2">
      <c r="O377" s="28" t="s">
        <v>69</v>
      </c>
      <c r="P377" s="5" t="s">
        <v>82</v>
      </c>
      <c r="AI377" s="6" t="s">
        <v>195</v>
      </c>
      <c r="AL377" s="6" t="s">
        <v>387</v>
      </c>
      <c r="AO377" s="6" t="s">
        <v>426</v>
      </c>
    </row>
    <row r="378" spans="15:41" x14ac:dyDescent="0.2">
      <c r="O378" s="28" t="s">
        <v>59</v>
      </c>
      <c r="P378" s="5" t="s">
        <v>82</v>
      </c>
      <c r="AI378" s="6" t="s">
        <v>176</v>
      </c>
      <c r="AL378" s="6" t="s">
        <v>388</v>
      </c>
      <c r="AO378" s="6" t="s">
        <v>427</v>
      </c>
    </row>
    <row r="379" spans="15:41" x14ac:dyDescent="0.2">
      <c r="O379" s="8" t="s">
        <v>92</v>
      </c>
      <c r="P379" s="5" t="s">
        <v>106</v>
      </c>
      <c r="AI379" s="6" t="s">
        <v>177</v>
      </c>
      <c r="AL379" s="6" t="s">
        <v>389</v>
      </c>
      <c r="AO379" s="6" t="s">
        <v>428</v>
      </c>
    </row>
    <row r="380" spans="15:41" x14ac:dyDescent="0.2">
      <c r="O380" s="28" t="s">
        <v>70</v>
      </c>
      <c r="P380" s="5" t="s">
        <v>83</v>
      </c>
      <c r="AI380" s="6" t="s">
        <v>178</v>
      </c>
      <c r="AL380" s="6" t="s">
        <v>390</v>
      </c>
      <c r="AO380" s="6" t="s">
        <v>429</v>
      </c>
    </row>
    <row r="381" spans="15:41" x14ac:dyDescent="0.2">
      <c r="O381" s="8" t="s">
        <v>95</v>
      </c>
      <c r="P381" s="5" t="s">
        <v>108</v>
      </c>
      <c r="AI381" s="6" t="s">
        <v>179</v>
      </c>
      <c r="AL381" s="6" t="s">
        <v>391</v>
      </c>
      <c r="AO381" s="6" t="s">
        <v>430</v>
      </c>
    </row>
    <row r="382" spans="15:41" x14ac:dyDescent="0.2">
      <c r="O382" s="28" t="s">
        <v>61</v>
      </c>
      <c r="P382" s="5" t="s">
        <v>83</v>
      </c>
      <c r="AI382" s="6" t="s">
        <v>184</v>
      </c>
      <c r="AL382" s="6" t="s">
        <v>392</v>
      </c>
      <c r="AO382" s="6" t="s">
        <v>431</v>
      </c>
    </row>
    <row r="383" spans="15:41" x14ac:dyDescent="0.2">
      <c r="O383" s="8" t="s">
        <v>94</v>
      </c>
      <c r="P383" s="5" t="s">
        <v>108</v>
      </c>
      <c r="AI383" s="6" t="s">
        <v>185</v>
      </c>
      <c r="AL383" s="7" t="s">
        <v>288</v>
      </c>
      <c r="AO383" s="7" t="s">
        <v>288</v>
      </c>
    </row>
    <row r="384" spans="15:41" x14ac:dyDescent="0.2">
      <c r="O384" s="28" t="s">
        <v>71</v>
      </c>
      <c r="P384" s="5" t="s">
        <v>83</v>
      </c>
      <c r="AI384" s="6" t="s">
        <v>186</v>
      </c>
      <c r="AL384" s="7" t="s">
        <v>289</v>
      </c>
      <c r="AO384" s="7" t="s">
        <v>289</v>
      </c>
    </row>
    <row r="385" spans="15:41" x14ac:dyDescent="0.2">
      <c r="O385" s="8" t="s">
        <v>97</v>
      </c>
      <c r="P385" s="5" t="s">
        <v>108</v>
      </c>
      <c r="AI385" s="6" t="s">
        <v>187</v>
      </c>
      <c r="AL385" s="7" t="s">
        <v>290</v>
      </c>
      <c r="AO385" s="7" t="s">
        <v>290</v>
      </c>
    </row>
    <row r="386" spans="15:41" x14ac:dyDescent="0.2">
      <c r="O386" s="28" t="s">
        <v>62</v>
      </c>
      <c r="P386" s="5" t="s">
        <v>83</v>
      </c>
      <c r="AI386" s="6" t="s">
        <v>188</v>
      </c>
      <c r="AL386" s="7" t="s">
        <v>291</v>
      </c>
      <c r="AO386" s="7" t="s">
        <v>291</v>
      </c>
    </row>
    <row r="387" spans="15:41" x14ac:dyDescent="0.2">
      <c r="O387" s="8" t="s">
        <v>96</v>
      </c>
      <c r="P387" s="5" t="s">
        <v>108</v>
      </c>
      <c r="AI387" s="6" t="s">
        <v>189</v>
      </c>
      <c r="AL387" s="7" t="s">
        <v>292</v>
      </c>
      <c r="AO387" s="7" t="s">
        <v>292</v>
      </c>
    </row>
    <row r="388" spans="15:41" x14ac:dyDescent="0.2">
      <c r="O388" s="28" t="s">
        <v>73</v>
      </c>
      <c r="P388" s="5" t="s">
        <v>49</v>
      </c>
      <c r="AI388" s="6" t="s">
        <v>196</v>
      </c>
      <c r="AL388" s="7" t="s">
        <v>293</v>
      </c>
      <c r="AO388" s="7" t="s">
        <v>293</v>
      </c>
    </row>
    <row r="389" spans="15:41" x14ac:dyDescent="0.2">
      <c r="O389" s="8" t="s">
        <v>99</v>
      </c>
      <c r="P389" s="5" t="s">
        <v>107</v>
      </c>
      <c r="AI389" s="6" t="s">
        <v>197</v>
      </c>
      <c r="AL389" s="7" t="s">
        <v>294</v>
      </c>
      <c r="AO389" s="7" t="s">
        <v>294</v>
      </c>
    </row>
    <row r="390" spans="15:41" x14ac:dyDescent="0.2">
      <c r="O390" s="28" t="s">
        <v>72</v>
      </c>
      <c r="P390" s="5" t="s">
        <v>49</v>
      </c>
      <c r="AI390" s="6" t="s">
        <v>198</v>
      </c>
      <c r="AL390" s="7" t="s">
        <v>295</v>
      </c>
      <c r="AO390" s="7" t="s">
        <v>295</v>
      </c>
    </row>
    <row r="391" spans="15:41" x14ac:dyDescent="0.2">
      <c r="O391" s="8" t="s">
        <v>98</v>
      </c>
      <c r="P391" s="5" t="s">
        <v>107</v>
      </c>
      <c r="AI391" s="6" t="s">
        <v>199</v>
      </c>
      <c r="AL391" s="7" t="s">
        <v>296</v>
      </c>
      <c r="AO391" s="7" t="s">
        <v>296</v>
      </c>
    </row>
    <row r="392" spans="15:41" x14ac:dyDescent="0.2">
      <c r="O392" s="28" t="s">
        <v>74</v>
      </c>
      <c r="P392" s="5" t="s">
        <v>84</v>
      </c>
      <c r="AI392" s="6" t="s">
        <v>200</v>
      </c>
      <c r="AL392" s="7" t="s">
        <v>297</v>
      </c>
      <c r="AO392" s="7" t="s">
        <v>297</v>
      </c>
    </row>
    <row r="393" spans="15:41" x14ac:dyDescent="0.2">
      <c r="O393" s="8" t="s">
        <v>100</v>
      </c>
      <c r="P393" s="5" t="s">
        <v>109</v>
      </c>
      <c r="AI393" s="6" t="s">
        <v>201</v>
      </c>
      <c r="AL393" s="7" t="s">
        <v>298</v>
      </c>
      <c r="AO393" s="7" t="s">
        <v>298</v>
      </c>
    </row>
    <row r="394" spans="15:41" x14ac:dyDescent="0.2">
      <c r="O394" s="28" t="s">
        <v>75</v>
      </c>
      <c r="P394" s="5" t="s">
        <v>84</v>
      </c>
      <c r="AI394" s="6" t="s">
        <v>165</v>
      </c>
      <c r="AL394" s="7" t="s">
        <v>299</v>
      </c>
      <c r="AO394" s="7" t="s">
        <v>299</v>
      </c>
    </row>
    <row r="395" spans="15:41" x14ac:dyDescent="0.2">
      <c r="O395" s="8" t="s">
        <v>101</v>
      </c>
      <c r="P395" s="5" t="s">
        <v>109</v>
      </c>
      <c r="AI395" s="6" t="s">
        <v>202</v>
      </c>
      <c r="AL395" s="7" t="s">
        <v>300</v>
      </c>
      <c r="AO395" s="7" t="s">
        <v>300</v>
      </c>
    </row>
    <row r="396" spans="15:41" x14ac:dyDescent="0.2">
      <c r="O396" s="28" t="s">
        <v>76</v>
      </c>
      <c r="P396" s="5" t="s">
        <v>84</v>
      </c>
      <c r="AI396" s="6" t="s">
        <v>203</v>
      </c>
      <c r="AL396" s="7" t="s">
        <v>252</v>
      </c>
      <c r="AO396" s="7" t="s">
        <v>252</v>
      </c>
    </row>
    <row r="397" spans="15:41" x14ac:dyDescent="0.2">
      <c r="O397" s="28" t="s">
        <v>102</v>
      </c>
      <c r="P397" s="5" t="s">
        <v>109</v>
      </c>
      <c r="AI397" s="6" t="s">
        <v>204</v>
      </c>
      <c r="AL397" s="7" t="s">
        <v>253</v>
      </c>
      <c r="AO397" s="7" t="s">
        <v>253</v>
      </c>
    </row>
    <row r="398" spans="15:41" x14ac:dyDescent="0.2">
      <c r="O398" s="28" t="s">
        <v>77</v>
      </c>
      <c r="P398" s="5" t="s">
        <v>85</v>
      </c>
      <c r="AI398" s="6" t="s">
        <v>180</v>
      </c>
      <c r="AL398" s="7" t="s">
        <v>254</v>
      </c>
      <c r="AO398" s="7" t="s">
        <v>254</v>
      </c>
    </row>
    <row r="399" spans="15:41" x14ac:dyDescent="0.2">
      <c r="O399" s="28" t="s">
        <v>103</v>
      </c>
      <c r="P399" s="5" t="s">
        <v>110</v>
      </c>
      <c r="AI399" s="6" t="s">
        <v>181</v>
      </c>
      <c r="AL399" s="7" t="s">
        <v>255</v>
      </c>
      <c r="AO399" s="7" t="s">
        <v>255</v>
      </c>
    </row>
    <row r="400" spans="15:41" x14ac:dyDescent="0.2">
      <c r="O400" s="28" t="s">
        <v>79</v>
      </c>
      <c r="P400" s="5" t="s">
        <v>85</v>
      </c>
      <c r="AI400" s="6" t="s">
        <v>182</v>
      </c>
      <c r="AL400" s="7" t="s">
        <v>256</v>
      </c>
      <c r="AO400" s="7" t="s">
        <v>256</v>
      </c>
    </row>
    <row r="401" spans="15:41" x14ac:dyDescent="0.2">
      <c r="O401" s="28" t="s">
        <v>78</v>
      </c>
      <c r="P401" s="5" t="s">
        <v>85</v>
      </c>
      <c r="AI401" s="6" t="s">
        <v>183</v>
      </c>
      <c r="AL401" s="7" t="s">
        <v>257</v>
      </c>
      <c r="AO401" s="7" t="s">
        <v>257</v>
      </c>
    </row>
    <row r="402" spans="15:41" x14ac:dyDescent="0.2">
      <c r="O402" s="28" t="s">
        <v>104</v>
      </c>
      <c r="P402" s="5" t="s">
        <v>110</v>
      </c>
      <c r="AI402" s="6" t="s">
        <v>205</v>
      </c>
      <c r="AL402" s="7" t="s">
        <v>258</v>
      </c>
      <c r="AO402" s="7" t="s">
        <v>258</v>
      </c>
    </row>
    <row r="403" spans="15:41" x14ac:dyDescent="0.2">
      <c r="O403" s="28" t="s">
        <v>56</v>
      </c>
      <c r="P403" s="5" t="s">
        <v>81</v>
      </c>
      <c r="AI403" s="6" t="s">
        <v>206</v>
      </c>
      <c r="AL403" s="7" t="s">
        <v>259</v>
      </c>
      <c r="AO403" s="7" t="s">
        <v>259</v>
      </c>
    </row>
    <row r="404" spans="15:41" x14ac:dyDescent="0.2">
      <c r="O404" s="8" t="s">
        <v>89</v>
      </c>
      <c r="P404" s="5" t="s">
        <v>105</v>
      </c>
      <c r="AI404" s="6" t="s">
        <v>207</v>
      </c>
      <c r="AL404" s="7" t="s">
        <v>260</v>
      </c>
      <c r="AO404" s="7" t="s">
        <v>260</v>
      </c>
    </row>
    <row r="405" spans="15:41" x14ac:dyDescent="0.2">
      <c r="O405" s="28" t="s">
        <v>55</v>
      </c>
      <c r="P405" s="5" t="s">
        <v>81</v>
      </c>
      <c r="AI405" s="6" t="s">
        <v>208</v>
      </c>
      <c r="AL405" s="7" t="s">
        <v>261</v>
      </c>
      <c r="AO405" s="7" t="s">
        <v>261</v>
      </c>
    </row>
    <row r="406" spans="15:41" x14ac:dyDescent="0.2">
      <c r="O406" s="8" t="s">
        <v>88</v>
      </c>
      <c r="P406" s="5" t="s">
        <v>105</v>
      </c>
      <c r="AI406" s="6" t="s">
        <v>209</v>
      </c>
      <c r="AL406" s="7" t="s">
        <v>262</v>
      </c>
      <c r="AO406" s="7" t="s">
        <v>262</v>
      </c>
    </row>
    <row r="407" spans="15:41" x14ac:dyDescent="0.2">
      <c r="O407" s="28" t="s">
        <v>67</v>
      </c>
      <c r="P407" s="5" t="s">
        <v>81</v>
      </c>
      <c r="AI407" s="6" t="s">
        <v>210</v>
      </c>
      <c r="AL407" s="7" t="s">
        <v>263</v>
      </c>
      <c r="AO407" s="7" t="s">
        <v>263</v>
      </c>
    </row>
    <row r="408" spans="15:41" x14ac:dyDescent="0.2">
      <c r="O408" s="28" t="s">
        <v>68</v>
      </c>
      <c r="P408" s="5" t="s">
        <v>82</v>
      </c>
      <c r="AI408" s="6" t="s">
        <v>211</v>
      </c>
      <c r="AL408" s="7" t="s">
        <v>264</v>
      </c>
      <c r="AO408" s="7" t="s">
        <v>264</v>
      </c>
    </row>
    <row r="409" spans="15:41" x14ac:dyDescent="0.2">
      <c r="O409" s="28" t="s">
        <v>64</v>
      </c>
      <c r="P409" s="5" t="s">
        <v>81</v>
      </c>
      <c r="AI409" s="6" t="s">
        <v>212</v>
      </c>
      <c r="AL409" s="7" t="s">
        <v>265</v>
      </c>
      <c r="AO409" s="7" t="s">
        <v>265</v>
      </c>
    </row>
    <row r="410" spans="15:41" x14ac:dyDescent="0.2">
      <c r="O410" s="28" t="s">
        <v>66</v>
      </c>
      <c r="P410" s="5" t="s">
        <v>81</v>
      </c>
      <c r="AI410" s="7" t="s">
        <v>213</v>
      </c>
      <c r="AL410" s="7" t="s">
        <v>266</v>
      </c>
      <c r="AO410" s="7" t="s">
        <v>266</v>
      </c>
    </row>
    <row r="411" spans="15:41" x14ac:dyDescent="0.2">
      <c r="O411" s="28" t="s">
        <v>65</v>
      </c>
      <c r="P411" s="5" t="s">
        <v>81</v>
      </c>
      <c r="AI411" s="7" t="s">
        <v>214</v>
      </c>
      <c r="AL411" s="7" t="s">
        <v>267</v>
      </c>
      <c r="AO411" s="7" t="s">
        <v>267</v>
      </c>
    </row>
    <row r="412" spans="15:41" x14ac:dyDescent="0.2">
      <c r="O412" s="8" t="s">
        <v>118</v>
      </c>
      <c r="P412" s="5" t="s">
        <v>118</v>
      </c>
      <c r="AI412" s="7" t="s">
        <v>215</v>
      </c>
      <c r="AL412" s="7" t="s">
        <v>268</v>
      </c>
      <c r="AO412" s="7" t="s">
        <v>268</v>
      </c>
    </row>
    <row r="413" spans="15:41" x14ac:dyDescent="0.2">
      <c r="AI413" s="7" t="s">
        <v>216</v>
      </c>
      <c r="AL413" s="7" t="s">
        <v>269</v>
      </c>
      <c r="AO413" s="7" t="s">
        <v>269</v>
      </c>
    </row>
    <row r="414" spans="15:41" x14ac:dyDescent="0.2">
      <c r="AI414" s="7" t="s">
        <v>217</v>
      </c>
      <c r="AL414" s="7" t="s">
        <v>270</v>
      </c>
      <c r="AO414" s="7" t="s">
        <v>270</v>
      </c>
    </row>
    <row r="415" spans="15:41" x14ac:dyDescent="0.2">
      <c r="AI415" s="7" t="s">
        <v>218</v>
      </c>
      <c r="AL415" s="7" t="s">
        <v>271</v>
      </c>
      <c r="AO415" s="7" t="s">
        <v>271</v>
      </c>
    </row>
    <row r="416" spans="15:41" x14ac:dyDescent="0.2">
      <c r="AI416" s="7" t="s">
        <v>219</v>
      </c>
      <c r="AL416" s="7" t="s">
        <v>272</v>
      </c>
      <c r="AO416" s="7" t="s">
        <v>272</v>
      </c>
    </row>
    <row r="417" spans="35:41" x14ac:dyDescent="0.2">
      <c r="AI417" s="7" t="s">
        <v>220</v>
      </c>
      <c r="AL417" s="7" t="s">
        <v>273</v>
      </c>
      <c r="AO417" s="7" t="s">
        <v>273</v>
      </c>
    </row>
    <row r="418" spans="35:41" x14ac:dyDescent="0.2">
      <c r="AI418" s="7" t="s">
        <v>221</v>
      </c>
      <c r="AL418" s="7" t="s">
        <v>274</v>
      </c>
      <c r="AO418" s="7" t="s">
        <v>274</v>
      </c>
    </row>
    <row r="419" spans="35:41" x14ac:dyDescent="0.2">
      <c r="AI419" s="7" t="s">
        <v>222</v>
      </c>
      <c r="AL419" s="7" t="s">
        <v>275</v>
      </c>
      <c r="AO419" s="7" t="s">
        <v>275</v>
      </c>
    </row>
    <row r="420" spans="35:41" x14ac:dyDescent="0.2">
      <c r="AI420" s="7" t="s">
        <v>223</v>
      </c>
      <c r="AL420" s="7" t="s">
        <v>276</v>
      </c>
      <c r="AO420" s="7" t="s">
        <v>276</v>
      </c>
    </row>
    <row r="421" spans="35:41" x14ac:dyDescent="0.2">
      <c r="AI421" s="7" t="s">
        <v>224</v>
      </c>
      <c r="AL421" s="7" t="s">
        <v>277</v>
      </c>
      <c r="AO421" s="7" t="s">
        <v>277</v>
      </c>
    </row>
    <row r="422" spans="35:41" x14ac:dyDescent="0.2">
      <c r="AI422" s="7" t="s">
        <v>225</v>
      </c>
      <c r="AL422" s="7" t="s">
        <v>278</v>
      </c>
      <c r="AO422" s="7" t="s">
        <v>278</v>
      </c>
    </row>
    <row r="423" spans="35:41" x14ac:dyDescent="0.2">
      <c r="AI423" s="7" t="s">
        <v>226</v>
      </c>
      <c r="AL423" s="7" t="s">
        <v>279</v>
      </c>
      <c r="AO423" s="7" t="s">
        <v>279</v>
      </c>
    </row>
    <row r="424" spans="35:41" x14ac:dyDescent="0.2">
      <c r="AI424" s="7" t="s">
        <v>227</v>
      </c>
      <c r="AL424" s="7" t="s">
        <v>280</v>
      </c>
      <c r="AO424" s="7" t="s">
        <v>280</v>
      </c>
    </row>
    <row r="425" spans="35:41" x14ac:dyDescent="0.2">
      <c r="AI425" s="7" t="s">
        <v>228</v>
      </c>
      <c r="AL425" s="7" t="s">
        <v>281</v>
      </c>
      <c r="AO425" s="7" t="s">
        <v>281</v>
      </c>
    </row>
    <row r="426" spans="35:41" x14ac:dyDescent="0.2">
      <c r="AI426" s="7" t="s">
        <v>229</v>
      </c>
      <c r="AL426" s="7" t="s">
        <v>282</v>
      </c>
      <c r="AO426" s="7" t="s">
        <v>282</v>
      </c>
    </row>
    <row r="427" spans="35:41" x14ac:dyDescent="0.2">
      <c r="AI427" s="7" t="s">
        <v>230</v>
      </c>
      <c r="AL427" s="7" t="s">
        <v>283</v>
      </c>
      <c r="AO427" s="7" t="s">
        <v>283</v>
      </c>
    </row>
    <row r="428" spans="35:41" x14ac:dyDescent="0.2">
      <c r="AI428" s="6" t="s">
        <v>231</v>
      </c>
      <c r="AL428" s="7" t="s">
        <v>284</v>
      </c>
      <c r="AO428" s="7" t="s">
        <v>284</v>
      </c>
    </row>
    <row r="429" spans="35:41" x14ac:dyDescent="0.2">
      <c r="AI429" s="6" t="s">
        <v>232</v>
      </c>
      <c r="AL429" s="7" t="s">
        <v>285</v>
      </c>
      <c r="AO429" s="7" t="s">
        <v>285</v>
      </c>
    </row>
    <row r="430" spans="35:41" x14ac:dyDescent="0.2">
      <c r="AI430" s="6" t="s">
        <v>233</v>
      </c>
      <c r="AL430" s="7" t="s">
        <v>286</v>
      </c>
      <c r="AO430" s="7" t="s">
        <v>286</v>
      </c>
    </row>
    <row r="431" spans="35:41" x14ac:dyDescent="0.2">
      <c r="AI431" s="6" t="s">
        <v>234</v>
      </c>
      <c r="AL431" s="7" t="s">
        <v>287</v>
      </c>
      <c r="AO431" s="7" t="s">
        <v>287</v>
      </c>
    </row>
    <row r="432" spans="35:41" x14ac:dyDescent="0.2">
      <c r="AI432" s="6" t="s">
        <v>235</v>
      </c>
      <c r="AL432" s="7" t="s">
        <v>301</v>
      </c>
      <c r="AO432" s="7" t="s">
        <v>301</v>
      </c>
    </row>
    <row r="433" spans="35:41" x14ac:dyDescent="0.2">
      <c r="AI433" s="6" t="s">
        <v>236</v>
      </c>
      <c r="AL433" s="7" t="s">
        <v>302</v>
      </c>
      <c r="AO433" s="7" t="s">
        <v>302</v>
      </c>
    </row>
    <row r="434" spans="35:41" x14ac:dyDescent="0.2">
      <c r="AI434" s="6" t="s">
        <v>237</v>
      </c>
      <c r="AL434" s="7" t="s">
        <v>303</v>
      </c>
      <c r="AO434" s="7" t="s">
        <v>303</v>
      </c>
    </row>
    <row r="435" spans="35:41" x14ac:dyDescent="0.2">
      <c r="AI435" s="6" t="s">
        <v>238</v>
      </c>
      <c r="AL435" s="7" t="s">
        <v>304</v>
      </c>
      <c r="AO435" s="7" t="s">
        <v>304</v>
      </c>
    </row>
    <row r="436" spans="35:41" x14ac:dyDescent="0.2">
      <c r="AI436" s="6" t="s">
        <v>239</v>
      </c>
      <c r="AL436" s="7" t="s">
        <v>305</v>
      </c>
      <c r="AO436" s="7" t="s">
        <v>305</v>
      </c>
    </row>
    <row r="437" spans="35:41" x14ac:dyDescent="0.2">
      <c r="AI437" s="6" t="s">
        <v>240</v>
      </c>
      <c r="AL437" s="7" t="s">
        <v>306</v>
      </c>
      <c r="AO437" s="7" t="s">
        <v>306</v>
      </c>
    </row>
    <row r="438" spans="35:41" x14ac:dyDescent="0.2">
      <c r="AI438" s="6" t="s">
        <v>241</v>
      </c>
      <c r="AL438" s="7" t="s">
        <v>307</v>
      </c>
      <c r="AO438" s="7" t="s">
        <v>307</v>
      </c>
    </row>
    <row r="439" spans="35:41" x14ac:dyDescent="0.2">
      <c r="AI439" s="6" t="s">
        <v>242</v>
      </c>
      <c r="AL439" s="7" t="s">
        <v>308</v>
      </c>
      <c r="AO439" s="7" t="s">
        <v>308</v>
      </c>
    </row>
    <row r="440" spans="35:41" x14ac:dyDescent="0.2">
      <c r="AI440" s="6" t="s">
        <v>243</v>
      </c>
      <c r="AL440" s="7" t="s">
        <v>309</v>
      </c>
      <c r="AO440" s="7" t="s">
        <v>309</v>
      </c>
    </row>
    <row r="441" spans="35:41" x14ac:dyDescent="0.2">
      <c r="AI441" s="6" t="s">
        <v>244</v>
      </c>
      <c r="AL441" s="7" t="s">
        <v>310</v>
      </c>
      <c r="AO441" s="7" t="s">
        <v>310</v>
      </c>
    </row>
    <row r="442" spans="35:41" x14ac:dyDescent="0.2">
      <c r="AI442" s="6" t="s">
        <v>245</v>
      </c>
      <c r="AL442" s="7" t="s">
        <v>311</v>
      </c>
      <c r="AO442" s="7" t="s">
        <v>311</v>
      </c>
    </row>
    <row r="443" spans="35:41" x14ac:dyDescent="0.2">
      <c r="AI443" s="6" t="s">
        <v>246</v>
      </c>
      <c r="AL443" s="7" t="s">
        <v>312</v>
      </c>
      <c r="AO443" s="7" t="s">
        <v>312</v>
      </c>
    </row>
    <row r="444" spans="35:41" x14ac:dyDescent="0.2">
      <c r="AI444" s="6" t="s">
        <v>247</v>
      </c>
      <c r="AL444" s="7" t="s">
        <v>313</v>
      </c>
      <c r="AO444" s="7" t="s">
        <v>313</v>
      </c>
    </row>
    <row r="445" spans="35:41" x14ac:dyDescent="0.2">
      <c r="AI445" s="6" t="s">
        <v>248</v>
      </c>
      <c r="AL445" s="7" t="s">
        <v>314</v>
      </c>
      <c r="AO445" s="7" t="s">
        <v>314</v>
      </c>
    </row>
    <row r="446" spans="35:41" x14ac:dyDescent="0.2">
      <c r="AI446" s="6" t="s">
        <v>249</v>
      </c>
      <c r="AL446" s="7" t="s">
        <v>315</v>
      </c>
      <c r="AO446" s="7" t="s">
        <v>315</v>
      </c>
    </row>
    <row r="447" spans="35:41" x14ac:dyDescent="0.2">
      <c r="AI447" s="6" t="s">
        <v>250</v>
      </c>
      <c r="AL447" s="7" t="s">
        <v>316</v>
      </c>
      <c r="AO447" s="7" t="s">
        <v>316</v>
      </c>
    </row>
    <row r="448" spans="35:41" x14ac:dyDescent="0.2">
      <c r="AI448" s="6" t="s">
        <v>251</v>
      </c>
      <c r="AL448" s="7" t="s">
        <v>317</v>
      </c>
      <c r="AO448" s="7" t="s">
        <v>317</v>
      </c>
    </row>
    <row r="449" spans="35:41" x14ac:dyDescent="0.2">
      <c r="AI449" s="7" t="s">
        <v>288</v>
      </c>
      <c r="AL449" s="7" t="s">
        <v>318</v>
      </c>
      <c r="AO449" s="7" t="s">
        <v>318</v>
      </c>
    </row>
    <row r="450" spans="35:41" x14ac:dyDescent="0.2">
      <c r="AI450" s="7" t="s">
        <v>289</v>
      </c>
      <c r="AL450" s="7" t="s">
        <v>319</v>
      </c>
      <c r="AO450" s="7" t="s">
        <v>319</v>
      </c>
    </row>
    <row r="451" spans="35:41" x14ac:dyDescent="0.2">
      <c r="AI451" s="7" t="s">
        <v>290</v>
      </c>
      <c r="AL451" s="7" t="s">
        <v>320</v>
      </c>
      <c r="AO451" s="7" t="s">
        <v>320</v>
      </c>
    </row>
    <row r="452" spans="35:41" x14ac:dyDescent="0.2">
      <c r="AI452" s="7" t="s">
        <v>291</v>
      </c>
      <c r="AL452" s="7" t="s">
        <v>321</v>
      </c>
      <c r="AO452" s="7" t="s">
        <v>321</v>
      </c>
    </row>
    <row r="453" spans="35:41" x14ac:dyDescent="0.2">
      <c r="AI453" s="7" t="s">
        <v>292</v>
      </c>
    </row>
    <row r="454" spans="35:41" x14ac:dyDescent="0.2">
      <c r="AI454" s="7" t="s">
        <v>293</v>
      </c>
    </row>
    <row r="455" spans="35:41" x14ac:dyDescent="0.2">
      <c r="AI455" s="7" t="s">
        <v>294</v>
      </c>
    </row>
    <row r="456" spans="35:41" x14ac:dyDescent="0.2">
      <c r="AI456" s="7" t="s">
        <v>295</v>
      </c>
    </row>
    <row r="457" spans="35:41" x14ac:dyDescent="0.2">
      <c r="AI457" s="7" t="s">
        <v>296</v>
      </c>
    </row>
    <row r="458" spans="35:41" x14ac:dyDescent="0.2">
      <c r="AI458" s="7" t="s">
        <v>297</v>
      </c>
    </row>
    <row r="459" spans="35:41" x14ac:dyDescent="0.2">
      <c r="AI459" s="7" t="s">
        <v>298</v>
      </c>
    </row>
    <row r="460" spans="35:41" x14ac:dyDescent="0.2">
      <c r="AI460" s="7" t="s">
        <v>299</v>
      </c>
    </row>
    <row r="461" spans="35:41" x14ac:dyDescent="0.2">
      <c r="AI461" s="7" t="s">
        <v>300</v>
      </c>
    </row>
    <row r="462" spans="35:41" x14ac:dyDescent="0.2">
      <c r="AI462" s="7" t="s">
        <v>252</v>
      </c>
    </row>
    <row r="463" spans="35:41" x14ac:dyDescent="0.2">
      <c r="AI463" s="7" t="s">
        <v>253</v>
      </c>
    </row>
    <row r="464" spans="35:41" x14ac:dyDescent="0.2">
      <c r="AI464" s="7" t="s">
        <v>254</v>
      </c>
    </row>
    <row r="465" spans="35:35" x14ac:dyDescent="0.2">
      <c r="AI465" s="7" t="s">
        <v>255</v>
      </c>
    </row>
    <row r="466" spans="35:35" x14ac:dyDescent="0.2">
      <c r="AI466" s="7" t="s">
        <v>256</v>
      </c>
    </row>
    <row r="467" spans="35:35" x14ac:dyDescent="0.2">
      <c r="AI467" s="7" t="s">
        <v>257</v>
      </c>
    </row>
    <row r="468" spans="35:35" x14ac:dyDescent="0.2">
      <c r="AI468" s="7" t="s">
        <v>258</v>
      </c>
    </row>
    <row r="469" spans="35:35" x14ac:dyDescent="0.2">
      <c r="AI469" s="7" t="s">
        <v>259</v>
      </c>
    </row>
    <row r="470" spans="35:35" x14ac:dyDescent="0.2">
      <c r="AI470" s="7" t="s">
        <v>260</v>
      </c>
    </row>
    <row r="471" spans="35:35" x14ac:dyDescent="0.2">
      <c r="AI471" s="7" t="s">
        <v>261</v>
      </c>
    </row>
    <row r="472" spans="35:35" x14ac:dyDescent="0.2">
      <c r="AI472" s="7" t="s">
        <v>262</v>
      </c>
    </row>
    <row r="473" spans="35:35" x14ac:dyDescent="0.2">
      <c r="AI473" s="7" t="s">
        <v>263</v>
      </c>
    </row>
    <row r="474" spans="35:35" x14ac:dyDescent="0.2">
      <c r="AI474" s="7" t="s">
        <v>264</v>
      </c>
    </row>
    <row r="475" spans="35:35" x14ac:dyDescent="0.2">
      <c r="AI475" s="7" t="s">
        <v>265</v>
      </c>
    </row>
    <row r="476" spans="35:35" x14ac:dyDescent="0.2">
      <c r="AI476" s="7" t="s">
        <v>266</v>
      </c>
    </row>
    <row r="477" spans="35:35" x14ac:dyDescent="0.2">
      <c r="AI477" s="7" t="s">
        <v>267</v>
      </c>
    </row>
    <row r="478" spans="35:35" x14ac:dyDescent="0.2">
      <c r="AI478" s="7" t="s">
        <v>268</v>
      </c>
    </row>
    <row r="479" spans="35:35" x14ac:dyDescent="0.2">
      <c r="AI479" s="7" t="s">
        <v>269</v>
      </c>
    </row>
    <row r="480" spans="35:35" x14ac:dyDescent="0.2">
      <c r="AI480" s="7" t="s">
        <v>270</v>
      </c>
    </row>
    <row r="481" spans="35:35" x14ac:dyDescent="0.2">
      <c r="AI481" s="7" t="s">
        <v>271</v>
      </c>
    </row>
    <row r="482" spans="35:35" x14ac:dyDescent="0.2">
      <c r="AI482" s="7" t="s">
        <v>272</v>
      </c>
    </row>
    <row r="483" spans="35:35" x14ac:dyDescent="0.2">
      <c r="AI483" s="7" t="s">
        <v>273</v>
      </c>
    </row>
    <row r="484" spans="35:35" x14ac:dyDescent="0.2">
      <c r="AI484" s="7" t="s">
        <v>274</v>
      </c>
    </row>
    <row r="485" spans="35:35" x14ac:dyDescent="0.2">
      <c r="AI485" s="7" t="s">
        <v>275</v>
      </c>
    </row>
    <row r="486" spans="35:35" x14ac:dyDescent="0.2">
      <c r="AI486" s="7" t="s">
        <v>276</v>
      </c>
    </row>
    <row r="487" spans="35:35" x14ac:dyDescent="0.2">
      <c r="AI487" s="7" t="s">
        <v>277</v>
      </c>
    </row>
    <row r="488" spans="35:35" x14ac:dyDescent="0.2">
      <c r="AI488" s="7" t="s">
        <v>278</v>
      </c>
    </row>
    <row r="489" spans="35:35" x14ac:dyDescent="0.2">
      <c r="AI489" s="7" t="s">
        <v>279</v>
      </c>
    </row>
    <row r="490" spans="35:35" x14ac:dyDescent="0.2">
      <c r="AI490" s="7" t="s">
        <v>280</v>
      </c>
    </row>
    <row r="491" spans="35:35" x14ac:dyDescent="0.2">
      <c r="AI491" s="7" t="s">
        <v>281</v>
      </c>
    </row>
    <row r="492" spans="35:35" x14ac:dyDescent="0.2">
      <c r="AI492" s="7" t="s">
        <v>282</v>
      </c>
    </row>
    <row r="493" spans="35:35" x14ac:dyDescent="0.2">
      <c r="AI493" s="7" t="s">
        <v>283</v>
      </c>
    </row>
    <row r="494" spans="35:35" x14ac:dyDescent="0.2">
      <c r="AI494" s="7" t="s">
        <v>284</v>
      </c>
    </row>
    <row r="495" spans="35:35" x14ac:dyDescent="0.2">
      <c r="AI495" s="7" t="s">
        <v>285</v>
      </c>
    </row>
    <row r="496" spans="35:35" x14ac:dyDescent="0.2">
      <c r="AI496" s="7" t="s">
        <v>286</v>
      </c>
    </row>
    <row r="497" spans="35:35" x14ac:dyDescent="0.2">
      <c r="AI497" s="7" t="s">
        <v>287</v>
      </c>
    </row>
    <row r="498" spans="35:35" x14ac:dyDescent="0.2">
      <c r="AI498" s="7" t="s">
        <v>301</v>
      </c>
    </row>
    <row r="499" spans="35:35" x14ac:dyDescent="0.2">
      <c r="AI499" s="7" t="s">
        <v>302</v>
      </c>
    </row>
    <row r="500" spans="35:35" x14ac:dyDescent="0.2">
      <c r="AI500" s="7" t="s">
        <v>303</v>
      </c>
    </row>
    <row r="501" spans="35:35" x14ac:dyDescent="0.2">
      <c r="AI501" s="7" t="s">
        <v>304</v>
      </c>
    </row>
    <row r="502" spans="35:35" x14ac:dyDescent="0.2">
      <c r="AI502" s="7" t="s">
        <v>305</v>
      </c>
    </row>
    <row r="503" spans="35:35" x14ac:dyDescent="0.2">
      <c r="AI503" s="7" t="s">
        <v>306</v>
      </c>
    </row>
    <row r="504" spans="35:35" x14ac:dyDescent="0.2">
      <c r="AI504" s="7" t="s">
        <v>307</v>
      </c>
    </row>
    <row r="505" spans="35:35" x14ac:dyDescent="0.2">
      <c r="AI505" s="7" t="s">
        <v>308</v>
      </c>
    </row>
    <row r="506" spans="35:35" x14ac:dyDescent="0.2">
      <c r="AI506" s="7" t="s">
        <v>309</v>
      </c>
    </row>
    <row r="507" spans="35:35" x14ac:dyDescent="0.2">
      <c r="AI507" s="7" t="s">
        <v>310</v>
      </c>
    </row>
    <row r="508" spans="35:35" x14ac:dyDescent="0.2">
      <c r="AI508" s="7" t="s">
        <v>311</v>
      </c>
    </row>
    <row r="509" spans="35:35" x14ac:dyDescent="0.2">
      <c r="AI509" s="7" t="s">
        <v>312</v>
      </c>
    </row>
    <row r="510" spans="35:35" x14ac:dyDescent="0.2">
      <c r="AI510" s="7" t="s">
        <v>313</v>
      </c>
    </row>
    <row r="511" spans="35:35" x14ac:dyDescent="0.2">
      <c r="AI511" s="7" t="s">
        <v>314</v>
      </c>
    </row>
    <row r="512" spans="35:35" x14ac:dyDescent="0.2">
      <c r="AI512" s="7" t="s">
        <v>315</v>
      </c>
    </row>
    <row r="513" spans="35:38" x14ac:dyDescent="0.2">
      <c r="AI513" s="7" t="s">
        <v>316</v>
      </c>
    </row>
    <row r="514" spans="35:38" x14ac:dyDescent="0.2">
      <c r="AI514" s="7" t="s">
        <v>317</v>
      </c>
    </row>
    <row r="515" spans="35:38" x14ac:dyDescent="0.2">
      <c r="AI515" s="7" t="s">
        <v>318</v>
      </c>
    </row>
    <row r="516" spans="35:38" x14ac:dyDescent="0.2">
      <c r="AI516" s="7" t="s">
        <v>319</v>
      </c>
    </row>
    <row r="517" spans="35:38" x14ac:dyDescent="0.2">
      <c r="AI517" s="7" t="s">
        <v>320</v>
      </c>
    </row>
    <row r="518" spans="35:38" x14ac:dyDescent="0.2">
      <c r="AI518" s="7" t="s">
        <v>321</v>
      </c>
    </row>
    <row r="519" spans="35:38" x14ac:dyDescent="0.2">
      <c r="AI519" s="7" t="s">
        <v>322</v>
      </c>
      <c r="AL519" s="7"/>
    </row>
    <row r="520" spans="35:38" x14ac:dyDescent="0.2">
      <c r="AI520" s="7" t="s">
        <v>327</v>
      </c>
      <c r="AL520" s="7"/>
    </row>
    <row r="521" spans="35:38" x14ac:dyDescent="0.2">
      <c r="AI521" s="7" t="s">
        <v>323</v>
      </c>
      <c r="AL521" s="7"/>
    </row>
    <row r="522" spans="35:38" x14ac:dyDescent="0.2">
      <c r="AI522" s="7" t="s">
        <v>324</v>
      </c>
      <c r="AL522" s="7"/>
    </row>
    <row r="523" spans="35:38" x14ac:dyDescent="0.2">
      <c r="AI523" s="7" t="s">
        <v>325</v>
      </c>
      <c r="AL523" s="7"/>
    </row>
    <row r="524" spans="35:38" x14ac:dyDescent="0.2">
      <c r="AI524" s="7" t="s">
        <v>326</v>
      </c>
      <c r="AL524" s="7"/>
    </row>
    <row r="525" spans="35:38" x14ac:dyDescent="0.2">
      <c r="AI525" s="7" t="s">
        <v>328</v>
      </c>
      <c r="AL525" s="7"/>
    </row>
    <row r="526" spans="35:38" x14ac:dyDescent="0.2">
      <c r="AI526" s="7" t="s">
        <v>329</v>
      </c>
      <c r="AL526" s="7"/>
    </row>
    <row r="527" spans="35:38" x14ac:dyDescent="0.2">
      <c r="AI527" s="7" t="s">
        <v>330</v>
      </c>
      <c r="AL527" s="7"/>
    </row>
    <row r="528" spans="35:38" x14ac:dyDescent="0.2">
      <c r="AI528" s="7" t="s">
        <v>331</v>
      </c>
      <c r="AL528" s="7"/>
    </row>
    <row r="529" spans="35:38" x14ac:dyDescent="0.2">
      <c r="AI529" s="7" t="s">
        <v>332</v>
      </c>
      <c r="AL529" s="7"/>
    </row>
    <row r="530" spans="35:38" x14ac:dyDescent="0.2">
      <c r="AI530" s="7" t="s">
        <v>333</v>
      </c>
      <c r="AL530" s="7"/>
    </row>
    <row r="531" spans="35:38" x14ac:dyDescent="0.2">
      <c r="AI531" s="7" t="s">
        <v>334</v>
      </c>
      <c r="AL531" s="7"/>
    </row>
    <row r="532" spans="35:38" x14ac:dyDescent="0.2">
      <c r="AI532" s="7" t="s">
        <v>335</v>
      </c>
      <c r="AL532" s="7"/>
    </row>
    <row r="533" spans="35:38" x14ac:dyDescent="0.2">
      <c r="AI533" s="7" t="s">
        <v>336</v>
      </c>
      <c r="AL533" s="7"/>
    </row>
    <row r="534" spans="35:38" x14ac:dyDescent="0.2">
      <c r="AI534" s="7" t="s">
        <v>337</v>
      </c>
      <c r="AL534" s="7"/>
    </row>
    <row r="535" spans="35:38" x14ac:dyDescent="0.2">
      <c r="AI535" s="7" t="s">
        <v>338</v>
      </c>
      <c r="AL535" s="7"/>
    </row>
    <row r="536" spans="35:38" x14ac:dyDescent="0.2">
      <c r="AI536" s="7" t="s">
        <v>339</v>
      </c>
      <c r="AL536" s="7"/>
    </row>
    <row r="537" spans="35:38" x14ac:dyDescent="0.2">
      <c r="AI537" s="7" t="s">
        <v>340</v>
      </c>
      <c r="AL537" s="7"/>
    </row>
    <row r="538" spans="35:38" x14ac:dyDescent="0.2">
      <c r="AI538" s="7" t="s">
        <v>341</v>
      </c>
      <c r="AL538" s="7"/>
    </row>
    <row r="539" spans="35:38" x14ac:dyDescent="0.2">
      <c r="AI539" s="7" t="s">
        <v>342</v>
      </c>
      <c r="AL539" s="7"/>
    </row>
    <row r="540" spans="35:38" x14ac:dyDescent="0.2">
      <c r="AI540" s="7" t="s">
        <v>343</v>
      </c>
      <c r="AL540" s="7"/>
    </row>
    <row r="541" spans="35:38" x14ac:dyDescent="0.2">
      <c r="AI541" s="7" t="s">
        <v>344</v>
      </c>
      <c r="AL541" s="7"/>
    </row>
    <row r="542" spans="35:38" x14ac:dyDescent="0.2">
      <c r="AI542" s="7" t="s">
        <v>345</v>
      </c>
      <c r="AL542" s="7"/>
    </row>
    <row r="543" spans="35:38" x14ac:dyDescent="0.2">
      <c r="AI543" s="7" t="s">
        <v>346</v>
      </c>
      <c r="AL543" s="7"/>
    </row>
    <row r="544" spans="35:38" x14ac:dyDescent="0.2">
      <c r="AI544" s="7" t="s">
        <v>347</v>
      </c>
      <c r="AL544" s="7"/>
    </row>
    <row r="545" spans="35:38" x14ac:dyDescent="0.2">
      <c r="AI545" s="7" t="s">
        <v>348</v>
      </c>
      <c r="AL545" s="7"/>
    </row>
    <row r="546" spans="35:38" x14ac:dyDescent="0.2">
      <c r="AI546" s="7" t="s">
        <v>349</v>
      </c>
      <c r="AL546" s="7"/>
    </row>
    <row r="547" spans="35:38" x14ac:dyDescent="0.2">
      <c r="AI547" s="7" t="s">
        <v>350</v>
      </c>
      <c r="AL547" s="7"/>
    </row>
    <row r="548" spans="35:38" x14ac:dyDescent="0.2">
      <c r="AI548" s="7" t="s">
        <v>351</v>
      </c>
      <c r="AL548" s="7"/>
    </row>
    <row r="549" spans="35:38" x14ac:dyDescent="0.2">
      <c r="AI549" s="7" t="s">
        <v>352</v>
      </c>
      <c r="AL549" s="7"/>
    </row>
    <row r="550" spans="35:38" x14ac:dyDescent="0.2">
      <c r="AI550" s="7" t="s">
        <v>353</v>
      </c>
      <c r="AL550" s="7"/>
    </row>
  </sheetData>
  <autoFilter ref="A1:BF340" xr:uid="{4C5A04D9-8F98-4CED-9A1C-0EB1FD5244D8}">
    <filterColumn colId="14">
      <filters blank="1">
        <filter val="Direta"/>
        <filter val="Inversor"/>
        <filter val="Soft"/>
      </filters>
    </filterColumn>
    <sortState xmlns:xlrd2="http://schemas.microsoft.com/office/spreadsheetml/2017/richdata2" ref="A2:BF340">
      <sortCondition ref="C1:C340"/>
    </sortState>
  </autoFilter>
  <sortState xmlns:xlrd2="http://schemas.microsoft.com/office/spreadsheetml/2017/richdata2" ref="O355:P398">
    <sortCondition ref="O355:O398"/>
  </sortState>
  <mergeCells count="1">
    <mergeCell ref="D342:F342"/>
  </mergeCells>
  <phoneticPr fontId="14" type="noConversion"/>
  <conditionalFormatting sqref="S2:T340">
    <cfRule type="containsText" dxfId="0" priority="1" operator="containsText" text="Erro">
      <formula>NOT(ISERROR(SEARCH("Erro",S2)))</formula>
    </cfRule>
  </conditionalFormatting>
  <dataValidations count="13">
    <dataValidation type="list" allowBlank="1" showInputMessage="1" showErrorMessage="1" sqref="G2:M340 E2:E340" xr:uid="{00000000-0002-0000-0000-000001000000}">
      <formula1>$G$342:$G$343</formula1>
    </dataValidation>
    <dataValidation type="list" allowBlank="1" showInputMessage="1" showErrorMessage="1" sqref="AQ2:AQ340" xr:uid="{00000000-0002-0000-0000-000002000000}">
      <formula1>$O$368:$O$412</formula1>
    </dataValidation>
    <dataValidation type="decimal" allowBlank="1" showInputMessage="1" showErrorMessage="1" sqref="S2:S340" xr:uid="{F690B139-48CC-4F31-B7FE-D07944B86D01}">
      <formula1>0</formula1>
      <formula2>1</formula2>
    </dataValidation>
    <dataValidation type="decimal" allowBlank="1" showInputMessage="1" showErrorMessage="1" sqref="T2:T340" xr:uid="{9E507D55-DB20-4F8D-9D16-F0BB624B979B}">
      <formula1>0.01</formula1>
      <formula2>1</formula2>
    </dataValidation>
    <dataValidation type="list" allowBlank="1" showInputMessage="1" showErrorMessage="1" sqref="U2:U340" xr:uid="{64B8DE38-71EA-46C0-B226-0F0C190BF8EF}">
      <formula1>$U$343:$U$344</formula1>
    </dataValidation>
    <dataValidation type="list" allowBlank="1" showInputMessage="1" showErrorMessage="1" sqref="AI2:AI340" xr:uid="{3E28C3D1-A6EA-4DEB-9C8D-CFDA1DD745CB}">
      <formula1>$AI$343:$AI$550</formula1>
    </dataValidation>
    <dataValidation type="whole" allowBlank="1" showInputMessage="1" showErrorMessage="1" sqref="AH2:AH340 AN2:AN340 AK2:AK340" xr:uid="{6CC7A026-B046-4847-8440-10600132D136}">
      <formula1>0</formula1>
      <formula2>10000000</formula2>
    </dataValidation>
    <dataValidation type="list" allowBlank="1" showInputMessage="1" showErrorMessage="1" sqref="AL2:AL340" xr:uid="{189F18A5-06AB-4AAC-B84C-57EA22242FDD}">
      <formula1>$AL$343:$AL$452</formula1>
    </dataValidation>
    <dataValidation type="list" allowBlank="1" showInputMessage="1" showErrorMessage="1" sqref="AO2:AO340" xr:uid="{B5E8F20B-F309-41BE-8AC7-6E653C47DFA6}">
      <formula1>$AO$343:$AO$452</formula1>
    </dataValidation>
    <dataValidation type="list" allowBlank="1" showInputMessage="1" showErrorMessage="1" sqref="AU2:AU340" xr:uid="{A167C29D-9613-443C-85BB-C8AA62862D59}">
      <formula1>$AU$343:$AU$350</formula1>
    </dataValidation>
    <dataValidation type="list" allowBlank="1" showInputMessage="1" showErrorMessage="1" sqref="F2:F340" xr:uid="{00000000-0002-0000-0000-000003000000}">
      <formula1>$O$356:$O$358</formula1>
    </dataValidation>
    <dataValidation type="list" allowBlank="1" showInputMessage="1" showErrorMessage="1" sqref="O2:O340" xr:uid="{BDEA1BA1-8019-47E0-83B1-7413DA7019F3}">
      <formula1>$O$343:$O$352</formula1>
    </dataValidation>
    <dataValidation type="list" allowBlank="1" showInputMessage="1" showErrorMessage="1" sqref="AA2:AA340" xr:uid="{0F1E7FA7-94E8-4103-85B9-28F107A2EF46}">
      <formula1>$AA$342:$AA$355</formula1>
    </dataValidation>
  </dataValidations>
  <printOptions horizontalCentered="1" verticalCentered="1" gridLines="1"/>
  <pageMargins left="3.937007874015748E-2" right="3.937007874015748E-2" top="3.937007874015748E-2" bottom="3.937007874015748E-2" header="0" footer="0"/>
  <pageSetup paperSize="9" scale="14" fitToHeight="0" orientation="portrait" r:id="rId1"/>
  <headerFooter alignWithMargins="0">
    <oddFooter>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CEE71-AA7B-4A5C-BFE2-3A1971D1B00C}">
  <sheetPr codeName="Planilha2"/>
  <dimension ref="A1:U48"/>
  <sheetViews>
    <sheetView workbookViewId="0">
      <selection activeCell="C35" sqref="C35"/>
    </sheetView>
  </sheetViews>
  <sheetFormatPr defaultRowHeight="12.75" x14ac:dyDescent="0.2"/>
  <cols>
    <col min="1" max="1" width="4" bestFit="1" customWidth="1"/>
    <col min="2" max="2" width="20.140625" bestFit="1" customWidth="1"/>
    <col min="3" max="3" width="6.85546875" bestFit="1" customWidth="1"/>
    <col min="4" max="7" width="8.28515625" bestFit="1" customWidth="1"/>
    <col min="8" max="8" width="9.28515625" bestFit="1" customWidth="1"/>
    <col min="9" max="9" width="11.140625" bestFit="1" customWidth="1"/>
    <col min="10" max="10" width="3.5703125" bestFit="1" customWidth="1"/>
    <col min="11" max="11" width="5.5703125" bestFit="1" customWidth="1"/>
    <col min="12" max="12" width="8.85546875" bestFit="1" customWidth="1"/>
    <col min="13" max="13" width="6.7109375" bestFit="1" customWidth="1"/>
    <col min="14" max="14" width="4.42578125" bestFit="1" customWidth="1"/>
    <col min="15" max="15" width="4" bestFit="1" customWidth="1"/>
    <col min="16" max="16" width="9" bestFit="1" customWidth="1"/>
    <col min="17" max="17" width="4.42578125" bestFit="1" customWidth="1"/>
    <col min="19" max="19" width="13.140625" bestFit="1" customWidth="1"/>
    <col min="20" max="20" width="4.42578125" bestFit="1" customWidth="1"/>
    <col min="21" max="21" width="7" bestFit="1" customWidth="1"/>
  </cols>
  <sheetData>
    <row r="1" spans="1:21" x14ac:dyDescent="0.2">
      <c r="A1" t="s">
        <v>501</v>
      </c>
    </row>
    <row r="2" spans="1:21" x14ac:dyDescent="0.2">
      <c r="I2" s="46" t="s">
        <v>500</v>
      </c>
      <c r="R2" s="46" t="s">
        <v>499</v>
      </c>
    </row>
    <row r="3" spans="1:21" x14ac:dyDescent="0.2">
      <c r="E3" s="46" t="s">
        <v>488</v>
      </c>
      <c r="L3" s="46" t="s">
        <v>498</v>
      </c>
    </row>
    <row r="4" spans="1:21" x14ac:dyDescent="0.2">
      <c r="B4" s="46" t="s">
        <v>497</v>
      </c>
      <c r="D4" s="46" t="s">
        <v>495</v>
      </c>
      <c r="E4" s="46" t="s">
        <v>496</v>
      </c>
      <c r="F4" s="46" t="s">
        <v>495</v>
      </c>
      <c r="G4" s="46" t="s">
        <v>495</v>
      </c>
      <c r="H4" s="46" t="s">
        <v>494</v>
      </c>
      <c r="I4" s="46" t="s">
        <v>493</v>
      </c>
      <c r="K4" s="46" t="s">
        <v>492</v>
      </c>
      <c r="L4" s="46" t="s">
        <v>491</v>
      </c>
      <c r="M4" s="46" t="s">
        <v>490</v>
      </c>
      <c r="R4" s="46" t="s">
        <v>489</v>
      </c>
      <c r="U4" s="46" t="s">
        <v>488</v>
      </c>
    </row>
    <row r="5" spans="1:21" x14ac:dyDescent="0.2">
      <c r="C5" s="46" t="s">
        <v>86</v>
      </c>
      <c r="D5" s="46" t="s">
        <v>476</v>
      </c>
      <c r="E5" s="46" t="s">
        <v>487</v>
      </c>
      <c r="F5" s="46" t="s">
        <v>486</v>
      </c>
      <c r="G5" s="46" t="s">
        <v>485</v>
      </c>
      <c r="H5" s="46" t="s">
        <v>484</v>
      </c>
      <c r="I5" s="46" t="s">
        <v>483</v>
      </c>
      <c r="K5" s="46" t="s">
        <v>482</v>
      </c>
      <c r="L5" s="46" t="s">
        <v>481</v>
      </c>
      <c r="M5" s="46" t="s">
        <v>480</v>
      </c>
      <c r="N5" s="46" t="s">
        <v>479</v>
      </c>
      <c r="P5" s="46" t="s">
        <v>478</v>
      </c>
      <c r="S5" s="46" t="s">
        <v>477</v>
      </c>
      <c r="U5" s="46" t="s">
        <v>476</v>
      </c>
    </row>
    <row r="6" spans="1:21" x14ac:dyDescent="0.2">
      <c r="D6" s="46" t="s">
        <v>475</v>
      </c>
      <c r="F6" s="46" t="s">
        <v>474</v>
      </c>
      <c r="G6" s="46" t="s">
        <v>473</v>
      </c>
      <c r="H6" s="46" t="s">
        <v>472</v>
      </c>
    </row>
    <row r="7" spans="1:21" x14ac:dyDescent="0.2">
      <c r="A7" s="46" t="s">
        <v>471</v>
      </c>
      <c r="B7" s="46" t="s">
        <v>470</v>
      </c>
      <c r="E7" s="46" t="s">
        <v>469</v>
      </c>
      <c r="I7" s="46" t="s">
        <v>468</v>
      </c>
      <c r="J7" s="46" t="s">
        <v>467</v>
      </c>
      <c r="L7" s="46" t="s">
        <v>466</v>
      </c>
      <c r="O7" s="44">
        <v>50</v>
      </c>
      <c r="P7" s="44">
        <v>75</v>
      </c>
      <c r="Q7" s="44">
        <v>100</v>
      </c>
      <c r="R7" s="44">
        <v>50</v>
      </c>
      <c r="S7" s="44">
        <v>75</v>
      </c>
      <c r="T7" s="44">
        <v>100</v>
      </c>
      <c r="U7" s="46" t="s">
        <v>465</v>
      </c>
    </row>
    <row r="8" spans="1:21" x14ac:dyDescent="0.2">
      <c r="B8" s="46" t="s">
        <v>464</v>
      </c>
    </row>
    <row r="9" spans="1:21" x14ac:dyDescent="0.2">
      <c r="A9" s="45">
        <v>0.12</v>
      </c>
      <c r="B9" s="45">
        <v>0.16</v>
      </c>
      <c r="C9" s="44">
        <v>63</v>
      </c>
      <c r="D9" s="45">
        <v>6.8000000000000005E-2</v>
      </c>
      <c r="E9" s="45">
        <v>4.5999999999999996</v>
      </c>
      <c r="F9" s="45">
        <v>2.5</v>
      </c>
      <c r="G9" s="45">
        <v>3.2</v>
      </c>
      <c r="H9" s="45">
        <v>4.0000000000000002E-4</v>
      </c>
      <c r="I9" s="44">
        <v>37</v>
      </c>
      <c r="J9" s="44">
        <v>81</v>
      </c>
      <c r="K9" s="45">
        <v>6.2</v>
      </c>
      <c r="L9" s="44">
        <v>48</v>
      </c>
      <c r="M9" s="45">
        <v>1.1499999999999999</v>
      </c>
      <c r="N9" s="44">
        <v>1715</v>
      </c>
      <c r="O9" s="45">
        <v>50</v>
      </c>
      <c r="P9" s="45">
        <v>57</v>
      </c>
      <c r="Q9" s="45">
        <v>61</v>
      </c>
      <c r="R9" s="45">
        <v>0.44</v>
      </c>
      <c r="S9" s="45">
        <v>0.55000000000000004</v>
      </c>
      <c r="T9" s="45">
        <v>0.64</v>
      </c>
      <c r="U9" s="45">
        <v>0.80500000000000005</v>
      </c>
    </row>
    <row r="10" spans="1:21" x14ac:dyDescent="0.2">
      <c r="A10" s="45">
        <v>0.18</v>
      </c>
      <c r="B10" s="45">
        <v>0.25</v>
      </c>
      <c r="C10" s="44">
        <v>63</v>
      </c>
      <c r="D10" s="45">
        <v>0.10299999999999999</v>
      </c>
      <c r="E10" s="45">
        <v>4.7</v>
      </c>
      <c r="F10" s="45">
        <v>2.4</v>
      </c>
      <c r="G10" s="45">
        <v>2.9</v>
      </c>
      <c r="H10" s="45">
        <v>5.9999999999999995E-4</v>
      </c>
      <c r="I10" s="44">
        <v>29</v>
      </c>
      <c r="J10" s="44">
        <v>64</v>
      </c>
      <c r="K10" s="45">
        <v>7.2</v>
      </c>
      <c r="L10" s="44">
        <v>48</v>
      </c>
      <c r="M10" s="45">
        <v>1.1499999999999999</v>
      </c>
      <c r="N10" s="44">
        <v>1705</v>
      </c>
      <c r="O10" s="45">
        <v>57</v>
      </c>
      <c r="P10" s="45">
        <v>64</v>
      </c>
      <c r="Q10" s="45">
        <v>67</v>
      </c>
      <c r="R10" s="45">
        <v>0.47</v>
      </c>
      <c r="S10" s="45">
        <v>0.59</v>
      </c>
      <c r="T10" s="45">
        <v>0.68</v>
      </c>
      <c r="U10" s="45">
        <v>1.03</v>
      </c>
    </row>
    <row r="11" spans="1:21" x14ac:dyDescent="0.2">
      <c r="A11" s="45">
        <v>0.25</v>
      </c>
      <c r="B11" s="45">
        <v>0.33</v>
      </c>
      <c r="C11" s="44">
        <v>63</v>
      </c>
      <c r="D11" s="45">
        <v>0.14299999999999999</v>
      </c>
      <c r="E11" s="45">
        <v>5</v>
      </c>
      <c r="F11" s="45">
        <v>2.5499999999999998</v>
      </c>
      <c r="G11" s="45">
        <v>2.95</v>
      </c>
      <c r="H11" s="45">
        <v>6.9999999999999999E-4</v>
      </c>
      <c r="I11" s="44">
        <v>26</v>
      </c>
      <c r="J11" s="44">
        <v>57</v>
      </c>
      <c r="K11" s="45">
        <v>8.1999999999999993</v>
      </c>
      <c r="L11" s="44">
        <v>48</v>
      </c>
      <c r="M11" s="45">
        <v>1.1499999999999999</v>
      </c>
      <c r="N11" s="44">
        <v>1705</v>
      </c>
      <c r="O11" s="45">
        <v>62</v>
      </c>
      <c r="P11" s="45">
        <v>68</v>
      </c>
      <c r="Q11" s="45">
        <v>70</v>
      </c>
      <c r="R11" s="45">
        <v>0.47</v>
      </c>
      <c r="S11" s="45">
        <v>0.6</v>
      </c>
      <c r="T11" s="45">
        <v>0.69</v>
      </c>
      <c r="U11" s="45">
        <v>1.35</v>
      </c>
    </row>
    <row r="12" spans="1:21" x14ac:dyDescent="0.2">
      <c r="A12" s="45">
        <v>0.37</v>
      </c>
      <c r="B12" s="45">
        <v>0.5</v>
      </c>
      <c r="C12" s="44">
        <v>71</v>
      </c>
      <c r="D12" s="45">
        <v>0.21299999999999999</v>
      </c>
      <c r="E12" s="45">
        <v>5</v>
      </c>
      <c r="F12" s="45">
        <v>2.2000000000000002</v>
      </c>
      <c r="G12" s="45">
        <v>2.2999999999999998</v>
      </c>
      <c r="H12" s="45">
        <v>6.9999999999999999E-4</v>
      </c>
      <c r="I12" s="44">
        <v>20</v>
      </c>
      <c r="J12" s="44">
        <v>44</v>
      </c>
      <c r="K12" s="45">
        <v>8</v>
      </c>
      <c r="L12" s="44">
        <v>47</v>
      </c>
      <c r="M12" s="45">
        <v>1.1499999999999999</v>
      </c>
      <c r="N12" s="44">
        <v>1690</v>
      </c>
      <c r="O12" s="45">
        <v>63</v>
      </c>
      <c r="P12" s="45">
        <v>68</v>
      </c>
      <c r="Q12" s="45">
        <v>70</v>
      </c>
      <c r="R12" s="45">
        <v>0.45</v>
      </c>
      <c r="S12" s="45">
        <v>0.59</v>
      </c>
      <c r="T12" s="45">
        <v>0.69</v>
      </c>
      <c r="U12" s="45">
        <v>2</v>
      </c>
    </row>
    <row r="13" spans="1:21" x14ac:dyDescent="0.2">
      <c r="A13" s="45">
        <v>0.55000000000000004</v>
      </c>
      <c r="B13" s="45">
        <v>0.75</v>
      </c>
      <c r="C13" s="44">
        <v>71</v>
      </c>
      <c r="D13" s="45">
        <v>0.317</v>
      </c>
      <c r="E13" s="45">
        <v>5.3</v>
      </c>
      <c r="F13" s="45">
        <v>2.5</v>
      </c>
      <c r="G13" s="45">
        <v>2.5</v>
      </c>
      <c r="H13" s="45">
        <v>8.0000000000000004E-4</v>
      </c>
      <c r="I13" s="44">
        <v>14</v>
      </c>
      <c r="J13" s="44">
        <v>31</v>
      </c>
      <c r="K13" s="45">
        <v>11.5</v>
      </c>
      <c r="L13" s="44">
        <v>47</v>
      </c>
      <c r="M13" s="45">
        <v>1.1499999999999999</v>
      </c>
      <c r="N13" s="44">
        <v>1690</v>
      </c>
      <c r="O13" s="45">
        <v>67</v>
      </c>
      <c r="P13" s="45">
        <v>71</v>
      </c>
      <c r="Q13" s="45">
        <v>72</v>
      </c>
      <c r="R13" s="45">
        <v>0.44</v>
      </c>
      <c r="S13" s="45">
        <v>0.56000000000000005</v>
      </c>
      <c r="T13" s="45">
        <v>0.66</v>
      </c>
      <c r="U13" s="45">
        <v>2.95</v>
      </c>
    </row>
    <row r="14" spans="1:21" x14ac:dyDescent="0.2">
      <c r="A14" s="45">
        <v>0.75</v>
      </c>
      <c r="B14" s="44">
        <v>1</v>
      </c>
      <c r="C14" s="44">
        <v>80</v>
      </c>
      <c r="D14" s="45">
        <v>0.42199999999999999</v>
      </c>
      <c r="E14" s="45">
        <v>6.6</v>
      </c>
      <c r="F14" s="45">
        <v>2.4</v>
      </c>
      <c r="G14" s="45">
        <v>2.8</v>
      </c>
      <c r="H14" s="45">
        <v>3.2000000000000002E-3</v>
      </c>
      <c r="I14" s="44">
        <v>8</v>
      </c>
      <c r="J14" s="44">
        <v>18</v>
      </c>
      <c r="K14" s="45">
        <v>12.5</v>
      </c>
      <c r="L14" s="44">
        <v>48</v>
      </c>
      <c r="M14" s="45">
        <v>1.1499999999999999</v>
      </c>
      <c r="N14" s="44">
        <v>1730</v>
      </c>
      <c r="O14" s="45">
        <v>75.5</v>
      </c>
      <c r="P14" s="45">
        <v>79</v>
      </c>
      <c r="Q14" s="45">
        <v>80.5</v>
      </c>
      <c r="R14" s="45">
        <v>0.56999999999999995</v>
      </c>
      <c r="S14" s="45">
        <v>0.71</v>
      </c>
      <c r="T14" s="45">
        <v>0.81</v>
      </c>
      <c r="U14" s="45">
        <v>3.02</v>
      </c>
    </row>
    <row r="15" spans="1:21" x14ac:dyDescent="0.2">
      <c r="A15" s="45">
        <v>1.1000000000000001</v>
      </c>
      <c r="B15" s="45">
        <v>1.5</v>
      </c>
      <c r="C15" s="44">
        <v>80</v>
      </c>
      <c r="D15" s="45">
        <v>0.625</v>
      </c>
      <c r="E15" s="45">
        <v>6.8</v>
      </c>
      <c r="F15" s="45">
        <v>3.15</v>
      </c>
      <c r="G15" s="44">
        <v>3</v>
      </c>
      <c r="H15" s="45">
        <v>3.2000000000000002E-3</v>
      </c>
      <c r="I15" s="44">
        <v>11</v>
      </c>
      <c r="J15" s="44">
        <v>24</v>
      </c>
      <c r="K15" s="45">
        <v>14.5</v>
      </c>
      <c r="L15" s="44">
        <v>48</v>
      </c>
      <c r="M15" s="45">
        <v>1.1499999999999999</v>
      </c>
      <c r="N15" s="44">
        <v>1715</v>
      </c>
      <c r="O15" s="45">
        <v>78</v>
      </c>
      <c r="P15" s="45">
        <v>81</v>
      </c>
      <c r="Q15" s="45">
        <v>81.599999999999994</v>
      </c>
      <c r="R15" s="45">
        <v>0.57999999999999996</v>
      </c>
      <c r="S15" s="45">
        <v>0.71</v>
      </c>
      <c r="T15" s="45">
        <v>0.79</v>
      </c>
      <c r="U15" s="45">
        <v>4.4800000000000004</v>
      </c>
    </row>
    <row r="16" spans="1:21" x14ac:dyDescent="0.2">
      <c r="A16" s="45">
        <v>1.5</v>
      </c>
      <c r="B16" s="44">
        <v>2</v>
      </c>
      <c r="C16" s="46" t="s">
        <v>55</v>
      </c>
      <c r="D16" s="45">
        <v>0.83499999999999996</v>
      </c>
      <c r="E16" s="45">
        <v>7.1</v>
      </c>
      <c r="F16" s="45">
        <v>2.2000000000000002</v>
      </c>
      <c r="G16" s="44">
        <v>3</v>
      </c>
      <c r="H16" s="45">
        <v>4.8999999999999998E-3</v>
      </c>
      <c r="I16" s="44">
        <v>11</v>
      </c>
      <c r="J16" s="44">
        <v>24</v>
      </c>
      <c r="K16" s="45">
        <v>18.5</v>
      </c>
      <c r="L16" s="44">
        <v>51</v>
      </c>
      <c r="M16" s="45">
        <v>1.1499999999999999</v>
      </c>
      <c r="N16" s="44">
        <v>1750</v>
      </c>
      <c r="O16" s="45">
        <v>81</v>
      </c>
      <c r="P16" s="45">
        <v>83.5</v>
      </c>
      <c r="Q16" s="45">
        <v>84.2</v>
      </c>
      <c r="R16" s="45">
        <v>0.56999999999999995</v>
      </c>
      <c r="S16" s="45">
        <v>0.7</v>
      </c>
      <c r="T16" s="45">
        <v>0.78</v>
      </c>
      <c r="U16" s="45">
        <v>5.98</v>
      </c>
    </row>
    <row r="17" spans="1:21" x14ac:dyDescent="0.2">
      <c r="A17" s="45">
        <v>2.2000000000000002</v>
      </c>
      <c r="B17" s="44">
        <v>3</v>
      </c>
      <c r="C17" s="46" t="s">
        <v>56</v>
      </c>
      <c r="D17" s="45">
        <v>1.24</v>
      </c>
      <c r="E17" s="45">
        <v>6.5</v>
      </c>
      <c r="F17" s="45">
        <v>1.95</v>
      </c>
      <c r="G17" s="45">
        <v>2.5</v>
      </c>
      <c r="H17" s="45">
        <v>6.3E-3</v>
      </c>
      <c r="I17" s="44">
        <v>10</v>
      </c>
      <c r="J17" s="44">
        <v>22</v>
      </c>
      <c r="K17" s="45">
        <v>23</v>
      </c>
      <c r="L17" s="44">
        <v>51</v>
      </c>
      <c r="M17" s="45">
        <v>1.1499999999999999</v>
      </c>
      <c r="N17" s="44">
        <v>1735</v>
      </c>
      <c r="O17" s="45">
        <v>83.8</v>
      </c>
      <c r="P17" s="45">
        <v>84.8</v>
      </c>
      <c r="Q17" s="45">
        <v>85.1</v>
      </c>
      <c r="R17" s="45">
        <v>0.64</v>
      </c>
      <c r="S17" s="45">
        <v>0.76</v>
      </c>
      <c r="T17" s="45">
        <v>0.83</v>
      </c>
      <c r="U17" s="45">
        <v>8.18</v>
      </c>
    </row>
    <row r="18" spans="1:21" x14ac:dyDescent="0.2">
      <c r="A18" s="44">
        <v>3</v>
      </c>
      <c r="B18" s="44">
        <v>4</v>
      </c>
      <c r="C18" s="46" t="s">
        <v>57</v>
      </c>
      <c r="D18" s="45">
        <v>1.7</v>
      </c>
      <c r="E18" s="45">
        <v>6.4</v>
      </c>
      <c r="F18" s="45">
        <v>2.7</v>
      </c>
      <c r="G18" s="45">
        <v>2.9</v>
      </c>
      <c r="H18" s="45">
        <v>1.0500000000000001E-2</v>
      </c>
      <c r="I18" s="44">
        <v>8</v>
      </c>
      <c r="J18" s="44">
        <v>18</v>
      </c>
      <c r="K18" s="45">
        <v>30</v>
      </c>
      <c r="L18" s="44">
        <v>54</v>
      </c>
      <c r="M18" s="45">
        <v>1.1499999999999999</v>
      </c>
      <c r="N18" s="44">
        <v>1715</v>
      </c>
      <c r="O18" s="45">
        <v>85.6</v>
      </c>
      <c r="P18" s="45">
        <v>86.3</v>
      </c>
      <c r="Q18" s="45">
        <v>86.5</v>
      </c>
      <c r="R18" s="45">
        <v>0.63</v>
      </c>
      <c r="S18" s="45">
        <v>0.75</v>
      </c>
      <c r="T18" s="45">
        <v>0.82</v>
      </c>
      <c r="U18" s="45">
        <v>11.1</v>
      </c>
    </row>
    <row r="19" spans="1:21" x14ac:dyDescent="0.2">
      <c r="A19" s="45">
        <v>3.7</v>
      </c>
      <c r="B19" s="44">
        <v>5</v>
      </c>
      <c r="C19" s="46" t="s">
        <v>57</v>
      </c>
      <c r="D19" s="45">
        <v>2.08</v>
      </c>
      <c r="E19" s="45">
        <v>8</v>
      </c>
      <c r="F19" s="44">
        <v>3</v>
      </c>
      <c r="G19" s="45">
        <v>3.6</v>
      </c>
      <c r="H19" s="45">
        <v>9.7000000000000003E-3</v>
      </c>
      <c r="I19" s="44">
        <v>11</v>
      </c>
      <c r="J19" s="44">
        <v>24</v>
      </c>
      <c r="K19" s="45">
        <v>34</v>
      </c>
      <c r="L19" s="44">
        <v>54</v>
      </c>
      <c r="M19" s="45">
        <v>1.1499999999999999</v>
      </c>
      <c r="N19" s="44">
        <v>1735</v>
      </c>
      <c r="O19" s="45">
        <v>85</v>
      </c>
      <c r="P19" s="45">
        <v>87</v>
      </c>
      <c r="Q19" s="45">
        <v>88</v>
      </c>
      <c r="R19" s="45">
        <v>0.59</v>
      </c>
      <c r="S19" s="45">
        <v>0.72</v>
      </c>
      <c r="T19" s="45">
        <v>0.8</v>
      </c>
      <c r="U19" s="45">
        <v>13.7</v>
      </c>
    </row>
    <row r="20" spans="1:21" x14ac:dyDescent="0.2">
      <c r="A20" s="45">
        <v>4.5</v>
      </c>
      <c r="B20" s="44">
        <v>6</v>
      </c>
      <c r="C20" s="46" t="s">
        <v>58</v>
      </c>
      <c r="D20" s="45">
        <v>2.52</v>
      </c>
      <c r="E20" s="45">
        <v>6.2</v>
      </c>
      <c r="F20" s="45">
        <v>2.1</v>
      </c>
      <c r="G20" s="45">
        <v>2.75</v>
      </c>
      <c r="H20" s="45">
        <v>1.7999999999999999E-2</v>
      </c>
      <c r="I20" s="44">
        <v>18</v>
      </c>
      <c r="J20" s="44">
        <v>40</v>
      </c>
      <c r="K20" s="45">
        <v>42</v>
      </c>
      <c r="L20" s="44">
        <v>56</v>
      </c>
      <c r="M20" s="45">
        <v>1.1499999999999999</v>
      </c>
      <c r="N20" s="44">
        <v>1740</v>
      </c>
      <c r="O20" s="45">
        <v>88</v>
      </c>
      <c r="P20" s="45">
        <v>88.5</v>
      </c>
      <c r="Q20" s="45">
        <v>88.5</v>
      </c>
      <c r="R20" s="45">
        <v>0.62</v>
      </c>
      <c r="S20" s="45">
        <v>0.74</v>
      </c>
      <c r="T20" s="45">
        <v>0.81</v>
      </c>
      <c r="U20" s="45">
        <v>16.600000000000001</v>
      </c>
    </row>
    <row r="21" spans="1:21" x14ac:dyDescent="0.2">
      <c r="A21" s="45">
        <v>5.5</v>
      </c>
      <c r="B21" s="45">
        <v>7.5</v>
      </c>
      <c r="C21" s="46" t="s">
        <v>58</v>
      </c>
      <c r="D21" s="45">
        <v>3.08</v>
      </c>
      <c r="E21" s="45">
        <v>6.3</v>
      </c>
      <c r="F21" s="45">
        <v>2.1</v>
      </c>
      <c r="G21" s="45">
        <v>2.7</v>
      </c>
      <c r="H21" s="45">
        <v>1.7999999999999999E-2</v>
      </c>
      <c r="I21" s="44">
        <v>16</v>
      </c>
      <c r="J21" s="44">
        <v>35</v>
      </c>
      <c r="K21" s="45">
        <v>44</v>
      </c>
      <c r="L21" s="44">
        <v>56</v>
      </c>
      <c r="M21" s="45">
        <v>1.1499999999999999</v>
      </c>
      <c r="N21" s="44">
        <v>1740</v>
      </c>
      <c r="O21" s="45">
        <v>88.4</v>
      </c>
      <c r="P21" s="45">
        <v>89.1</v>
      </c>
      <c r="Q21" s="45">
        <v>90</v>
      </c>
      <c r="R21" s="45">
        <v>0.59</v>
      </c>
      <c r="S21" s="45">
        <v>0.72</v>
      </c>
      <c r="T21" s="45">
        <v>0.79</v>
      </c>
      <c r="U21" s="45">
        <v>20.2</v>
      </c>
    </row>
    <row r="22" spans="1:21" x14ac:dyDescent="0.2">
      <c r="A22" s="45">
        <v>7.5</v>
      </c>
      <c r="B22" s="44">
        <v>10</v>
      </c>
      <c r="C22" s="46" t="s">
        <v>59</v>
      </c>
      <c r="D22" s="45">
        <v>4.1500000000000004</v>
      </c>
      <c r="E22" s="45">
        <v>7.9</v>
      </c>
      <c r="F22" s="44">
        <v>2</v>
      </c>
      <c r="G22" s="45">
        <v>3.2</v>
      </c>
      <c r="H22" s="45">
        <v>4.8899999999999999E-2</v>
      </c>
      <c r="I22" s="44">
        <v>12</v>
      </c>
      <c r="J22" s="44">
        <v>26</v>
      </c>
      <c r="K22" s="45">
        <v>68</v>
      </c>
      <c r="L22" s="44">
        <v>58</v>
      </c>
      <c r="M22" s="45">
        <v>1.1499999999999999</v>
      </c>
      <c r="N22" s="44">
        <v>1760</v>
      </c>
      <c r="O22" s="45">
        <v>90</v>
      </c>
      <c r="P22" s="45">
        <v>90.8</v>
      </c>
      <c r="Q22" s="45">
        <v>91</v>
      </c>
      <c r="R22" s="45">
        <v>0.66</v>
      </c>
      <c r="S22" s="45">
        <v>0.78</v>
      </c>
      <c r="T22" s="45">
        <v>0.84</v>
      </c>
      <c r="U22" s="45">
        <v>25.8</v>
      </c>
    </row>
    <row r="23" spans="1:21" x14ac:dyDescent="0.2">
      <c r="A23" s="45">
        <v>9.1999999999999993</v>
      </c>
      <c r="B23" s="45">
        <v>12.5</v>
      </c>
      <c r="C23" s="46" t="s">
        <v>60</v>
      </c>
      <c r="D23" s="45">
        <v>5.09</v>
      </c>
      <c r="E23" s="45">
        <v>8</v>
      </c>
      <c r="F23" s="45">
        <v>2.0499999999999998</v>
      </c>
      <c r="G23" s="45">
        <v>3.1</v>
      </c>
      <c r="H23" s="45">
        <v>5.6300000000000003E-2</v>
      </c>
      <c r="I23" s="44">
        <v>10</v>
      </c>
      <c r="J23" s="44">
        <v>22</v>
      </c>
      <c r="K23" s="45">
        <v>75</v>
      </c>
      <c r="L23" s="44">
        <v>58</v>
      </c>
      <c r="M23" s="45">
        <v>1.1499999999999999</v>
      </c>
      <c r="N23" s="44">
        <v>1760</v>
      </c>
      <c r="O23" s="45">
        <v>90</v>
      </c>
      <c r="P23" s="45">
        <v>90.8</v>
      </c>
      <c r="Q23" s="45">
        <v>91</v>
      </c>
      <c r="R23" s="45">
        <v>0.67</v>
      </c>
      <c r="S23" s="45">
        <v>0.79</v>
      </c>
      <c r="T23" s="45">
        <v>0.84</v>
      </c>
      <c r="U23" s="45">
        <v>31.4</v>
      </c>
    </row>
    <row r="24" spans="1:21" x14ac:dyDescent="0.2">
      <c r="A24" s="44">
        <v>11</v>
      </c>
      <c r="B24" s="44">
        <v>15</v>
      </c>
      <c r="C24" s="46" t="s">
        <v>69</v>
      </c>
      <c r="D24" s="45">
        <v>6.09</v>
      </c>
      <c r="E24" s="45">
        <v>8.1999999999999993</v>
      </c>
      <c r="F24" s="45">
        <v>2.15</v>
      </c>
      <c r="G24" s="45">
        <v>3.2</v>
      </c>
      <c r="H24" s="45">
        <v>6.3799999999999996E-2</v>
      </c>
      <c r="I24" s="44">
        <v>8</v>
      </c>
      <c r="J24" s="44">
        <v>18</v>
      </c>
      <c r="K24" s="45">
        <v>78</v>
      </c>
      <c r="L24" s="44">
        <v>58</v>
      </c>
      <c r="M24" s="45">
        <v>1.1499999999999999</v>
      </c>
      <c r="N24" s="44">
        <v>1760</v>
      </c>
      <c r="O24" s="45">
        <v>90.5</v>
      </c>
      <c r="P24" s="45">
        <v>91.2</v>
      </c>
      <c r="Q24" s="45">
        <v>91.7</v>
      </c>
      <c r="R24" s="45">
        <v>0.67</v>
      </c>
      <c r="S24" s="45">
        <v>0.79</v>
      </c>
      <c r="T24" s="45">
        <v>0.85</v>
      </c>
      <c r="U24" s="45">
        <v>37.200000000000003</v>
      </c>
    </row>
    <row r="25" spans="1:21" x14ac:dyDescent="0.2">
      <c r="A25" s="44">
        <v>15</v>
      </c>
      <c r="B25" s="44">
        <v>20</v>
      </c>
      <c r="C25" s="46" t="s">
        <v>61</v>
      </c>
      <c r="D25" s="45">
        <v>8.23</v>
      </c>
      <c r="E25" s="45">
        <v>6.8</v>
      </c>
      <c r="F25" s="45">
        <v>2.7</v>
      </c>
      <c r="G25" s="44">
        <v>3</v>
      </c>
      <c r="H25" s="45">
        <v>0.1188</v>
      </c>
      <c r="I25" s="44">
        <v>11</v>
      </c>
      <c r="J25" s="44">
        <v>24</v>
      </c>
      <c r="K25" s="44">
        <v>120</v>
      </c>
      <c r="L25" s="44">
        <v>64</v>
      </c>
      <c r="M25" s="45">
        <v>1.1499999999999999</v>
      </c>
      <c r="N25" s="44">
        <v>1775</v>
      </c>
      <c r="O25" s="45">
        <v>91</v>
      </c>
      <c r="P25" s="45">
        <v>92.4</v>
      </c>
      <c r="Q25" s="45">
        <v>92.4</v>
      </c>
      <c r="R25" s="45">
        <v>0.64</v>
      </c>
      <c r="S25" s="45">
        <v>0.75</v>
      </c>
      <c r="T25" s="45">
        <v>0.81</v>
      </c>
      <c r="U25" s="45">
        <v>52.6</v>
      </c>
    </row>
    <row r="26" spans="1:21" x14ac:dyDescent="0.2">
      <c r="A26" s="45">
        <v>18.5</v>
      </c>
      <c r="B26" s="44">
        <v>25</v>
      </c>
      <c r="C26" s="46" t="s">
        <v>70</v>
      </c>
      <c r="D26" s="45">
        <v>10.199999999999999</v>
      </c>
      <c r="E26" s="45">
        <v>6.8</v>
      </c>
      <c r="F26" s="45">
        <v>2.7</v>
      </c>
      <c r="G26" s="44">
        <v>3</v>
      </c>
      <c r="H26" s="45">
        <v>0.13969999999999999</v>
      </c>
      <c r="I26" s="44">
        <v>10</v>
      </c>
      <c r="J26" s="44">
        <v>22</v>
      </c>
      <c r="K26" s="44">
        <v>135</v>
      </c>
      <c r="L26" s="44">
        <v>64</v>
      </c>
      <c r="M26" s="45">
        <v>1.1499999999999999</v>
      </c>
      <c r="N26" s="44">
        <v>1765</v>
      </c>
      <c r="O26" s="45">
        <v>92</v>
      </c>
      <c r="P26" s="45">
        <v>92.8</v>
      </c>
      <c r="Q26" s="45">
        <v>92.8</v>
      </c>
      <c r="R26" s="45">
        <v>0.64</v>
      </c>
      <c r="S26" s="45">
        <v>0.75</v>
      </c>
      <c r="T26" s="45">
        <v>0.81</v>
      </c>
      <c r="U26" s="45">
        <v>64.599999999999994</v>
      </c>
    </row>
    <row r="27" spans="1:21" x14ac:dyDescent="0.2">
      <c r="A27" s="44">
        <v>22</v>
      </c>
      <c r="B27" s="44">
        <v>30</v>
      </c>
      <c r="C27" s="46" t="s">
        <v>62</v>
      </c>
      <c r="D27" s="45">
        <v>12.1</v>
      </c>
      <c r="E27" s="45">
        <v>6.4</v>
      </c>
      <c r="F27" s="45">
        <v>2.2999999999999998</v>
      </c>
      <c r="G27" s="45">
        <v>2.7</v>
      </c>
      <c r="H27" s="45">
        <v>0.16569999999999999</v>
      </c>
      <c r="I27" s="44">
        <v>19</v>
      </c>
      <c r="J27" s="44">
        <v>42</v>
      </c>
      <c r="K27" s="44">
        <v>168</v>
      </c>
      <c r="L27" s="44">
        <v>64</v>
      </c>
      <c r="M27" s="45">
        <v>1.1499999999999999</v>
      </c>
      <c r="N27" s="44">
        <v>1765</v>
      </c>
      <c r="O27" s="45">
        <v>92.5</v>
      </c>
      <c r="P27" s="45">
        <v>92.8</v>
      </c>
      <c r="Q27" s="45">
        <v>93</v>
      </c>
      <c r="R27" s="45">
        <v>0.71</v>
      </c>
      <c r="S27" s="45">
        <v>0.81</v>
      </c>
      <c r="T27" s="45">
        <v>0.84</v>
      </c>
      <c r="U27" s="45">
        <v>74</v>
      </c>
    </row>
    <row r="28" spans="1:21" x14ac:dyDescent="0.2">
      <c r="A28" s="44">
        <v>30</v>
      </c>
      <c r="B28" s="44">
        <v>40</v>
      </c>
      <c r="C28" s="46" t="s">
        <v>72</v>
      </c>
      <c r="D28" s="45">
        <v>16.5</v>
      </c>
      <c r="E28" s="45">
        <v>6.2</v>
      </c>
      <c r="F28" s="44">
        <v>2</v>
      </c>
      <c r="G28" s="45">
        <v>2.2999999999999998</v>
      </c>
      <c r="H28" s="45">
        <v>0.24060000000000001</v>
      </c>
      <c r="I28" s="44">
        <v>18</v>
      </c>
      <c r="J28" s="44">
        <v>40</v>
      </c>
      <c r="K28" s="44">
        <v>195</v>
      </c>
      <c r="L28" s="44">
        <v>68</v>
      </c>
      <c r="M28" s="45">
        <v>1.1499999999999999</v>
      </c>
      <c r="N28" s="44">
        <v>1770</v>
      </c>
      <c r="O28" s="45">
        <v>92.7</v>
      </c>
      <c r="P28" s="45">
        <v>93.2</v>
      </c>
      <c r="Q28" s="45">
        <v>93.4</v>
      </c>
      <c r="R28" s="45">
        <v>0.72</v>
      </c>
      <c r="S28" s="45">
        <v>0.81</v>
      </c>
      <c r="T28" s="45">
        <v>0.85</v>
      </c>
      <c r="U28" s="45">
        <v>99.2</v>
      </c>
    </row>
    <row r="29" spans="1:21" x14ac:dyDescent="0.2">
      <c r="A29" s="44">
        <v>37</v>
      </c>
      <c r="B29" s="44">
        <v>50</v>
      </c>
      <c r="C29" s="46" t="s">
        <v>73</v>
      </c>
      <c r="D29" s="45">
        <v>20.399999999999999</v>
      </c>
      <c r="E29" s="45">
        <v>6.2</v>
      </c>
      <c r="F29" s="45">
        <v>2.5</v>
      </c>
      <c r="G29" s="45">
        <v>2.6</v>
      </c>
      <c r="H29" s="45">
        <v>0.30740000000000001</v>
      </c>
      <c r="I29" s="44">
        <v>14</v>
      </c>
      <c r="J29" s="44">
        <v>31</v>
      </c>
      <c r="K29" s="44">
        <v>227</v>
      </c>
      <c r="L29" s="44">
        <v>68</v>
      </c>
      <c r="M29" s="45">
        <v>1.1499999999999999</v>
      </c>
      <c r="N29" s="44">
        <v>1770</v>
      </c>
      <c r="O29" s="45">
        <v>93</v>
      </c>
      <c r="P29" s="45">
        <v>93.2</v>
      </c>
      <c r="Q29" s="45">
        <v>93.6</v>
      </c>
      <c r="R29" s="45">
        <v>0.72</v>
      </c>
      <c r="S29" s="45">
        <v>0.8</v>
      </c>
      <c r="T29" s="45">
        <v>0.85</v>
      </c>
      <c r="U29" s="44">
        <v>122</v>
      </c>
    </row>
    <row r="30" spans="1:21" x14ac:dyDescent="0.2">
      <c r="A30" s="44">
        <v>45</v>
      </c>
      <c r="B30" s="44">
        <v>60</v>
      </c>
      <c r="C30" s="46" t="s">
        <v>74</v>
      </c>
      <c r="D30" s="45">
        <v>24.7</v>
      </c>
      <c r="E30" s="45">
        <v>7.2</v>
      </c>
      <c r="F30" s="45">
        <v>2.4</v>
      </c>
      <c r="G30" s="45">
        <v>2.6</v>
      </c>
      <c r="H30" s="45">
        <v>0.49309999999999998</v>
      </c>
      <c r="I30" s="44">
        <v>12</v>
      </c>
      <c r="J30" s="44">
        <v>26</v>
      </c>
      <c r="K30" s="44">
        <v>367</v>
      </c>
      <c r="L30" s="44">
        <v>70</v>
      </c>
      <c r="M30" s="45">
        <v>1.1499999999999999</v>
      </c>
      <c r="N30" s="44">
        <v>1775</v>
      </c>
      <c r="O30" s="45">
        <v>93.5</v>
      </c>
      <c r="P30" s="45">
        <v>93.7</v>
      </c>
      <c r="Q30" s="45">
        <v>94.1</v>
      </c>
      <c r="R30" s="45">
        <v>0.76</v>
      </c>
      <c r="S30" s="45">
        <v>0.83</v>
      </c>
      <c r="T30" s="45">
        <v>0.86</v>
      </c>
      <c r="U30" s="44">
        <v>146</v>
      </c>
    </row>
    <row r="31" spans="1:21" x14ac:dyDescent="0.2">
      <c r="A31" s="44">
        <v>55</v>
      </c>
      <c r="B31" s="44">
        <v>75</v>
      </c>
      <c r="C31" s="46" t="s">
        <v>74</v>
      </c>
      <c r="D31" s="45">
        <v>30.2</v>
      </c>
      <c r="E31" s="45">
        <v>7.2</v>
      </c>
      <c r="F31" s="45">
        <v>2.4</v>
      </c>
      <c r="G31" s="45">
        <v>2.6</v>
      </c>
      <c r="H31" s="45">
        <v>0.56699999999999995</v>
      </c>
      <c r="I31" s="44">
        <v>12</v>
      </c>
      <c r="J31" s="44">
        <v>26</v>
      </c>
      <c r="K31" s="44">
        <v>386</v>
      </c>
      <c r="L31" s="44">
        <v>70</v>
      </c>
      <c r="M31" s="45">
        <v>1.1499999999999999</v>
      </c>
      <c r="N31" s="44">
        <v>1775</v>
      </c>
      <c r="O31" s="45">
        <v>93.9</v>
      </c>
      <c r="P31" s="45">
        <v>94.2</v>
      </c>
      <c r="Q31" s="45">
        <v>94.4</v>
      </c>
      <c r="R31" s="45">
        <v>0.77</v>
      </c>
      <c r="S31" s="45">
        <v>0.84</v>
      </c>
      <c r="T31" s="45">
        <v>0.87</v>
      </c>
      <c r="U31" s="44">
        <v>176</v>
      </c>
    </row>
    <row r="32" spans="1:21" x14ac:dyDescent="0.2">
      <c r="A32" s="44">
        <v>75</v>
      </c>
      <c r="B32" s="44">
        <v>100</v>
      </c>
      <c r="C32" s="46" t="s">
        <v>75</v>
      </c>
      <c r="D32" s="45">
        <v>41.2</v>
      </c>
      <c r="E32" s="45">
        <v>7.2</v>
      </c>
      <c r="F32" s="45">
        <v>2.4</v>
      </c>
      <c r="G32" s="45">
        <v>2.8</v>
      </c>
      <c r="H32" s="45">
        <v>0.874</v>
      </c>
      <c r="I32" s="44">
        <v>12</v>
      </c>
      <c r="J32" s="44">
        <v>26</v>
      </c>
      <c r="K32" s="44">
        <v>470</v>
      </c>
      <c r="L32" s="44">
        <v>70</v>
      </c>
      <c r="M32" s="45">
        <v>1.1499999999999999</v>
      </c>
      <c r="N32" s="44">
        <v>1775</v>
      </c>
      <c r="O32" s="45">
        <v>94</v>
      </c>
      <c r="P32" s="45">
        <v>94.5</v>
      </c>
      <c r="Q32" s="45">
        <v>94.6</v>
      </c>
      <c r="R32" s="45">
        <v>0.74</v>
      </c>
      <c r="S32" s="45">
        <v>0.83</v>
      </c>
      <c r="T32" s="45">
        <v>0.87</v>
      </c>
      <c r="U32" s="44">
        <v>240</v>
      </c>
    </row>
    <row r="33" spans="1:21" x14ac:dyDescent="0.2">
      <c r="A33" s="44">
        <v>90</v>
      </c>
      <c r="B33" s="44">
        <v>125</v>
      </c>
      <c r="C33" s="46" t="s">
        <v>76</v>
      </c>
      <c r="D33" s="45">
        <v>49.1</v>
      </c>
      <c r="E33" s="45">
        <v>7.2</v>
      </c>
      <c r="F33" s="45">
        <v>2.1</v>
      </c>
      <c r="G33" s="45">
        <v>2.6</v>
      </c>
      <c r="H33" s="45">
        <v>1.56</v>
      </c>
      <c r="I33" s="44">
        <v>20</v>
      </c>
      <c r="J33" s="44">
        <v>44</v>
      </c>
      <c r="K33" s="44">
        <v>636</v>
      </c>
      <c r="L33" s="44">
        <v>73</v>
      </c>
      <c r="M33" s="45">
        <v>1.1499999999999999</v>
      </c>
      <c r="N33" s="44">
        <v>1785</v>
      </c>
      <c r="O33" s="45">
        <v>94</v>
      </c>
      <c r="P33" s="45">
        <v>94.8</v>
      </c>
      <c r="Q33" s="45">
        <v>94.9</v>
      </c>
      <c r="R33" s="45">
        <v>0.73</v>
      </c>
      <c r="S33" s="45">
        <v>0.82</v>
      </c>
      <c r="T33" s="45">
        <v>0.85</v>
      </c>
      <c r="U33" s="44">
        <v>292</v>
      </c>
    </row>
    <row r="34" spans="1:21" x14ac:dyDescent="0.2">
      <c r="A34" s="44">
        <v>110</v>
      </c>
      <c r="B34" s="44">
        <v>150</v>
      </c>
      <c r="C34" s="46" t="s">
        <v>76</v>
      </c>
      <c r="D34" s="45">
        <v>60</v>
      </c>
      <c r="E34" s="45">
        <v>7.3</v>
      </c>
      <c r="F34" s="45">
        <v>2.1</v>
      </c>
      <c r="G34" s="45">
        <v>2.6</v>
      </c>
      <c r="H34" s="45">
        <v>1.87</v>
      </c>
      <c r="I34" s="44">
        <v>18</v>
      </c>
      <c r="J34" s="44">
        <v>40</v>
      </c>
      <c r="K34" s="44">
        <v>684</v>
      </c>
      <c r="L34" s="44">
        <v>73</v>
      </c>
      <c r="M34" s="45">
        <v>1.1499999999999999</v>
      </c>
      <c r="N34" s="44">
        <v>1785</v>
      </c>
      <c r="O34" s="45">
        <v>94.3</v>
      </c>
      <c r="P34" s="45">
        <v>94.8</v>
      </c>
      <c r="Q34" s="45">
        <v>95.2</v>
      </c>
      <c r="R34" s="45">
        <v>0.75</v>
      </c>
      <c r="S34" s="45">
        <v>0.83</v>
      </c>
      <c r="T34" s="45">
        <v>0.86</v>
      </c>
      <c r="U34" s="44">
        <v>352</v>
      </c>
    </row>
    <row r="35" spans="1:21" x14ac:dyDescent="0.2">
      <c r="A35" s="44">
        <v>132</v>
      </c>
      <c r="B35" s="44">
        <v>175</v>
      </c>
      <c r="C35" s="46" t="s">
        <v>77</v>
      </c>
      <c r="D35" s="45">
        <v>71.8</v>
      </c>
      <c r="E35" s="45">
        <v>7.1</v>
      </c>
      <c r="F35" s="45">
        <v>2.1</v>
      </c>
      <c r="G35" s="45">
        <v>2.4</v>
      </c>
      <c r="H35" s="45">
        <v>2.57</v>
      </c>
      <c r="I35" s="44">
        <v>18</v>
      </c>
      <c r="J35" s="44">
        <v>40</v>
      </c>
      <c r="K35" s="44">
        <v>903</v>
      </c>
      <c r="L35" s="44">
        <v>75</v>
      </c>
      <c r="M35" s="45">
        <v>1.1499999999999999</v>
      </c>
      <c r="N35" s="44">
        <v>1790</v>
      </c>
      <c r="O35" s="45">
        <v>94</v>
      </c>
      <c r="P35" s="45">
        <v>95</v>
      </c>
      <c r="Q35" s="45">
        <v>95.3</v>
      </c>
      <c r="R35" s="45">
        <v>0.74</v>
      </c>
      <c r="S35" s="45">
        <v>0.82</v>
      </c>
      <c r="T35" s="45">
        <v>0.85</v>
      </c>
      <c r="U35" s="44">
        <v>428</v>
      </c>
    </row>
    <row r="36" spans="1:21" x14ac:dyDescent="0.2">
      <c r="A36" s="44">
        <v>150</v>
      </c>
      <c r="B36" s="44">
        <v>200</v>
      </c>
      <c r="C36" s="46" t="s">
        <v>77</v>
      </c>
      <c r="D36" s="45">
        <v>81.599999999999994</v>
      </c>
      <c r="E36" s="45">
        <v>7</v>
      </c>
      <c r="F36" s="45">
        <v>2.2000000000000002</v>
      </c>
      <c r="G36" s="45">
        <v>2.2999999999999998</v>
      </c>
      <c r="H36" s="45">
        <v>2.89</v>
      </c>
      <c r="I36" s="44">
        <v>20</v>
      </c>
      <c r="J36" s="44">
        <v>44</v>
      </c>
      <c r="K36" s="44">
        <v>947</v>
      </c>
      <c r="L36" s="44">
        <v>75</v>
      </c>
      <c r="M36" s="45">
        <v>1.1499999999999999</v>
      </c>
      <c r="N36" s="44">
        <v>1790</v>
      </c>
      <c r="O36" s="45">
        <v>94.5</v>
      </c>
      <c r="P36" s="45">
        <v>95.5</v>
      </c>
      <c r="Q36" s="45">
        <v>95.5</v>
      </c>
      <c r="R36" s="45">
        <v>0.75</v>
      </c>
      <c r="S36" s="45">
        <v>0.83</v>
      </c>
      <c r="T36" s="45">
        <v>0.86</v>
      </c>
      <c r="U36" s="44">
        <v>480</v>
      </c>
    </row>
    <row r="37" spans="1:21" x14ac:dyDescent="0.2">
      <c r="A37" s="44">
        <v>185</v>
      </c>
      <c r="B37" s="44">
        <v>250</v>
      </c>
      <c r="C37" s="46" t="s">
        <v>77</v>
      </c>
      <c r="D37" s="44">
        <v>101</v>
      </c>
      <c r="E37" s="45">
        <v>7</v>
      </c>
      <c r="F37" s="45">
        <v>2.2000000000000002</v>
      </c>
      <c r="G37" s="45">
        <v>2.2999999999999998</v>
      </c>
      <c r="H37" s="45">
        <v>3.44</v>
      </c>
      <c r="I37" s="44">
        <v>18</v>
      </c>
      <c r="J37" s="44">
        <v>40</v>
      </c>
      <c r="K37" s="44">
        <v>1018</v>
      </c>
      <c r="L37" s="44">
        <v>75</v>
      </c>
      <c r="M37" s="45">
        <v>1.1499999999999999</v>
      </c>
      <c r="N37" s="44">
        <v>1790</v>
      </c>
      <c r="O37" s="45">
        <v>95</v>
      </c>
      <c r="P37" s="45">
        <v>95.5</v>
      </c>
      <c r="Q37" s="45">
        <v>95.7</v>
      </c>
      <c r="R37" s="45">
        <v>0.77</v>
      </c>
      <c r="S37" s="45">
        <v>0.84</v>
      </c>
      <c r="T37" s="45">
        <v>0.87</v>
      </c>
      <c r="U37" s="44">
        <v>584</v>
      </c>
    </row>
    <row r="38" spans="1:21" x14ac:dyDescent="0.2">
      <c r="A38" s="44">
        <v>200</v>
      </c>
      <c r="B38" s="44">
        <v>270</v>
      </c>
      <c r="C38" s="46" t="s">
        <v>78</v>
      </c>
      <c r="D38" s="44">
        <v>109</v>
      </c>
      <c r="E38" s="45">
        <v>7</v>
      </c>
      <c r="F38" s="45">
        <v>2.2000000000000002</v>
      </c>
      <c r="G38" s="45">
        <v>2.2000000000000002</v>
      </c>
      <c r="H38" s="45">
        <v>4.88</v>
      </c>
      <c r="I38" s="44">
        <v>20</v>
      </c>
      <c r="J38" s="44">
        <v>44</v>
      </c>
      <c r="K38" s="44">
        <v>1291</v>
      </c>
      <c r="L38" s="44">
        <v>81</v>
      </c>
      <c r="M38" s="45">
        <v>1.1499999999999999</v>
      </c>
      <c r="N38" s="44">
        <v>1790</v>
      </c>
      <c r="O38" s="45">
        <v>94.8</v>
      </c>
      <c r="P38" s="45">
        <v>95.6</v>
      </c>
      <c r="Q38" s="45">
        <v>95.8</v>
      </c>
      <c r="R38" s="45">
        <v>0.77</v>
      </c>
      <c r="S38" s="45">
        <v>0.84</v>
      </c>
      <c r="T38" s="45">
        <v>0.86</v>
      </c>
      <c r="U38" s="44">
        <v>638</v>
      </c>
    </row>
    <row r="39" spans="1:21" x14ac:dyDescent="0.2">
      <c r="A39" s="44">
        <v>220</v>
      </c>
      <c r="B39" s="44">
        <v>300</v>
      </c>
      <c r="C39" s="46" t="s">
        <v>78</v>
      </c>
      <c r="D39" s="44">
        <v>120</v>
      </c>
      <c r="E39" s="45">
        <v>7.2</v>
      </c>
      <c r="F39" s="45">
        <v>2.2000000000000002</v>
      </c>
      <c r="G39" s="45">
        <v>2.2999999999999998</v>
      </c>
      <c r="H39" s="45">
        <v>5.42</v>
      </c>
      <c r="I39" s="44">
        <v>23</v>
      </c>
      <c r="J39" s="44">
        <v>51</v>
      </c>
      <c r="K39" s="44">
        <v>1350</v>
      </c>
      <c r="L39" s="44">
        <v>81</v>
      </c>
      <c r="M39" s="45">
        <v>1.1499999999999999</v>
      </c>
      <c r="N39" s="44">
        <v>1790</v>
      </c>
      <c r="O39" s="45">
        <v>95.2</v>
      </c>
      <c r="P39" s="45">
        <v>95.8</v>
      </c>
      <c r="Q39" s="45">
        <v>95.9</v>
      </c>
      <c r="R39" s="45">
        <v>0.77</v>
      </c>
      <c r="S39" s="45">
        <v>0.84</v>
      </c>
      <c r="T39" s="45">
        <v>0.86</v>
      </c>
      <c r="U39" s="44">
        <v>700</v>
      </c>
    </row>
    <row r="40" spans="1:21" x14ac:dyDescent="0.2">
      <c r="A40" s="44">
        <v>260</v>
      </c>
      <c r="B40" s="44">
        <v>350</v>
      </c>
      <c r="C40" s="46" t="s">
        <v>78</v>
      </c>
      <c r="D40" s="44">
        <v>141</v>
      </c>
      <c r="E40" s="45">
        <v>7.3</v>
      </c>
      <c r="F40" s="44">
        <v>2</v>
      </c>
      <c r="G40" s="45">
        <v>2.2000000000000002</v>
      </c>
      <c r="H40" s="45">
        <v>6.3</v>
      </c>
      <c r="I40" s="44">
        <v>15</v>
      </c>
      <c r="J40" s="44">
        <v>33</v>
      </c>
      <c r="K40" s="44">
        <v>1431</v>
      </c>
      <c r="L40" s="44">
        <v>81</v>
      </c>
      <c r="M40" s="45">
        <v>1.1499999999999999</v>
      </c>
      <c r="N40" s="44">
        <v>1790</v>
      </c>
      <c r="O40" s="45">
        <v>95.4</v>
      </c>
      <c r="P40" s="45">
        <v>96</v>
      </c>
      <c r="Q40" s="45">
        <v>96</v>
      </c>
      <c r="R40" s="45">
        <v>0.77</v>
      </c>
      <c r="S40" s="45">
        <v>0.84</v>
      </c>
      <c r="T40" s="45">
        <v>0.87</v>
      </c>
      <c r="U40" s="44">
        <v>816</v>
      </c>
    </row>
    <row r="41" spans="1:21" x14ac:dyDescent="0.2">
      <c r="A41" s="44">
        <v>300</v>
      </c>
      <c r="B41" s="44">
        <v>400</v>
      </c>
      <c r="C41" s="46" t="s">
        <v>78</v>
      </c>
      <c r="D41" s="44">
        <v>163</v>
      </c>
      <c r="E41" s="45">
        <v>7</v>
      </c>
      <c r="F41" s="45">
        <v>2.4</v>
      </c>
      <c r="G41" s="45">
        <v>2.2999999999999998</v>
      </c>
      <c r="H41" s="45">
        <v>7.2</v>
      </c>
      <c r="I41" s="44">
        <v>14</v>
      </c>
      <c r="J41" s="44">
        <v>31</v>
      </c>
      <c r="K41" s="44">
        <v>1527</v>
      </c>
      <c r="L41" s="44">
        <v>81</v>
      </c>
      <c r="M41" s="45">
        <v>1.1499999999999999</v>
      </c>
      <c r="N41" s="44">
        <v>1790</v>
      </c>
      <c r="O41" s="45">
        <v>95.7</v>
      </c>
      <c r="P41" s="45">
        <v>96.1</v>
      </c>
      <c r="Q41" s="45">
        <v>96.1</v>
      </c>
      <c r="R41" s="45">
        <v>0.77</v>
      </c>
      <c r="S41" s="45">
        <v>0.84</v>
      </c>
      <c r="T41" s="45">
        <v>0.87</v>
      </c>
      <c r="U41" s="44">
        <v>942</v>
      </c>
    </row>
    <row r="42" spans="1:21" x14ac:dyDescent="0.2">
      <c r="A42" s="44">
        <v>330</v>
      </c>
      <c r="B42" s="44">
        <v>450</v>
      </c>
      <c r="C42" s="46" t="s">
        <v>78</v>
      </c>
      <c r="D42" s="44">
        <v>180</v>
      </c>
      <c r="E42" s="45">
        <v>7</v>
      </c>
      <c r="F42" s="45">
        <v>2.1</v>
      </c>
      <c r="G42" s="45">
        <v>2.2999999999999998</v>
      </c>
      <c r="H42" s="45">
        <v>8.61</v>
      </c>
      <c r="I42" s="44">
        <v>19</v>
      </c>
      <c r="J42" s="44">
        <v>42</v>
      </c>
      <c r="K42" s="44">
        <v>1662</v>
      </c>
      <c r="L42" s="44">
        <v>81</v>
      </c>
      <c r="M42" s="45">
        <v>1.1499999999999999</v>
      </c>
      <c r="N42" s="44">
        <v>1790</v>
      </c>
      <c r="O42" s="45">
        <v>96</v>
      </c>
      <c r="P42" s="45">
        <v>96.1</v>
      </c>
      <c r="Q42" s="45">
        <v>96.2</v>
      </c>
      <c r="R42" s="45">
        <v>0.77</v>
      </c>
      <c r="S42" s="45">
        <v>0.83</v>
      </c>
      <c r="T42" s="45">
        <v>0.86</v>
      </c>
      <c r="U42" s="44">
        <v>1050</v>
      </c>
    </row>
    <row r="43" spans="1:21" x14ac:dyDescent="0.2">
      <c r="A43" s="44">
        <v>370</v>
      </c>
      <c r="B43" s="44">
        <v>500</v>
      </c>
      <c r="C43" s="46" t="s">
        <v>78</v>
      </c>
      <c r="D43" s="44">
        <v>201</v>
      </c>
      <c r="E43" s="45">
        <v>7.6</v>
      </c>
      <c r="F43" s="45">
        <v>2.6</v>
      </c>
      <c r="G43" s="45">
        <v>2.6</v>
      </c>
      <c r="H43" s="45">
        <v>10.199999999999999</v>
      </c>
      <c r="I43" s="44">
        <v>12</v>
      </c>
      <c r="J43" s="44">
        <v>26</v>
      </c>
      <c r="K43" s="44">
        <v>1833</v>
      </c>
      <c r="L43" s="44">
        <v>81</v>
      </c>
      <c r="M43" s="45">
        <v>1.1499999999999999</v>
      </c>
      <c r="N43" s="44">
        <v>1790</v>
      </c>
      <c r="O43" s="45">
        <v>96</v>
      </c>
      <c r="P43" s="45">
        <v>96.1</v>
      </c>
      <c r="Q43" s="45">
        <v>96.3</v>
      </c>
      <c r="R43" s="45">
        <v>0.75</v>
      </c>
      <c r="S43" s="45">
        <v>0.82</v>
      </c>
      <c r="T43" s="45">
        <v>0.85</v>
      </c>
      <c r="U43" s="44">
        <v>1190</v>
      </c>
    </row>
    <row r="44" spans="1:21" x14ac:dyDescent="0.2">
      <c r="A44" s="44">
        <v>400</v>
      </c>
      <c r="B44" s="44">
        <v>550</v>
      </c>
      <c r="C44" s="46" t="s">
        <v>78</v>
      </c>
      <c r="D44" s="44">
        <v>218</v>
      </c>
      <c r="E44" s="45">
        <v>7.3</v>
      </c>
      <c r="F44" s="45">
        <v>2.5</v>
      </c>
      <c r="G44" s="45">
        <v>2.6</v>
      </c>
      <c r="H44" s="45">
        <v>11.1</v>
      </c>
      <c r="I44" s="44">
        <v>14</v>
      </c>
      <c r="J44" s="44">
        <v>31</v>
      </c>
      <c r="K44" s="44">
        <v>1916</v>
      </c>
      <c r="L44" s="44">
        <v>81</v>
      </c>
      <c r="M44" s="45">
        <v>1.1499999999999999</v>
      </c>
      <c r="N44" s="44">
        <v>1790</v>
      </c>
      <c r="O44" s="45">
        <v>96.1</v>
      </c>
      <c r="P44" s="45">
        <v>96.4</v>
      </c>
      <c r="Q44" s="45">
        <v>96.4</v>
      </c>
      <c r="R44" s="45">
        <v>0.74</v>
      </c>
      <c r="S44" s="45">
        <v>0.82</v>
      </c>
      <c r="T44" s="45">
        <v>0.86</v>
      </c>
      <c r="U44" s="44">
        <v>1270</v>
      </c>
    </row>
    <row r="45" spans="1:21" x14ac:dyDescent="0.2">
      <c r="A45" s="44">
        <v>440</v>
      </c>
      <c r="B45" s="44">
        <v>600</v>
      </c>
      <c r="C45" s="46" t="s">
        <v>78</v>
      </c>
      <c r="D45" s="44">
        <v>239</v>
      </c>
      <c r="E45" s="45">
        <v>7.1</v>
      </c>
      <c r="F45" s="45">
        <v>2.2000000000000002</v>
      </c>
      <c r="G45" s="45">
        <v>2.5</v>
      </c>
      <c r="H45" s="45">
        <v>11.6</v>
      </c>
      <c r="I45" s="44">
        <v>16</v>
      </c>
      <c r="J45" s="44">
        <v>35</v>
      </c>
      <c r="K45" s="44">
        <v>1966</v>
      </c>
      <c r="L45" s="44">
        <v>81</v>
      </c>
      <c r="M45" s="45">
        <v>1.1499999999999999</v>
      </c>
      <c r="N45" s="44">
        <v>1790</v>
      </c>
      <c r="O45" s="45">
        <v>96.2</v>
      </c>
      <c r="P45" s="45">
        <v>96.4</v>
      </c>
      <c r="Q45" s="45">
        <v>96.5</v>
      </c>
      <c r="R45" s="45">
        <v>0.74</v>
      </c>
      <c r="S45" s="45">
        <v>0.82</v>
      </c>
      <c r="T45" s="45">
        <v>0.86</v>
      </c>
      <c r="U45" s="44">
        <v>1430</v>
      </c>
    </row>
    <row r="46" spans="1:21" x14ac:dyDescent="0.2">
      <c r="A46" s="44">
        <v>480</v>
      </c>
      <c r="B46" s="44">
        <v>650</v>
      </c>
      <c r="C46" s="46" t="s">
        <v>79</v>
      </c>
      <c r="D46" s="44">
        <v>261</v>
      </c>
      <c r="E46" s="45">
        <v>7.4</v>
      </c>
      <c r="F46" s="45">
        <v>2.5</v>
      </c>
      <c r="G46" s="45">
        <v>2.7</v>
      </c>
      <c r="H46" s="45">
        <v>12.7</v>
      </c>
      <c r="I46" s="44">
        <v>22</v>
      </c>
      <c r="J46" s="44">
        <v>48</v>
      </c>
      <c r="K46" s="44">
        <v>1993</v>
      </c>
      <c r="L46" s="44">
        <v>81</v>
      </c>
      <c r="M46" s="45">
        <v>1</v>
      </c>
      <c r="N46" s="44">
        <v>1790</v>
      </c>
      <c r="O46" s="45">
        <v>96</v>
      </c>
      <c r="P46" s="45">
        <v>96.5</v>
      </c>
      <c r="Q46" s="45">
        <v>96.6</v>
      </c>
      <c r="R46" s="45">
        <v>0.71</v>
      </c>
      <c r="S46" s="45">
        <v>0.81</v>
      </c>
      <c r="T46" s="45">
        <v>0.85</v>
      </c>
      <c r="U46" s="44">
        <v>1530</v>
      </c>
    </row>
    <row r="47" spans="1:21" x14ac:dyDescent="0.2">
      <c r="A47" s="44">
        <v>515</v>
      </c>
      <c r="B47" s="44">
        <v>700</v>
      </c>
      <c r="C47" s="46" t="s">
        <v>79</v>
      </c>
      <c r="D47" s="44">
        <v>280</v>
      </c>
      <c r="E47" s="45">
        <v>7.4</v>
      </c>
      <c r="F47" s="45">
        <v>2.6</v>
      </c>
      <c r="G47" s="45">
        <v>2.7</v>
      </c>
      <c r="H47" s="45">
        <v>13.4</v>
      </c>
      <c r="I47" s="44">
        <v>26</v>
      </c>
      <c r="J47" s="44">
        <v>57</v>
      </c>
      <c r="K47" s="44">
        <v>2079</v>
      </c>
      <c r="L47" s="44">
        <v>81</v>
      </c>
      <c r="M47" s="45">
        <v>1</v>
      </c>
      <c r="N47" s="44">
        <v>1790</v>
      </c>
      <c r="O47" s="45">
        <v>96.2</v>
      </c>
      <c r="P47" s="45">
        <v>96.5</v>
      </c>
      <c r="Q47" s="45">
        <v>96.6</v>
      </c>
      <c r="R47" s="45">
        <v>0.71</v>
      </c>
      <c r="S47" s="45">
        <v>0.81</v>
      </c>
      <c r="T47" s="45">
        <v>0.85</v>
      </c>
      <c r="U47" s="44">
        <v>1650</v>
      </c>
    </row>
    <row r="48" spans="1:21" x14ac:dyDescent="0.2">
      <c r="A48" s="44">
        <v>550</v>
      </c>
      <c r="B48" s="44">
        <v>750</v>
      </c>
      <c r="C48" s="46" t="s">
        <v>79</v>
      </c>
      <c r="D48" s="44">
        <v>299</v>
      </c>
      <c r="E48" s="45">
        <v>7.6</v>
      </c>
      <c r="F48" s="45">
        <v>2.7</v>
      </c>
      <c r="G48" s="45">
        <v>2.7</v>
      </c>
      <c r="H48" s="45">
        <v>14.6</v>
      </c>
      <c r="I48" s="44">
        <v>22</v>
      </c>
      <c r="J48" s="44">
        <v>48</v>
      </c>
      <c r="K48" s="44">
        <v>2246</v>
      </c>
      <c r="L48" s="44">
        <v>81</v>
      </c>
      <c r="M48" s="45">
        <v>1</v>
      </c>
      <c r="N48" s="44">
        <v>1790</v>
      </c>
      <c r="O48" s="45">
        <v>96.3</v>
      </c>
      <c r="P48" s="45">
        <v>96.6</v>
      </c>
      <c r="Q48" s="45">
        <v>96.7</v>
      </c>
      <c r="R48" s="45">
        <v>0.7</v>
      </c>
      <c r="S48" s="45">
        <v>0.8</v>
      </c>
      <c r="T48" s="45">
        <v>0.85</v>
      </c>
      <c r="U48" s="44">
        <v>1760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FD7D2-01C2-447A-9F3E-B6604ADB59F8}">
  <sheetPr codeName="Planilha3"/>
  <dimension ref="A1:X27"/>
  <sheetViews>
    <sheetView topLeftCell="F1" workbookViewId="0">
      <selection activeCell="K12" sqref="K12"/>
    </sheetView>
  </sheetViews>
  <sheetFormatPr defaultRowHeight="12.75" x14ac:dyDescent="0.2"/>
  <cols>
    <col min="1" max="1" width="40.5703125" bestFit="1" customWidth="1"/>
    <col min="2" max="2" width="29.28515625" bestFit="1" customWidth="1"/>
    <col min="4" max="4" width="18.7109375" bestFit="1" customWidth="1"/>
    <col min="5" max="5" width="31.140625" bestFit="1" customWidth="1"/>
    <col min="7" max="7" width="39" bestFit="1" customWidth="1"/>
    <col min="8" max="8" width="30" bestFit="1" customWidth="1"/>
    <col min="10" max="10" width="18.7109375" bestFit="1" customWidth="1"/>
    <col min="11" max="11" width="14.85546875" bestFit="1" customWidth="1"/>
    <col min="13" max="13" width="40.5703125" bestFit="1" customWidth="1"/>
    <col min="14" max="14" width="23.140625" bestFit="1" customWidth="1"/>
    <col min="15" max="15" width="8.85546875" style="141" bestFit="1" customWidth="1"/>
    <col min="16" max="16" width="9.140625" style="141"/>
    <col min="17" max="17" width="10" style="141" customWidth="1"/>
    <col min="18" max="18" width="39" bestFit="1" customWidth="1"/>
    <col min="19" max="19" width="31.28515625" bestFit="1" customWidth="1"/>
    <col min="20" max="20" width="7.7109375" bestFit="1" customWidth="1"/>
    <col min="21" max="21" width="6.7109375" bestFit="1" customWidth="1"/>
    <col min="22" max="22" width="5.28515625" customWidth="1"/>
    <col min="23" max="23" width="18.7109375" bestFit="1" customWidth="1"/>
    <col min="24" max="24" width="16" bestFit="1" customWidth="1"/>
  </cols>
  <sheetData>
    <row r="1" spans="1:24" x14ac:dyDescent="0.2">
      <c r="J1" s="143" t="s">
        <v>1101</v>
      </c>
      <c r="K1" s="143"/>
      <c r="M1" s="143" t="s">
        <v>1084</v>
      </c>
      <c r="N1" s="143"/>
      <c r="R1" s="143" t="s">
        <v>1086</v>
      </c>
      <c r="S1" s="143"/>
      <c r="T1" s="140"/>
      <c r="U1" s="140"/>
      <c r="V1" s="140"/>
      <c r="W1" s="143" t="s">
        <v>1100</v>
      </c>
      <c r="X1" s="143"/>
    </row>
    <row r="2" spans="1:24" x14ac:dyDescent="0.2">
      <c r="A2" s="26" t="s">
        <v>47</v>
      </c>
      <c r="B2" t="s">
        <v>436</v>
      </c>
      <c r="D2" s="26" t="s">
        <v>47</v>
      </c>
      <c r="E2" t="s">
        <v>437</v>
      </c>
      <c r="G2" s="26" t="s">
        <v>47</v>
      </c>
      <c r="H2" t="s">
        <v>438</v>
      </c>
      <c r="J2" s="26" t="s">
        <v>47</v>
      </c>
      <c r="K2" t="s">
        <v>1082</v>
      </c>
      <c r="M2" s="26" t="s">
        <v>47</v>
      </c>
      <c r="N2" t="s">
        <v>1083</v>
      </c>
      <c r="O2" s="141" t="s">
        <v>1088</v>
      </c>
      <c r="P2" s="141" t="s">
        <v>1087</v>
      </c>
      <c r="R2" s="26" t="s">
        <v>47</v>
      </c>
      <c r="S2" t="s">
        <v>1085</v>
      </c>
      <c r="T2" s="141" t="s">
        <v>1088</v>
      </c>
      <c r="U2" s="141" t="s">
        <v>1087</v>
      </c>
      <c r="V2" s="141"/>
      <c r="W2" s="26" t="s">
        <v>47</v>
      </c>
      <c r="X2" t="s">
        <v>1099</v>
      </c>
    </row>
    <row r="3" spans="1:24" x14ac:dyDescent="0.2">
      <c r="A3" s="27" t="s">
        <v>54</v>
      </c>
      <c r="B3">
        <v>0</v>
      </c>
      <c r="D3" s="27" t="s">
        <v>54</v>
      </c>
      <c r="E3">
        <v>0</v>
      </c>
      <c r="G3" s="27" t="s">
        <v>54</v>
      </c>
      <c r="H3">
        <v>0</v>
      </c>
      <c r="J3" s="27" t="s">
        <v>82</v>
      </c>
      <c r="K3">
        <v>68</v>
      </c>
      <c r="M3" s="27" t="s">
        <v>1061</v>
      </c>
      <c r="N3">
        <v>27</v>
      </c>
      <c r="O3" s="141" t="s">
        <v>1089</v>
      </c>
      <c r="P3" s="141">
        <f>N3*2</f>
        <v>54</v>
      </c>
      <c r="R3" s="27" t="s">
        <v>1048</v>
      </c>
      <c r="S3">
        <v>8</v>
      </c>
      <c r="T3" s="141" t="s">
        <v>1089</v>
      </c>
      <c r="U3" s="141">
        <f>$S$3*2</f>
        <v>16</v>
      </c>
      <c r="V3" s="141"/>
      <c r="W3" s="27" t="s">
        <v>454</v>
      </c>
      <c r="X3">
        <v>304</v>
      </c>
    </row>
    <row r="4" spans="1:24" x14ac:dyDescent="0.2">
      <c r="A4" s="27" t="s">
        <v>1046</v>
      </c>
      <c r="B4">
        <v>3420</v>
      </c>
      <c r="D4" s="27" t="s">
        <v>118</v>
      </c>
      <c r="E4">
        <v>0</v>
      </c>
      <c r="G4" s="27" t="s">
        <v>1047</v>
      </c>
      <c r="H4">
        <v>2980</v>
      </c>
      <c r="J4" s="27" t="s">
        <v>83</v>
      </c>
      <c r="K4">
        <v>41</v>
      </c>
      <c r="M4" s="27" t="s">
        <v>1065</v>
      </c>
      <c r="N4">
        <v>6</v>
      </c>
      <c r="O4" s="141" t="s">
        <v>1090</v>
      </c>
      <c r="P4" s="141">
        <f t="shared" ref="P4:P11" si="0">N4*2</f>
        <v>12</v>
      </c>
      <c r="R4" s="27" t="s">
        <v>1051</v>
      </c>
      <c r="S4">
        <v>6</v>
      </c>
      <c r="T4" s="141" t="s">
        <v>1090</v>
      </c>
      <c r="U4" s="141">
        <f>$S$4*2</f>
        <v>12</v>
      </c>
      <c r="V4" s="141"/>
      <c r="W4" s="27" t="s">
        <v>1089</v>
      </c>
      <c r="X4">
        <v>70</v>
      </c>
    </row>
    <row r="5" spans="1:24" x14ac:dyDescent="0.2">
      <c r="A5" s="27" t="s">
        <v>1049</v>
      </c>
      <c r="B5">
        <v>300</v>
      </c>
      <c r="D5" s="27" t="s">
        <v>48</v>
      </c>
      <c r="E5">
        <v>0</v>
      </c>
      <c r="G5" s="27" t="s">
        <v>1048</v>
      </c>
      <c r="H5">
        <v>570</v>
      </c>
      <c r="J5" s="27" t="s">
        <v>85</v>
      </c>
      <c r="K5">
        <v>9</v>
      </c>
      <c r="M5" s="27" t="s">
        <v>1049</v>
      </c>
      <c r="N5">
        <v>15</v>
      </c>
      <c r="O5" s="141" t="s">
        <v>1091</v>
      </c>
      <c r="P5" s="141">
        <f t="shared" si="0"/>
        <v>30</v>
      </c>
      <c r="R5" s="27" t="s">
        <v>1050</v>
      </c>
      <c r="S5">
        <v>1</v>
      </c>
      <c r="T5" s="141" t="s">
        <v>1091</v>
      </c>
      <c r="U5" s="141">
        <f>$S$5*2</f>
        <v>2</v>
      </c>
      <c r="V5" s="141"/>
      <c r="W5" s="27" t="s">
        <v>1090</v>
      </c>
      <c r="X5">
        <v>24</v>
      </c>
    </row>
    <row r="6" spans="1:24" x14ac:dyDescent="0.2">
      <c r="A6" s="27" t="s">
        <v>1052</v>
      </c>
      <c r="B6">
        <v>5520</v>
      </c>
      <c r="G6" s="27" t="s">
        <v>1050</v>
      </c>
      <c r="H6">
        <v>20</v>
      </c>
      <c r="J6" s="27" t="s">
        <v>49</v>
      </c>
      <c r="K6">
        <v>36</v>
      </c>
      <c r="M6" s="27" t="s">
        <v>1046</v>
      </c>
      <c r="N6">
        <v>171</v>
      </c>
      <c r="O6" s="141" t="s">
        <v>1092</v>
      </c>
      <c r="P6" s="141">
        <f t="shared" si="0"/>
        <v>342</v>
      </c>
      <c r="R6" s="27" t="s">
        <v>1047</v>
      </c>
      <c r="S6">
        <v>33</v>
      </c>
      <c r="T6" s="141" t="s">
        <v>1092</v>
      </c>
      <c r="U6" s="141">
        <f>$S$6*2</f>
        <v>66</v>
      </c>
      <c r="V6" s="141"/>
      <c r="W6" s="27" t="s">
        <v>455</v>
      </c>
      <c r="X6">
        <v>248</v>
      </c>
    </row>
    <row r="7" spans="1:24" x14ac:dyDescent="0.2">
      <c r="A7" s="27" t="s">
        <v>1054</v>
      </c>
      <c r="B7">
        <v>8080</v>
      </c>
      <c r="G7" s="27" t="s">
        <v>1051</v>
      </c>
      <c r="H7">
        <v>120</v>
      </c>
      <c r="J7" s="27" t="s">
        <v>81</v>
      </c>
      <c r="K7">
        <v>128</v>
      </c>
      <c r="M7" s="27" t="s">
        <v>1060</v>
      </c>
      <c r="N7">
        <v>15</v>
      </c>
      <c r="O7" s="141" t="s">
        <v>456</v>
      </c>
      <c r="P7" s="141">
        <f t="shared" si="0"/>
        <v>30</v>
      </c>
      <c r="R7" s="27" t="s">
        <v>1059</v>
      </c>
      <c r="S7">
        <v>12</v>
      </c>
      <c r="T7" s="141" t="s">
        <v>1096</v>
      </c>
      <c r="U7" s="141">
        <f>$S$7*2</f>
        <v>24</v>
      </c>
      <c r="V7" s="141"/>
      <c r="W7" s="27" t="s">
        <v>1091</v>
      </c>
      <c r="X7">
        <v>32</v>
      </c>
    </row>
    <row r="8" spans="1:24" x14ac:dyDescent="0.2">
      <c r="A8" s="27" t="s">
        <v>1055</v>
      </c>
      <c r="B8">
        <v>120</v>
      </c>
      <c r="G8" s="27" t="s">
        <v>1053</v>
      </c>
      <c r="H8">
        <v>1840</v>
      </c>
      <c r="J8" s="27" t="s">
        <v>118</v>
      </c>
      <c r="K8">
        <v>5</v>
      </c>
      <c r="M8" s="27" t="s">
        <v>1058</v>
      </c>
      <c r="N8">
        <v>21</v>
      </c>
      <c r="O8" s="141" t="s">
        <v>1093</v>
      </c>
      <c r="P8" s="141">
        <f t="shared" si="0"/>
        <v>42</v>
      </c>
      <c r="R8" s="27" t="s">
        <v>1053</v>
      </c>
      <c r="S8">
        <v>20</v>
      </c>
      <c r="T8" s="141" t="s">
        <v>456</v>
      </c>
      <c r="U8" s="141">
        <f>$S$8*2</f>
        <v>40</v>
      </c>
      <c r="V8" s="141"/>
      <c r="W8" s="27" t="s">
        <v>1095</v>
      </c>
      <c r="X8">
        <v>916</v>
      </c>
    </row>
    <row r="9" spans="1:24" x14ac:dyDescent="0.2">
      <c r="A9" s="27" t="s">
        <v>1057</v>
      </c>
      <c r="B9">
        <v>4180</v>
      </c>
      <c r="G9" s="27" t="s">
        <v>118</v>
      </c>
      <c r="H9">
        <v>0</v>
      </c>
      <c r="J9" s="27" t="s">
        <v>54</v>
      </c>
      <c r="K9">
        <v>46</v>
      </c>
      <c r="M9" s="27" t="s">
        <v>303</v>
      </c>
      <c r="N9">
        <v>27</v>
      </c>
      <c r="O9" s="141" t="s">
        <v>457</v>
      </c>
      <c r="P9" s="141">
        <f t="shared" si="0"/>
        <v>54</v>
      </c>
      <c r="R9" s="27" t="s">
        <v>1056</v>
      </c>
      <c r="S9">
        <v>2</v>
      </c>
      <c r="T9" s="141" t="s">
        <v>1093</v>
      </c>
      <c r="U9" s="141">
        <f>$S$9*2</f>
        <v>4</v>
      </c>
      <c r="V9" s="141"/>
      <c r="W9" s="27" t="s">
        <v>1092</v>
      </c>
      <c r="X9">
        <v>408</v>
      </c>
    </row>
    <row r="10" spans="1:24" x14ac:dyDescent="0.2">
      <c r="A10" s="27" t="s">
        <v>1058</v>
      </c>
      <c r="B10">
        <v>1860</v>
      </c>
      <c r="G10" s="27" t="s">
        <v>1056</v>
      </c>
      <c r="H10">
        <v>40</v>
      </c>
      <c r="J10" s="27" t="s">
        <v>48</v>
      </c>
      <c r="K10">
        <v>333</v>
      </c>
      <c r="M10" s="27" t="s">
        <v>1052</v>
      </c>
      <c r="N10">
        <v>60</v>
      </c>
      <c r="O10" s="141" t="s">
        <v>457</v>
      </c>
      <c r="P10" s="141">
        <f t="shared" si="0"/>
        <v>120</v>
      </c>
      <c r="R10" s="27" t="s">
        <v>1064</v>
      </c>
      <c r="S10">
        <v>7</v>
      </c>
      <c r="T10" s="141" t="s">
        <v>457</v>
      </c>
      <c r="U10" s="141">
        <f>$S$10*2</f>
        <v>14</v>
      </c>
      <c r="V10" s="141"/>
      <c r="W10" s="27" t="s">
        <v>1096</v>
      </c>
      <c r="X10">
        <v>160</v>
      </c>
    </row>
    <row r="11" spans="1:24" x14ac:dyDescent="0.2">
      <c r="A11" s="27" t="s">
        <v>1060</v>
      </c>
      <c r="B11">
        <v>1500</v>
      </c>
      <c r="G11" s="27" t="s">
        <v>1059</v>
      </c>
      <c r="H11">
        <v>1120</v>
      </c>
      <c r="K11">
        <f>GETPIVOTDATA("QTDE",$J$2)-GETPIVOTDATA("QTDE",$J$2,"Caixa de ligação Motor",)</f>
        <v>287</v>
      </c>
      <c r="M11" s="27" t="s">
        <v>1055</v>
      </c>
      <c r="N11">
        <v>6</v>
      </c>
      <c r="O11" s="141" t="s">
        <v>1094</v>
      </c>
      <c r="P11" s="141">
        <f t="shared" si="0"/>
        <v>12</v>
      </c>
      <c r="R11" s="27" t="s">
        <v>1066</v>
      </c>
      <c r="S11">
        <v>2</v>
      </c>
      <c r="T11" s="141" t="s">
        <v>1094</v>
      </c>
      <c r="U11" s="141">
        <f>$S$11*2</f>
        <v>4</v>
      </c>
      <c r="V11" s="141"/>
      <c r="W11" s="27" t="s">
        <v>456</v>
      </c>
      <c r="X11">
        <v>70</v>
      </c>
    </row>
    <row r="12" spans="1:24" x14ac:dyDescent="0.2">
      <c r="A12" s="27" t="s">
        <v>1069</v>
      </c>
      <c r="B12">
        <v>1530</v>
      </c>
      <c r="G12" s="27" t="s">
        <v>1064</v>
      </c>
      <c r="H12">
        <v>930</v>
      </c>
      <c r="M12" s="27" t="s">
        <v>1068</v>
      </c>
      <c r="N12">
        <v>34</v>
      </c>
      <c r="O12" s="141" t="s">
        <v>1095</v>
      </c>
      <c r="P12" s="141">
        <f>N12*6</f>
        <v>204</v>
      </c>
      <c r="R12" s="27" t="s">
        <v>118</v>
      </c>
      <c r="S12">
        <v>0</v>
      </c>
      <c r="W12" s="27" t="s">
        <v>1093</v>
      </c>
      <c r="X12">
        <v>46</v>
      </c>
    </row>
    <row r="13" spans="1:24" x14ac:dyDescent="0.2">
      <c r="A13" s="27" t="s">
        <v>1061</v>
      </c>
      <c r="B13">
        <v>2910</v>
      </c>
      <c r="G13" s="27" t="s">
        <v>1066</v>
      </c>
      <c r="H13">
        <v>180</v>
      </c>
      <c r="M13" s="27" t="s">
        <v>1057</v>
      </c>
      <c r="N13">
        <v>38</v>
      </c>
      <c r="O13" s="141" t="s">
        <v>454</v>
      </c>
      <c r="P13" s="141">
        <f t="shared" ref="P13:P18" si="1">N13*8</f>
        <v>304</v>
      </c>
      <c r="R13" s="27" t="s">
        <v>54</v>
      </c>
      <c r="S13">
        <v>0</v>
      </c>
      <c r="W13" s="27" t="s">
        <v>1097</v>
      </c>
      <c r="X13">
        <v>176</v>
      </c>
    </row>
    <row r="14" spans="1:24" x14ac:dyDescent="0.2">
      <c r="A14" s="27" t="s">
        <v>1062</v>
      </c>
      <c r="B14">
        <v>2640</v>
      </c>
      <c r="G14" s="27" t="s">
        <v>48</v>
      </c>
      <c r="H14">
        <v>7800</v>
      </c>
      <c r="M14" s="27" t="s">
        <v>1067</v>
      </c>
      <c r="N14">
        <v>31</v>
      </c>
      <c r="O14" s="141" t="s">
        <v>455</v>
      </c>
      <c r="P14" s="141">
        <f t="shared" si="1"/>
        <v>248</v>
      </c>
      <c r="R14" s="27" t="s">
        <v>48</v>
      </c>
      <c r="S14">
        <v>91</v>
      </c>
      <c r="W14" s="27" t="s">
        <v>457</v>
      </c>
      <c r="X14">
        <v>188</v>
      </c>
    </row>
    <row r="15" spans="1:24" x14ac:dyDescent="0.2">
      <c r="A15" s="27" t="s">
        <v>1063</v>
      </c>
      <c r="B15">
        <v>1210</v>
      </c>
      <c r="M15" s="27" t="s">
        <v>1054</v>
      </c>
      <c r="N15">
        <v>77</v>
      </c>
      <c r="O15" s="141" t="s">
        <v>1095</v>
      </c>
      <c r="P15" s="141">
        <f t="shared" si="1"/>
        <v>616</v>
      </c>
      <c r="W15" s="27" t="s">
        <v>1094</v>
      </c>
      <c r="X15">
        <v>16</v>
      </c>
    </row>
    <row r="16" spans="1:24" x14ac:dyDescent="0.2">
      <c r="A16" s="27" t="s">
        <v>1065</v>
      </c>
      <c r="B16">
        <v>540</v>
      </c>
      <c r="M16" s="27" t="s">
        <v>1069</v>
      </c>
      <c r="N16">
        <v>17</v>
      </c>
      <c r="O16" s="141" t="s">
        <v>1096</v>
      </c>
      <c r="P16" s="141">
        <f t="shared" si="1"/>
        <v>136</v>
      </c>
      <c r="W16" s="27" t="s">
        <v>48</v>
      </c>
      <c r="X16">
        <v>2658</v>
      </c>
    </row>
    <row r="17" spans="1:17" x14ac:dyDescent="0.2">
      <c r="A17" s="27" t="s">
        <v>1067</v>
      </c>
      <c r="B17">
        <v>3490</v>
      </c>
      <c r="M17" s="27" t="s">
        <v>1063</v>
      </c>
      <c r="N17">
        <v>12</v>
      </c>
      <c r="O17" s="141" t="s">
        <v>1095</v>
      </c>
      <c r="P17" s="141">
        <f t="shared" si="1"/>
        <v>96</v>
      </c>
    </row>
    <row r="18" spans="1:17" x14ac:dyDescent="0.2">
      <c r="A18" s="27" t="s">
        <v>1068</v>
      </c>
      <c r="B18">
        <v>3140</v>
      </c>
      <c r="M18" s="27" t="s">
        <v>1062</v>
      </c>
      <c r="N18">
        <v>22</v>
      </c>
      <c r="O18" s="141" t="s">
        <v>1097</v>
      </c>
      <c r="P18" s="141">
        <f t="shared" si="1"/>
        <v>176</v>
      </c>
    </row>
    <row r="19" spans="1:17" x14ac:dyDescent="0.2">
      <c r="A19" s="27" t="s">
        <v>303</v>
      </c>
      <c r="B19">
        <v>5250</v>
      </c>
      <c r="M19" s="27" t="s">
        <v>54</v>
      </c>
      <c r="O19" s="141" t="str">
        <f>T3</f>
        <v>120mm²</v>
      </c>
      <c r="P19" s="141">
        <f>U3</f>
        <v>16</v>
      </c>
      <c r="Q19" s="141" t="s">
        <v>1098</v>
      </c>
    </row>
    <row r="20" spans="1:17" x14ac:dyDescent="0.2">
      <c r="A20" s="27" t="s">
        <v>48</v>
      </c>
      <c r="B20">
        <v>45690</v>
      </c>
      <c r="M20" s="27" t="s">
        <v>48</v>
      </c>
      <c r="N20">
        <v>579</v>
      </c>
      <c r="O20" s="141" t="str">
        <f t="shared" ref="O20:P20" si="2">T4</f>
        <v>150mm²</v>
      </c>
      <c r="P20" s="141">
        <f t="shared" si="2"/>
        <v>12</v>
      </c>
      <c r="Q20" s="141" t="s">
        <v>1098</v>
      </c>
    </row>
    <row r="21" spans="1:17" x14ac:dyDescent="0.2">
      <c r="O21" s="141" t="str">
        <f t="shared" ref="O21:P21" si="3">T5</f>
        <v>185mm²</v>
      </c>
      <c r="P21" s="141">
        <f t="shared" si="3"/>
        <v>2</v>
      </c>
      <c r="Q21" s="141" t="s">
        <v>1098</v>
      </c>
    </row>
    <row r="22" spans="1:17" x14ac:dyDescent="0.2">
      <c r="O22" s="141" t="str">
        <f t="shared" ref="O22:P22" si="4">T6</f>
        <v>240mm²</v>
      </c>
      <c r="P22" s="141">
        <f t="shared" si="4"/>
        <v>66</v>
      </c>
      <c r="Q22" s="141" t="s">
        <v>1098</v>
      </c>
    </row>
    <row r="23" spans="1:17" x14ac:dyDescent="0.2">
      <c r="O23" s="141" t="str">
        <f t="shared" ref="O23:P23" si="5">T7</f>
        <v>25mm²</v>
      </c>
      <c r="P23" s="141">
        <f t="shared" si="5"/>
        <v>24</v>
      </c>
      <c r="Q23" s="141" t="s">
        <v>1098</v>
      </c>
    </row>
    <row r="24" spans="1:17" x14ac:dyDescent="0.2">
      <c r="O24" s="141" t="str">
        <f t="shared" ref="O24:P24" si="6">T8</f>
        <v>35mm²</v>
      </c>
      <c r="P24" s="141">
        <f t="shared" si="6"/>
        <v>40</v>
      </c>
      <c r="Q24" s="141" t="s">
        <v>1098</v>
      </c>
    </row>
    <row r="25" spans="1:17" x14ac:dyDescent="0.2">
      <c r="O25" s="141" t="str">
        <f t="shared" ref="O25:P25" si="7">T9</f>
        <v>50mm²</v>
      </c>
      <c r="P25" s="141">
        <f t="shared" si="7"/>
        <v>4</v>
      </c>
      <c r="Q25" s="141" t="s">
        <v>1098</v>
      </c>
    </row>
    <row r="26" spans="1:17" x14ac:dyDescent="0.2">
      <c r="O26" s="141" t="str">
        <f t="shared" ref="O26:P26" si="8">T10</f>
        <v>70mm²</v>
      </c>
      <c r="P26" s="141">
        <f t="shared" si="8"/>
        <v>14</v>
      </c>
      <c r="Q26" s="141" t="s">
        <v>1098</v>
      </c>
    </row>
    <row r="27" spans="1:17" x14ac:dyDescent="0.2">
      <c r="O27" s="141" t="str">
        <f t="shared" ref="O27:P27" si="9">T11</f>
        <v>95mm²</v>
      </c>
      <c r="P27" s="141">
        <f t="shared" si="9"/>
        <v>4</v>
      </c>
      <c r="Q27" s="141" t="s">
        <v>1098</v>
      </c>
    </row>
  </sheetData>
  <mergeCells count="4">
    <mergeCell ref="J1:K1"/>
    <mergeCell ref="M1:N1"/>
    <mergeCell ref="R1:S1"/>
    <mergeCell ref="W1:X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0FFC5FDFAB0A47A4FC93BCA76C62B3" ma:contentTypeVersion="10" ma:contentTypeDescription="Crie um novo documento." ma:contentTypeScope="" ma:versionID="5496f06bac1022cfad6c6537f25f78bd">
  <xsd:schema xmlns:xsd="http://www.w3.org/2001/XMLSchema" xmlns:xs="http://www.w3.org/2001/XMLSchema" xmlns:p="http://schemas.microsoft.com/office/2006/metadata/properties" xmlns:ns2="84c58f15-8008-472b-b652-709800f5659b" xmlns:ns3="0e37035b-dd09-4315-bec2-0da8d6b4f3d8" targetNamespace="http://schemas.microsoft.com/office/2006/metadata/properties" ma:root="true" ma:fieldsID="c1ff25ae59e2c0f91f9dac8bdb59a37e" ns2:_="" ns3:_="">
    <xsd:import namespace="84c58f15-8008-472b-b652-709800f5659b"/>
    <xsd:import namespace="0e37035b-dd09-4315-bec2-0da8d6b4f3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c58f15-8008-472b-b652-709800f565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39891a31-0602-4237-8573-863d315f3e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7035b-dd09-4315-bec2-0da8d6b4f3d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174760f-44c6-4a72-ba1e-18a984d6c3e7}" ma:internalName="TaxCatchAll" ma:showField="CatchAllData" ma:web="0e37035b-dd09-4315-bec2-0da8d6b4f3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c58f15-8008-472b-b652-709800f5659b">
      <Terms xmlns="http://schemas.microsoft.com/office/infopath/2007/PartnerControls"/>
    </lcf76f155ced4ddcb4097134ff3c332f>
    <TaxCatchAll xmlns="0e37035b-dd09-4315-bec2-0da8d6b4f3d8" xsi:nil="true"/>
  </documentManagement>
</p:properties>
</file>

<file path=customXml/itemProps1.xml><?xml version="1.0" encoding="utf-8"?>
<ds:datastoreItem xmlns:ds="http://schemas.openxmlformats.org/officeDocument/2006/customXml" ds:itemID="{90DFDF20-F1CC-4FF5-9CF2-D207553BFBC5}"/>
</file>

<file path=customXml/itemProps2.xml><?xml version="1.0" encoding="utf-8"?>
<ds:datastoreItem xmlns:ds="http://schemas.openxmlformats.org/officeDocument/2006/customXml" ds:itemID="{A36B6B12-AD20-45C0-B8F6-C0BD4CB59AB5}"/>
</file>

<file path=customXml/itemProps3.xml><?xml version="1.0" encoding="utf-8"?>
<ds:datastoreItem xmlns:ds="http://schemas.openxmlformats.org/officeDocument/2006/customXml" ds:itemID="{9C88A06C-12C6-48B3-AD61-C6A12C3D8A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Lista de Cargas</vt:lpstr>
      <vt:lpstr>Motores</vt:lpstr>
      <vt:lpstr>Cabos</vt:lpstr>
      <vt:lpstr>'Lista de Cargas'!Area_de_impressao</vt:lpstr>
      <vt:lpstr>'Lista de Cargas'!Titulos_de_impressao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ilourenco</dc:creator>
  <cp:lastModifiedBy>Francisco C. Pignata</cp:lastModifiedBy>
  <cp:lastPrinted>2025-10-21T16:53:46Z</cp:lastPrinted>
  <dcterms:created xsi:type="dcterms:W3CDTF">2014-11-06T12:03:44Z</dcterms:created>
  <dcterms:modified xsi:type="dcterms:W3CDTF">2025-10-22T20:54:18Z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0x010100D20FFC5FDFAB0A47A4FC93BCA76C62B3</vt:lpwstr>
  </property>
</Properties>
</file>