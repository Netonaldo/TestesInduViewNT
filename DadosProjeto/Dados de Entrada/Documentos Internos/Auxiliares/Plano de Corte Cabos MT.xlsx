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N:\GERAL2\Comercial\Propostas\2026\SADA\PD_ATK_102_25_(SADA_MCG_Processo_Montagem)_Consolidada\Auxiliares\"/>
    </mc:Choice>
  </mc:AlternateContent>
  <xr:revisionPtr revIDLastSave="0" documentId="8_{61537424-2F4A-45B2-BE28-403029556EED}" xr6:coauthVersionLast="47" xr6:coauthVersionMax="47" xr10:uidLastSave="{00000000-0000-0000-0000-000000000000}"/>
  <bookViews>
    <workbookView xWindow="-120" yWindow="-120" windowWidth="29040" windowHeight="15720" xr2:uid="{CC86C382-D5F6-41A1-A310-39E7F2898F9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H12" i="1" s="1"/>
  <c r="H11" i="1"/>
  <c r="H10" i="1"/>
  <c r="H4" i="1"/>
  <c r="H5" i="1"/>
  <c r="H6" i="1"/>
  <c r="H7" i="1"/>
  <c r="H8" i="1"/>
  <c r="H3" i="1"/>
  <c r="B24" i="1"/>
  <c r="E9" i="1"/>
  <c r="G9" i="1"/>
  <c r="G6" i="1"/>
  <c r="G7" i="1"/>
  <c r="G5" i="1"/>
  <c r="G4" i="1"/>
  <c r="G11" i="1"/>
  <c r="G8" i="1"/>
  <c r="G10" i="1"/>
  <c r="G3" i="1"/>
  <c r="B9" i="1" l="1"/>
  <c r="G12" i="1"/>
</calcChain>
</file>

<file path=xl/sharedStrings.xml><?xml version="1.0" encoding="utf-8"?>
<sst xmlns="http://schemas.openxmlformats.org/spreadsheetml/2006/main" count="29" uniqueCount="18">
  <si>
    <t>Bobina</t>
  </si>
  <si>
    <t>De</t>
  </si>
  <si>
    <t>Para</t>
  </si>
  <si>
    <t>Distancia (m)</t>
  </si>
  <si>
    <t>Qtde Pernas</t>
  </si>
  <si>
    <t>Casa de Força</t>
  </si>
  <si>
    <t>SE-02</t>
  </si>
  <si>
    <t>Total (m)</t>
  </si>
  <si>
    <t>Cubiculo Diesel</t>
  </si>
  <si>
    <t>Trafo Elevação Diesel</t>
  </si>
  <si>
    <t>SE-03</t>
  </si>
  <si>
    <t>Cubiculos SE´s</t>
  </si>
  <si>
    <t>Trafos SE´s</t>
  </si>
  <si>
    <t>Cubiculo Existente</t>
  </si>
  <si>
    <t>Cubiculos Novos</t>
  </si>
  <si>
    <t>Qtde Cabos Bobina</t>
  </si>
  <si>
    <t>Total</t>
  </si>
  <si>
    <t>Muflas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</si>
</sst>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01BCF-3D89-4E3F-8BEB-2D7E0F1269E0}">
  <dimension ref="A2:H24"/>
  <sheetViews>
    <sheetView tabSelected="1" workbookViewId="0">
      <selection activeCell="H12" sqref="H12"/>
    </sheetView>
  </sheetViews>
  <sheetFormatPr defaultRowHeight="15" x14ac:dyDescent="0.25"/>
  <cols>
    <col min="1" max="1" width="9.140625" style="1"/>
    <col min="2" max="2" width="13.85546875" style="1" customWidth="1"/>
    <col min="3" max="3" width="17.28515625" style="1" bestFit="1" customWidth="1"/>
    <col min="4" max="4" width="20" style="1" bestFit="1" customWidth="1"/>
    <col min="5" max="5" width="13.140625" style="1" bestFit="1" customWidth="1"/>
    <col min="6" max="6" width="11.7109375" style="1" bestFit="1" customWidth="1"/>
    <col min="7" max="7" width="9.140625" style="1"/>
    <col min="8" max="8" width="9.140625" style="4"/>
  </cols>
  <sheetData>
    <row r="2" spans="1:8" s="5" customFormat="1" ht="30" x14ac:dyDescent="0.25">
      <c r="A2" s="6" t="s">
        <v>0</v>
      </c>
      <c r="B2" s="6" t="s">
        <v>15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7</v>
      </c>
      <c r="H2" s="6" t="s">
        <v>17</v>
      </c>
    </row>
    <row r="3" spans="1:8" x14ac:dyDescent="0.25">
      <c r="A3" s="4">
        <v>1</v>
      </c>
      <c r="B3" s="4">
        <v>600</v>
      </c>
      <c r="C3" s="1" t="s">
        <v>5</v>
      </c>
      <c r="D3" s="1" t="s">
        <v>6</v>
      </c>
      <c r="E3" s="1">
        <v>610</v>
      </c>
      <c r="F3" s="1">
        <v>1</v>
      </c>
      <c r="G3" s="1">
        <f>F3*E3</f>
        <v>610</v>
      </c>
      <c r="H3" s="4">
        <f>F3*2</f>
        <v>2</v>
      </c>
    </row>
    <row r="4" spans="1:8" x14ac:dyDescent="0.25">
      <c r="A4" s="4">
        <v>2</v>
      </c>
      <c r="B4" s="4">
        <v>600</v>
      </c>
      <c r="C4" s="1" t="s">
        <v>5</v>
      </c>
      <c r="D4" s="1" t="s">
        <v>6</v>
      </c>
      <c r="E4" s="1">
        <v>610</v>
      </c>
      <c r="F4" s="1">
        <v>1</v>
      </c>
      <c r="G4" s="1">
        <f>F4*E4</f>
        <v>610</v>
      </c>
      <c r="H4" s="4">
        <f t="shared" ref="H4:H8" si="0">F4*2</f>
        <v>2</v>
      </c>
    </row>
    <row r="5" spans="1:8" x14ac:dyDescent="0.25">
      <c r="A5" s="4">
        <v>3</v>
      </c>
      <c r="B5" s="4">
        <v>600</v>
      </c>
      <c r="C5" s="1" t="s">
        <v>5</v>
      </c>
      <c r="D5" s="1" t="s">
        <v>6</v>
      </c>
      <c r="E5" s="1">
        <v>610</v>
      </c>
      <c r="F5" s="1">
        <v>1</v>
      </c>
      <c r="G5" s="1">
        <f>F5*E5</f>
        <v>610</v>
      </c>
      <c r="H5" s="4">
        <f t="shared" si="0"/>
        <v>2</v>
      </c>
    </row>
    <row r="6" spans="1:8" x14ac:dyDescent="0.25">
      <c r="A6" s="4">
        <v>4</v>
      </c>
      <c r="B6" s="4">
        <v>420</v>
      </c>
      <c r="C6" s="1" t="s">
        <v>5</v>
      </c>
      <c r="D6" s="1" t="s">
        <v>10</v>
      </c>
      <c r="E6" s="1">
        <v>430</v>
      </c>
      <c r="F6" s="1">
        <v>1</v>
      </c>
      <c r="G6" s="1">
        <f t="shared" ref="G6" si="1">F6*E6</f>
        <v>430</v>
      </c>
      <c r="H6" s="4">
        <f t="shared" si="0"/>
        <v>2</v>
      </c>
    </row>
    <row r="7" spans="1:8" x14ac:dyDescent="0.25">
      <c r="A7" s="4">
        <v>5</v>
      </c>
      <c r="B7" s="4">
        <v>420</v>
      </c>
      <c r="C7" s="1" t="s">
        <v>5</v>
      </c>
      <c r="D7" s="1" t="s">
        <v>10</v>
      </c>
      <c r="E7" s="1">
        <v>430</v>
      </c>
      <c r="F7" s="1">
        <v>1</v>
      </c>
      <c r="G7" s="1">
        <f t="shared" ref="G7" si="2">F7*E7</f>
        <v>430</v>
      </c>
      <c r="H7" s="4">
        <f t="shared" si="0"/>
        <v>2</v>
      </c>
    </row>
    <row r="8" spans="1:8" x14ac:dyDescent="0.25">
      <c r="A8" s="4">
        <v>6</v>
      </c>
      <c r="B8" s="4">
        <v>420</v>
      </c>
      <c r="C8" s="1" t="s">
        <v>5</v>
      </c>
      <c r="D8" s="1" t="s">
        <v>10</v>
      </c>
      <c r="E8" s="1">
        <v>430</v>
      </c>
      <c r="F8" s="1">
        <v>1</v>
      </c>
      <c r="G8" s="1">
        <f t="shared" ref="G8:G10" si="3">F8*E8</f>
        <v>430</v>
      </c>
      <c r="H8" s="4">
        <f t="shared" si="0"/>
        <v>2</v>
      </c>
    </row>
    <row r="9" spans="1:8" x14ac:dyDescent="0.25">
      <c r="A9" s="2">
        <v>7</v>
      </c>
      <c r="B9" s="2">
        <f>G9+G10+G11</f>
        <v>981</v>
      </c>
      <c r="C9" s="1" t="s">
        <v>11</v>
      </c>
      <c r="D9" s="1" t="s">
        <v>12</v>
      </c>
      <c r="E9" s="3">
        <f>450/3</f>
        <v>150</v>
      </c>
      <c r="F9" s="1">
        <v>3</v>
      </c>
      <c r="G9" s="1">
        <f t="shared" si="3"/>
        <v>450</v>
      </c>
      <c r="H9" s="4">
        <f>5*3*2</f>
        <v>30</v>
      </c>
    </row>
    <row r="10" spans="1:8" x14ac:dyDescent="0.25">
      <c r="A10" s="2"/>
      <c r="B10" s="2"/>
      <c r="C10" s="1" t="s">
        <v>13</v>
      </c>
      <c r="D10" s="1" t="s">
        <v>14</v>
      </c>
      <c r="E10" s="1">
        <v>42</v>
      </c>
      <c r="F10" s="1">
        <v>9</v>
      </c>
      <c r="G10" s="1">
        <f t="shared" si="3"/>
        <v>378</v>
      </c>
      <c r="H10" s="4">
        <f>F10*2</f>
        <v>18</v>
      </c>
    </row>
    <row r="11" spans="1:8" x14ac:dyDescent="0.25">
      <c r="A11" s="2"/>
      <c r="B11" s="2"/>
      <c r="C11" s="1" t="s">
        <v>8</v>
      </c>
      <c r="D11" s="1" t="s">
        <v>9</v>
      </c>
      <c r="E11" s="1">
        <v>51</v>
      </c>
      <c r="F11" s="1">
        <v>3</v>
      </c>
      <c r="G11" s="1">
        <f>F11*E11</f>
        <v>153</v>
      </c>
      <c r="H11" s="4">
        <f>F11*2</f>
        <v>6</v>
      </c>
    </row>
    <row r="12" spans="1:8" x14ac:dyDescent="0.25">
      <c r="G12" s="1">
        <f>SUM(G3:G11)</f>
        <v>4101</v>
      </c>
      <c r="H12" s="4">
        <f>SUM(H3:H11)</f>
        <v>66</v>
      </c>
    </row>
    <row r="14" spans="1:8" ht="30" x14ac:dyDescent="0.25">
      <c r="A14" s="10" t="s">
        <v>0</v>
      </c>
      <c r="B14" s="10" t="s">
        <v>15</v>
      </c>
    </row>
    <row r="15" spans="1:8" x14ac:dyDescent="0.25">
      <c r="A15" s="7">
        <v>1</v>
      </c>
      <c r="B15" s="7">
        <v>610</v>
      </c>
    </row>
    <row r="16" spans="1:8" x14ac:dyDescent="0.25">
      <c r="A16" s="7">
        <v>2</v>
      </c>
      <c r="B16" s="7">
        <v>610</v>
      </c>
    </row>
    <row r="17" spans="1:2" x14ac:dyDescent="0.25">
      <c r="A17" s="7">
        <v>3</v>
      </c>
      <c r="B17" s="7">
        <v>610</v>
      </c>
    </row>
    <row r="18" spans="1:2" x14ac:dyDescent="0.25">
      <c r="A18" s="7">
        <v>4</v>
      </c>
      <c r="B18" s="7">
        <v>430</v>
      </c>
    </row>
    <row r="19" spans="1:2" x14ac:dyDescent="0.25">
      <c r="A19" s="7">
        <v>5</v>
      </c>
      <c r="B19" s="7">
        <v>430</v>
      </c>
    </row>
    <row r="20" spans="1:2" x14ac:dyDescent="0.25">
      <c r="A20" s="7">
        <v>6</v>
      </c>
      <c r="B20" s="7">
        <v>430</v>
      </c>
    </row>
    <row r="21" spans="1:2" x14ac:dyDescent="0.25">
      <c r="A21" s="8">
        <v>7</v>
      </c>
      <c r="B21" s="8">
        <v>980</v>
      </c>
    </row>
    <row r="22" spans="1:2" x14ac:dyDescent="0.25">
      <c r="A22" s="8"/>
      <c r="B22" s="8"/>
    </row>
    <row r="23" spans="1:2" x14ac:dyDescent="0.25">
      <c r="A23" s="8"/>
      <c r="B23" s="8"/>
    </row>
    <row r="24" spans="1:2" x14ac:dyDescent="0.25">
      <c r="A24" s="9" t="s">
        <v>16</v>
      </c>
      <c r="B24" s="9">
        <f>SUM(B15:B23)</f>
        <v>4100</v>
      </c>
    </row>
  </sheetData>
  <mergeCells count="4">
    <mergeCell ref="A21:A23"/>
    <mergeCell ref="B21:B23"/>
    <mergeCell ref="A9:A11"/>
    <mergeCell ref="B9:B11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0FFC5FDFAB0A47A4FC93BCA76C62B3" ma:contentTypeVersion="10" ma:contentTypeDescription="Crie um novo documento." ma:contentTypeScope="" ma:versionID="5496f06bac1022cfad6c6537f25f78bd">
  <xsd:schema xmlns:xsd="http://www.w3.org/2001/XMLSchema" xmlns:xs="http://www.w3.org/2001/XMLSchema" xmlns:p="http://schemas.microsoft.com/office/2006/metadata/properties" xmlns:ns2="84c58f15-8008-472b-b652-709800f5659b" xmlns:ns3="0e37035b-dd09-4315-bec2-0da8d6b4f3d8" targetNamespace="http://schemas.microsoft.com/office/2006/metadata/properties" ma:root="true" ma:fieldsID="c1ff25ae59e2c0f91f9dac8bdb59a37e" ns2:_="" ns3:_="">
    <xsd:import namespace="84c58f15-8008-472b-b652-709800f5659b"/>
    <xsd:import namespace="0e37035b-dd09-4315-bec2-0da8d6b4f3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c58f15-8008-472b-b652-709800f565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39891a31-0602-4237-8573-863d315f3e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37035b-dd09-4315-bec2-0da8d6b4f3d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174760f-44c6-4a72-ba1e-18a984d6c3e7}" ma:internalName="TaxCatchAll" ma:showField="CatchAllData" ma:web="0e37035b-dd09-4315-bec2-0da8d6b4f3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c58f15-8008-472b-b652-709800f5659b">
      <Terms xmlns="http://schemas.microsoft.com/office/infopath/2007/PartnerControls"/>
    </lcf76f155ced4ddcb4097134ff3c332f>
    <TaxCatchAll xmlns="0e37035b-dd09-4315-bec2-0da8d6b4f3d8" xsi:nil="true"/>
  </documentManagement>
</p:properties>
</file>

<file path=customXml/itemProps1.xml><?xml version="1.0" encoding="utf-8"?>
<ds:datastoreItem xmlns:ds="http://schemas.openxmlformats.org/officeDocument/2006/customXml" ds:itemID="{0889955E-CFA8-4914-B5C2-81346E34D81E}"/>
</file>

<file path=customXml/itemProps2.xml><?xml version="1.0" encoding="utf-8"?>
<ds:datastoreItem xmlns:ds="http://schemas.openxmlformats.org/officeDocument/2006/customXml" ds:itemID="{6A0743ED-E8A6-4B4E-A7FA-8BF43B2A1DF8}"/>
</file>

<file path=customXml/itemProps3.xml><?xml version="1.0" encoding="utf-8"?>
<ds:datastoreItem xmlns:ds="http://schemas.openxmlformats.org/officeDocument/2006/customXml" ds:itemID="{1AA35619-D61F-4D4A-8139-A79FF54ECA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C. Pignata</dc:creator>
  <cp:lastModifiedBy>Francisco C. Pignata</cp:lastModifiedBy>
  <dcterms:created xsi:type="dcterms:W3CDTF">2026-02-16T12:17:26Z</dcterms:created>
  <dcterms:modified xsi:type="dcterms:W3CDTF">2026-02-16T13:08:35Z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0x010100D20FFC5FDFAB0A47A4FC93BCA76C62B3</vt:lpwstr>
  </property>
</Properties>
</file>