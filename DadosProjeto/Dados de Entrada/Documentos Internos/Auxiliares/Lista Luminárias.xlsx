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GERAL2\Comercial\Propostas\2025\SADA\Eber\Montagem Processo\Auxiliares\"/>
    </mc:Choice>
  </mc:AlternateContent>
  <xr:revisionPtr revIDLastSave="0" documentId="13_ncr:1_{03F851D0-78FF-4B22-9F83-0AC31C10C6EF}" xr6:coauthVersionLast="47" xr6:coauthVersionMax="47" xr10:uidLastSave="{00000000-0000-0000-0000-000000000000}"/>
  <bookViews>
    <workbookView xWindow="-120" yWindow="-120" windowWidth="29040" windowHeight="15720" xr2:uid="{18D501CD-4488-4400-8471-9E23D2A2DBB7}"/>
  </bookViews>
  <sheets>
    <sheet name="Planilha1" sheetId="1" r:id="rId1"/>
  </sheets>
  <calcPr calcId="191029"/>
  <pivotCaches>
    <pivotCache cacheId="2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K13" i="1"/>
  <c r="K11" i="1"/>
  <c r="K9" i="1"/>
  <c r="K10" i="1"/>
  <c r="K7" i="1"/>
  <c r="K8" i="1"/>
  <c r="K6" i="1"/>
  <c r="J15" i="1"/>
</calcChain>
</file>

<file path=xl/sharedStrings.xml><?xml version="1.0" encoding="utf-8"?>
<sst xmlns="http://schemas.openxmlformats.org/spreadsheetml/2006/main" count="137" uniqueCount="23">
  <si>
    <t>Item</t>
  </si>
  <si>
    <t>Descrição</t>
  </si>
  <si>
    <t>Área</t>
  </si>
  <si>
    <t>Qtde</t>
  </si>
  <si>
    <t>Luminária LED TGV, 30W, em poste de 1.1/2" x 3mt</t>
  </si>
  <si>
    <t>Luminária LED TGV, 30W, Arandela 30°</t>
  </si>
  <si>
    <t>Não</t>
  </si>
  <si>
    <t>Sim</t>
  </si>
  <si>
    <t>Projetor LED TGVP, 50W</t>
  </si>
  <si>
    <t>Mód. Emerg. Incorporado</t>
  </si>
  <si>
    <t>Projetor LED TGVP, 100W</t>
  </si>
  <si>
    <t>Projetor LED TGVP, 30W</t>
  </si>
  <si>
    <t>Pipe Rack</t>
  </si>
  <si>
    <t>CCM 2</t>
  </si>
  <si>
    <t>Luminária LED, Hermetica, 30W</t>
  </si>
  <si>
    <t>CCM 3</t>
  </si>
  <si>
    <t>Bloco de emergencia 20W, auton. 6H</t>
  </si>
  <si>
    <t>Tomada 2P+T, 20A, ABNT</t>
  </si>
  <si>
    <t>Interruptor, simples ou duplo</t>
  </si>
  <si>
    <t>Rótulos de Linha</t>
  </si>
  <si>
    <t>Total Geral</t>
  </si>
  <si>
    <t>Soma de Qtde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</si>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</sst>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1" applyFont="1"/>
    <xf numFmtId="43" fontId="0" fillId="0" borderId="0" xfId="1" applyFont="1" applyAlignment="1">
      <alignment horizontal="center" vertical="center"/>
    </xf>
    <xf numFmtId="43" fontId="0" fillId="0" borderId="0" xfId="0" applyNumberFormat="1"/>
  </cellXfs>
  <cellStyles count="2">
    <cellStyle name="Normal" xfId="0" builtinId="0"/>
    <cellStyle name="Vírgula" xfId="1" builtinId="3"/>
  </cellStyles>
  <dxfs count="8"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C. Pignata" refreshedDate="45952.74356354167" createdVersion="8" refreshedVersion="8" minRefreshableVersion="3" recordCount="52" xr:uid="{4D4A8E58-8FB1-4A4B-B8DA-C0AF9AA6C058}">
  <cacheSource type="worksheet">
    <worksheetSource ref="A1:E53" sheet="Planilha1"/>
  </cacheSource>
  <cacheFields count="5">
    <cacheField name="Item" numFmtId="0">
      <sharedItems containsSemiMixedTypes="0" containsString="0" containsNumber="1" containsInteger="1" minValue="1" maxValue="52"/>
    </cacheField>
    <cacheField name="Área" numFmtId="0">
      <sharedItems containsMixedTypes="1" containsNumber="1" containsInteger="1" minValue="100" maxValue="700"/>
    </cacheField>
    <cacheField name="Descrição" numFmtId="0">
      <sharedItems count="9">
        <s v="Projetor LED TGVP, 30W"/>
        <s v="Luminária LED, Hermetica, 30W"/>
        <s v="Bloco de emergencia 20W, auton. 6H"/>
        <s v="Tomada 2P+T, 20A, ABNT"/>
        <s v="Interruptor, simples ou duplo"/>
        <s v="Luminária LED TGV, 30W, em poste de 1.1/2&quot; x 3mt"/>
        <s v="Luminária LED TGV, 30W, Arandela 30°"/>
        <s v="Projetor LED TGVP, 50W"/>
        <s v="Projetor LED TGVP, 100W"/>
      </sharedItems>
    </cacheField>
    <cacheField name="Qtde" numFmtId="0">
      <sharedItems containsSemiMixedTypes="0" containsString="0" containsNumber="1" containsInteger="1" minValue="1" maxValue="70"/>
    </cacheField>
    <cacheField name="Mód. Emerg. Incorporado" numFmtId="0">
      <sharedItems count="2">
        <s v="Não"/>
        <s v="Si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s v="CCM 2"/>
    <x v="0"/>
    <n v="23"/>
    <x v="0"/>
  </r>
  <r>
    <n v="2"/>
    <s v="CCM 2"/>
    <x v="1"/>
    <n v="45"/>
    <x v="0"/>
  </r>
  <r>
    <n v="3"/>
    <s v="CCM 2"/>
    <x v="2"/>
    <n v="10"/>
    <x v="0"/>
  </r>
  <r>
    <n v="4"/>
    <s v="CCM 2"/>
    <x v="3"/>
    <n v="12"/>
    <x v="0"/>
  </r>
  <r>
    <n v="5"/>
    <s v="CCM 2"/>
    <x v="4"/>
    <n v="6"/>
    <x v="0"/>
  </r>
  <r>
    <n v="6"/>
    <s v="CCM 3"/>
    <x v="0"/>
    <n v="23"/>
    <x v="0"/>
  </r>
  <r>
    <n v="7"/>
    <s v="CCM 3"/>
    <x v="1"/>
    <n v="45"/>
    <x v="0"/>
  </r>
  <r>
    <n v="8"/>
    <s v="CCM 3"/>
    <x v="2"/>
    <n v="10"/>
    <x v="0"/>
  </r>
  <r>
    <n v="9"/>
    <s v="CCM 3"/>
    <x v="3"/>
    <n v="12"/>
    <x v="0"/>
  </r>
  <r>
    <n v="10"/>
    <s v="CCM 3"/>
    <x v="4"/>
    <n v="6"/>
    <x v="0"/>
  </r>
  <r>
    <n v="11"/>
    <n v="100"/>
    <x v="5"/>
    <n v="4"/>
    <x v="0"/>
  </r>
  <r>
    <n v="12"/>
    <n v="100"/>
    <x v="5"/>
    <n v="2"/>
    <x v="1"/>
  </r>
  <r>
    <n v="13"/>
    <n v="100"/>
    <x v="6"/>
    <n v="9"/>
    <x v="0"/>
  </r>
  <r>
    <n v="14"/>
    <n v="100"/>
    <x v="6"/>
    <n v="6"/>
    <x v="1"/>
  </r>
  <r>
    <n v="15"/>
    <n v="100"/>
    <x v="7"/>
    <n v="14"/>
    <x v="0"/>
  </r>
  <r>
    <n v="16"/>
    <n v="100"/>
    <x v="7"/>
    <n v="10"/>
    <x v="1"/>
  </r>
  <r>
    <n v="17"/>
    <n v="100"/>
    <x v="8"/>
    <n v="4"/>
    <x v="0"/>
  </r>
  <r>
    <n v="18"/>
    <n v="200"/>
    <x v="6"/>
    <n v="20"/>
    <x v="1"/>
  </r>
  <r>
    <n v="19"/>
    <n v="200"/>
    <x v="6"/>
    <n v="10"/>
    <x v="0"/>
  </r>
  <r>
    <n v="20"/>
    <n v="200"/>
    <x v="5"/>
    <n v="12"/>
    <x v="0"/>
  </r>
  <r>
    <n v="21"/>
    <n v="200"/>
    <x v="5"/>
    <n v="10"/>
    <x v="1"/>
  </r>
  <r>
    <n v="22"/>
    <n v="200"/>
    <x v="7"/>
    <n v="4"/>
    <x v="0"/>
  </r>
  <r>
    <n v="23"/>
    <n v="200"/>
    <x v="7"/>
    <n v="2"/>
    <x v="1"/>
  </r>
  <r>
    <n v="24"/>
    <n v="200"/>
    <x v="8"/>
    <n v="12"/>
    <x v="0"/>
  </r>
  <r>
    <n v="25"/>
    <n v="300"/>
    <x v="5"/>
    <n v="20"/>
    <x v="0"/>
  </r>
  <r>
    <n v="26"/>
    <n v="300"/>
    <x v="5"/>
    <n v="15"/>
    <x v="1"/>
  </r>
  <r>
    <n v="27"/>
    <n v="300"/>
    <x v="8"/>
    <n v="20"/>
    <x v="0"/>
  </r>
  <r>
    <n v="28"/>
    <n v="300"/>
    <x v="8"/>
    <n v="16"/>
    <x v="1"/>
  </r>
  <r>
    <n v="29"/>
    <n v="300"/>
    <x v="6"/>
    <n v="45"/>
    <x v="0"/>
  </r>
  <r>
    <n v="30"/>
    <n v="300"/>
    <x v="6"/>
    <n v="26"/>
    <x v="1"/>
  </r>
  <r>
    <n v="31"/>
    <n v="400"/>
    <x v="5"/>
    <n v="6"/>
    <x v="0"/>
  </r>
  <r>
    <n v="32"/>
    <n v="400"/>
    <x v="5"/>
    <n v="4"/>
    <x v="1"/>
  </r>
  <r>
    <n v="33"/>
    <n v="400"/>
    <x v="6"/>
    <n v="70"/>
    <x v="0"/>
  </r>
  <r>
    <n v="34"/>
    <n v="400"/>
    <x v="6"/>
    <n v="42"/>
    <x v="1"/>
  </r>
  <r>
    <n v="35"/>
    <n v="400"/>
    <x v="8"/>
    <n v="25"/>
    <x v="0"/>
  </r>
  <r>
    <n v="36"/>
    <n v="400"/>
    <x v="8"/>
    <n v="13"/>
    <x v="1"/>
  </r>
  <r>
    <n v="37"/>
    <n v="400"/>
    <x v="7"/>
    <n v="32"/>
    <x v="0"/>
  </r>
  <r>
    <n v="38"/>
    <n v="400"/>
    <x v="7"/>
    <n v="34"/>
    <x v="1"/>
  </r>
  <r>
    <n v="39"/>
    <n v="500"/>
    <x v="5"/>
    <n v="10"/>
    <x v="0"/>
  </r>
  <r>
    <n v="40"/>
    <n v="500"/>
    <x v="5"/>
    <n v="5"/>
    <x v="1"/>
  </r>
  <r>
    <n v="41"/>
    <n v="500"/>
    <x v="6"/>
    <n v="10"/>
    <x v="0"/>
  </r>
  <r>
    <n v="42"/>
    <n v="500"/>
    <x v="6"/>
    <n v="5"/>
    <x v="1"/>
  </r>
  <r>
    <n v="43"/>
    <n v="500"/>
    <x v="7"/>
    <n v="3"/>
    <x v="0"/>
  </r>
  <r>
    <n v="44"/>
    <n v="500"/>
    <x v="7"/>
    <n v="1"/>
    <x v="1"/>
  </r>
  <r>
    <n v="45"/>
    <n v="700"/>
    <x v="7"/>
    <n v="10"/>
    <x v="0"/>
  </r>
  <r>
    <n v="46"/>
    <n v="700"/>
    <x v="7"/>
    <n v="4"/>
    <x v="1"/>
  </r>
  <r>
    <n v="47"/>
    <n v="700"/>
    <x v="6"/>
    <n v="5"/>
    <x v="0"/>
  </r>
  <r>
    <n v="48"/>
    <n v="700"/>
    <x v="6"/>
    <n v="4"/>
    <x v="1"/>
  </r>
  <r>
    <n v="49"/>
    <n v="700"/>
    <x v="5"/>
    <n v="5"/>
    <x v="0"/>
  </r>
  <r>
    <n v="50"/>
    <n v="700"/>
    <x v="5"/>
    <n v="3"/>
    <x v="1"/>
  </r>
  <r>
    <n v="51"/>
    <s v="Pipe Rack"/>
    <x v="0"/>
    <n v="30"/>
    <x v="0"/>
  </r>
  <r>
    <n v="52"/>
    <s v="Pipe Rack"/>
    <x v="0"/>
    <n v="2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81C22-0338-4126-B5B0-7090E0B3B40C}" name="Tabela dinâ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2:J13" firstHeaderRow="1" firstDataRow="2" firstDataCol="1"/>
  <pivotFields count="5">
    <pivotField showAll="0"/>
    <pivotField showAll="0"/>
    <pivotField axis="axisRow" showAll="0">
      <items count="10">
        <item x="2"/>
        <item x="4"/>
        <item x="6"/>
        <item x="5"/>
        <item x="1"/>
        <item x="8"/>
        <item x="0"/>
        <item x="7"/>
        <item x="3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oma de Qtde" fld="3" baseField="0" baseItem="0"/>
  </dataFields>
  <formats count="8">
    <format dxfId="7">
      <pivotArea outline="0" collapsedLevelsAreSubtotals="1" fieldPosition="0">
        <references count="1">
          <reference field="4" count="0" selected="0"/>
        </references>
      </pivotArea>
    </format>
    <format dxfId="6">
      <pivotArea field="4" type="button" dataOnly="0" labelOnly="1" outline="0" axis="axisCol" fieldPosition="0"/>
    </format>
    <format dxfId="5">
      <pivotArea type="topRight" dataOnly="0" labelOnly="1" outline="0" fieldPosition="0"/>
    </format>
    <format dxfId="4">
      <pivotArea dataOnly="0" labelOnly="1" fieldPosition="0">
        <references count="1">
          <reference field="4" count="0"/>
        </references>
      </pivotArea>
    </format>
    <format dxfId="3">
      <pivotArea outline="0" collapsedLevelsAreSubtotals="1" fieldPosition="0">
        <references count="1">
          <reference field="4" count="0" selected="0"/>
        </references>
      </pivotArea>
    </format>
    <format dxfId="2">
      <pivotArea field="4" type="button" dataOnly="0" labelOnly="1" outline="0" axis="axisCol" fieldPosition="0"/>
    </format>
    <format dxfId="1">
      <pivotArea type="topRight" dataOnly="0" labelOnly="1" outline="0" fieldPosition="0"/>
    </format>
    <format dxfId="0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91B1-D218-4E32-86EF-454DE7309D38}">
  <dimension ref="A1:L53"/>
  <sheetViews>
    <sheetView tabSelected="1" workbookViewId="0">
      <selection activeCell="G17" sqref="G17"/>
    </sheetView>
  </sheetViews>
  <sheetFormatPr defaultRowHeight="15" x14ac:dyDescent="0.25"/>
  <cols>
    <col min="1" max="1" width="4.85546875" style="2" bestFit="1" customWidth="1"/>
    <col min="2" max="2" width="9.5703125" style="2" bestFit="1" customWidth="1"/>
    <col min="3" max="3" width="45.28515625" bestFit="1" customWidth="1"/>
    <col min="4" max="4" width="9.140625" style="2"/>
    <col min="5" max="5" width="13.42578125" style="2" customWidth="1"/>
    <col min="7" max="7" width="45.28515625" bestFit="1" customWidth="1"/>
    <col min="8" max="8" width="20.140625" style="10" bestFit="1" customWidth="1"/>
    <col min="9" max="9" width="4.42578125" style="10" bestFit="1" customWidth="1"/>
    <col min="10" max="10" width="11.5703125" bestFit="1" customWidth="1"/>
    <col min="11" max="11" width="10.5703125" style="10" bestFit="1" customWidth="1"/>
    <col min="12" max="12" width="10.5703125" bestFit="1" customWidth="1"/>
  </cols>
  <sheetData>
    <row r="1" spans="1:12" s="1" customFormat="1" ht="30" x14ac:dyDescent="0.25">
      <c r="A1" s="3" t="s">
        <v>0</v>
      </c>
      <c r="B1" s="3" t="s">
        <v>2</v>
      </c>
      <c r="C1" s="3" t="s">
        <v>1</v>
      </c>
      <c r="D1" s="3" t="s">
        <v>3</v>
      </c>
      <c r="E1" s="3" t="s">
        <v>9</v>
      </c>
      <c r="H1" s="8"/>
      <c r="I1" s="8"/>
      <c r="K1" s="8"/>
    </row>
    <row r="2" spans="1:12" x14ac:dyDescent="0.25">
      <c r="A2" s="4">
        <v>1</v>
      </c>
      <c r="B2" s="4" t="s">
        <v>13</v>
      </c>
      <c r="C2" s="5" t="s">
        <v>11</v>
      </c>
      <c r="D2" s="4">
        <v>23</v>
      </c>
      <c r="E2" s="4" t="s">
        <v>6</v>
      </c>
      <c r="G2" s="6" t="s">
        <v>21</v>
      </c>
      <c r="H2" s="9" t="s">
        <v>22</v>
      </c>
    </row>
    <row r="3" spans="1:12" x14ac:dyDescent="0.25">
      <c r="A3" s="4">
        <v>2</v>
      </c>
      <c r="B3" s="4" t="s">
        <v>13</v>
      </c>
      <c r="C3" s="5" t="s">
        <v>14</v>
      </c>
      <c r="D3" s="4">
        <v>45</v>
      </c>
      <c r="E3" s="4" t="s">
        <v>6</v>
      </c>
      <c r="G3" s="6" t="s">
        <v>19</v>
      </c>
      <c r="H3" s="10" t="s">
        <v>6</v>
      </c>
      <c r="I3" s="10" t="s">
        <v>7</v>
      </c>
      <c r="J3" t="s">
        <v>20</v>
      </c>
    </row>
    <row r="4" spans="1:12" x14ac:dyDescent="0.25">
      <c r="A4" s="4">
        <v>3</v>
      </c>
      <c r="B4" s="4" t="s">
        <v>13</v>
      </c>
      <c r="C4" s="5" t="s">
        <v>16</v>
      </c>
      <c r="D4" s="4">
        <v>10</v>
      </c>
      <c r="E4" s="4" t="s">
        <v>6</v>
      </c>
      <c r="G4" s="7" t="s">
        <v>16</v>
      </c>
      <c r="H4" s="10">
        <v>20</v>
      </c>
      <c r="J4">
        <v>20</v>
      </c>
    </row>
    <row r="5" spans="1:12" x14ac:dyDescent="0.25">
      <c r="A5" s="4">
        <v>4</v>
      </c>
      <c r="B5" s="4" t="s">
        <v>13</v>
      </c>
      <c r="C5" s="5" t="s">
        <v>17</v>
      </c>
      <c r="D5" s="4">
        <v>12</v>
      </c>
      <c r="E5" s="4" t="s">
        <v>6</v>
      </c>
      <c r="G5" s="7" t="s">
        <v>18</v>
      </c>
      <c r="H5" s="10">
        <v>12</v>
      </c>
      <c r="J5">
        <v>12</v>
      </c>
    </row>
    <row r="6" spans="1:12" x14ac:dyDescent="0.25">
      <c r="A6" s="4">
        <v>5</v>
      </c>
      <c r="B6" s="4" t="s">
        <v>13</v>
      </c>
      <c r="C6" s="5" t="s">
        <v>18</v>
      </c>
      <c r="D6" s="4">
        <v>6</v>
      </c>
      <c r="E6" s="4" t="s">
        <v>6</v>
      </c>
      <c r="G6" s="7" t="s">
        <v>5</v>
      </c>
      <c r="H6" s="10">
        <v>149</v>
      </c>
      <c r="I6" s="10">
        <v>103</v>
      </c>
      <c r="J6">
        <v>252</v>
      </c>
      <c r="K6" s="10">
        <f>J6*30</f>
        <v>7560</v>
      </c>
    </row>
    <row r="7" spans="1:12" x14ac:dyDescent="0.25">
      <c r="A7" s="4">
        <v>6</v>
      </c>
      <c r="B7" s="4" t="s">
        <v>15</v>
      </c>
      <c r="C7" s="5" t="s">
        <v>11</v>
      </c>
      <c r="D7" s="4">
        <v>23</v>
      </c>
      <c r="E7" s="4" t="s">
        <v>6</v>
      </c>
      <c r="G7" s="7" t="s">
        <v>4</v>
      </c>
      <c r="H7" s="10">
        <v>57</v>
      </c>
      <c r="I7" s="10">
        <v>39</v>
      </c>
      <c r="J7">
        <v>96</v>
      </c>
      <c r="K7" s="10">
        <f t="shared" ref="K7:K11" si="0">J7*30</f>
        <v>2880</v>
      </c>
    </row>
    <row r="8" spans="1:12" x14ac:dyDescent="0.25">
      <c r="A8" s="4">
        <v>7</v>
      </c>
      <c r="B8" s="4" t="s">
        <v>15</v>
      </c>
      <c r="C8" s="5" t="s">
        <v>14</v>
      </c>
      <c r="D8" s="4">
        <v>45</v>
      </c>
      <c r="E8" s="4" t="s">
        <v>6</v>
      </c>
      <c r="G8" s="7" t="s">
        <v>14</v>
      </c>
      <c r="H8" s="10">
        <v>90</v>
      </c>
      <c r="J8">
        <v>90</v>
      </c>
      <c r="K8" s="10">
        <f t="shared" si="0"/>
        <v>2700</v>
      </c>
    </row>
    <row r="9" spans="1:12" x14ac:dyDescent="0.25">
      <c r="A9" s="4">
        <v>8</v>
      </c>
      <c r="B9" s="4" t="s">
        <v>15</v>
      </c>
      <c r="C9" s="5" t="s">
        <v>16</v>
      </c>
      <c r="D9" s="4">
        <v>10</v>
      </c>
      <c r="E9" s="4" t="s">
        <v>6</v>
      </c>
      <c r="G9" s="7" t="s">
        <v>10</v>
      </c>
      <c r="H9" s="10">
        <v>61</v>
      </c>
      <c r="I9" s="10">
        <v>29</v>
      </c>
      <c r="J9">
        <v>90</v>
      </c>
      <c r="K9" s="10">
        <f>J9*100</f>
        <v>9000</v>
      </c>
    </row>
    <row r="10" spans="1:12" x14ac:dyDescent="0.25">
      <c r="A10" s="4">
        <v>9</v>
      </c>
      <c r="B10" s="4" t="s">
        <v>15</v>
      </c>
      <c r="C10" s="5" t="s">
        <v>17</v>
      </c>
      <c r="D10" s="4">
        <v>12</v>
      </c>
      <c r="E10" s="4" t="s">
        <v>6</v>
      </c>
      <c r="G10" s="7" t="s">
        <v>11</v>
      </c>
      <c r="H10" s="10">
        <v>76</v>
      </c>
      <c r="I10" s="10">
        <v>20</v>
      </c>
      <c r="J10">
        <v>96</v>
      </c>
      <c r="K10" s="10">
        <f t="shared" si="0"/>
        <v>2880</v>
      </c>
    </row>
    <row r="11" spans="1:12" x14ac:dyDescent="0.25">
      <c r="A11" s="4">
        <v>10</v>
      </c>
      <c r="B11" s="4" t="s">
        <v>15</v>
      </c>
      <c r="C11" s="5" t="s">
        <v>18</v>
      </c>
      <c r="D11" s="4">
        <v>6</v>
      </c>
      <c r="E11" s="4" t="s">
        <v>6</v>
      </c>
      <c r="G11" s="7" t="s">
        <v>8</v>
      </c>
      <c r="H11" s="10">
        <v>63</v>
      </c>
      <c r="I11" s="10">
        <v>51</v>
      </c>
      <c r="J11">
        <v>114</v>
      </c>
      <c r="K11" s="10">
        <f>J11*50</f>
        <v>5700</v>
      </c>
    </row>
    <row r="12" spans="1:12" x14ac:dyDescent="0.25">
      <c r="A12" s="4">
        <v>11</v>
      </c>
      <c r="B12" s="4">
        <v>100</v>
      </c>
      <c r="C12" s="5" t="s">
        <v>4</v>
      </c>
      <c r="D12" s="4">
        <v>4</v>
      </c>
      <c r="E12" s="4" t="s">
        <v>6</v>
      </c>
      <c r="G12" s="7" t="s">
        <v>17</v>
      </c>
      <c r="H12" s="10">
        <v>24</v>
      </c>
      <c r="J12">
        <v>24</v>
      </c>
    </row>
    <row r="13" spans="1:12" x14ac:dyDescent="0.25">
      <c r="A13" s="4">
        <v>12</v>
      </c>
      <c r="B13" s="4">
        <v>100</v>
      </c>
      <c r="C13" s="5" t="s">
        <v>4</v>
      </c>
      <c r="D13" s="4">
        <v>2</v>
      </c>
      <c r="E13" s="4" t="s">
        <v>7</v>
      </c>
      <c r="G13" s="7" t="s">
        <v>20</v>
      </c>
      <c r="H13" s="10">
        <v>552</v>
      </c>
      <c r="I13" s="10">
        <v>242</v>
      </c>
      <c r="J13">
        <v>794</v>
      </c>
      <c r="K13" s="12">
        <f>SUM(K4:K12)</f>
        <v>30720</v>
      </c>
      <c r="L13" s="13">
        <f>K13/1.73</f>
        <v>17757.225433526011</v>
      </c>
    </row>
    <row r="14" spans="1:12" x14ac:dyDescent="0.25">
      <c r="A14" s="4">
        <v>13</v>
      </c>
      <c r="B14" s="4">
        <v>100</v>
      </c>
      <c r="C14" s="5" t="s">
        <v>5</v>
      </c>
      <c r="D14" s="4">
        <v>9</v>
      </c>
      <c r="E14" s="4" t="s">
        <v>6</v>
      </c>
    </row>
    <row r="15" spans="1:12" x14ac:dyDescent="0.25">
      <c r="A15" s="4">
        <v>14</v>
      </c>
      <c r="B15" s="4">
        <v>100</v>
      </c>
      <c r="C15" s="5" t="s">
        <v>5</v>
      </c>
      <c r="D15" s="4">
        <v>6</v>
      </c>
      <c r="E15" s="4" t="s">
        <v>7</v>
      </c>
      <c r="J15" s="11">
        <f>GETPIVOTDATA("Qtde",$G$2,"Mód. Emerg. Incorporado","Sim")*500</f>
        <v>121000</v>
      </c>
    </row>
    <row r="16" spans="1:12" x14ac:dyDescent="0.25">
      <c r="A16" s="4">
        <v>15</v>
      </c>
      <c r="B16" s="4">
        <v>100</v>
      </c>
      <c r="C16" s="5" t="s">
        <v>8</v>
      </c>
      <c r="D16" s="4">
        <v>14</v>
      </c>
      <c r="E16" s="4" t="s">
        <v>6</v>
      </c>
    </row>
    <row r="17" spans="1:5" x14ac:dyDescent="0.25">
      <c r="A17" s="4">
        <v>16</v>
      </c>
      <c r="B17" s="4">
        <v>100</v>
      </c>
      <c r="C17" s="5" t="s">
        <v>8</v>
      </c>
      <c r="D17" s="4">
        <v>10</v>
      </c>
      <c r="E17" s="4" t="s">
        <v>7</v>
      </c>
    </row>
    <row r="18" spans="1:5" x14ac:dyDescent="0.25">
      <c r="A18" s="4">
        <v>17</v>
      </c>
      <c r="B18" s="4">
        <v>100</v>
      </c>
      <c r="C18" s="5" t="s">
        <v>10</v>
      </c>
      <c r="D18" s="4">
        <v>4</v>
      </c>
      <c r="E18" s="4" t="s">
        <v>6</v>
      </c>
    </row>
    <row r="19" spans="1:5" x14ac:dyDescent="0.25">
      <c r="A19" s="4">
        <v>18</v>
      </c>
      <c r="B19" s="4">
        <v>200</v>
      </c>
      <c r="C19" s="5" t="s">
        <v>5</v>
      </c>
      <c r="D19" s="4">
        <v>20</v>
      </c>
      <c r="E19" s="4" t="s">
        <v>7</v>
      </c>
    </row>
    <row r="20" spans="1:5" x14ac:dyDescent="0.25">
      <c r="A20" s="4">
        <v>19</v>
      </c>
      <c r="B20" s="4">
        <v>200</v>
      </c>
      <c r="C20" s="5" t="s">
        <v>5</v>
      </c>
      <c r="D20" s="4">
        <v>10</v>
      </c>
      <c r="E20" s="4" t="s">
        <v>6</v>
      </c>
    </row>
    <row r="21" spans="1:5" x14ac:dyDescent="0.25">
      <c r="A21" s="4">
        <v>20</v>
      </c>
      <c r="B21" s="4">
        <v>200</v>
      </c>
      <c r="C21" s="5" t="s">
        <v>4</v>
      </c>
      <c r="D21" s="4">
        <v>12</v>
      </c>
      <c r="E21" s="4" t="s">
        <v>6</v>
      </c>
    </row>
    <row r="22" spans="1:5" x14ac:dyDescent="0.25">
      <c r="A22" s="4">
        <v>21</v>
      </c>
      <c r="B22" s="4">
        <v>200</v>
      </c>
      <c r="C22" s="5" t="s">
        <v>4</v>
      </c>
      <c r="D22" s="4">
        <v>10</v>
      </c>
      <c r="E22" s="4" t="s">
        <v>7</v>
      </c>
    </row>
    <row r="23" spans="1:5" x14ac:dyDescent="0.25">
      <c r="A23" s="4">
        <v>22</v>
      </c>
      <c r="B23" s="4">
        <v>200</v>
      </c>
      <c r="C23" s="5" t="s">
        <v>8</v>
      </c>
      <c r="D23" s="4">
        <v>4</v>
      </c>
      <c r="E23" s="4" t="s">
        <v>6</v>
      </c>
    </row>
    <row r="24" spans="1:5" x14ac:dyDescent="0.25">
      <c r="A24" s="4">
        <v>23</v>
      </c>
      <c r="B24" s="4">
        <v>200</v>
      </c>
      <c r="C24" s="5" t="s">
        <v>8</v>
      </c>
      <c r="D24" s="4">
        <v>2</v>
      </c>
      <c r="E24" s="4" t="s">
        <v>7</v>
      </c>
    </row>
    <row r="25" spans="1:5" x14ac:dyDescent="0.25">
      <c r="A25" s="4">
        <v>24</v>
      </c>
      <c r="B25" s="4">
        <v>200</v>
      </c>
      <c r="C25" s="5" t="s">
        <v>10</v>
      </c>
      <c r="D25" s="4">
        <v>12</v>
      </c>
      <c r="E25" s="4" t="s">
        <v>6</v>
      </c>
    </row>
    <row r="26" spans="1:5" x14ac:dyDescent="0.25">
      <c r="A26" s="4">
        <v>25</v>
      </c>
      <c r="B26" s="4">
        <v>300</v>
      </c>
      <c r="C26" s="5" t="s">
        <v>4</v>
      </c>
      <c r="D26" s="4">
        <v>20</v>
      </c>
      <c r="E26" s="4" t="s">
        <v>6</v>
      </c>
    </row>
    <row r="27" spans="1:5" x14ac:dyDescent="0.25">
      <c r="A27" s="4">
        <v>26</v>
      </c>
      <c r="B27" s="4">
        <v>300</v>
      </c>
      <c r="C27" s="5" t="s">
        <v>4</v>
      </c>
      <c r="D27" s="4">
        <v>15</v>
      </c>
      <c r="E27" s="4" t="s">
        <v>7</v>
      </c>
    </row>
    <row r="28" spans="1:5" x14ac:dyDescent="0.25">
      <c r="A28" s="4">
        <v>27</v>
      </c>
      <c r="B28" s="4">
        <v>300</v>
      </c>
      <c r="C28" s="5" t="s">
        <v>10</v>
      </c>
      <c r="D28" s="4">
        <v>20</v>
      </c>
      <c r="E28" s="4" t="s">
        <v>6</v>
      </c>
    </row>
    <row r="29" spans="1:5" x14ac:dyDescent="0.25">
      <c r="A29" s="4">
        <v>28</v>
      </c>
      <c r="B29" s="4">
        <v>300</v>
      </c>
      <c r="C29" s="5" t="s">
        <v>10</v>
      </c>
      <c r="D29" s="4">
        <v>16</v>
      </c>
      <c r="E29" s="4" t="s">
        <v>7</v>
      </c>
    </row>
    <row r="30" spans="1:5" x14ac:dyDescent="0.25">
      <c r="A30" s="4">
        <v>29</v>
      </c>
      <c r="B30" s="4">
        <v>300</v>
      </c>
      <c r="C30" s="5" t="s">
        <v>5</v>
      </c>
      <c r="D30" s="4">
        <v>45</v>
      </c>
      <c r="E30" s="4" t="s">
        <v>6</v>
      </c>
    </row>
    <row r="31" spans="1:5" x14ac:dyDescent="0.25">
      <c r="A31" s="4">
        <v>30</v>
      </c>
      <c r="B31" s="4">
        <v>300</v>
      </c>
      <c r="C31" s="5" t="s">
        <v>5</v>
      </c>
      <c r="D31" s="4">
        <v>26</v>
      </c>
      <c r="E31" s="4" t="s">
        <v>7</v>
      </c>
    </row>
    <row r="32" spans="1:5" x14ac:dyDescent="0.25">
      <c r="A32" s="4">
        <v>31</v>
      </c>
      <c r="B32" s="4">
        <v>400</v>
      </c>
      <c r="C32" s="5" t="s">
        <v>4</v>
      </c>
      <c r="D32" s="4">
        <v>6</v>
      </c>
      <c r="E32" s="4" t="s">
        <v>6</v>
      </c>
    </row>
    <row r="33" spans="1:5" x14ac:dyDescent="0.25">
      <c r="A33" s="4">
        <v>32</v>
      </c>
      <c r="B33" s="4">
        <v>400</v>
      </c>
      <c r="C33" s="5" t="s">
        <v>4</v>
      </c>
      <c r="D33" s="4">
        <v>4</v>
      </c>
      <c r="E33" s="4" t="s">
        <v>7</v>
      </c>
    </row>
    <row r="34" spans="1:5" x14ac:dyDescent="0.25">
      <c r="A34" s="4">
        <v>33</v>
      </c>
      <c r="B34" s="4">
        <v>400</v>
      </c>
      <c r="C34" s="5" t="s">
        <v>5</v>
      </c>
      <c r="D34" s="4">
        <v>70</v>
      </c>
      <c r="E34" s="4" t="s">
        <v>6</v>
      </c>
    </row>
    <row r="35" spans="1:5" x14ac:dyDescent="0.25">
      <c r="A35" s="4">
        <v>34</v>
      </c>
      <c r="B35" s="4">
        <v>400</v>
      </c>
      <c r="C35" s="5" t="s">
        <v>5</v>
      </c>
      <c r="D35" s="4">
        <v>42</v>
      </c>
      <c r="E35" s="4" t="s">
        <v>7</v>
      </c>
    </row>
    <row r="36" spans="1:5" x14ac:dyDescent="0.25">
      <c r="A36" s="4">
        <v>35</v>
      </c>
      <c r="B36" s="4">
        <v>400</v>
      </c>
      <c r="C36" s="5" t="s">
        <v>10</v>
      </c>
      <c r="D36" s="4">
        <v>25</v>
      </c>
      <c r="E36" s="4" t="s">
        <v>6</v>
      </c>
    </row>
    <row r="37" spans="1:5" x14ac:dyDescent="0.25">
      <c r="A37" s="4">
        <v>36</v>
      </c>
      <c r="B37" s="4">
        <v>400</v>
      </c>
      <c r="C37" s="5" t="s">
        <v>10</v>
      </c>
      <c r="D37" s="4">
        <v>13</v>
      </c>
      <c r="E37" s="4" t="s">
        <v>7</v>
      </c>
    </row>
    <row r="38" spans="1:5" x14ac:dyDescent="0.25">
      <c r="A38" s="4">
        <v>37</v>
      </c>
      <c r="B38" s="4">
        <v>400</v>
      </c>
      <c r="C38" s="5" t="s">
        <v>8</v>
      </c>
      <c r="D38" s="4">
        <v>32</v>
      </c>
      <c r="E38" s="4" t="s">
        <v>6</v>
      </c>
    </row>
    <row r="39" spans="1:5" x14ac:dyDescent="0.25">
      <c r="A39" s="4">
        <v>38</v>
      </c>
      <c r="B39" s="4">
        <v>400</v>
      </c>
      <c r="C39" s="5" t="s">
        <v>8</v>
      </c>
      <c r="D39" s="4">
        <v>34</v>
      </c>
      <c r="E39" s="4" t="s">
        <v>7</v>
      </c>
    </row>
    <row r="40" spans="1:5" x14ac:dyDescent="0.25">
      <c r="A40" s="4">
        <v>39</v>
      </c>
      <c r="B40" s="4">
        <v>500</v>
      </c>
      <c r="C40" s="5" t="s">
        <v>4</v>
      </c>
      <c r="D40" s="4">
        <v>10</v>
      </c>
      <c r="E40" s="4" t="s">
        <v>6</v>
      </c>
    </row>
    <row r="41" spans="1:5" x14ac:dyDescent="0.25">
      <c r="A41" s="4">
        <v>40</v>
      </c>
      <c r="B41" s="4">
        <v>500</v>
      </c>
      <c r="C41" s="5" t="s">
        <v>4</v>
      </c>
      <c r="D41" s="4">
        <v>5</v>
      </c>
      <c r="E41" s="4" t="s">
        <v>7</v>
      </c>
    </row>
    <row r="42" spans="1:5" x14ac:dyDescent="0.25">
      <c r="A42" s="4">
        <v>41</v>
      </c>
      <c r="B42" s="4">
        <v>500</v>
      </c>
      <c r="C42" s="5" t="s">
        <v>5</v>
      </c>
      <c r="D42" s="4">
        <v>10</v>
      </c>
      <c r="E42" s="4" t="s">
        <v>6</v>
      </c>
    </row>
    <row r="43" spans="1:5" x14ac:dyDescent="0.25">
      <c r="A43" s="4">
        <v>42</v>
      </c>
      <c r="B43" s="4">
        <v>500</v>
      </c>
      <c r="C43" s="5" t="s">
        <v>5</v>
      </c>
      <c r="D43" s="4">
        <v>5</v>
      </c>
      <c r="E43" s="4" t="s">
        <v>7</v>
      </c>
    </row>
    <row r="44" spans="1:5" x14ac:dyDescent="0.25">
      <c r="A44" s="4">
        <v>43</v>
      </c>
      <c r="B44" s="4">
        <v>500</v>
      </c>
      <c r="C44" s="5" t="s">
        <v>8</v>
      </c>
      <c r="D44" s="4">
        <v>3</v>
      </c>
      <c r="E44" s="4" t="s">
        <v>6</v>
      </c>
    </row>
    <row r="45" spans="1:5" x14ac:dyDescent="0.25">
      <c r="A45" s="4">
        <v>44</v>
      </c>
      <c r="B45" s="4">
        <v>500</v>
      </c>
      <c r="C45" s="5" t="s">
        <v>8</v>
      </c>
      <c r="D45" s="4">
        <v>1</v>
      </c>
      <c r="E45" s="4" t="s">
        <v>7</v>
      </c>
    </row>
    <row r="46" spans="1:5" x14ac:dyDescent="0.25">
      <c r="A46" s="4">
        <v>45</v>
      </c>
      <c r="B46" s="4">
        <v>700</v>
      </c>
      <c r="C46" s="5" t="s">
        <v>8</v>
      </c>
      <c r="D46" s="4">
        <v>10</v>
      </c>
      <c r="E46" s="4" t="s">
        <v>6</v>
      </c>
    </row>
    <row r="47" spans="1:5" x14ac:dyDescent="0.25">
      <c r="A47" s="4">
        <v>46</v>
      </c>
      <c r="B47" s="4">
        <v>700</v>
      </c>
      <c r="C47" s="5" t="s">
        <v>8</v>
      </c>
      <c r="D47" s="4">
        <v>4</v>
      </c>
      <c r="E47" s="4" t="s">
        <v>7</v>
      </c>
    </row>
    <row r="48" spans="1:5" x14ac:dyDescent="0.25">
      <c r="A48" s="4">
        <v>47</v>
      </c>
      <c r="B48" s="4">
        <v>700</v>
      </c>
      <c r="C48" s="5" t="s">
        <v>5</v>
      </c>
      <c r="D48" s="4">
        <v>5</v>
      </c>
      <c r="E48" s="4" t="s">
        <v>6</v>
      </c>
    </row>
    <row r="49" spans="1:5" x14ac:dyDescent="0.25">
      <c r="A49" s="4">
        <v>48</v>
      </c>
      <c r="B49" s="4">
        <v>700</v>
      </c>
      <c r="C49" s="5" t="s">
        <v>5</v>
      </c>
      <c r="D49" s="4">
        <v>4</v>
      </c>
      <c r="E49" s="4" t="s">
        <v>7</v>
      </c>
    </row>
    <row r="50" spans="1:5" x14ac:dyDescent="0.25">
      <c r="A50" s="4">
        <v>49</v>
      </c>
      <c r="B50" s="4">
        <v>700</v>
      </c>
      <c r="C50" s="5" t="s">
        <v>4</v>
      </c>
      <c r="D50" s="4">
        <v>5</v>
      </c>
      <c r="E50" s="4" t="s">
        <v>6</v>
      </c>
    </row>
    <row r="51" spans="1:5" x14ac:dyDescent="0.25">
      <c r="A51" s="4">
        <v>50</v>
      </c>
      <c r="B51" s="4">
        <v>700</v>
      </c>
      <c r="C51" s="5" t="s">
        <v>4</v>
      </c>
      <c r="D51" s="4">
        <v>3</v>
      </c>
      <c r="E51" s="4" t="s">
        <v>7</v>
      </c>
    </row>
    <row r="52" spans="1:5" x14ac:dyDescent="0.25">
      <c r="A52" s="4">
        <v>51</v>
      </c>
      <c r="B52" s="4" t="s">
        <v>12</v>
      </c>
      <c r="C52" s="5" t="s">
        <v>11</v>
      </c>
      <c r="D52" s="4">
        <v>30</v>
      </c>
      <c r="E52" s="4" t="s">
        <v>6</v>
      </c>
    </row>
    <row r="53" spans="1:5" x14ac:dyDescent="0.25">
      <c r="A53" s="4">
        <v>52</v>
      </c>
      <c r="B53" s="4" t="s">
        <v>12</v>
      </c>
      <c r="C53" s="5" t="s">
        <v>11</v>
      </c>
      <c r="D53" s="4">
        <v>20</v>
      </c>
      <c r="E53" s="4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A0CD0B14-6A97-400F-A53F-3E7435251AE9}"/>
</file>

<file path=customXml/itemProps2.xml><?xml version="1.0" encoding="utf-8"?>
<ds:datastoreItem xmlns:ds="http://schemas.openxmlformats.org/officeDocument/2006/customXml" ds:itemID="{EACBCBEF-08BA-47E6-AE24-FE30434016D8}"/>
</file>

<file path=customXml/itemProps3.xml><?xml version="1.0" encoding="utf-8"?>
<ds:datastoreItem xmlns:ds="http://schemas.openxmlformats.org/officeDocument/2006/customXml" ds:itemID="{8E5DB6FD-7688-4CAD-916D-12260DBADF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C. Pignata</dc:creator>
  <cp:lastModifiedBy>Francisco C. Pignata</cp:lastModifiedBy>
  <cp:lastPrinted>2025-10-21T16:33:59Z</cp:lastPrinted>
  <dcterms:created xsi:type="dcterms:W3CDTF">2025-10-21T16:15:29Z</dcterms:created>
  <dcterms:modified xsi:type="dcterms:W3CDTF">2025-10-23T18:45:43Z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